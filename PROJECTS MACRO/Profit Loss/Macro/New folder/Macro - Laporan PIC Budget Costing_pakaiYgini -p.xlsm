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8_{929541E9-0FB0-49F5-8935-E0EA9CEBF082}" xr6:coauthVersionLast="47" xr6:coauthVersionMax="47" xr10:uidLastSave="{00000000-0000-0000-0000-000000000000}"/>
  <bookViews>
    <workbookView xWindow="-120" yWindow="-120" windowWidth="20640" windowHeight="11160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6" r:id="rId10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I4" i="16"/>
  <c r="I5" i="16"/>
  <c r="J28" i="1" s="1"/>
  <c r="I6" i="16"/>
  <c r="I7" i="16"/>
  <c r="I8" i="16"/>
  <c r="I9" i="16"/>
  <c r="I10" i="16"/>
  <c r="A159" i="22"/>
  <c r="A160" i="22"/>
  <c r="A161" i="22"/>
  <c r="A162" i="22"/>
  <c r="A163" i="22"/>
  <c r="A164" i="22"/>
  <c r="E159" i="22"/>
  <c r="E160" i="22"/>
  <c r="E161" i="22"/>
  <c r="E162" i="22"/>
  <c r="E163" i="22"/>
  <c r="E164" i="22"/>
  <c r="O160" i="1" l="1"/>
  <c r="O152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156" i="1"/>
  <c r="O148" i="1"/>
  <c r="O140" i="1"/>
  <c r="O132" i="1"/>
  <c r="O124" i="1"/>
  <c r="O116" i="1"/>
  <c r="O108" i="1"/>
  <c r="O100" i="1"/>
  <c r="O92" i="1"/>
  <c r="O84" i="1"/>
  <c r="O76" i="1"/>
  <c r="O68" i="1"/>
  <c r="O60" i="1"/>
  <c r="O52" i="1"/>
  <c r="O44" i="1"/>
  <c r="O36" i="1"/>
  <c r="O28" i="1"/>
  <c r="O20" i="1"/>
  <c r="O12" i="1"/>
  <c r="J11" i="16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62" i="1"/>
  <c r="O154" i="1"/>
  <c r="O146" i="1"/>
  <c r="O138" i="1"/>
  <c r="O130" i="1"/>
  <c r="O122" i="1"/>
  <c r="O114" i="1"/>
  <c r="O106" i="1"/>
  <c r="O98" i="1"/>
  <c r="O90" i="1"/>
  <c r="O82" i="1"/>
  <c r="O74" i="1"/>
  <c r="O66" i="1"/>
  <c r="O58" i="1"/>
  <c r="O50" i="1"/>
  <c r="O42" i="1"/>
  <c r="O34" i="1"/>
  <c r="O26" i="1"/>
  <c r="O18" i="1"/>
  <c r="O10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" i="1"/>
  <c r="O136" i="1"/>
  <c r="O128" i="1"/>
  <c r="O120" i="1"/>
  <c r="O112" i="1"/>
  <c r="O104" i="1"/>
  <c r="O96" i="1"/>
  <c r="O88" i="1"/>
  <c r="O80" i="1"/>
  <c r="O72" i="1"/>
  <c r="O64" i="1"/>
  <c r="O56" i="1"/>
  <c r="O48" i="1"/>
  <c r="O40" i="1"/>
  <c r="O32" i="1"/>
  <c r="O24" i="1"/>
  <c r="O16" i="1"/>
  <c r="O8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58" i="1"/>
  <c r="O150" i="1"/>
  <c r="O142" i="1"/>
  <c r="O134" i="1"/>
  <c r="O126" i="1"/>
  <c r="O118" i="1"/>
  <c r="O110" i="1"/>
  <c r="O102" i="1"/>
  <c r="O94" i="1"/>
  <c r="O86" i="1"/>
  <c r="O78" i="1"/>
  <c r="O70" i="1"/>
  <c r="O62" i="1"/>
  <c r="O54" i="1"/>
  <c r="O46" i="1"/>
  <c r="O38" i="1"/>
  <c r="O30" i="1"/>
  <c r="O22" i="1"/>
  <c r="O14" i="1"/>
  <c r="O6" i="1"/>
  <c r="J116" i="1"/>
  <c r="J124" i="1"/>
  <c r="M124" i="1" s="1"/>
  <c r="J132" i="1"/>
  <c r="M132" i="1" s="1"/>
  <c r="J140" i="1"/>
  <c r="M140" i="1" s="1"/>
  <c r="J117" i="1"/>
  <c r="M117" i="1" s="1"/>
  <c r="J125" i="1"/>
  <c r="M125" i="1" s="1"/>
  <c r="J133" i="1"/>
  <c r="J141" i="1"/>
  <c r="M141" i="1" s="1"/>
  <c r="J110" i="1"/>
  <c r="J118" i="1"/>
  <c r="J126" i="1"/>
  <c r="M126" i="1" s="1"/>
  <c r="J134" i="1"/>
  <c r="J142" i="1"/>
  <c r="M142" i="1" s="1"/>
  <c r="J111" i="1"/>
  <c r="M111" i="1" s="1"/>
  <c r="J119" i="1"/>
  <c r="M119" i="1" s="1"/>
  <c r="J127" i="1"/>
  <c r="M127" i="1" s="1"/>
  <c r="J135" i="1"/>
  <c r="J143" i="1"/>
  <c r="M143" i="1" s="1"/>
  <c r="J112" i="1"/>
  <c r="J120" i="1"/>
  <c r="M120" i="1" s="1"/>
  <c r="J128" i="1"/>
  <c r="M128" i="1" s="1"/>
  <c r="J136" i="1"/>
  <c r="M136" i="1" s="1"/>
  <c r="J144" i="1"/>
  <c r="J113" i="1"/>
  <c r="J121" i="1"/>
  <c r="M121" i="1" s="1"/>
  <c r="J129" i="1"/>
  <c r="M129" i="1" s="1"/>
  <c r="J137" i="1"/>
  <c r="M137" i="1" s="1"/>
  <c r="J145" i="1"/>
  <c r="M145" i="1" s="1"/>
  <c r="J114" i="1"/>
  <c r="J122" i="1"/>
  <c r="M122" i="1" s="1"/>
  <c r="J130" i="1"/>
  <c r="M130" i="1" s="1"/>
  <c r="J138" i="1"/>
  <c r="M138" i="1" s="1"/>
  <c r="J146" i="1"/>
  <c r="J115" i="1"/>
  <c r="M115" i="1" s="1"/>
  <c r="J123" i="1"/>
  <c r="J131" i="1"/>
  <c r="M131" i="1" s="1"/>
  <c r="J139" i="1"/>
  <c r="M139" i="1" s="1"/>
  <c r="K9" i="16"/>
  <c r="M144" i="1"/>
  <c r="M112" i="1"/>
  <c r="J100" i="1"/>
  <c r="M100" i="1" s="1"/>
  <c r="J108" i="1"/>
  <c r="M108" i="1" s="1"/>
  <c r="J101" i="1"/>
  <c r="M101" i="1" s="1"/>
  <c r="J109" i="1"/>
  <c r="M109" i="1" s="1"/>
  <c r="J102" i="1"/>
  <c r="M102" i="1" s="1"/>
  <c r="J103" i="1"/>
  <c r="M103" i="1" s="1"/>
  <c r="J104" i="1"/>
  <c r="M104" i="1" s="1"/>
  <c r="J105" i="1"/>
  <c r="M105" i="1" s="1"/>
  <c r="J106" i="1"/>
  <c r="M106" i="1" s="1"/>
  <c r="K8" i="16"/>
  <c r="J107" i="1"/>
  <c r="M107" i="1" s="1"/>
  <c r="J148" i="1"/>
  <c r="M148" i="1" s="1"/>
  <c r="J156" i="1"/>
  <c r="M156" i="1" s="1"/>
  <c r="J164" i="1"/>
  <c r="M164" i="1" s="1"/>
  <c r="K10" i="16"/>
  <c r="J149" i="1"/>
  <c r="J157" i="1"/>
  <c r="M157" i="1" s="1"/>
  <c r="J165" i="1"/>
  <c r="J150" i="1"/>
  <c r="M150" i="1" s="1"/>
  <c r="J158" i="1"/>
  <c r="M158" i="1" s="1"/>
  <c r="J166" i="1"/>
  <c r="M166" i="1" s="1"/>
  <c r="J151" i="1"/>
  <c r="M151" i="1" s="1"/>
  <c r="J159" i="1"/>
  <c r="M159" i="1" s="1"/>
  <c r="J167" i="1"/>
  <c r="M167" i="1" s="1"/>
  <c r="J152" i="1"/>
  <c r="M152" i="1" s="1"/>
  <c r="J160" i="1"/>
  <c r="M160" i="1" s="1"/>
  <c r="J168" i="1"/>
  <c r="M168" i="1" s="1"/>
  <c r="J153" i="1"/>
  <c r="M153" i="1" s="1"/>
  <c r="J161" i="1"/>
  <c r="M161" i="1" s="1"/>
  <c r="J154" i="1"/>
  <c r="J162" i="1"/>
  <c r="M162" i="1" s="1"/>
  <c r="J147" i="1"/>
  <c r="J155" i="1"/>
  <c r="M155" i="1" s="1"/>
  <c r="J163" i="1"/>
  <c r="J44" i="1"/>
  <c r="M44" i="1" s="1"/>
  <c r="J52" i="1"/>
  <c r="M52" i="1" s="1"/>
  <c r="J60" i="1"/>
  <c r="M60" i="1" s="1"/>
  <c r="J68" i="1"/>
  <c r="J76" i="1"/>
  <c r="J84" i="1"/>
  <c r="M84" i="1" s="1"/>
  <c r="J92" i="1"/>
  <c r="M92" i="1" s="1"/>
  <c r="J45" i="1"/>
  <c r="J53" i="1"/>
  <c r="M53" i="1" s="1"/>
  <c r="J61" i="1"/>
  <c r="M61" i="1" s="1"/>
  <c r="J69" i="1"/>
  <c r="M69" i="1" s="1"/>
  <c r="J77" i="1"/>
  <c r="J85" i="1"/>
  <c r="M85" i="1" s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J94" i="1"/>
  <c r="M94" i="1" s="1"/>
  <c r="J39" i="1"/>
  <c r="M39" i="1" s="1"/>
  <c r="J47" i="1"/>
  <c r="M47" i="1" s="1"/>
  <c r="J55" i="1"/>
  <c r="M55" i="1" s="1"/>
  <c r="J63" i="1"/>
  <c r="M63" i="1" s="1"/>
  <c r="J71" i="1"/>
  <c r="M71" i="1" s="1"/>
  <c r="J79" i="1"/>
  <c r="M79" i="1" s="1"/>
  <c r="J87" i="1"/>
  <c r="M87" i="1" s="1"/>
  <c r="J95" i="1"/>
  <c r="M95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M80" i="1" s="1"/>
  <c r="J88" i="1"/>
  <c r="M88" i="1" s="1"/>
  <c r="J96" i="1"/>
  <c r="M96" i="1" s="1"/>
  <c r="J41" i="1"/>
  <c r="J49" i="1"/>
  <c r="M49" i="1" s="1"/>
  <c r="J57" i="1"/>
  <c r="M57" i="1" s="1"/>
  <c r="J65" i="1"/>
  <c r="M65" i="1" s="1"/>
  <c r="J73" i="1"/>
  <c r="M73" i="1" s="1"/>
  <c r="J81" i="1"/>
  <c r="M81" i="1" s="1"/>
  <c r="J89" i="1"/>
  <c r="J97" i="1"/>
  <c r="M97" i="1" s="1"/>
  <c r="K7" i="16"/>
  <c r="J42" i="1"/>
  <c r="M42" i="1" s="1"/>
  <c r="J50" i="1"/>
  <c r="J58" i="1"/>
  <c r="J66" i="1"/>
  <c r="M66" i="1" s="1"/>
  <c r="J74" i="1"/>
  <c r="M74" i="1" s="1"/>
  <c r="J82" i="1"/>
  <c r="M82" i="1" s="1"/>
  <c r="J90" i="1"/>
  <c r="M90" i="1" s="1"/>
  <c r="J98" i="1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M163" i="1"/>
  <c r="M147" i="1"/>
  <c r="M123" i="1"/>
  <c r="M134" i="1"/>
  <c r="M118" i="1"/>
  <c r="M110" i="1"/>
  <c r="M86" i="1"/>
  <c r="J36" i="1"/>
  <c r="M36" i="1" s="1"/>
  <c r="J37" i="1"/>
  <c r="M37" i="1" s="1"/>
  <c r="J38" i="1"/>
  <c r="M38" i="1" s="1"/>
  <c r="K6" i="16"/>
  <c r="J35" i="1"/>
  <c r="M35" i="1" s="1"/>
  <c r="M165" i="1"/>
  <c r="M149" i="1"/>
  <c r="M133" i="1"/>
  <c r="M93" i="1"/>
  <c r="M77" i="1"/>
  <c r="M45" i="1"/>
  <c r="M89" i="1"/>
  <c r="M116" i="1"/>
  <c r="M76" i="1"/>
  <c r="M68" i="1"/>
  <c r="M28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I11" i="16"/>
  <c r="H7" i="16" s="1"/>
  <c r="M113" i="1"/>
  <c r="M41" i="1"/>
  <c r="J12" i="1"/>
  <c r="M12" i="1" s="1"/>
  <c r="J13" i="1"/>
  <c r="M13" i="1" s="1"/>
  <c r="K3" i="16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0" i="1"/>
  <c r="M10" i="1" s="1"/>
  <c r="J18" i="1"/>
  <c r="M18" i="1" s="1"/>
  <c r="J11" i="1"/>
  <c r="M11" i="1" s="1"/>
  <c r="J19" i="1"/>
  <c r="M19" i="1" s="1"/>
  <c r="M154" i="1"/>
  <c r="M146" i="1"/>
  <c r="M114" i="1"/>
  <c r="M98" i="1"/>
  <c r="M50" i="1"/>
  <c r="J27" i="1"/>
  <c r="M27" i="1" s="1"/>
  <c r="J34" i="1"/>
  <c r="M34" i="1" s="1"/>
  <c r="J26" i="1"/>
  <c r="M26" i="1" s="1"/>
  <c r="J33" i="1"/>
  <c r="M33" i="1" s="1"/>
  <c r="J32" i="1"/>
  <c r="M32" i="1" s="1"/>
  <c r="H5" i="16"/>
  <c r="K5" i="16"/>
  <c r="J31" i="1"/>
  <c r="M31" i="1" s="1"/>
  <c r="J30" i="1"/>
  <c r="M30" i="1" s="1"/>
  <c r="J29" i="1"/>
  <c r="M29" i="1" s="1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10" i="16" l="1"/>
  <c r="H4" i="16"/>
  <c r="H8" i="16"/>
  <c r="H9" i="16"/>
  <c r="H3" i="16"/>
  <c r="H6" i="16"/>
  <c r="H8" i="108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H58" i="107"/>
  <c r="G58" i="107"/>
  <c r="H37" i="107" l="1"/>
  <c r="B13" i="108" s="1"/>
  <c r="B14" i="108" s="1"/>
  <c r="B139" i="108" s="1"/>
  <c r="O19" i="107"/>
  <c r="B140" i="108"/>
  <c r="B41" i="108"/>
  <c r="A1" i="1"/>
  <c r="B3" i="108" l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AFC60BDF-EAFC-4E2D-A7B1-E28957EC76C4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988FBAD1-00F1-4783-BB79-2FF91E160E1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<sst xmlns="http://schemas.openxmlformats.org/spreadsheetml/2006/main" count="2974" uniqueCount="591">
  <si>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</si>
  <si>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</si>
  <si>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</si>
  <si>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</si>
  <si>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</si>
  <si>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</si>
  <si>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</si>
  <si>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</si>
  <si>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</si>
  <si>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</si>
  <si>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</si>
  <si>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</si>
  <si>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</si>
  <si>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</si>
  <si>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</si>
  <si>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</si>
  <si>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</si>
  <si>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</si>
  <si>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</si>
  <si>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</si>
  <si>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</si>
  <si>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</si>
  <si>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</si>
  <si>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</si>
  <si>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</si>
  <si>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</si>
  <si>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</si>
  <si>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</si>
  <si>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</si>
  <si>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</si>
  <si>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</si>
  <si>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</si>
  <si>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</si>
  <si>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</si>
  <si>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</si>
  <si>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</si>
  <si>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</si>
  <si>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</si>
  <si>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</si>
  <si>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</si>
  <si>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</si>
  <si>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</si>
  <si>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</si>
  <si>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</si>
  <si>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</si>
  <si>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</si>
  <si>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</si>
  <si>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</si>
  <si>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</si>
  <si>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</si>
  <si>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</si>
  <si>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</si>
  <si>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</si>
  <si>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</si>
  <si>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</si>
  <si>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</si>
  <si>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</si>
  <si>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</si>
  <si>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</si>
  <si>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</si>
  <si>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</si>
  <si>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</si>
  <si>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</si>
  <si>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</si>
  <si>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</si>
  <si>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</si>
  <si>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</si>
  <si>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</si>
  <si>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</si>
  <si>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</si>
  <si>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</si>
  <si>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</si>
  <si>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</si>
  <si>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</si>
  <si>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</si>
  <si>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</si>
  <si>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</si>
  <si>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</si>
  <si>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</si>
  <si>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</si>
  <si>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</si>
  <si>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</si>
  <si>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</si>
  <si>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</si>
  <si>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</si>
  <si>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</si>
  <si>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</si>
  <si>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</si>
  <si>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</si>
  <si>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</si>
  <si>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</si>
  <si>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</si>
  <si>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</si>
  <si>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</si>
  <si>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</si>
  <si>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</si>
  <si>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</si>
  <si>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</si>
  <si>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</si>
  <si>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</si>
  <si>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</si>
  <si>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</si>
  <si>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</si>
  <si>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</si>
  <si>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</si>
  <si>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</si>
  <si>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</si>
  <si>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</si>
  <si>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</si>
  <si>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</si>
  <si>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</si>
  <si>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</si>
  <si>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</si>
  <si>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</si>
  <si>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</si>
  <si>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</si>
  <si>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</si>
  <si>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</si>
  <si>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</si>
  <si>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</si>
  <si>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</si>
  <si>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</si>
  <si>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</si>
  <si>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</si>
  <si>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</si>
  <si>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</si>
  <si>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</si>
  <si>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</si>
  <si>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</si>
  <si>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</si>
  <si>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</si>
  <si>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</si>
  <si>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</si>
  <si>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</si>
  <si>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</si>
  <si>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</si>
  <si>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</si>
  <si>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</si>
  <si>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</si>
  <si>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</si>
  <si>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</si>
  <si>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</si>
  <si>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</si>
  <si>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</si>
  <si>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</si>
  <si>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</si>
  <si>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</si>
  <si>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</si>
  <si>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</si>
  <si>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</si>
  <si>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</si>
  <si>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</si>
  <si>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</si>
  <si>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</si>
  <si>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</si>
  <si>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</si>
  <si>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</si>
  <si>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</si>
  <si>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</si>
  <si>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</si>
  <si>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</si>
  <si>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</si>
  <si>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</si>
  <si>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</si>
  <si>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</si>
  <si>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</si>
  <si>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</si>
  <si>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</si>
  <si>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</si>
  <si>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</si>
  <si>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</si>
  <si>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</si>
  <si>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</si>
  <si>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</si>
  <si>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</si>
  <si>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</si>
  <si>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</si>
  <si>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</si>
  <si>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</si>
  <si>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</si>
  <si>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</si>
  <si>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</si>
  <si>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</si>
  <si>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</si>
  <si>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</si>
  <si>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</si>
  <si>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</si>
  <si>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</si>
  <si>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</si>
  <si>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</si>
  <si>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</si>
  <si>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</si>
  <si>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</si>
  <si>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</si>
  <si>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</si>
  <si>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1204.808100</t>
  </si>
  <si>
    <t>1204.802140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</si>
  <si>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</si>
  <si>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</si>
  <si>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</si>
  <si>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</si>
  <si>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</si>
  <si>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</si>
  <si>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</si>
  <si>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</si>
  <si>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</si>
  <si>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</si>
  <si>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</si>
  <si>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</si>
  <si>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</si>
  <si>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</si>
  <si>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</si>
  <si>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</si>
  <si>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</si>
  <si>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</si>
  <si>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</si>
  <si>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</si>
  <si>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</si>
  <si>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</si>
  <si>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</si>
  <si>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</si>
  <si>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</si>
  <si>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</si>
  <si>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</si>
  <si>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</si>
  <si>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</si>
  <si>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</si>
  <si>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</si>
  <si>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</si>
  <si>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</si>
  <si>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</si>
  <si>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</si>
  <si>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</si>
  <si>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</si>
  <si>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</si>
  <si>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</si>
  <si>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</si>
  <si>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</si>
  <si>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</si>
  <si>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</si>
  <si>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1201.814110</t>
  </si>
  <si>
    <t>1201.630450</t>
  </si>
  <si>
    <t>1206.801160</t>
  </si>
  <si>
    <t>1206.630710</t>
  </si>
  <si>
    <t>1206.630130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</si>
  <si>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</si>
  <si>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</si>
  <si>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</si>
  <si>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</si>
  <si>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</si>
  <si>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</si>
  <si>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</si>
  <si>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</si>
  <si>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</si>
  <si>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</si>
  <si>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</si>
  <si>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</si>
  <si>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</si>
  <si>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</si>
  <si>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</si>
  <si>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</si>
  <si>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</si>
  <si>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</si>
  <si>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</si>
  <si>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</si>
  <si>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</si>
  <si>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</si>
  <si>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</si>
  <si>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</si>
  <si>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</si>
  <si>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</si>
  <si>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</si>
  <si>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</si>
  <si>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</si>
  <si>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</si>
  <si>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</si>
  <si>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</si>
  <si>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</si>
  <si>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</si>
  <si>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</si>
  <si>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</si>
  <si>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</si>
  <si>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</si>
  <si>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</si>
  <si>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</si>
  <si>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</si>
  <si>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</si>
  <si>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</si>
  <si>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</si>
  <si>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</si>
  <si>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</si>
  <si>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</si>
  <si>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</si>
  <si>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</si>
  <si>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</si>
  <si>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</si>
  <si>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</si>
  <si>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</si>
  <si>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</si>
  <si>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</si>
  <si>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</si>
  <si>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</si>
  <si>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</si>
  <si>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</si>
  <si>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</si>
  <si>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</si>
  <si>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</si>
  <si>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</si>
  <si>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</si>
  <si>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</si>
  <si>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</si>
  <si>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</si>
  <si>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</si>
  <si>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</si>
  <si>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</si>
  <si>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</si>
  <si>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</si>
  <si>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</si>
  <si>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</si>
  <si>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</si>
  <si>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</si>
  <si>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</si>
  <si>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</si>
  <si>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</si>
  <si>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</si>
  <si>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</si>
  <si>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</si>
  <si>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</si>
  <si>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</si>
  <si>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</si>
  <si>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</si>
  <si>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</si>
  <si>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</si>
  <si>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</si>
  <si>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</si>
  <si>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</si>
  <si>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</si>
  <si>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</si>
  <si>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</si>
  <si>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</si>
  <si>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</si>
  <si>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</si>
  <si>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</si>
  <si>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</si>
  <si>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</si>
  <si>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</si>
  <si>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</si>
  <si>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</si>
  <si>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</si>
  <si>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</si>
  <si>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</si>
  <si>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</si>
  <si>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</si>
  <si>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</si>
  <si>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</si>
  <si>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</si>
  <si>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</si>
  <si>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</si>
  <si>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</si>
  <si>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</si>
  <si>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</si>
  <si>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</si>
  <si>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</si>
  <si>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</si>
  <si>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</si>
  <si>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</si>
  <si>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</si>
  <si>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</si>
  <si>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</si>
  <si>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</si>
  <si>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</si>
  <si>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</si>
  <si>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</si>
  <si>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</si>
  <si>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</si>
  <si>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</si>
  <si>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</si>
  <si>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</si>
  <si>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</si>
  <si>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</si>
  <si>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</si>
  <si>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</si>
  <si>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</si>
  <si>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</si>
  <si>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</si>
  <si>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</si>
  <si>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</si>
  <si>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</si>
  <si>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</si>
  <si>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</si>
  <si>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</si>
  <si>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</si>
  <si>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</si>
  <si>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</si>
  <si>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</si>
  <si>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</si>
  <si>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</si>
  <si>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</si>
  <si>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</si>
  <si>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</si>
  <si>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</si>
  <si>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</si>
  <si>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</si>
  <si>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</si>
  <si>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</si>
  <si>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</si>
  <si>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</si>
  <si>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</si>
  <si>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</si>
  <si>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</si>
  <si>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</si>
  <si>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</si>
  <si>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</si>
  <si>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</si>
  <si>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</si>
  <si>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</si>
  <si>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</si>
  <si>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</si>
  <si>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</si>
  <si>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</si>
  <si>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</si>
  <si>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</si>
  <si>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</si>
  <si>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</si>
  <si>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</si>
  <si>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</si>
  <si>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</si>
  <si>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</si>
  <si>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</si>
  <si>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</si>
  <si>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</si>
  <si>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</si>
  <si>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</si>
  <si>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</si>
  <si>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</si>
  <si>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</si>
  <si>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</si>
  <si>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</si>
  <si>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</si>
  <si>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</si>
  <si>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</si>
  <si>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</si>
  <si>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</si>
  <si>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</si>
  <si>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</si>
  <si>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</si>
  <si>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</si>
  <si>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</si>
  <si>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</si>
  <si>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</si>
  <si>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</si>
  <si>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</si>
  <si>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</si>
  <si>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</si>
  <si>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</si>
  <si>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</si>
  <si>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</si>
  <si>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</si>
  <si>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</si>
  <si>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</si>
  <si>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</si>
  <si>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</si>
  <si>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</si>
  <si>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</si>
  <si>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</si>
  <si>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</si>
  <si>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</si>
  <si>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</si>
  <si>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</si>
  <si>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</si>
  <si>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</si>
  <si>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</si>
  <si>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</si>
  <si>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</si>
  <si>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</si>
  <si>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</si>
  <si>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</si>
  <si>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</si>
  <si>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</si>
  <si>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</si>
  <si>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</si>
  <si>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</si>
  <si>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</si>
  <si>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</si>
  <si>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</si>
  <si>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</si>
  <si>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</si>
  <si>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</si>
  <si>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</si>
  <si>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</si>
  <si>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</si>
  <si>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</si>
  <si>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</si>
  <si>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</si>
  <si>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</si>
  <si>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</si>
  <si>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</si>
  <si>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</si>
  <si>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</si>
  <si>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</si>
  <si>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</si>
  <si>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</si>
  <si>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</si>
  <si>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</si>
  <si>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</si>
  <si>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</si>
  <si>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</si>
  <si>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</si>
  <si>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</si>
  <si>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</si>
  <si>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</si>
  <si>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</si>
  <si>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</si>
  <si>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</si>
  <si>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</si>
  <si>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</si>
  <si>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</si>
  <si>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</si>
  <si>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</si>
  <si>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</si>
  <si>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</si>
  <si>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</si>
  <si>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</si>
  <si>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</si>
  <si>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</si>
  <si>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</si>
  <si>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</si>
  <si>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</si>
  <si>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</si>
  <si>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</si>
  <si>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</si>
  <si>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</si>
  <si>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</si>
  <si>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</si>
  <si>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</si>
  <si>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</si>
  <si>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</si>
  <si>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</si>
  <si>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</si>
  <si>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</si>
  <si>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</si>
  <si>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</si>
  <si>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</si>
  <si>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</si>
  <si>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</si>
  <si>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</si>
  <si>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</si>
  <si>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</si>
  <si>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</si>
  <si>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</si>
  <si>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</si>
  <si>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</si>
  <si>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</si>
  <si>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</si>
  <si>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</si>
  <si>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</si>
  <si>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</si>
  <si>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</si>
  <si>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</si>
  <si>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</si>
  <si>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</si>
  <si>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</si>
  <si>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</si>
  <si>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</si>
  <si>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</si>
  <si>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</si>
  <si>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</si>
  <si>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</si>
  <si>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</si>
  <si>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</si>
  <si>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</si>
  <si>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</si>
  <si>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</si>
  <si>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</si>
  <si>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</si>
  <si>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</si>
  <si>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</si>
  <si>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</si>
  <si>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</si>
  <si>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</si>
  <si>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</si>
  <si>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</si>
  <si>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</si>
  <si>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ACCOUNT TIDAK DITEMUKAN</t>
  </si>
  <si>
    <t>\\10.8.0.35\rpa$\RPA Excel Template\Accounting Finance\Santy\Profit Loss\07-02-2024\update Data PIC Budget Th 2024-3.xlsx</t>
  </si>
  <si>
    <t>Account</t>
  </si>
  <si>
    <t>From Date</t>
  </si>
  <si>
    <t>Thru Date</t>
  </si>
  <si>
    <t>Status</t>
  </si>
  <si>
    <t>02/01/2024</t>
  </si>
  <si>
    <t>02/29/2024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</si>
</sst>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1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9" fontId="0" fillId="0" borderId="0" xfId="2" applyFont="1"/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7070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\07-02-2024\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7" sqref="C7:E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60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08" t="s">
        <v>305</v>
      </c>
      <c r="D1" s="208"/>
      <c r="E1" s="208"/>
      <c r="F1" s="2"/>
    </row>
    <row r="2" spans="1:8" ht="33" customHeight="1">
      <c r="C2" s="217" t="s">
        <v>315</v>
      </c>
      <c r="D2" s="218"/>
      <c r="E2" s="219"/>
      <c r="F2" s="12" t="s">
        <v>207</v>
      </c>
    </row>
    <row r="3" spans="1:8" ht="12" customHeight="1">
      <c r="C3" s="220"/>
      <c r="D3" s="221"/>
      <c r="E3" s="222"/>
      <c r="F3" s="12"/>
    </row>
    <row r="4" spans="1:8" ht="12" customHeight="1">
      <c r="C4" s="220"/>
      <c r="D4" s="221"/>
      <c r="E4" s="222"/>
      <c r="F4" s="12"/>
    </row>
    <row r="5" spans="1:8" ht="12" customHeight="1">
      <c r="B5" s="138"/>
      <c r="C5" s="220"/>
      <c r="D5" s="221"/>
      <c r="E5" s="222"/>
      <c r="F5" s="137"/>
    </row>
    <row r="6" spans="1:8" ht="4.5" customHeight="1">
      <c r="B6" s="209"/>
      <c r="C6" s="209"/>
      <c r="D6" s="209"/>
      <c r="E6" s="209"/>
      <c r="F6" s="209"/>
    </row>
    <row r="7" spans="1:8" ht="18" customHeight="1">
      <c r="B7" s="135"/>
      <c r="C7" s="211" t="s">
        <v>518</v>
      </c>
      <c r="D7" s="212"/>
      <c r="E7" s="213"/>
      <c r="F7" s="136"/>
    </row>
    <row r="8" spans="1:8" ht="12" customHeight="1">
      <c r="C8" s="211"/>
      <c r="D8" s="212"/>
      <c r="E8" s="213"/>
      <c r="F8" s="12"/>
    </row>
    <row r="9" spans="1:8" ht="6.75" customHeight="1">
      <c r="A9" s="209"/>
      <c r="B9" s="209"/>
      <c r="C9" s="214"/>
      <c r="D9" s="215"/>
      <c r="E9" s="216"/>
      <c r="F9" s="12"/>
    </row>
    <row r="10" spans="1:8" ht="18" customHeight="1">
      <c r="A10" s="209"/>
      <c r="B10" s="209"/>
      <c r="C10" s="210" t="s">
        <v>306</v>
      </c>
      <c r="D10" s="210"/>
      <c r="E10" s="210"/>
      <c r="F10" s="12"/>
    </row>
    <row r="11" spans="1:8" ht="15.75">
      <c r="C11" s="7" t="s">
        <v>307</v>
      </c>
      <c r="D11" s="8"/>
      <c r="E11" s="5" t="s">
        <v>308</v>
      </c>
      <c r="F11" s="12"/>
    </row>
    <row r="12" spans="1:8">
      <c r="C12" s="207" t="s">
        <v>522</v>
      </c>
      <c r="D12" s="207"/>
      <c r="E12" s="6" t="s">
        <v>347</v>
      </c>
      <c r="F12" s="12" t="s">
        <v>207</v>
      </c>
    </row>
    <row r="13" spans="1:8">
      <c r="C13" s="11" t="s">
        <v>521</v>
      </c>
      <c r="D13" s="11"/>
      <c r="E13" s="6" t="s">
        <v>584</v>
      </c>
      <c r="F13" s="12" t="s">
        <v>207</v>
      </c>
    </row>
    <row r="14" spans="1:8">
      <c r="C14" s="207" t="s">
        <v>519</v>
      </c>
      <c r="D14" s="207"/>
      <c r="E14" s="15" t="s">
        <v>335</v>
      </c>
      <c r="F14" s="12" t="s">
        <v>207</v>
      </c>
    </row>
    <row r="15" spans="1:8">
      <c r="C15" s="11" t="s">
        <v>520</v>
      </c>
      <c r="D15" s="11"/>
      <c r="E15" s="15" t="s">
        <v>336</v>
      </c>
      <c r="F15" s="12" t="s">
        <v>207</v>
      </c>
    </row>
    <row r="16" spans="1:8">
      <c r="C16" s="11" t="s">
        <v>570</v>
      </c>
      <c r="D16" s="11"/>
      <c r="E16" s="17" t="s">
        <v>569</v>
      </c>
      <c r="F16" s="12" t="s">
        <v>207</v>
      </c>
      <c r="H16" t="s">
        <v>531</v>
      </c>
    </row>
    <row r="17" spans="3:8">
      <c r="C17" s="11" t="s">
        <v>523</v>
      </c>
      <c r="D17" s="11"/>
      <c r="E17" s="6" t="s">
        <v>539</v>
      </c>
      <c r="F17" s="12" t="s">
        <v>207</v>
      </c>
      <c r="H17" s="139" t="s">
        <v>539</v>
      </c>
    </row>
    <row r="18" spans="3:8">
      <c r="C18" s="11" t="s">
        <v>571</v>
      </c>
      <c r="D18" s="11"/>
      <c r="E18" s="139" t="s">
        <v>572</v>
      </c>
      <c r="F18" s="12" t="s">
        <v>207</v>
      </c>
    </row>
    <row r="19" spans="3:8">
      <c r="C19" s="11" t="s">
        <v>568</v>
      </c>
      <c r="D19" s="11"/>
      <c r="E19" s="139" t="s">
        <v>573</v>
      </c>
      <c r="F19" s="12" t="s">
        <v>207</v>
      </c>
    </row>
    <row r="20" spans="3:8">
      <c r="C20" s="11"/>
      <c r="D20" s="11"/>
      <c r="E20" s="139"/>
      <c r="F20" s="12"/>
    </row>
    <row r="21" spans="3:8" ht="1.5" customHeight="1">
      <c r="C21" s="206"/>
      <c r="D21" s="206"/>
      <c r="E21" s="206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display="\\10.8.0.35\rpa$\RPA Excel Template\Accounting Finance\Santy\Profit Loss\07-02-2024\NEW of Data PIC Budget Th 2024-3.xlsx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2495550</xdr:colOff>
                <xdr:row>1</xdr:row>
                <xdr:rowOff>47625</xdr:rowOff>
              </from>
              <to>
                <xdr:col>4</xdr:col>
                <xdr:colOff>3867150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323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321</v>
      </c>
      <c r="I1" s="4" t="s">
        <v>207</v>
      </c>
      <c r="J1" s="4" t="s">
        <v>207</v>
      </c>
      <c r="K1" s="4" t="s">
        <v>207</v>
      </c>
      <c r="L1" s="4" t="s">
        <v>207</v>
      </c>
      <c r="M1" s="4" t="s">
        <v>207</v>
      </c>
      <c r="N1" s="4" t="s">
        <v>207</v>
      </c>
      <c r="O1" s="4" t="s">
        <v>207</v>
      </c>
      <c r="P1" s="4" t="s">
        <v>207</v>
      </c>
      <c r="Q1" s="4" t="s">
        <v>207</v>
      </c>
      <c r="R1" s="4" t="s">
        <v>207</v>
      </c>
      <c r="S1" s="4" t="s">
        <v>207</v>
      </c>
      <c r="T1" s="4" t="s">
        <v>207</v>
      </c>
      <c r="U1" s="4" t="s">
        <v>207</v>
      </c>
      <c r="V1" s="4" t="s">
        <v>207</v>
      </c>
      <c r="W1" s="4" t="s">
        <v>207</v>
      </c>
      <c r="X1" s="4" t="s">
        <v>341</v>
      </c>
      <c r="Y1" s="4" t="s">
        <v>342</v>
      </c>
      <c r="Z1" s="4" t="s">
        <v>340</v>
      </c>
    </row>
    <row r="2" spans="1:26">
      <c r="A2" t="s">
        <v>324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322</v>
      </c>
      <c r="Z2" t="s">
        <v>322</v>
      </c>
    </row>
    <row r="3" spans="1:26">
      <c r="A3" t="s">
        <v>325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318</v>
      </c>
    </row>
    <row r="4" spans="1:26">
      <c r="A4" t="s">
        <v>326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319</v>
      </c>
    </row>
    <row r="5" spans="1:26">
      <c r="A5" t="s">
        <v>327</v>
      </c>
      <c r="B5" t="s">
        <v>312</v>
      </c>
      <c r="C5" t="s">
        <v>20</v>
      </c>
      <c r="D5" t="s">
        <v>150</v>
      </c>
      <c r="E5" t="s">
        <v>23</v>
      </c>
      <c r="G5" t="s">
        <v>184</v>
      </c>
      <c r="H5" t="s">
        <v>320</v>
      </c>
    </row>
    <row r="6" spans="1:26">
      <c r="A6" t="s">
        <v>328</v>
      </c>
      <c r="B6" t="s">
        <v>312</v>
      </c>
      <c r="C6" t="s">
        <v>20</v>
      </c>
      <c r="D6" t="s">
        <v>150</v>
      </c>
      <c r="E6" t="s">
        <v>14</v>
      </c>
      <c r="G6" t="s">
        <v>183</v>
      </c>
      <c r="H6" t="s">
        <v>320</v>
      </c>
    </row>
    <row r="7" spans="1:26">
      <c r="A7" t="s">
        <v>329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319</v>
      </c>
    </row>
    <row r="8" spans="1:26">
      <c r="A8" t="s">
        <v>330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319</v>
      </c>
    </row>
    <row r="9" spans="1:26">
      <c r="A9" t="s">
        <v>331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319</v>
      </c>
    </row>
    <row r="10" spans="1:26">
      <c r="A10" t="s">
        <v>332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322</v>
      </c>
      <c r="Z10" t="s">
        <v>322</v>
      </c>
    </row>
    <row r="11" spans="1:26">
      <c r="A11" t="s">
        <v>333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322</v>
      </c>
      <c r="Z11" t="s">
        <v>322</v>
      </c>
    </row>
    <row r="12" spans="1:26">
      <c r="A12" t="s">
        <v>343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221</v>
      </c>
      <c r="N12" s="14"/>
      <c r="X12" t="s">
        <v>337</v>
      </c>
      <c r="Y12">
        <v>38</v>
      </c>
      <c r="Z12" t="s">
        <v>338</v>
      </c>
    </row>
    <row r="13" spans="1:26">
      <c r="A13" t="s">
        <v>344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221</v>
      </c>
      <c r="X13" t="s">
        <v>337</v>
      </c>
      <c r="Y13">
        <v>38</v>
      </c>
      <c r="Z13" t="s">
        <v>339</v>
      </c>
    </row>
    <row r="14" spans="1:26">
      <c r="A14" t="s">
        <v>345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211</v>
      </c>
      <c r="X14" t="s">
        <v>37</v>
      </c>
      <c r="Y14">
        <v>1</v>
      </c>
      <c r="Z14" t="s">
        <v>322</v>
      </c>
    </row>
    <row r="15" spans="1:26">
      <c r="A15" t="s">
        <v>346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211</v>
      </c>
      <c r="X15" t="s">
        <v>40</v>
      </c>
      <c r="Y15">
        <v>1</v>
      </c>
      <c r="Z15" t="s">
        <v>322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5" t="s">
        <v>313</v>
      </c>
      <c r="B1" s="226"/>
      <c r="C1" s="227"/>
      <c r="D1" s="70"/>
      <c r="E1" s="70"/>
      <c r="F1" s="70"/>
      <c r="G1" s="228" t="s">
        <v>334</v>
      </c>
      <c r="H1" s="229"/>
      <c r="I1" s="229"/>
      <c r="J1" s="229"/>
      <c r="K1" s="229"/>
    </row>
    <row r="2" spans="1:12" s="81" customFormat="1" ht="21" customHeight="1">
      <c r="A2" s="78" t="s">
        <v>0</v>
      </c>
      <c r="B2" s="79" t="s">
        <v>311</v>
      </c>
      <c r="C2" s="80" t="s">
        <v>170</v>
      </c>
      <c r="D2" s="84"/>
      <c r="E2" s="84"/>
      <c r="F2" s="84"/>
      <c r="G2" s="78" t="s">
        <v>310</v>
      </c>
      <c r="H2" s="79" t="s">
        <v>311</v>
      </c>
      <c r="I2" s="80" t="s">
        <v>170</v>
      </c>
      <c r="J2" s="80" t="s">
        <v>316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40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40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40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301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301</v>
      </c>
      <c r="H6" s="240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40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40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312</v>
      </c>
      <c r="H9" s="240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40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312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3" t="s">
        <v>34</v>
      </c>
      <c r="H11" s="224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3" t="s">
        <v>34</v>
      </c>
      <c r="B13" s="224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64"/>
  <sheetViews>
    <sheetView topLeftCell="A118" zoomScale="85" zoomScaleNormal="85" workbookViewId="0">
      <selection activeCell="C160" sqref="C160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314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309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206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209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210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302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211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212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213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211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212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213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214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214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214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214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208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215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215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215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215</v>
      </c>
    </row>
    <row r="31" spans="1:6">
      <c r="A31" t="str">
        <f t="shared" si="0"/>
        <v>Fungfung-FABRIC TESTED CHARGES-CLN</v>
      </c>
      <c r="B31" t="s">
        <v>301</v>
      </c>
      <c r="C31" t="s">
        <v>44</v>
      </c>
      <c r="D31" t="s">
        <v>12</v>
      </c>
      <c r="E31">
        <f t="shared" si="1"/>
        <v>1201</v>
      </c>
      <c r="F31" t="s">
        <v>214</v>
      </c>
    </row>
    <row r="32" spans="1:6">
      <c r="A32" t="str">
        <f t="shared" si="0"/>
        <v>Fungfung-SALES COMMISSION-CLN</v>
      </c>
      <c r="B32" t="s">
        <v>301</v>
      </c>
      <c r="C32" t="s">
        <v>54</v>
      </c>
      <c r="D32" t="s">
        <v>12</v>
      </c>
      <c r="E32">
        <f t="shared" si="1"/>
        <v>1201</v>
      </c>
      <c r="F32" t="s">
        <v>208</v>
      </c>
    </row>
    <row r="33" spans="1:6">
      <c r="A33" t="str">
        <f t="shared" si="0"/>
        <v>Fungfung-SAMPLE EXPENSES-CLN</v>
      </c>
      <c r="B33" t="s">
        <v>301</v>
      </c>
      <c r="C33" t="s">
        <v>57</v>
      </c>
      <c r="D33" t="s">
        <v>12</v>
      </c>
      <c r="E33">
        <f t="shared" si="1"/>
        <v>1201</v>
      </c>
      <c r="F33" t="s">
        <v>215</v>
      </c>
    </row>
    <row r="34" spans="1:6">
      <c r="A34" t="str">
        <f t="shared" ref="A34:A65" si="2">B34&amp;"-"&amp;C34&amp;"-"&amp;D34</f>
        <v>Fungfung-SAMPLE EXPENSES-CLN</v>
      </c>
      <c r="B34" t="s">
        <v>301</v>
      </c>
      <c r="C34" t="s">
        <v>57</v>
      </c>
      <c r="D34" t="s">
        <v>12</v>
      </c>
      <c r="E34">
        <f t="shared" si="1"/>
        <v>1201</v>
      </c>
      <c r="F34" t="s">
        <v>215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216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217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218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219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220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221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221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222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223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223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195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224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196</v>
      </c>
    </row>
    <row r="53" spans="1:6">
      <c r="A53" t="str">
        <f t="shared" si="2"/>
        <v>Owi Wijaya-OFFICER TRANSPORT EXPENSES-CLN</v>
      </c>
      <c r="B53" t="s">
        <v>65</v>
      </c>
      <c r="C53" t="s">
        <v>576</v>
      </c>
      <c r="D53" t="s">
        <v>12</v>
      </c>
      <c r="E53">
        <f t="shared" si="1"/>
        <v>1201</v>
      </c>
      <c r="F53" t="s">
        <v>579</v>
      </c>
    </row>
    <row r="54" spans="1:6">
      <c r="A54" t="str">
        <f t="shared" si="2"/>
        <v>Owi Wijaya-OFFICER TRANSPORT EXPENSES-MAJA-1</v>
      </c>
      <c r="B54" t="s">
        <v>65</v>
      </c>
      <c r="C54" t="s">
        <v>576</v>
      </c>
      <c r="D54" t="s">
        <v>23</v>
      </c>
      <c r="E54">
        <f t="shared" si="1"/>
        <v>1205</v>
      </c>
      <c r="F54" t="s">
        <v>580</v>
      </c>
    </row>
    <row r="55" spans="1:6">
      <c r="A55" t="str">
        <f t="shared" si="2"/>
        <v>Owi Wijaya-OFFICER TRANSPORT EXPENSES-MAJA-2</v>
      </c>
      <c r="B55" t="s">
        <v>65</v>
      </c>
      <c r="C55" t="s">
        <v>576</v>
      </c>
      <c r="D55" t="s">
        <v>14</v>
      </c>
      <c r="E55">
        <f t="shared" si="1"/>
        <v>1204</v>
      </c>
      <c r="F55" t="s">
        <v>581</v>
      </c>
    </row>
    <row r="56" spans="1:6">
      <c r="A56" t="str">
        <f t="shared" si="2"/>
        <v>Owi Wijaya-OFFICER TRANSPORT EXPENSES-KALIBENDA</v>
      </c>
      <c r="B56" t="s">
        <v>65</v>
      </c>
      <c r="C56" t="s">
        <v>576</v>
      </c>
      <c r="D56" t="s">
        <v>99</v>
      </c>
      <c r="E56">
        <f t="shared" si="1"/>
        <v>1206</v>
      </c>
      <c r="F56" t="s">
        <v>582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197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198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225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226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227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228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229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199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200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230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231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232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201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202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203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233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234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204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303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205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235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236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237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238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239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193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240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241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242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243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177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177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216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217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245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246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247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248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249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250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251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252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253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254</v>
      </c>
    </row>
    <row r="106" spans="1:6">
      <c r="A106" t="str">
        <f t="shared" si="5"/>
        <v>Tony Teja-ENTERTAINMENT-MAJA-1</v>
      </c>
      <c r="B106" t="s">
        <v>312</v>
      </c>
      <c r="C106" t="s">
        <v>76</v>
      </c>
      <c r="D106" t="s">
        <v>23</v>
      </c>
      <c r="E106">
        <f t="shared" si="4"/>
        <v>1205</v>
      </c>
      <c r="F106" t="s">
        <v>255</v>
      </c>
    </row>
    <row r="107" spans="1:6">
      <c r="A107" t="str">
        <f t="shared" si="5"/>
        <v>Tony Teja-JAMSOSTEK-MAJA-1</v>
      </c>
      <c r="B107" t="s">
        <v>312</v>
      </c>
      <c r="C107" t="s">
        <v>91</v>
      </c>
      <c r="D107" t="s">
        <v>23</v>
      </c>
      <c r="E107">
        <f t="shared" si="4"/>
        <v>1205</v>
      </c>
      <c r="F107" t="s">
        <v>256</v>
      </c>
    </row>
    <row r="108" spans="1:6">
      <c r="A108" t="str">
        <f t="shared" si="5"/>
        <v>Tony Teja-MAINT.&amp;REP.BUILDING-MAJA-1</v>
      </c>
      <c r="B108" t="s">
        <v>312</v>
      </c>
      <c r="C108" t="s">
        <v>100</v>
      </c>
      <c r="D108" t="s">
        <v>23</v>
      </c>
      <c r="E108">
        <f t="shared" si="4"/>
        <v>1205</v>
      </c>
      <c r="F108" t="s">
        <v>257</v>
      </c>
    </row>
    <row r="109" spans="1:6">
      <c r="A109" t="str">
        <f t="shared" si="5"/>
        <v>Tony Teja-MAINT.&amp;REP.WATERINSTL.-MAJA-1</v>
      </c>
      <c r="B109" t="s">
        <v>312</v>
      </c>
      <c r="C109" t="s">
        <v>112</v>
      </c>
      <c r="D109" t="s">
        <v>23</v>
      </c>
      <c r="E109">
        <f t="shared" si="4"/>
        <v>1205</v>
      </c>
      <c r="F109" t="s">
        <v>258</v>
      </c>
    </row>
    <row r="110" spans="1:6">
      <c r="A110" t="str">
        <f t="shared" si="5"/>
        <v>Tony Teja-MEDICAL ALLOWANCE-MAJA-1</v>
      </c>
      <c r="B110" t="s">
        <v>312</v>
      </c>
      <c r="C110" t="s">
        <v>116</v>
      </c>
      <c r="D110" t="s">
        <v>23</v>
      </c>
      <c r="E110">
        <f t="shared" si="4"/>
        <v>1205</v>
      </c>
      <c r="F110" t="s">
        <v>259</v>
      </c>
    </row>
    <row r="111" spans="1:6">
      <c r="A111" t="str">
        <f t="shared" si="5"/>
        <v>Tony Teja-RENT EXPENSES BUILDING-MAJA-1</v>
      </c>
      <c r="B111" t="s">
        <v>312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312</v>
      </c>
      <c r="C112" t="s">
        <v>20</v>
      </c>
      <c r="D112" t="s">
        <v>23</v>
      </c>
      <c r="E112">
        <f t="shared" si="4"/>
        <v>1205</v>
      </c>
      <c r="F112" t="s">
        <v>260</v>
      </c>
    </row>
    <row r="113" spans="1:6">
      <c r="A113" t="str">
        <f t="shared" si="5"/>
        <v>Tony Teja-BUSINESS TRIP EXPENSES-MAJA-1</v>
      </c>
      <c r="B113" t="s">
        <v>312</v>
      </c>
      <c r="C113" t="s">
        <v>68</v>
      </c>
      <c r="D113" t="s">
        <v>23</v>
      </c>
      <c r="E113">
        <f t="shared" si="4"/>
        <v>1205</v>
      </c>
      <c r="F113" t="s">
        <v>261</v>
      </c>
    </row>
    <row r="114" spans="1:6">
      <c r="A114" t="str">
        <f t="shared" si="5"/>
        <v>Tony Teja-ELECTRICITY-MAJA-1</v>
      </c>
      <c r="B114" t="s">
        <v>312</v>
      </c>
      <c r="C114" t="s">
        <v>74</v>
      </c>
      <c r="D114" t="s">
        <v>23</v>
      </c>
      <c r="E114">
        <f t="shared" si="4"/>
        <v>1205</v>
      </c>
      <c r="F114" t="s">
        <v>262</v>
      </c>
    </row>
    <row r="115" spans="1:6">
      <c r="A115" t="str">
        <f t="shared" si="5"/>
        <v>Tony Teja-FACTORY SUPPLIES EXPENSE-MAJA-1</v>
      </c>
      <c r="B115" t="s">
        <v>312</v>
      </c>
      <c r="C115" t="s">
        <v>78</v>
      </c>
      <c r="D115" t="s">
        <v>23</v>
      </c>
      <c r="E115">
        <f t="shared" si="4"/>
        <v>1205</v>
      </c>
      <c r="F115" t="s">
        <v>263</v>
      </c>
    </row>
    <row r="116" spans="1:6">
      <c r="A116" t="str">
        <f t="shared" si="5"/>
        <v>Tony Teja-FARE ALLOWANCE-MAJA-1</v>
      </c>
      <c r="B116" t="s">
        <v>312</v>
      </c>
      <c r="C116" t="s">
        <v>152</v>
      </c>
      <c r="D116" t="s">
        <v>23</v>
      </c>
      <c r="E116">
        <f t="shared" si="4"/>
        <v>1205</v>
      </c>
      <c r="F116" t="s">
        <v>264</v>
      </c>
    </row>
    <row r="117" spans="1:6">
      <c r="A117" t="str">
        <f t="shared" si="5"/>
        <v>Tony Teja-LABOR COST-MAJA-1</v>
      </c>
      <c r="B117" t="s">
        <v>312</v>
      </c>
      <c r="C117" t="s">
        <v>94</v>
      </c>
      <c r="D117" t="s">
        <v>23</v>
      </c>
      <c r="E117">
        <f t="shared" si="4"/>
        <v>1205</v>
      </c>
      <c r="F117" t="s">
        <v>265</v>
      </c>
    </row>
    <row r="118" spans="1:6">
      <c r="A118" t="str">
        <f t="shared" si="5"/>
        <v>Tony Teja-MAINT.&amp;REP.ELECTRICITY-MAJA-1</v>
      </c>
      <c r="B118" t="s">
        <v>312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312</v>
      </c>
      <c r="C119" t="s">
        <v>104</v>
      </c>
      <c r="D119" t="s">
        <v>23</v>
      </c>
      <c r="E119">
        <f t="shared" si="4"/>
        <v>1205</v>
      </c>
      <c r="F119" t="s">
        <v>266</v>
      </c>
    </row>
    <row r="120" spans="1:6">
      <c r="A120" t="str">
        <f t="shared" si="5"/>
        <v>Tony Teja-MAINT.&amp;REP.MACHINERIE-MAJA-1</v>
      </c>
      <c r="B120" t="s">
        <v>312</v>
      </c>
      <c r="C120" t="s">
        <v>106</v>
      </c>
      <c r="D120" t="s">
        <v>23</v>
      </c>
      <c r="E120">
        <f t="shared" si="4"/>
        <v>1205</v>
      </c>
      <c r="F120" t="s">
        <v>267</v>
      </c>
    </row>
    <row r="121" spans="1:6">
      <c r="A121" t="str">
        <f t="shared" si="5"/>
        <v>Tony Teja-MAINT.&amp;REP.PLANTEQUI-MAJA-1</v>
      </c>
      <c r="B121" t="s">
        <v>312</v>
      </c>
      <c r="C121" t="s">
        <v>110</v>
      </c>
      <c r="D121" t="s">
        <v>23</v>
      </c>
      <c r="E121">
        <f t="shared" si="4"/>
        <v>1205</v>
      </c>
      <c r="F121" t="s">
        <v>268</v>
      </c>
    </row>
    <row r="122" spans="1:6">
      <c r="A122" t="str">
        <f t="shared" si="5"/>
        <v>Tony Teja-OFFICER SALARIES-MAJA-1</v>
      </c>
      <c r="B122" t="s">
        <v>312</v>
      </c>
      <c r="C122" t="s">
        <v>144</v>
      </c>
      <c r="D122" t="s">
        <v>23</v>
      </c>
      <c r="E122">
        <f t="shared" si="4"/>
        <v>1205</v>
      </c>
      <c r="F122" t="s">
        <v>269</v>
      </c>
    </row>
    <row r="123" spans="1:6">
      <c r="A123" t="str">
        <f t="shared" si="5"/>
        <v>Tony Teja-PEMAKAIAN SPARE PART-MAJA-1</v>
      </c>
      <c r="B123" t="s">
        <v>312</v>
      </c>
      <c r="C123" t="s">
        <v>122</v>
      </c>
      <c r="D123" t="s">
        <v>23</v>
      </c>
      <c r="E123">
        <f t="shared" si="4"/>
        <v>1205</v>
      </c>
      <c r="F123" t="s">
        <v>270</v>
      </c>
    </row>
    <row r="124" spans="1:6">
      <c r="A124" t="str">
        <f t="shared" si="5"/>
        <v>Tony Teja-ENTERTAINMENT-MAJA-2</v>
      </c>
      <c r="B124" t="s">
        <v>312</v>
      </c>
      <c r="C124" t="s">
        <v>76</v>
      </c>
      <c r="D124" t="s">
        <v>14</v>
      </c>
      <c r="E124">
        <f t="shared" si="4"/>
        <v>1204</v>
      </c>
      <c r="F124" t="s">
        <v>271</v>
      </c>
    </row>
    <row r="125" spans="1:6">
      <c r="A125" t="str">
        <f t="shared" si="5"/>
        <v>Tony Teja-JAMSOSTEK-MAJA-2</v>
      </c>
      <c r="B125" t="s">
        <v>312</v>
      </c>
      <c r="C125" t="s">
        <v>91</v>
      </c>
      <c r="D125" t="s">
        <v>14</v>
      </c>
      <c r="E125">
        <f t="shared" si="4"/>
        <v>1204</v>
      </c>
      <c r="F125" t="s">
        <v>272</v>
      </c>
    </row>
    <row r="126" spans="1:6">
      <c r="A126" t="str">
        <f t="shared" si="5"/>
        <v>Tony Teja-MAINT.&amp;REP.BUILDING-MAJA-2</v>
      </c>
      <c r="B126" t="s">
        <v>312</v>
      </c>
      <c r="C126" t="s">
        <v>100</v>
      </c>
      <c r="D126" t="s">
        <v>14</v>
      </c>
      <c r="E126">
        <f t="shared" si="4"/>
        <v>1204</v>
      </c>
      <c r="F126" t="s">
        <v>273</v>
      </c>
    </row>
    <row r="127" spans="1:6">
      <c r="A127" t="str">
        <f t="shared" si="5"/>
        <v>Tony Teja-MAINT.&amp;REP.WATERINSTL.-MAJA-2</v>
      </c>
      <c r="B127" t="s">
        <v>312</v>
      </c>
      <c r="C127" t="s">
        <v>112</v>
      </c>
      <c r="D127" t="s">
        <v>14</v>
      </c>
      <c r="E127">
        <f t="shared" si="4"/>
        <v>1204</v>
      </c>
      <c r="F127" t="s">
        <v>274</v>
      </c>
    </row>
    <row r="128" spans="1:6">
      <c r="A128" t="str">
        <f t="shared" si="5"/>
        <v>Tony Teja-MEDICAL ALLOWANCE-MAJA-2</v>
      </c>
      <c r="B128" t="s">
        <v>312</v>
      </c>
      <c r="C128" t="s">
        <v>116</v>
      </c>
      <c r="D128" t="s">
        <v>14</v>
      </c>
      <c r="E128">
        <f t="shared" si="4"/>
        <v>1204</v>
      </c>
      <c r="F128" t="s">
        <v>275</v>
      </c>
    </row>
    <row r="129" spans="1:6">
      <c r="A129" t="str">
        <f t="shared" si="5"/>
        <v>Tony Teja-RENT EXPENSES BUILDING-MAJA-2</v>
      </c>
      <c r="B129" t="s">
        <v>312</v>
      </c>
      <c r="C129" t="s">
        <v>128</v>
      </c>
      <c r="D129" t="s">
        <v>14</v>
      </c>
      <c r="E129">
        <f t="shared" si="4"/>
        <v>1204</v>
      </c>
      <c r="F129" t="s">
        <v>276</v>
      </c>
    </row>
    <row r="130" spans="1:6">
      <c r="A130" t="str">
        <f t="shared" ref="A130:A164" si="6">B130&amp;"-"&amp;C130&amp;"-"&amp;D130</f>
        <v>Tony Teja-OTHER PRODUCTION COST-MAJA-2</v>
      </c>
      <c r="B130" t="s">
        <v>312</v>
      </c>
      <c r="C130" t="s">
        <v>20</v>
      </c>
      <c r="D130" t="s">
        <v>14</v>
      </c>
      <c r="E130">
        <f t="shared" si="4"/>
        <v>1204</v>
      </c>
      <c r="F130" t="s">
        <v>277</v>
      </c>
    </row>
    <row r="131" spans="1:6">
      <c r="A131" t="str">
        <f t="shared" si="6"/>
        <v>Tony Teja-AIR FREIGHT-MAJA-2</v>
      </c>
      <c r="B131" t="s">
        <v>312</v>
      </c>
      <c r="C131" t="s">
        <v>66</v>
      </c>
      <c r="D131" t="s">
        <v>14</v>
      </c>
      <c r="E131">
        <f t="shared" ref="E131:E164" si="7">VLOOKUP(D131,$L$2:$M$6,2,FALSE)</f>
        <v>1204</v>
      </c>
      <c r="F131" t="s">
        <v>278</v>
      </c>
    </row>
    <row r="132" spans="1:6">
      <c r="A132" t="str">
        <f t="shared" si="6"/>
        <v>Tony Teja-BUSINESS TRIP EXPENSES-MAJA-2</v>
      </c>
      <c r="B132" t="s">
        <v>312</v>
      </c>
      <c r="C132" t="s">
        <v>68</v>
      </c>
      <c r="D132" t="s">
        <v>14</v>
      </c>
      <c r="E132">
        <f t="shared" si="7"/>
        <v>1204</v>
      </c>
      <c r="F132" t="s">
        <v>279</v>
      </c>
    </row>
    <row r="133" spans="1:6">
      <c r="A133" t="str">
        <f t="shared" si="6"/>
        <v>Tony Teja-ELECTRICITY-MAJA-2</v>
      </c>
      <c r="B133" t="s">
        <v>312</v>
      </c>
      <c r="C133" t="s">
        <v>74</v>
      </c>
      <c r="D133" t="s">
        <v>14</v>
      </c>
      <c r="E133">
        <f t="shared" si="7"/>
        <v>1204</v>
      </c>
      <c r="F133" t="s">
        <v>280</v>
      </c>
    </row>
    <row r="134" spans="1:6">
      <c r="A134" t="str">
        <f t="shared" si="6"/>
        <v>Tony Teja-FACTORY SUPPLIES EXPENSE-MAJA-2</v>
      </c>
      <c r="B134" t="s">
        <v>312</v>
      </c>
      <c r="C134" t="s">
        <v>78</v>
      </c>
      <c r="D134" t="s">
        <v>14</v>
      </c>
      <c r="E134">
        <f t="shared" si="7"/>
        <v>1204</v>
      </c>
      <c r="F134" t="s">
        <v>281</v>
      </c>
    </row>
    <row r="135" spans="1:6">
      <c r="A135" t="str">
        <f t="shared" si="6"/>
        <v>Tony Teja-FARE ALLOWANCE-MAJA-2</v>
      </c>
      <c r="B135" t="s">
        <v>312</v>
      </c>
      <c r="C135" t="s">
        <v>152</v>
      </c>
      <c r="D135" t="s">
        <v>14</v>
      </c>
      <c r="E135">
        <f t="shared" si="7"/>
        <v>1204</v>
      </c>
      <c r="F135" t="s">
        <v>282</v>
      </c>
    </row>
    <row r="136" spans="1:6">
      <c r="A136" t="str">
        <f t="shared" si="6"/>
        <v>Tony Teja-LABOR COST-MAJA-2</v>
      </c>
      <c r="B136" t="s">
        <v>312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312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312</v>
      </c>
      <c r="C138" t="s">
        <v>104</v>
      </c>
      <c r="D138" t="s">
        <v>14</v>
      </c>
      <c r="E138">
        <f t="shared" si="7"/>
        <v>1204</v>
      </c>
      <c r="F138" t="s">
        <v>283</v>
      </c>
    </row>
    <row r="139" spans="1:6">
      <c r="A139" t="str">
        <f t="shared" si="6"/>
        <v>Tony Teja-MAINT.&amp;REP.MACHINERIE-MAJA-2</v>
      </c>
      <c r="B139" t="s">
        <v>312</v>
      </c>
      <c r="C139" t="s">
        <v>106</v>
      </c>
      <c r="D139" t="s">
        <v>14</v>
      </c>
      <c r="E139">
        <f t="shared" si="7"/>
        <v>1204</v>
      </c>
      <c r="F139" t="s">
        <v>284</v>
      </c>
    </row>
    <row r="140" spans="1:6">
      <c r="A140" t="str">
        <f t="shared" si="6"/>
        <v>Tony Teja-MAINT.&amp;REP.PLANTEQUI-MAJA-2</v>
      </c>
      <c r="B140" t="s">
        <v>312</v>
      </c>
      <c r="C140" t="s">
        <v>110</v>
      </c>
      <c r="D140" t="s">
        <v>14</v>
      </c>
      <c r="E140">
        <f t="shared" si="7"/>
        <v>1204</v>
      </c>
      <c r="F140" t="s">
        <v>285</v>
      </c>
    </row>
    <row r="141" spans="1:6">
      <c r="A141" t="str">
        <f t="shared" si="6"/>
        <v>Tony Teja-PEMAKAIAN SPARE PART-MAJA-2</v>
      </c>
      <c r="B141" t="s">
        <v>312</v>
      </c>
      <c r="C141" t="s">
        <v>122</v>
      </c>
      <c r="D141" t="s">
        <v>14</v>
      </c>
      <c r="E141">
        <f t="shared" si="7"/>
        <v>1204</v>
      </c>
      <c r="F141" t="s">
        <v>286</v>
      </c>
    </row>
    <row r="142" spans="1:6">
      <c r="A142" t="str">
        <f t="shared" si="6"/>
        <v>Tony Teja-PMKN FUEL &amp; LUBRICANT-MAJA-2</v>
      </c>
      <c r="B142" t="s">
        <v>312</v>
      </c>
      <c r="C142" t="s">
        <v>124</v>
      </c>
      <c r="D142" t="s">
        <v>14</v>
      </c>
      <c r="E142">
        <f t="shared" si="7"/>
        <v>1204</v>
      </c>
      <c r="F142" t="s">
        <v>287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288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289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290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291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292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293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294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295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296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297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298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299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300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si="7"/>
        <v>1206</v>
      </c>
      <c r="F159" t="s">
        <v>583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7"/>
        <v>1206</v>
      </c>
      <c r="F160" t="s">
        <v>583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7"/>
        <v>1206</v>
      </c>
      <c r="F161" t="s">
        <v>583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7"/>
        <v>1206</v>
      </c>
      <c r="F162" t="s">
        <v>583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7"/>
        <v>1206</v>
      </c>
      <c r="F163" t="s">
        <v>583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7"/>
        <v>1206</v>
      </c>
      <c r="F164" t="s">
        <v>583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R168"/>
  <sheetViews>
    <sheetView tabSelected="1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12" sqref="H12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hidden="1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customWidth="1"/>
    <col min="11" max="11" width="24.28515625" style="187" customWidth="1"/>
    <col min="12" max="12" width="21.28515625" style="187" customWidth="1"/>
    <col min="13" max="13" width="26.28515625" style="187" customWidth="1"/>
    <col min="14" max="14" width="23.42578125" style="188" customWidth="1"/>
    <col min="15" max="15" width="27.28515625" style="184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511</v>
      </c>
      <c r="C5" s="44" t="s">
        <v>510</v>
      </c>
      <c r="D5" s="30" t="s">
        <v>3</v>
      </c>
      <c r="E5" s="30" t="s">
        <v>4</v>
      </c>
      <c r="F5" s="30" t="s">
        <v>5</v>
      </c>
      <c r="G5" s="154" t="s">
        <v>512</v>
      </c>
      <c r="H5" s="141" t="s">
        <v>6</v>
      </c>
      <c r="I5" s="141" t="s">
        <v>190</v>
      </c>
      <c r="J5" s="31" t="s">
        <v>7</v>
      </c>
      <c r="K5" s="31" t="s">
        <v>514</v>
      </c>
      <c r="L5" s="125" t="s">
        <v>515</v>
      </c>
      <c r="M5" s="125" t="s">
        <v>8</v>
      </c>
      <c r="N5" s="32" t="s">
        <v>173</v>
      </c>
      <c r="O5" s="123" t="s">
        <v>304</v>
      </c>
      <c r="P5" s="31" t="s">
        <v>317</v>
      </c>
      <c r="Q5" s="31" t="s">
        <v>516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574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574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574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>
        <f>_xlfn.IFNA(VLOOKUP(A19&amp;"-"&amp;B19&amp;"-"&amp;D19,Ref_Account!$A:$F,6,FALSE),"ACCOUNT TIDAK DITEMUKAN")</f>
        <v>0</v>
      </c>
      <c r="O19" s="184">
        <f t="shared" si="4"/>
        <v>3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301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301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301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301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575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575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575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575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>
        <f>_xlfn.IFNA(VLOOKUP(A42&amp;"-"&amp;B42&amp;"-"&amp;D42,Ref_Account!$A:$F,6,FALSE),"ACCOUNT TIDAK DITEMUKAN")</f>
        <v>0</v>
      </c>
      <c r="O42" s="184">
        <f t="shared" si="10"/>
        <v>3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576</v>
      </c>
      <c r="C57" s="183" t="s">
        <v>577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1201.804100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576</v>
      </c>
      <c r="C58" s="183" t="s">
        <v>577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1204.804100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576</v>
      </c>
      <c r="C59" s="183" t="s">
        <v>577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1205.804100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576</v>
      </c>
      <c r="C60" s="183" t="s">
        <v>577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1206.804100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>
        <f>_xlfn.IFNA(VLOOKUP(A87&amp;"-"&amp;B87&amp;"-"&amp;D87,Ref_Account!$A:$F,6,FALSE),"ACCOUNT TIDAK DITEMUKAN")</f>
        <v>0</v>
      </c>
      <c r="O87" s="184">
        <f t="shared" si="16"/>
        <v>3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578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578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578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578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312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312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312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312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312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312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312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312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312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312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312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312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312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312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312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312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312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312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312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312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312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312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312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312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312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312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312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312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312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312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312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312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312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312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312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312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312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1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ACCOUNT TIDAK DITEMUKAN</v>
      </c>
      <c r="O163" s="184" t="str">
        <f t="shared" si="28"/>
        <v>9999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ACCOUNT TIDAK DITEMUKAN</v>
      </c>
      <c r="O164" s="184" t="str">
        <f t="shared" si="28"/>
        <v>9999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ACCOUNT TIDAK DITEMUKAN</v>
      </c>
      <c r="O165" s="184" t="str">
        <f t="shared" si="28"/>
        <v>9999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97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97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ACCOUNT TIDAK DITEMUKAN</v>
      </c>
      <c r="O166" s="184" t="str">
        <f t="shared" ref="O166:O197" si="32">IF(N166="ACCOUNT TIDAK DITEMUKAN","9999",COUNTIF($N$6:$N$164,N166))</f>
        <v>9999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ACCOUNT TIDAK DITEMUKAN</v>
      </c>
      <c r="O167" s="184" t="str">
        <f t="shared" si="32"/>
        <v>9999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ACCOUNT TIDAK DITEMUKAN</v>
      </c>
      <c r="O168" s="184" t="str">
        <f t="shared" si="32"/>
        <v>9999</v>
      </c>
      <c r="P168" s="184" t="str">
        <f t="shared" si="29"/>
        <v>OK</v>
      </c>
    </row>
  </sheetData>
  <autoFilter ref="A5:Q168" xr:uid="{00000000-0001-0000-0400-000000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0" t="str">
        <f ca="1">"MONTHLY BUDGET TH "&amp;YEAR(TODAY())</f>
        <v>MONTHLY BUDGET TH 2024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</row>
    <row r="2" spans="1:22" ht="28.5" customHeight="1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</row>
    <row r="3" spans="1:22" s="41" customFormat="1" ht="17.25" customHeight="1">
      <c r="A3" s="133" t="str">
        <f>'All Costing'!A3</f>
        <v>Periode : February-2024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207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511</v>
      </c>
      <c r="C5" s="44" t="s">
        <v>510</v>
      </c>
      <c r="D5" s="30" t="s">
        <v>3</v>
      </c>
      <c r="E5" s="30" t="s">
        <v>4</v>
      </c>
      <c r="F5" s="30" t="s">
        <v>5</v>
      </c>
      <c r="G5" s="141" t="s">
        <v>512</v>
      </c>
      <c r="H5" s="141" t="s">
        <v>6</v>
      </c>
      <c r="I5" s="191" t="s">
        <v>190</v>
      </c>
      <c r="J5" s="31" t="s">
        <v>7</v>
      </c>
      <c r="K5" s="31" t="s">
        <v>514</v>
      </c>
      <c r="L5" s="125" t="s">
        <v>515</v>
      </c>
      <c r="M5" s="125" t="s">
        <v>8</v>
      </c>
      <c r="N5" s="32" t="s">
        <v>173</v>
      </c>
      <c r="O5" s="123" t="s">
        <v>304</v>
      </c>
      <c r="P5" s="31" t="s">
        <v>317</v>
      </c>
      <c r="Q5" s="31" t="s">
        <v>516</v>
      </c>
      <c r="R5" s="191" t="s">
        <v>526</v>
      </c>
      <c r="S5" s="191" t="s">
        <v>527</v>
      </c>
      <c r="T5" s="191" t="s">
        <v>528</v>
      </c>
      <c r="U5" s="191" t="s">
        <v>529</v>
      </c>
      <c r="V5" s="31" t="s">
        <v>530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309</v>
      </c>
      <c r="O6" s="201">
        <v>1</v>
      </c>
      <c r="P6" s="175" t="s">
        <v>555</v>
      </c>
      <c r="Q6" s="201" t="s">
        <v>540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209</v>
      </c>
      <c r="O7" s="201">
        <v>1</v>
      </c>
      <c r="P7" s="175" t="s">
        <v>555</v>
      </c>
      <c r="Q7" s="201" t="s">
        <v>541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555</v>
      </c>
      <c r="Q8" s="201" t="s">
        <v>542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555</v>
      </c>
      <c r="Q9" s="201" t="s">
        <v>543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302</v>
      </c>
      <c r="O10" s="201">
        <v>1</v>
      </c>
      <c r="P10" s="175" t="s">
        <v>555</v>
      </c>
      <c r="Q10" s="201" t="s">
        <v>544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212</v>
      </c>
      <c r="O11" s="201">
        <v>2</v>
      </c>
      <c r="P11" s="175" t="s">
        <v>555</v>
      </c>
      <c r="Q11" s="201" t="s">
        <v>545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215</v>
      </c>
      <c r="O12" s="201">
        <v>6</v>
      </c>
      <c r="P12" s="175" t="s">
        <v>555</v>
      </c>
      <c r="Q12" s="201" t="s">
        <v>546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301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214</v>
      </c>
      <c r="O13" s="201">
        <v>5</v>
      </c>
      <c r="P13" s="175" t="s">
        <v>555</v>
      </c>
      <c r="Q13" s="201" t="s">
        <v>553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301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208</v>
      </c>
      <c r="O14" s="201">
        <v>2</v>
      </c>
      <c r="P14" s="175" t="s">
        <v>555</v>
      </c>
      <c r="Q14" s="201" t="s">
        <v>554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555</v>
      </c>
      <c r="Q15" s="201" t="s">
        <v>547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222</v>
      </c>
      <c r="O16" s="201">
        <v>1</v>
      </c>
      <c r="P16" s="175" t="s">
        <v>555</v>
      </c>
      <c r="Q16" s="201" t="s">
        <v>547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198</v>
      </c>
      <c r="O17" s="201">
        <v>1</v>
      </c>
      <c r="P17" s="175" t="s">
        <v>555</v>
      </c>
      <c r="Q17" s="201" t="s">
        <v>548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225</v>
      </c>
      <c r="O18" s="201">
        <v>1</v>
      </c>
      <c r="P18" s="175" t="s">
        <v>555</v>
      </c>
      <c r="Q18" s="201" t="s">
        <v>549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228</v>
      </c>
      <c r="O19" s="201">
        <v>1</v>
      </c>
      <c r="P19" s="175" t="s">
        <v>555</v>
      </c>
      <c r="Q19" s="201" t="s">
        <v>547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232</v>
      </c>
      <c r="O20" s="201">
        <v>1</v>
      </c>
      <c r="P20" s="175" t="s">
        <v>555</v>
      </c>
      <c r="Q20" s="201" t="s">
        <v>550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204</v>
      </c>
      <c r="O21" s="201">
        <v>1</v>
      </c>
      <c r="P21" s="175" t="s">
        <v>555</v>
      </c>
      <c r="Q21" s="201" t="s">
        <v>551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555</v>
      </c>
      <c r="Q22" s="201" t="s">
        <v>552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555</v>
      </c>
      <c r="Q23" s="201" t="s">
        <v>552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555</v>
      </c>
      <c r="Q24" s="201" t="s">
        <v>552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244</v>
      </c>
      <c r="O25" s="201">
        <v>1</v>
      </c>
      <c r="P25" s="175" t="s">
        <v>555</v>
      </c>
      <c r="Q25" s="201" t="s">
        <v>556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249</v>
      </c>
      <c r="O26" s="201">
        <v>1</v>
      </c>
      <c r="P26" s="175" t="s">
        <v>555</v>
      </c>
      <c r="Q26" s="201" t="s">
        <v>557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253</v>
      </c>
      <c r="O27" s="201">
        <v>1</v>
      </c>
      <c r="P27" s="175" t="s">
        <v>555</v>
      </c>
      <c r="Q27" s="201" t="s">
        <v>558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255</v>
      </c>
      <c r="O28" s="201">
        <v>1</v>
      </c>
      <c r="P28" s="175" t="s">
        <v>555</v>
      </c>
      <c r="Q28" s="201" t="s">
        <v>559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312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264</v>
      </c>
      <c r="O29" s="201">
        <v>1</v>
      </c>
      <c r="P29" s="175" t="s">
        <v>555</v>
      </c>
      <c r="Q29" s="201" t="s">
        <v>560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312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274</v>
      </c>
      <c r="O30" s="201">
        <v>1</v>
      </c>
      <c r="P30" s="175" t="s">
        <v>555</v>
      </c>
      <c r="Q30" s="201" t="s">
        <v>561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312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276</v>
      </c>
      <c r="O31" s="201">
        <v>1</v>
      </c>
      <c r="P31" s="175" t="s">
        <v>555</v>
      </c>
      <c r="Q31" s="201" t="s">
        <v>562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312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281</v>
      </c>
      <c r="O32" s="201">
        <v>1</v>
      </c>
      <c r="P32" s="175" t="s">
        <v>555</v>
      </c>
      <c r="Q32" s="201" t="s">
        <v>563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312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555</v>
      </c>
      <c r="Q33" s="201" t="s">
        <v>564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312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284</v>
      </c>
      <c r="O34" s="201">
        <v>1</v>
      </c>
      <c r="P34" s="175" t="s">
        <v>555</v>
      </c>
      <c r="Q34" s="201" t="s">
        <v>565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312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290</v>
      </c>
      <c r="O35" s="201">
        <v>1</v>
      </c>
      <c r="P35" s="175" t="s">
        <v>555</v>
      </c>
      <c r="Q35" s="201" t="s">
        <v>566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312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292</v>
      </c>
      <c r="O36" s="201">
        <v>1</v>
      </c>
      <c r="P36" s="175" t="s">
        <v>555</v>
      </c>
      <c r="Q36" s="201" t="s">
        <v>567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517</v>
      </c>
    </row>
    <row r="41" spans="1:22">
      <c r="B41" s="200"/>
      <c r="G41" s="148"/>
      <c r="H41" s="148"/>
      <c r="I41" s="148"/>
      <c r="J41" s="147"/>
      <c r="Q41" s="200" t="s">
        <v>517</v>
      </c>
    </row>
    <row r="42" spans="1:22">
      <c r="B42" s="200"/>
      <c r="G42" s="148"/>
      <c r="H42" s="148"/>
      <c r="I42" s="148"/>
      <c r="J42" s="147"/>
      <c r="Q42" s="200" t="s">
        <v>517</v>
      </c>
    </row>
    <row r="43" spans="1:22">
      <c r="B43" s="200"/>
      <c r="G43" s="148"/>
      <c r="H43" s="148"/>
      <c r="I43" s="148"/>
      <c r="J43" s="147"/>
      <c r="Q43" s="200" t="s">
        <v>517</v>
      </c>
    </row>
    <row r="44" spans="1:22">
      <c r="B44" s="200"/>
      <c r="G44" s="148"/>
      <c r="H44" s="148"/>
      <c r="I44" s="148"/>
      <c r="J44" s="147"/>
      <c r="Q44" s="200" t="s">
        <v>517</v>
      </c>
    </row>
    <row r="45" spans="1:22">
      <c r="B45" s="200"/>
      <c r="G45" s="148"/>
      <c r="H45" s="148"/>
      <c r="I45" s="148"/>
      <c r="J45" s="147"/>
      <c r="Q45" s="200" t="s">
        <v>517</v>
      </c>
    </row>
    <row r="46" spans="1:22">
      <c r="B46" s="200"/>
      <c r="G46" s="148"/>
      <c r="H46" s="148"/>
      <c r="I46" s="148"/>
      <c r="J46" s="147"/>
      <c r="Q46" s="200" t="s">
        <v>517</v>
      </c>
    </row>
    <row r="47" spans="1:22">
      <c r="B47" s="200"/>
      <c r="G47" s="148"/>
      <c r="H47" s="148"/>
      <c r="I47" s="148"/>
      <c r="J47" s="147"/>
      <c r="Q47" s="200" t="s">
        <v>517</v>
      </c>
    </row>
    <row r="48" spans="1:22">
      <c r="B48" s="200"/>
      <c r="G48" s="148"/>
      <c r="H48" s="148"/>
      <c r="I48" s="148"/>
      <c r="J48" s="147"/>
      <c r="Q48" s="200" t="s">
        <v>517</v>
      </c>
    </row>
    <row r="49" spans="2:17">
      <c r="B49" s="200"/>
      <c r="G49" s="148"/>
      <c r="H49" s="148"/>
      <c r="I49" s="148"/>
      <c r="J49" s="147"/>
      <c r="Q49" s="200" t="s">
        <v>517</v>
      </c>
    </row>
    <row r="50" spans="2:17">
      <c r="B50" s="200"/>
      <c r="G50" s="148"/>
      <c r="H50" s="148"/>
      <c r="I50" s="148"/>
      <c r="J50" s="147"/>
      <c r="Q50" s="200" t="s">
        <v>517</v>
      </c>
    </row>
    <row r="51" spans="2:17">
      <c r="B51" s="200"/>
      <c r="G51" s="148"/>
      <c r="H51" s="148"/>
      <c r="I51" s="148"/>
      <c r="J51" s="147"/>
      <c r="Q51" s="200" t="s">
        <v>517</v>
      </c>
    </row>
    <row r="52" spans="2:17">
      <c r="B52" s="200"/>
      <c r="G52" s="148"/>
      <c r="H52" s="148"/>
      <c r="I52" s="148"/>
      <c r="J52" s="147"/>
      <c r="Q52" s="200" t="s">
        <v>517</v>
      </c>
    </row>
    <row r="53" spans="2:17">
      <c r="B53" s="200"/>
      <c r="G53" s="148"/>
      <c r="H53" s="148"/>
      <c r="I53" s="148"/>
      <c r="J53" s="147"/>
      <c r="Q53" s="200" t="s">
        <v>517</v>
      </c>
    </row>
    <row r="54" spans="2:17">
      <c r="B54" s="200"/>
      <c r="G54" s="148"/>
      <c r="H54" s="148"/>
      <c r="I54" s="148"/>
      <c r="J54" s="147"/>
      <c r="Q54" s="200" t="s">
        <v>517</v>
      </c>
    </row>
    <row r="55" spans="2:17">
      <c r="B55" s="200"/>
      <c r="G55" s="148"/>
      <c r="H55" s="148"/>
      <c r="I55" s="148"/>
      <c r="J55" s="147"/>
      <c r="Q55" s="200" t="s">
        <v>517</v>
      </c>
    </row>
    <row r="56" spans="2:17">
      <c r="B56" s="200"/>
      <c r="G56" s="148"/>
      <c r="H56" s="148"/>
      <c r="I56" s="148"/>
      <c r="J56" s="147"/>
      <c r="Q56" s="200" t="s">
        <v>517</v>
      </c>
    </row>
    <row r="57" spans="2:17">
      <c r="B57" s="200"/>
      <c r="G57" s="148"/>
      <c r="H57" s="148"/>
      <c r="I57" s="148"/>
      <c r="J57" s="147"/>
      <c r="Q57" s="200" t="s">
        <v>517</v>
      </c>
    </row>
    <row r="58" spans="2:17">
      <c r="B58" s="200"/>
      <c r="G58" s="148"/>
      <c r="H58" s="148"/>
      <c r="I58" s="148"/>
      <c r="J58" s="147"/>
      <c r="Q58" s="200" t="s">
        <v>517</v>
      </c>
    </row>
    <row r="59" spans="2:17">
      <c r="B59" s="200"/>
      <c r="G59" s="148"/>
      <c r="H59" s="148"/>
      <c r="I59" s="148"/>
      <c r="J59" s="147"/>
      <c r="Q59" s="200" t="s">
        <v>517</v>
      </c>
    </row>
    <row r="60" spans="2:17">
      <c r="B60" s="200"/>
      <c r="G60" s="148"/>
      <c r="H60" s="148"/>
      <c r="I60" s="148"/>
      <c r="J60" s="147"/>
      <c r="Q60" s="200" t="s">
        <v>517</v>
      </c>
    </row>
    <row r="61" spans="2:17">
      <c r="B61" s="200"/>
      <c r="G61" s="148"/>
      <c r="H61" s="148"/>
      <c r="I61" s="148"/>
      <c r="J61" s="147"/>
      <c r="Q61" s="200" t="s">
        <v>517</v>
      </c>
    </row>
    <row r="62" spans="2:17">
      <c r="B62" s="200"/>
      <c r="G62" s="148"/>
      <c r="H62" s="148"/>
      <c r="I62" s="148"/>
      <c r="J62" s="147"/>
      <c r="Q62" s="200" t="s">
        <v>517</v>
      </c>
    </row>
    <row r="63" spans="2:17">
      <c r="B63" s="200"/>
      <c r="G63" s="148"/>
      <c r="H63" s="148"/>
      <c r="I63" s="148"/>
      <c r="J63" s="147"/>
      <c r="Q63" s="200" t="s">
        <v>517</v>
      </c>
    </row>
    <row r="64" spans="2:17">
      <c r="B64" s="200"/>
      <c r="G64" s="148"/>
      <c r="H64" s="148"/>
      <c r="I64" s="148"/>
      <c r="J64" s="147"/>
      <c r="Q64" s="200" t="s">
        <v>517</v>
      </c>
    </row>
    <row r="65" spans="2:17">
      <c r="B65" s="200"/>
      <c r="G65" s="148"/>
      <c r="H65" s="148"/>
      <c r="I65" s="148"/>
      <c r="J65" s="147"/>
      <c r="Q65" s="200" t="s">
        <v>517</v>
      </c>
    </row>
    <row r="66" spans="2:17">
      <c r="B66" s="200"/>
      <c r="G66" s="148"/>
      <c r="H66" s="148"/>
      <c r="I66" s="148"/>
      <c r="J66" s="147"/>
      <c r="Q66" s="200" t="s">
        <v>517</v>
      </c>
    </row>
    <row r="67" spans="2:17">
      <c r="B67" s="200"/>
      <c r="G67" s="148"/>
      <c r="H67" s="148"/>
      <c r="I67" s="148"/>
      <c r="J67" s="147"/>
      <c r="Q67" s="200" t="s">
        <v>517</v>
      </c>
    </row>
    <row r="68" spans="2:17">
      <c r="B68" s="200"/>
      <c r="G68" s="148"/>
      <c r="H68" s="148"/>
      <c r="I68" s="148"/>
      <c r="J68" s="147"/>
      <c r="Q68" s="200" t="s">
        <v>517</v>
      </c>
    </row>
    <row r="69" spans="2:17">
      <c r="B69" s="200"/>
      <c r="G69" s="148"/>
      <c r="H69" s="148"/>
      <c r="I69" s="148"/>
      <c r="J69" s="147"/>
      <c r="Q69" s="200" t="s">
        <v>517</v>
      </c>
    </row>
    <row r="70" spans="2:17">
      <c r="B70" s="200"/>
      <c r="G70" s="148"/>
      <c r="H70" s="148"/>
      <c r="I70" s="148"/>
      <c r="J70" s="147"/>
      <c r="Q70" s="200" t="s">
        <v>517</v>
      </c>
    </row>
    <row r="71" spans="2:17">
      <c r="B71" s="200"/>
      <c r="G71" s="148"/>
      <c r="H71" s="148"/>
      <c r="I71" s="148"/>
      <c r="J71" s="147"/>
      <c r="Q71" s="200" t="s">
        <v>517</v>
      </c>
    </row>
    <row r="72" spans="2:17">
      <c r="B72" s="200"/>
      <c r="G72" s="148"/>
      <c r="H72" s="148"/>
      <c r="I72" s="148"/>
      <c r="J72" s="147"/>
      <c r="Q72" s="200" t="s">
        <v>517</v>
      </c>
    </row>
    <row r="73" spans="2:17">
      <c r="B73" s="200"/>
      <c r="G73" s="148"/>
      <c r="H73" s="148"/>
      <c r="I73" s="148"/>
      <c r="J73" s="147"/>
      <c r="Q73" s="200" t="s">
        <v>517</v>
      </c>
    </row>
    <row r="74" spans="2:17">
      <c r="B74" s="200"/>
      <c r="G74" s="148"/>
      <c r="H74" s="148"/>
      <c r="I74" s="148"/>
      <c r="J74" s="147"/>
      <c r="Q74" s="200" t="s">
        <v>517</v>
      </c>
    </row>
    <row r="75" spans="2:17">
      <c r="B75" s="200"/>
      <c r="G75" s="148"/>
      <c r="H75" s="148"/>
      <c r="I75" s="148"/>
      <c r="J75" s="147"/>
      <c r="Q75" s="200" t="s">
        <v>517</v>
      </c>
    </row>
    <row r="76" spans="2:17">
      <c r="B76" s="200"/>
      <c r="G76" s="148"/>
      <c r="H76" s="148"/>
      <c r="I76" s="148"/>
      <c r="J76" s="147"/>
      <c r="Q76" s="200" t="s">
        <v>517</v>
      </c>
    </row>
    <row r="77" spans="2:17">
      <c r="B77" s="200"/>
      <c r="G77" s="148"/>
      <c r="H77" s="148"/>
      <c r="I77" s="148"/>
      <c r="J77" s="147"/>
      <c r="Q77" s="200" t="s">
        <v>517</v>
      </c>
    </row>
    <row r="78" spans="2:17">
      <c r="B78" s="200"/>
      <c r="G78" s="148"/>
      <c r="H78" s="148"/>
      <c r="I78" s="148"/>
      <c r="J78" s="147"/>
      <c r="Q78" s="200" t="s">
        <v>517</v>
      </c>
    </row>
    <row r="79" spans="2:17">
      <c r="B79" s="200"/>
      <c r="G79" s="148"/>
      <c r="H79" s="148"/>
      <c r="I79" s="148"/>
      <c r="J79" s="147"/>
      <c r="Q79" s="200" t="s">
        <v>517</v>
      </c>
    </row>
    <row r="80" spans="2:17">
      <c r="B80" s="200"/>
      <c r="G80" s="148"/>
      <c r="H80" s="148"/>
      <c r="I80" s="148"/>
      <c r="J80" s="147"/>
      <c r="Q80" s="200" t="s">
        <v>517</v>
      </c>
    </row>
    <row r="81" spans="2:17">
      <c r="B81" s="200"/>
      <c r="G81" s="148"/>
      <c r="H81" s="148"/>
      <c r="I81" s="148"/>
      <c r="J81" s="147"/>
      <c r="Q81" s="200" t="s">
        <v>517</v>
      </c>
    </row>
    <row r="82" spans="2:17">
      <c r="B82" s="200"/>
      <c r="G82" s="148"/>
      <c r="H82" s="148"/>
      <c r="I82" s="148"/>
      <c r="J82" s="147"/>
      <c r="Q82" s="200" t="s">
        <v>517</v>
      </c>
    </row>
    <row r="83" spans="2:17">
      <c r="B83" s="200"/>
      <c r="G83" s="148"/>
      <c r="H83" s="148"/>
      <c r="I83" s="148"/>
      <c r="J83" s="147"/>
      <c r="Q83" s="200" t="s">
        <v>517</v>
      </c>
    </row>
    <row r="84" spans="2:17">
      <c r="B84" s="200"/>
      <c r="G84" s="148"/>
      <c r="H84" s="148"/>
      <c r="I84" s="148"/>
      <c r="J84" s="147"/>
      <c r="Q84" s="200" t="s">
        <v>517</v>
      </c>
    </row>
    <row r="85" spans="2:17">
      <c r="B85" s="200"/>
      <c r="G85" s="148"/>
      <c r="H85" s="148"/>
      <c r="I85" s="148"/>
      <c r="J85" s="147"/>
      <c r="Q85" s="200" t="s">
        <v>517</v>
      </c>
    </row>
    <row r="86" spans="2:17">
      <c r="B86" s="200"/>
      <c r="G86" s="148"/>
      <c r="H86" s="148"/>
      <c r="I86" s="148"/>
      <c r="J86" s="147"/>
      <c r="Q86" s="200" t="s">
        <v>517</v>
      </c>
    </row>
    <row r="87" spans="2:17">
      <c r="B87" s="200"/>
      <c r="G87" s="148"/>
      <c r="H87" s="148"/>
      <c r="I87" s="148"/>
      <c r="J87" s="147"/>
      <c r="Q87" s="200" t="s">
        <v>517</v>
      </c>
    </row>
    <row r="88" spans="2:17">
      <c r="B88" s="200"/>
      <c r="G88" s="148"/>
      <c r="H88" s="148"/>
      <c r="I88" s="148"/>
      <c r="J88" s="147"/>
      <c r="Q88" s="200" t="s">
        <v>517</v>
      </c>
    </row>
    <row r="89" spans="2:17">
      <c r="B89" s="200"/>
      <c r="G89" s="148"/>
      <c r="H89" s="148"/>
      <c r="I89" s="148"/>
      <c r="J89" s="147"/>
      <c r="Q89" s="200" t="s">
        <v>517</v>
      </c>
    </row>
    <row r="90" spans="2:17">
      <c r="B90" s="200"/>
      <c r="G90" s="148"/>
      <c r="H90" s="148"/>
      <c r="I90" s="148"/>
      <c r="J90" s="147"/>
      <c r="Q90" s="200" t="s">
        <v>517</v>
      </c>
    </row>
    <row r="91" spans="2:17">
      <c r="B91" s="200"/>
      <c r="G91" s="148"/>
      <c r="H91" s="148"/>
      <c r="I91" s="148"/>
      <c r="J91" s="147"/>
      <c r="Q91" s="200" t="s">
        <v>517</v>
      </c>
    </row>
    <row r="92" spans="2:17" ht="16.5" customHeight="1">
      <c r="B92" s="200"/>
      <c r="G92" s="148"/>
      <c r="H92" s="148"/>
      <c r="I92" s="148"/>
      <c r="J92" s="147"/>
      <c r="Q92" s="200" t="s">
        <v>517</v>
      </c>
    </row>
    <row r="93" spans="2:17">
      <c r="B93" s="200"/>
      <c r="G93" s="148"/>
      <c r="H93" s="148"/>
      <c r="I93" s="148"/>
      <c r="J93" s="147"/>
      <c r="Q93" s="200" t="s">
        <v>517</v>
      </c>
    </row>
    <row r="94" spans="2:17">
      <c r="B94" s="200"/>
      <c r="G94" s="148"/>
      <c r="H94" s="148"/>
      <c r="I94" s="148"/>
      <c r="J94" s="147"/>
      <c r="Q94" s="200" t="s">
        <v>517</v>
      </c>
    </row>
    <row r="95" spans="2:17">
      <c r="B95" s="200"/>
      <c r="G95" s="148"/>
      <c r="H95" s="148"/>
      <c r="I95" s="148"/>
      <c r="J95" s="147"/>
      <c r="Q95" s="200" t="s">
        <v>517</v>
      </c>
    </row>
    <row r="96" spans="2:17">
      <c r="B96" s="200"/>
      <c r="G96" s="148"/>
      <c r="H96" s="148"/>
      <c r="I96" s="148"/>
      <c r="J96" s="147"/>
      <c r="Q96" s="200" t="s">
        <v>517</v>
      </c>
    </row>
    <row r="97" spans="2:17">
      <c r="B97" s="200"/>
      <c r="G97" s="148"/>
      <c r="H97" s="148"/>
      <c r="I97" s="148"/>
      <c r="J97" s="147"/>
      <c r="Q97" s="200" t="s">
        <v>517</v>
      </c>
    </row>
    <row r="98" spans="2:17">
      <c r="B98" s="200"/>
      <c r="G98" s="148"/>
      <c r="H98" s="148"/>
      <c r="I98" s="148"/>
      <c r="J98" s="147"/>
      <c r="Q98" s="200" t="s">
        <v>517</v>
      </c>
    </row>
    <row r="99" spans="2:17">
      <c r="B99" s="200"/>
      <c r="G99" s="148"/>
      <c r="H99" s="148"/>
      <c r="I99" s="148"/>
      <c r="J99" s="147"/>
      <c r="Q99" s="200" t="s">
        <v>517</v>
      </c>
    </row>
    <row r="100" spans="2:17">
      <c r="B100" s="200"/>
      <c r="G100" s="148"/>
      <c r="H100" s="148"/>
      <c r="I100" s="148"/>
      <c r="J100" s="147"/>
      <c r="Q100" s="200" t="s">
        <v>517</v>
      </c>
    </row>
    <row r="101" spans="2:17">
      <c r="B101" s="200"/>
      <c r="G101" s="148"/>
      <c r="H101" s="148"/>
      <c r="I101" s="148"/>
      <c r="J101" s="147"/>
      <c r="Q101" s="200" t="s">
        <v>517</v>
      </c>
    </row>
    <row r="102" spans="2:17">
      <c r="B102" s="200"/>
      <c r="G102" s="148"/>
      <c r="H102" s="148"/>
      <c r="I102" s="148"/>
      <c r="J102" s="147"/>
      <c r="Q102" s="200" t="s">
        <v>517</v>
      </c>
    </row>
    <row r="103" spans="2:17">
      <c r="B103" s="200"/>
      <c r="G103" s="148"/>
      <c r="H103" s="148"/>
      <c r="I103" s="148"/>
      <c r="J103" s="147"/>
      <c r="Q103" s="200" t="s">
        <v>517</v>
      </c>
    </row>
    <row r="104" spans="2:17">
      <c r="B104" s="200"/>
      <c r="G104" s="148"/>
      <c r="H104" s="148"/>
      <c r="I104" s="148"/>
      <c r="J104" s="147"/>
      <c r="Q104" s="200" t="s">
        <v>517</v>
      </c>
    </row>
    <row r="105" spans="2:17">
      <c r="B105" s="200"/>
      <c r="G105" s="148"/>
      <c r="H105" s="148"/>
      <c r="I105" s="148"/>
      <c r="J105" s="147"/>
      <c r="Q105" s="200" t="s">
        <v>517</v>
      </c>
    </row>
    <row r="106" spans="2:17">
      <c r="B106" s="200"/>
      <c r="G106" s="148"/>
      <c r="H106" s="148"/>
      <c r="I106" s="148"/>
      <c r="J106" s="147"/>
      <c r="Q106" s="200" t="s">
        <v>517</v>
      </c>
    </row>
    <row r="107" spans="2:17">
      <c r="B107" s="200"/>
      <c r="G107" s="148"/>
      <c r="H107" s="148"/>
      <c r="I107" s="148"/>
      <c r="J107" s="147"/>
      <c r="Q107" s="200" t="s">
        <v>517</v>
      </c>
    </row>
    <row r="108" spans="2:17">
      <c r="B108" s="200"/>
      <c r="G108" s="148"/>
      <c r="H108" s="148"/>
      <c r="I108" s="148"/>
      <c r="J108" s="147"/>
      <c r="Q108" s="200" t="s">
        <v>517</v>
      </c>
    </row>
    <row r="109" spans="2:17">
      <c r="B109" s="200"/>
      <c r="G109" s="148"/>
      <c r="H109" s="148"/>
      <c r="I109" s="148"/>
      <c r="J109" s="147"/>
      <c r="Q109" s="200" t="s">
        <v>517</v>
      </c>
    </row>
    <row r="110" spans="2:17">
      <c r="B110" s="200"/>
      <c r="G110" s="148"/>
      <c r="H110" s="148"/>
      <c r="I110" s="148"/>
      <c r="J110" s="147"/>
      <c r="Q110" s="200" t="s">
        <v>517</v>
      </c>
    </row>
    <row r="111" spans="2:17">
      <c r="B111" s="200"/>
      <c r="G111" s="148"/>
      <c r="H111" s="148"/>
      <c r="I111" s="148"/>
      <c r="J111" s="147"/>
      <c r="Q111" s="200" t="s">
        <v>517</v>
      </c>
    </row>
    <row r="112" spans="2:17">
      <c r="B112" s="200"/>
      <c r="G112" s="148"/>
      <c r="H112" s="148"/>
      <c r="I112" s="148"/>
      <c r="J112" s="147"/>
      <c r="Q112" s="200" t="s">
        <v>517</v>
      </c>
    </row>
    <row r="113" spans="2:17">
      <c r="B113" s="200"/>
      <c r="G113" s="148"/>
      <c r="H113" s="148"/>
      <c r="I113" s="148"/>
      <c r="J113" s="147"/>
      <c r="Q113" s="200" t="s">
        <v>517</v>
      </c>
    </row>
    <row r="114" spans="2:17">
      <c r="B114" s="200"/>
      <c r="G114" s="148"/>
      <c r="H114" s="148"/>
      <c r="I114" s="148"/>
      <c r="J114" s="147"/>
      <c r="Q114" s="200" t="s">
        <v>517</v>
      </c>
    </row>
    <row r="115" spans="2:17">
      <c r="B115" s="200"/>
      <c r="G115" s="148"/>
      <c r="H115" s="148"/>
      <c r="I115" s="148"/>
      <c r="J115" s="147"/>
      <c r="Q115" s="200" t="s">
        <v>517</v>
      </c>
    </row>
    <row r="116" spans="2:17">
      <c r="B116" s="200"/>
      <c r="G116" s="148"/>
      <c r="H116" s="148"/>
      <c r="I116" s="148"/>
      <c r="J116" s="147"/>
      <c r="Q116" s="200" t="s">
        <v>517</v>
      </c>
    </row>
    <row r="117" spans="2:17">
      <c r="B117" s="200"/>
      <c r="G117" s="148"/>
      <c r="H117" s="148"/>
      <c r="I117" s="148"/>
      <c r="J117" s="147"/>
      <c r="Q117" s="200" t="s">
        <v>517</v>
      </c>
    </row>
    <row r="118" spans="2:17">
      <c r="B118" s="200"/>
      <c r="G118" s="148"/>
      <c r="H118" s="148"/>
      <c r="I118" s="148"/>
      <c r="J118" s="147"/>
      <c r="Q118" s="200" t="s">
        <v>517</v>
      </c>
    </row>
    <row r="119" spans="2:17">
      <c r="B119" s="200"/>
      <c r="G119" s="148"/>
      <c r="H119" s="148"/>
      <c r="I119" s="148"/>
      <c r="J119" s="147"/>
      <c r="Q119" s="200" t="s">
        <v>517</v>
      </c>
    </row>
    <row r="120" spans="2:17">
      <c r="B120" s="200"/>
      <c r="G120" s="148"/>
      <c r="H120" s="148"/>
      <c r="I120" s="148"/>
      <c r="J120" s="147"/>
      <c r="Q120" s="200" t="s">
        <v>517</v>
      </c>
    </row>
    <row r="121" spans="2:17">
      <c r="B121" s="200"/>
      <c r="G121" s="148"/>
      <c r="H121" s="148"/>
      <c r="I121" s="148"/>
      <c r="J121" s="147"/>
      <c r="Q121" s="200" t="s">
        <v>517</v>
      </c>
    </row>
    <row r="122" spans="2:17">
      <c r="B122" s="200"/>
      <c r="G122" s="148"/>
      <c r="H122" s="148"/>
      <c r="I122" s="148"/>
      <c r="J122" s="147"/>
      <c r="Q122" s="200" t="s">
        <v>517</v>
      </c>
    </row>
    <row r="123" spans="2:17">
      <c r="B123" s="200"/>
      <c r="G123" s="148"/>
      <c r="H123" s="148"/>
      <c r="I123" s="148"/>
      <c r="J123" s="147"/>
      <c r="Q123" s="200" t="s">
        <v>517</v>
      </c>
    </row>
    <row r="124" spans="2:17">
      <c r="B124" s="200"/>
      <c r="G124" s="148"/>
      <c r="H124" s="148"/>
      <c r="I124" s="148"/>
      <c r="J124" s="147"/>
      <c r="Q124" s="200" t="s">
        <v>517</v>
      </c>
    </row>
    <row r="125" spans="2:17">
      <c r="B125" s="200"/>
      <c r="G125" s="148"/>
      <c r="H125" s="148"/>
      <c r="I125" s="148"/>
      <c r="J125" s="147"/>
      <c r="Q125" s="200" t="s">
        <v>517</v>
      </c>
    </row>
    <row r="126" spans="2:17">
      <c r="B126" s="200"/>
      <c r="G126" s="148"/>
      <c r="H126" s="148"/>
      <c r="I126" s="148"/>
      <c r="J126" s="147"/>
      <c r="Q126" s="200" t="s">
        <v>517</v>
      </c>
    </row>
    <row r="127" spans="2:17">
      <c r="B127" s="200"/>
      <c r="G127" s="148"/>
      <c r="H127" s="148"/>
      <c r="I127" s="148"/>
      <c r="J127" s="147"/>
      <c r="Q127" s="200" t="s">
        <v>517</v>
      </c>
    </row>
    <row r="128" spans="2:17">
      <c r="B128" s="200"/>
      <c r="G128" s="148"/>
      <c r="H128" s="148"/>
      <c r="I128" s="148"/>
      <c r="J128" s="147"/>
      <c r="Q128" s="200" t="s">
        <v>517</v>
      </c>
    </row>
    <row r="129" spans="2:17">
      <c r="B129" s="200"/>
      <c r="G129" s="148"/>
      <c r="H129" s="148"/>
      <c r="I129" s="148"/>
      <c r="J129" s="147"/>
      <c r="Q129" s="200" t="s">
        <v>517</v>
      </c>
    </row>
    <row r="130" spans="2:17">
      <c r="B130" s="200"/>
      <c r="G130" s="148"/>
      <c r="H130" s="148"/>
      <c r="I130" s="148"/>
      <c r="J130" s="147"/>
      <c r="Q130" s="200" t="s">
        <v>517</v>
      </c>
    </row>
    <row r="131" spans="2:17">
      <c r="B131" s="200"/>
      <c r="G131" s="148"/>
      <c r="H131" s="148"/>
      <c r="I131" s="148"/>
      <c r="J131" s="147"/>
      <c r="Q131" s="200" t="s">
        <v>517</v>
      </c>
    </row>
    <row r="132" spans="2:17">
      <c r="B132" s="200"/>
      <c r="G132" s="148"/>
      <c r="H132" s="148"/>
      <c r="I132" s="148"/>
      <c r="J132" s="147"/>
      <c r="Q132" s="200" t="s">
        <v>517</v>
      </c>
    </row>
    <row r="133" spans="2:17">
      <c r="B133" s="200"/>
      <c r="G133" s="148"/>
      <c r="H133" s="148"/>
      <c r="I133" s="148"/>
      <c r="J133" s="147"/>
      <c r="Q133" s="200" t="s">
        <v>517</v>
      </c>
    </row>
    <row r="134" spans="2:17">
      <c r="B134" s="200"/>
      <c r="G134" s="148"/>
      <c r="H134" s="148"/>
      <c r="I134" s="148"/>
      <c r="J134" s="147"/>
      <c r="Q134" s="200" t="s">
        <v>517</v>
      </c>
    </row>
    <row r="135" spans="2:17">
      <c r="B135" s="200"/>
      <c r="G135" s="148"/>
      <c r="H135" s="148"/>
      <c r="I135" s="148"/>
      <c r="J135" s="147"/>
      <c r="Q135" s="200" t="s">
        <v>517</v>
      </c>
    </row>
    <row r="136" spans="2:17">
      <c r="B136" s="200"/>
      <c r="G136" s="148"/>
      <c r="H136" s="148"/>
      <c r="I136" s="148"/>
      <c r="J136" s="147"/>
      <c r="Q136" s="200" t="s">
        <v>517</v>
      </c>
    </row>
    <row r="137" spans="2:17">
      <c r="B137" s="200"/>
      <c r="G137" s="148"/>
      <c r="H137" s="148"/>
      <c r="I137" s="148"/>
      <c r="J137" s="147"/>
      <c r="Q137" s="200" t="s">
        <v>517</v>
      </c>
    </row>
    <row r="138" spans="2:17">
      <c r="B138" s="200"/>
      <c r="G138" s="148"/>
      <c r="H138" s="148"/>
      <c r="I138" s="148"/>
      <c r="J138" s="147"/>
      <c r="Q138" s="200" t="s">
        <v>517</v>
      </c>
    </row>
    <row r="139" spans="2:17">
      <c r="B139" s="200"/>
      <c r="G139" s="148"/>
      <c r="H139" s="148"/>
      <c r="I139" s="148"/>
      <c r="J139" s="147"/>
      <c r="Q139" s="200" t="s">
        <v>517</v>
      </c>
    </row>
    <row r="140" spans="2:17">
      <c r="B140" s="200"/>
      <c r="G140" s="148"/>
      <c r="H140" s="148"/>
      <c r="I140" s="148"/>
      <c r="J140" s="147"/>
      <c r="Q140" s="200" t="s">
        <v>517</v>
      </c>
    </row>
    <row r="141" spans="2:17">
      <c r="B141" s="200"/>
      <c r="G141" s="148"/>
      <c r="H141" s="148"/>
      <c r="I141" s="148"/>
      <c r="J141" s="147"/>
      <c r="Q141" s="200" t="s">
        <v>517</v>
      </c>
    </row>
    <row r="142" spans="2:17">
      <c r="B142" s="200"/>
      <c r="G142" s="148"/>
      <c r="H142" s="148"/>
      <c r="I142" s="148"/>
      <c r="J142" s="147"/>
      <c r="Q142" s="200" t="s">
        <v>517</v>
      </c>
    </row>
    <row r="143" spans="2:17">
      <c r="B143" s="200"/>
      <c r="G143" s="148"/>
      <c r="H143" s="148"/>
      <c r="I143" s="148"/>
      <c r="J143" s="147"/>
      <c r="Q143" s="200" t="s">
        <v>517</v>
      </c>
    </row>
    <row r="144" spans="2:17">
      <c r="B144" s="200"/>
      <c r="G144" s="148"/>
      <c r="H144" s="148"/>
      <c r="I144" s="148"/>
      <c r="J144" s="147"/>
      <c r="Q144" s="200" t="s">
        <v>517</v>
      </c>
    </row>
    <row r="145" spans="2:17">
      <c r="B145" s="200"/>
      <c r="G145" s="148"/>
      <c r="H145" s="148"/>
      <c r="I145" s="148"/>
      <c r="J145" s="147"/>
      <c r="Q145" s="200" t="s">
        <v>517</v>
      </c>
    </row>
    <row r="146" spans="2:17">
      <c r="B146" s="200"/>
      <c r="G146" s="148"/>
      <c r="H146" s="148"/>
      <c r="I146" s="148"/>
      <c r="J146" s="147"/>
      <c r="Q146" s="200" t="s">
        <v>517</v>
      </c>
    </row>
    <row r="147" spans="2:17">
      <c r="B147" s="200"/>
      <c r="G147" s="148"/>
      <c r="H147" s="148"/>
      <c r="I147" s="148"/>
      <c r="J147" s="147"/>
      <c r="Q147" s="200" t="s">
        <v>517</v>
      </c>
    </row>
    <row r="148" spans="2:17">
      <c r="B148" s="200"/>
      <c r="G148" s="148"/>
      <c r="H148" s="148"/>
      <c r="I148" s="148"/>
      <c r="J148" s="147"/>
      <c r="Q148" s="200" t="s">
        <v>517</v>
      </c>
    </row>
    <row r="149" spans="2:17">
      <c r="B149" s="200"/>
      <c r="G149" s="148"/>
      <c r="H149" s="148"/>
      <c r="I149" s="148"/>
      <c r="J149" s="147"/>
      <c r="Q149" s="200" t="s">
        <v>517</v>
      </c>
    </row>
    <row r="150" spans="2:17">
      <c r="B150" s="200"/>
      <c r="G150" s="148"/>
      <c r="H150" s="148"/>
      <c r="I150" s="148"/>
      <c r="J150" s="147"/>
      <c r="Q150" s="200" t="s">
        <v>517</v>
      </c>
    </row>
    <row r="151" spans="2:17">
      <c r="B151" s="200"/>
      <c r="G151" s="148"/>
      <c r="H151" s="148"/>
      <c r="I151" s="148"/>
      <c r="J151" s="147"/>
      <c r="Q151" s="200" t="s">
        <v>517</v>
      </c>
    </row>
    <row r="152" spans="2:17">
      <c r="B152" s="200"/>
      <c r="G152" s="148"/>
      <c r="H152" s="148"/>
      <c r="I152" s="148"/>
      <c r="J152" s="147"/>
      <c r="Q152" s="200" t="s">
        <v>517</v>
      </c>
    </row>
    <row r="153" spans="2:17">
      <c r="B153" s="200"/>
      <c r="G153" s="148"/>
      <c r="H153" s="148"/>
      <c r="I153" s="148"/>
      <c r="J153" s="147"/>
      <c r="Q153" s="200" t="s">
        <v>517</v>
      </c>
    </row>
    <row r="154" spans="2:17">
      <c r="B154" s="200"/>
      <c r="G154" s="148"/>
      <c r="H154" s="148"/>
      <c r="I154" s="148"/>
      <c r="J154" s="147"/>
      <c r="Q154" s="200" t="s">
        <v>517</v>
      </c>
    </row>
    <row r="155" spans="2:17">
      <c r="B155" s="200"/>
      <c r="G155" s="148"/>
      <c r="H155" s="148"/>
      <c r="I155" s="148"/>
      <c r="J155" s="147"/>
      <c r="Q155" s="200" t="s">
        <v>517</v>
      </c>
    </row>
    <row r="156" spans="2:17">
      <c r="B156" s="200"/>
      <c r="G156" s="148"/>
      <c r="H156" s="148"/>
      <c r="I156" s="148"/>
      <c r="J156" s="147"/>
      <c r="Q156" s="200" t="s">
        <v>517</v>
      </c>
    </row>
    <row r="157" spans="2:17">
      <c r="B157" s="200"/>
      <c r="G157" s="148"/>
      <c r="H157" s="148"/>
      <c r="I157" s="148"/>
      <c r="J157" s="147"/>
      <c r="Q157" s="200" t="s">
        <v>517</v>
      </c>
    </row>
    <row r="158" spans="2:17">
      <c r="B158" s="200"/>
      <c r="G158" s="148"/>
      <c r="H158" s="148"/>
      <c r="I158" s="148"/>
      <c r="J158" s="147"/>
      <c r="Q158" s="200" t="s">
        <v>517</v>
      </c>
    </row>
    <row r="159" spans="2:17">
      <c r="B159" s="200"/>
      <c r="G159" s="148"/>
      <c r="H159" s="148"/>
      <c r="I159" s="148"/>
      <c r="J159" s="147"/>
      <c r="Q159" s="200" t="s">
        <v>517</v>
      </c>
    </row>
    <row r="160" spans="2:17">
      <c r="B160" s="200"/>
      <c r="G160" s="148"/>
      <c r="H160" s="148"/>
      <c r="I160" s="148"/>
      <c r="J160" s="147"/>
      <c r="Q160" s="200" t="s">
        <v>517</v>
      </c>
    </row>
    <row r="161" spans="2:17">
      <c r="B161" s="200"/>
      <c r="G161" s="148"/>
      <c r="H161" s="148"/>
      <c r="I161" s="148"/>
      <c r="J161" s="147"/>
      <c r="Q161" s="200" t="s">
        <v>517</v>
      </c>
    </row>
    <row r="162" spans="2:17">
      <c r="B162" s="200"/>
      <c r="G162" s="148"/>
      <c r="H162" s="148"/>
      <c r="I162" s="148"/>
      <c r="J162" s="147"/>
      <c r="Q162" s="200" t="s">
        <v>517</v>
      </c>
    </row>
  </sheetData>
  <autoFilter ref="A5:AB36" xr:uid="{00000000-0009-0000-0000-000005000000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2" t="s">
        <v>468</v>
      </c>
      <c r="C1" s="232"/>
      <c r="D1" s="232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182"/>
      <c r="P1" s="69"/>
    </row>
    <row r="2" spans="1:16" ht="16.5">
      <c r="A2" s="69"/>
      <c r="B2" s="232"/>
      <c r="C2" s="232"/>
      <c r="D2" s="232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182"/>
      <c r="P2" s="69"/>
    </row>
    <row r="3" spans="1:16">
      <c r="A3" s="69"/>
      <c r="B3" s="232"/>
      <c r="C3" s="232"/>
      <c r="D3" s="232"/>
      <c r="E3" s="231" t="s">
        <v>513</v>
      </c>
      <c r="F3" s="231"/>
      <c r="G3" s="231"/>
      <c r="H3" s="231"/>
      <c r="I3" s="234" t="s">
        <v>6</v>
      </c>
      <c r="J3" s="234"/>
      <c r="K3" s="234"/>
      <c r="L3" s="234"/>
      <c r="M3" s="234"/>
      <c r="N3" s="234"/>
      <c r="O3" s="193"/>
      <c r="P3" s="69"/>
    </row>
    <row r="4" spans="1:16" s="46" customFormat="1" ht="24" customHeight="1">
      <c r="A4" s="70"/>
      <c r="B4" s="44" t="s">
        <v>469</v>
      </c>
      <c r="C4" s="44" t="s">
        <v>470</v>
      </c>
      <c r="D4" s="30" t="s">
        <v>357</v>
      </c>
      <c r="E4" s="30" t="s">
        <v>362</v>
      </c>
      <c r="F4" s="30" t="s">
        <v>471</v>
      </c>
      <c r="G4" s="30" t="s">
        <v>472</v>
      </c>
      <c r="H4" s="30" t="s">
        <v>473</v>
      </c>
      <c r="I4" s="153" t="s">
        <v>532</v>
      </c>
      <c r="J4" s="153" t="s">
        <v>362</v>
      </c>
      <c r="K4" s="153" t="s">
        <v>471</v>
      </c>
      <c r="L4" s="30" t="s">
        <v>472</v>
      </c>
      <c r="M4" s="30" t="s">
        <v>474</v>
      </c>
      <c r="N4" s="153" t="s">
        <v>473</v>
      </c>
      <c r="O4" s="194"/>
      <c r="P4" s="70"/>
    </row>
    <row r="5" spans="1:16" hidden="1">
      <c r="A5" s="69"/>
      <c r="B5" s="21" t="s">
        <v>475</v>
      </c>
      <c r="C5" s="21" t="s">
        <v>476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477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478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479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480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481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482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483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484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485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486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487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488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489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490</v>
      </c>
      <c r="C19" s="50" t="s">
        <v>476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491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492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493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477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478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480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481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494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482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495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496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497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498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484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499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487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500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501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502</v>
      </c>
      <c r="C38" s="52" t="s">
        <v>476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491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493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492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503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477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504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478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505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495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481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482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506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496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498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497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499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487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507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508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509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68" activePane="bottomRight" state="frozen"/>
      <selection activeCell="C4" sqref="C4"/>
      <selection pane="topRight" activeCell="C4" sqref="C4"/>
      <selection pane="bottomLeft" activeCell="C4" sqref="C4"/>
      <selection pane="bottomRight" activeCell="B77" sqref="B7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5" t="s">
        <v>348</v>
      </c>
      <c r="B1" s="235"/>
      <c r="C1" s="235"/>
      <c r="D1" s="235"/>
      <c r="E1" s="235"/>
      <c r="F1" s="235"/>
      <c r="G1" s="235"/>
      <c r="H1" s="235"/>
    </row>
    <row r="2" spans="1:18" ht="15.75">
      <c r="A2" s="236" t="s">
        <v>349</v>
      </c>
      <c r="B2" s="236"/>
      <c r="C2" s="236"/>
      <c r="D2" s="236"/>
      <c r="E2" s="236"/>
      <c r="F2" s="236"/>
      <c r="G2" s="236"/>
      <c r="H2" s="236"/>
    </row>
    <row r="3" spans="1:18">
      <c r="A3" s="86" t="s">
        <v>350</v>
      </c>
      <c r="B3" s="122">
        <f>B140</f>
        <v>-58146.039720000234</v>
      </c>
      <c r="C3" s="237"/>
      <c r="D3" s="209"/>
      <c r="E3" s="209"/>
      <c r="F3" s="209"/>
      <c r="G3" s="238"/>
      <c r="H3" s="122">
        <f>H140</f>
        <v>101908.52000000002</v>
      </c>
    </row>
    <row r="4" spans="1:18" ht="24.75" customHeight="1">
      <c r="A4" s="87" t="s">
        <v>351</v>
      </c>
      <c r="B4" s="95" t="s">
        <v>352</v>
      </c>
      <c r="C4" s="87" t="s">
        <v>353</v>
      </c>
      <c r="D4" s="87" t="s">
        <v>354</v>
      </c>
      <c r="E4" s="87" t="s">
        <v>355</v>
      </c>
      <c r="F4" s="87" t="s">
        <v>356</v>
      </c>
      <c r="G4" s="88" t="s">
        <v>357</v>
      </c>
      <c r="H4" s="95" t="s">
        <v>358</v>
      </c>
      <c r="I4" s="155" t="s">
        <v>534</v>
      </c>
      <c r="J4" s="150" t="s">
        <v>533</v>
      </c>
      <c r="L4" s="16"/>
      <c r="N4" s="16"/>
      <c r="O4" s="16"/>
      <c r="P4" s="16"/>
      <c r="Q4" s="16"/>
    </row>
    <row r="5" spans="1:18" ht="15.75">
      <c r="A5" s="121" t="s">
        <v>359</v>
      </c>
      <c r="B5" s="99"/>
      <c r="C5" s="100"/>
      <c r="D5" s="100"/>
      <c r="E5" s="100"/>
      <c r="F5" s="96"/>
      <c r="G5" s="96"/>
      <c r="H5" s="100"/>
      <c r="I5" t="s">
        <v>517</v>
      </c>
      <c r="M5" s="18"/>
      <c r="N5" s="18"/>
      <c r="O5" s="18"/>
      <c r="P5" s="18"/>
      <c r="Q5" s="18"/>
      <c r="R5" s="18"/>
    </row>
    <row r="6" spans="1:18">
      <c r="A6" s="101" t="s">
        <v>360</v>
      </c>
      <c r="B6" s="99"/>
      <c r="C6" s="102"/>
      <c r="D6" s="102"/>
      <c r="E6" s="102"/>
      <c r="F6" s="100"/>
      <c r="G6" s="103"/>
      <c r="H6" s="102"/>
      <c r="I6" t="s">
        <v>517</v>
      </c>
      <c r="M6" s="18"/>
      <c r="N6" s="18"/>
      <c r="O6" s="18"/>
      <c r="P6" s="18"/>
      <c r="Q6" s="18"/>
      <c r="R6" s="18"/>
    </row>
    <row r="7" spans="1:18">
      <c r="A7" s="104" t="s">
        <v>361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517</v>
      </c>
      <c r="M7" s="18"/>
      <c r="N7" s="18"/>
      <c r="O7" s="18"/>
      <c r="P7" s="18"/>
      <c r="Q7" s="18"/>
      <c r="R7" s="18"/>
    </row>
    <row r="8" spans="1:18">
      <c r="A8" s="104" t="s">
        <v>362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517</v>
      </c>
      <c r="M8" s="18"/>
      <c r="N8" s="18"/>
      <c r="O8" s="18"/>
      <c r="P8" s="18"/>
      <c r="Q8" s="18"/>
      <c r="R8" s="18"/>
    </row>
    <row r="9" spans="1:18">
      <c r="A9" s="104" t="s">
        <v>363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517</v>
      </c>
      <c r="M9" s="18"/>
      <c r="N9" s="18"/>
      <c r="O9" s="18"/>
      <c r="P9" s="18"/>
      <c r="Q9" s="18"/>
      <c r="R9" s="18"/>
    </row>
    <row r="10" spans="1:18" ht="15.75">
      <c r="A10" s="97" t="s">
        <v>364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517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517</v>
      </c>
      <c r="M11" s="18"/>
      <c r="N11" s="18"/>
      <c r="O11" s="18"/>
      <c r="P11" s="18"/>
      <c r="Q11" s="18"/>
      <c r="R11" s="18"/>
    </row>
    <row r="12" spans="1:18">
      <c r="A12" s="101" t="s">
        <v>365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517</v>
      </c>
      <c r="M12" s="18"/>
      <c r="N12" s="18"/>
      <c r="O12" s="18"/>
      <c r="P12" s="18"/>
      <c r="Q12" s="18"/>
      <c r="R12" s="18"/>
    </row>
    <row r="13" spans="1:18">
      <c r="A13" s="104" t="s">
        <v>366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517</v>
      </c>
      <c r="M13" s="18"/>
      <c r="N13" s="18"/>
      <c r="O13" s="18"/>
      <c r="P13" s="18"/>
      <c r="Q13" s="18"/>
      <c r="R13" s="18"/>
    </row>
    <row r="14" spans="1:18">
      <c r="A14" s="110" t="s">
        <v>367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517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517</v>
      </c>
      <c r="M15" s="18"/>
      <c r="N15" s="18"/>
      <c r="O15" s="18"/>
      <c r="P15" s="18"/>
      <c r="Q15" s="18"/>
      <c r="R15" s="18"/>
    </row>
    <row r="16" spans="1:18">
      <c r="A16" s="101" t="s">
        <v>368</v>
      </c>
      <c r="B16" s="99"/>
      <c r="C16" s="102"/>
      <c r="D16" s="102"/>
      <c r="E16" s="102"/>
      <c r="F16" s="102"/>
      <c r="G16" s="106"/>
      <c r="H16" s="102"/>
      <c r="I16" t="s">
        <v>517</v>
      </c>
      <c r="M16" s="18"/>
      <c r="N16" s="18"/>
      <c r="O16" s="18"/>
      <c r="P16" s="18"/>
      <c r="Q16" s="18"/>
      <c r="R16" s="18"/>
    </row>
    <row r="17" spans="1:18">
      <c r="A17" s="104" t="s">
        <v>369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370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207</v>
      </c>
      <c r="J18" t="s">
        <v>535</v>
      </c>
      <c r="M18" s="18"/>
      <c r="N18" s="18"/>
      <c r="O18" s="18"/>
      <c r="P18" s="18"/>
      <c r="Q18" s="18"/>
      <c r="R18" s="18"/>
    </row>
    <row r="19" spans="1:18">
      <c r="A19" s="104" t="s">
        <v>371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517</v>
      </c>
      <c r="M19" s="18"/>
      <c r="N19" s="18"/>
      <c r="O19" s="18"/>
      <c r="P19" s="18"/>
      <c r="Q19" s="18"/>
      <c r="R19" s="18"/>
    </row>
    <row r="20" spans="1:18">
      <c r="A20" s="104" t="s">
        <v>372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517</v>
      </c>
      <c r="M20" s="18"/>
      <c r="N20" s="18"/>
      <c r="O20" s="18"/>
      <c r="P20" s="18"/>
      <c r="Q20" s="18"/>
      <c r="R20" s="18"/>
    </row>
    <row r="21" spans="1:18">
      <c r="A21" s="104" t="s">
        <v>373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374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517</v>
      </c>
      <c r="M22" s="18"/>
      <c r="N22" s="18"/>
      <c r="O22" s="18"/>
      <c r="P22" s="18"/>
      <c r="Q22" s="18"/>
      <c r="R22" s="18"/>
    </row>
    <row r="23" spans="1:18">
      <c r="A23" s="104" t="s">
        <v>375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537</v>
      </c>
      <c r="M23" s="18"/>
      <c r="N23" s="18"/>
      <c r="O23" s="18"/>
      <c r="P23" s="18"/>
      <c r="Q23" s="18"/>
      <c r="R23" s="18"/>
    </row>
    <row r="24" spans="1:18">
      <c r="A24" s="114" t="s">
        <v>376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517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517</v>
      </c>
      <c r="M25" s="18"/>
      <c r="N25" s="18"/>
      <c r="O25" s="18"/>
      <c r="P25" s="18"/>
      <c r="Q25" s="18"/>
      <c r="R25" s="18"/>
    </row>
    <row r="26" spans="1:18">
      <c r="A26" s="101" t="s">
        <v>377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517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538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378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379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207</v>
      </c>
      <c r="J32" t="s">
        <v>535</v>
      </c>
      <c r="M32" s="18"/>
      <c r="N32" s="18"/>
      <c r="O32" s="18"/>
      <c r="P32" s="18"/>
      <c r="Q32" s="18"/>
      <c r="R32" s="18"/>
    </row>
    <row r="33" spans="1:18">
      <c r="A33" s="115" t="s">
        <v>380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207</v>
      </c>
      <c r="J33" t="s">
        <v>535</v>
      </c>
      <c r="M33" s="18"/>
      <c r="N33" s="18"/>
      <c r="O33" s="18"/>
      <c r="P33" s="18"/>
      <c r="Q33" s="18"/>
      <c r="R33" s="18"/>
    </row>
    <row r="34" spans="1:18">
      <c r="A34" s="104" t="s">
        <v>381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207</v>
      </c>
      <c r="J34" t="s">
        <v>535</v>
      </c>
      <c r="M34" s="18"/>
      <c r="N34" s="18"/>
      <c r="O34" s="18"/>
      <c r="P34" s="18"/>
      <c r="Q34" s="18"/>
      <c r="R34" s="18"/>
    </row>
    <row r="35" spans="1:18">
      <c r="A35" s="104" t="s">
        <v>382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383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207</v>
      </c>
      <c r="J37" t="s">
        <v>535</v>
      </c>
      <c r="M37" s="18"/>
      <c r="N37" s="18"/>
      <c r="O37" s="18"/>
      <c r="P37" s="18"/>
      <c r="Q37" s="18"/>
      <c r="R37" s="18"/>
    </row>
    <row r="38" spans="1:18">
      <c r="A38" s="110" t="s">
        <v>384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517</v>
      </c>
      <c r="M38" s="18"/>
      <c r="N38" s="18"/>
      <c r="O38" s="18"/>
      <c r="P38" s="18"/>
      <c r="Q38" s="18"/>
      <c r="R38" s="18"/>
    </row>
    <row r="39" spans="1:18">
      <c r="A39" s="114" t="s">
        <v>385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517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517</v>
      </c>
      <c r="M40" s="18"/>
      <c r="N40" s="18"/>
      <c r="O40" s="18"/>
      <c r="P40" s="18"/>
      <c r="Q40" s="18"/>
      <c r="R40" s="18"/>
    </row>
    <row r="41" spans="1:18">
      <c r="A41" s="98" t="s">
        <v>386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517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517</v>
      </c>
      <c r="M42" s="18"/>
      <c r="N42" s="18"/>
      <c r="O42" s="18"/>
      <c r="P42" s="18"/>
      <c r="Q42" s="18"/>
      <c r="R42" s="18"/>
    </row>
    <row r="43" spans="1:18">
      <c r="A43" s="98" t="s">
        <v>387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517</v>
      </c>
      <c r="M43" s="18"/>
      <c r="N43" s="18"/>
      <c r="O43" s="18"/>
      <c r="P43" s="18"/>
      <c r="Q43" s="18"/>
      <c r="R43" s="18"/>
    </row>
    <row r="44" spans="1:18">
      <c r="A44" s="101" t="s">
        <v>388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517</v>
      </c>
      <c r="M44" s="18"/>
      <c r="N44" s="18"/>
      <c r="O44" s="18"/>
      <c r="P44" s="18"/>
      <c r="Q44" s="18"/>
      <c r="R44" s="18"/>
    </row>
    <row r="45" spans="1:18">
      <c r="A45" s="117" t="s">
        <v>389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517</v>
      </c>
      <c r="M45" s="18"/>
      <c r="N45" s="18"/>
      <c r="O45" s="18"/>
      <c r="P45" s="18"/>
      <c r="Q45" s="18"/>
      <c r="R45" s="18"/>
    </row>
    <row r="46" spans="1:18">
      <c r="A46" s="104" t="s">
        <v>390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391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392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517</v>
      </c>
      <c r="M48" s="18"/>
      <c r="N48" s="18"/>
      <c r="O48" s="18"/>
      <c r="P48" s="18"/>
      <c r="Q48" s="18"/>
      <c r="R48" s="18"/>
    </row>
    <row r="49" spans="1:18">
      <c r="A49" s="104" t="s">
        <v>393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394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395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396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517</v>
      </c>
      <c r="M52" s="18"/>
      <c r="N52" s="18"/>
      <c r="O52" s="18"/>
      <c r="P52" s="18"/>
      <c r="Q52" s="18"/>
      <c r="R52" s="18"/>
    </row>
    <row r="53" spans="1:18">
      <c r="A53" s="104" t="s">
        <v>397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517</v>
      </c>
      <c r="M53" s="18"/>
      <c r="N53" s="18"/>
      <c r="O53" s="18"/>
      <c r="P53" s="18"/>
      <c r="Q53" s="18"/>
      <c r="R53" s="18"/>
    </row>
    <row r="54" spans="1:18">
      <c r="A54" s="117" t="s">
        <v>398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517</v>
      </c>
      <c r="M54" s="18"/>
      <c r="N54" s="18"/>
      <c r="O54" s="18"/>
      <c r="P54" s="18"/>
      <c r="Q54" s="18"/>
      <c r="R54" s="18"/>
    </row>
    <row r="55" spans="1:18">
      <c r="A55" s="104" t="s">
        <v>399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517</v>
      </c>
      <c r="M55" s="18"/>
      <c r="N55" s="18"/>
      <c r="O55" s="18"/>
      <c r="P55" s="18"/>
      <c r="Q55" s="18"/>
      <c r="R55" s="18"/>
    </row>
    <row r="56" spans="1:18">
      <c r="A56" s="104" t="s">
        <v>400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401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402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517</v>
      </c>
      <c r="M58" s="18"/>
      <c r="N58" s="18"/>
      <c r="O58" s="18"/>
      <c r="P58" s="18"/>
      <c r="Q58" s="18"/>
      <c r="R58" s="18"/>
    </row>
    <row r="59" spans="1:18">
      <c r="A59" s="110" t="s">
        <v>403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517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517</v>
      </c>
      <c r="M60" s="18"/>
      <c r="N60" s="18"/>
      <c r="O60" s="18"/>
      <c r="P60" s="18"/>
      <c r="Q60" s="18"/>
      <c r="R60" s="18"/>
    </row>
    <row r="61" spans="1:18">
      <c r="A61" s="101" t="s">
        <v>404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517</v>
      </c>
      <c r="M61" s="18"/>
      <c r="N61" s="18"/>
      <c r="O61" s="18"/>
      <c r="P61" s="18"/>
      <c r="Q61" s="18"/>
      <c r="R61" s="18"/>
    </row>
    <row r="62" spans="1:18">
      <c r="A62" s="117" t="s">
        <v>405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517</v>
      </c>
      <c r="M62" s="18"/>
      <c r="N62" s="18"/>
      <c r="O62" s="18"/>
      <c r="P62" s="18"/>
      <c r="Q62" s="18"/>
      <c r="R62" s="18"/>
    </row>
    <row r="63" spans="1:18">
      <c r="A63" s="104" t="s">
        <v>406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370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207</v>
      </c>
      <c r="J64" t="s">
        <v>535</v>
      </c>
      <c r="M64" s="18"/>
      <c r="N64" s="18"/>
      <c r="O64" s="18"/>
      <c r="P64" s="18"/>
      <c r="Q64" s="18"/>
      <c r="R64" s="18"/>
    </row>
    <row r="65" spans="1:18">
      <c r="A65" s="104" t="s">
        <v>371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517</v>
      </c>
      <c r="M65" s="18"/>
      <c r="N65" s="18"/>
      <c r="O65" s="18"/>
      <c r="P65" s="18"/>
      <c r="Q65" s="18"/>
      <c r="R65" s="18"/>
    </row>
    <row r="66" spans="1:18">
      <c r="A66" s="104" t="s">
        <v>372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517</v>
      </c>
      <c r="M66" s="18"/>
      <c r="N66" s="18"/>
      <c r="O66" s="18"/>
      <c r="P66" s="18"/>
      <c r="Q66" s="18"/>
      <c r="R66" s="18"/>
    </row>
    <row r="67" spans="1:18">
      <c r="A67" s="104" t="s">
        <v>373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536</v>
      </c>
      <c r="M67" s="18"/>
      <c r="N67" s="18"/>
      <c r="O67" s="18"/>
      <c r="P67" s="18"/>
      <c r="Q67" s="18"/>
      <c r="R67" s="18"/>
    </row>
    <row r="68" spans="1:18">
      <c r="A68" s="104" t="s">
        <v>374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517</v>
      </c>
      <c r="M68" s="18"/>
      <c r="N68" s="18"/>
      <c r="O68" s="18"/>
      <c r="P68" s="18"/>
      <c r="Q68" s="18"/>
      <c r="R68" s="18"/>
    </row>
    <row r="69" spans="1:18">
      <c r="A69" s="104" t="s">
        <v>375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537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538</v>
      </c>
      <c r="M70" s="18"/>
      <c r="N70" s="18"/>
      <c r="O70" s="18"/>
      <c r="P70" s="18"/>
      <c r="Q70" s="18"/>
      <c r="R70" s="18"/>
    </row>
    <row r="71" spans="1:18">
      <c r="A71" s="117" t="s">
        <v>407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517</v>
      </c>
      <c r="M71" s="18"/>
      <c r="N71" s="18"/>
      <c r="O71" s="18"/>
      <c r="P71" s="18"/>
      <c r="Q71" s="18"/>
      <c r="R71" s="18"/>
    </row>
    <row r="72" spans="1:18">
      <c r="A72" s="104" t="s">
        <v>408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517</v>
      </c>
      <c r="M72" s="18"/>
      <c r="N72" s="18"/>
      <c r="O72" s="18"/>
      <c r="P72" s="18"/>
      <c r="Q72" s="18"/>
      <c r="R72" s="18"/>
    </row>
    <row r="73" spans="1:18">
      <c r="A73" s="104" t="s">
        <v>409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410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517</v>
      </c>
      <c r="M74" s="18"/>
      <c r="N74" s="18"/>
      <c r="O74" s="18"/>
      <c r="P74" s="18"/>
      <c r="Q74" s="18"/>
      <c r="R74" s="18"/>
    </row>
    <row r="75" spans="1:18">
      <c r="A75" s="104" t="s">
        <v>411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412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517</v>
      </c>
      <c r="M76" s="18"/>
      <c r="N76" s="18"/>
      <c r="O76" s="18"/>
      <c r="P76" s="18"/>
      <c r="Q76" s="18"/>
      <c r="R76" s="18"/>
    </row>
    <row r="77" spans="1:18">
      <c r="A77" s="205" t="s">
        <v>413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207</v>
      </c>
      <c r="J77" t="s">
        <v>535</v>
      </c>
      <c r="M77" s="18"/>
      <c r="N77" s="18"/>
      <c r="O77" s="18"/>
      <c r="P77" s="18"/>
      <c r="Q77" s="18"/>
      <c r="R77" s="18"/>
    </row>
    <row r="78" spans="1:18">
      <c r="A78" s="104" t="s">
        <v>414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207</v>
      </c>
      <c r="J78" t="s">
        <v>535</v>
      </c>
      <c r="M78" s="18"/>
      <c r="N78" s="18"/>
      <c r="O78" s="18"/>
      <c r="P78" s="18"/>
      <c r="Q78" s="18"/>
      <c r="R78" s="18"/>
    </row>
    <row r="79" spans="1:18">
      <c r="A79" s="119" t="s">
        <v>415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517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416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417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517</v>
      </c>
      <c r="M83" s="18"/>
      <c r="N83" s="18"/>
      <c r="O83" s="18"/>
      <c r="P83" s="18"/>
      <c r="Q83" s="18"/>
      <c r="R83" s="18"/>
    </row>
    <row r="84" spans="1:18">
      <c r="A84" s="104" t="s">
        <v>418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207</v>
      </c>
      <c r="J84" t="s">
        <v>535</v>
      </c>
      <c r="M84" s="18"/>
      <c r="N84" s="18"/>
      <c r="O84" s="18"/>
      <c r="P84" s="18"/>
      <c r="Q84" s="18"/>
      <c r="R84" s="18"/>
    </row>
    <row r="85" spans="1:18">
      <c r="A85" s="115" t="s">
        <v>380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207</v>
      </c>
      <c r="J85" t="s">
        <v>535</v>
      </c>
      <c r="M85" s="18"/>
      <c r="N85" s="18"/>
      <c r="O85" s="18"/>
      <c r="P85" s="18"/>
      <c r="Q85" s="18"/>
      <c r="R85" s="18"/>
    </row>
    <row r="86" spans="1:18">
      <c r="A86" s="104" t="s">
        <v>419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420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421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422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423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424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517</v>
      </c>
      <c r="M92" s="18"/>
      <c r="N92" s="18"/>
      <c r="O92" s="18"/>
      <c r="P92" s="18"/>
      <c r="Q92" s="18"/>
      <c r="R92" s="18"/>
    </row>
    <row r="93" spans="1:18">
      <c r="A93" s="104" t="s">
        <v>425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517</v>
      </c>
      <c r="M93" s="18"/>
      <c r="N93" s="18"/>
      <c r="O93" s="18"/>
      <c r="P93" s="18"/>
      <c r="Q93" s="18"/>
      <c r="R93" s="18"/>
    </row>
    <row r="94" spans="1:18">
      <c r="A94" s="104" t="s">
        <v>426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427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428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429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517</v>
      </c>
      <c r="M97" s="18"/>
      <c r="N97" s="18"/>
      <c r="O97" s="18"/>
      <c r="P97" s="18"/>
      <c r="Q97" s="18"/>
      <c r="R97" s="18"/>
    </row>
    <row r="98" spans="1:18">
      <c r="A98" s="110" t="s">
        <v>430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517</v>
      </c>
      <c r="M98" s="18"/>
      <c r="N98" s="18"/>
      <c r="O98" s="18"/>
      <c r="P98" s="18"/>
      <c r="Q98" s="18"/>
      <c r="R98" s="18"/>
    </row>
    <row r="99" spans="1:18">
      <c r="A99" s="114" t="s">
        <v>431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517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517</v>
      </c>
      <c r="M100" s="18"/>
      <c r="N100" s="18"/>
      <c r="O100" s="18"/>
      <c r="P100" s="18"/>
      <c r="Q100" s="18"/>
      <c r="R100" s="18"/>
    </row>
    <row r="101" spans="1:18">
      <c r="A101" s="98" t="s">
        <v>432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517</v>
      </c>
      <c r="M101" s="18"/>
      <c r="N101" s="18"/>
      <c r="O101" s="18"/>
      <c r="P101" s="18"/>
      <c r="Q101" s="18"/>
      <c r="R101" s="18"/>
    </row>
    <row r="102" spans="1:18">
      <c r="A102" s="117" t="s">
        <v>433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517</v>
      </c>
      <c r="M102" s="18"/>
      <c r="N102" s="18"/>
      <c r="O102" s="18"/>
      <c r="P102" s="18"/>
      <c r="Q102" s="18"/>
      <c r="R102" s="18"/>
    </row>
    <row r="103" spans="1:18">
      <c r="A103" s="104" t="s">
        <v>434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517</v>
      </c>
      <c r="M103" s="18"/>
      <c r="N103" s="18"/>
      <c r="O103" s="18"/>
      <c r="P103" s="18"/>
      <c r="Q103" s="18"/>
      <c r="R103" s="18"/>
    </row>
    <row r="104" spans="1:18">
      <c r="A104" s="104" t="s">
        <v>435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517</v>
      </c>
      <c r="M104" s="18"/>
      <c r="N104" s="18"/>
      <c r="O104" s="18"/>
      <c r="P104" s="18"/>
      <c r="Q104" s="18"/>
      <c r="R104" s="18"/>
    </row>
    <row r="105" spans="1:18">
      <c r="A105" s="104" t="s">
        <v>436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517</v>
      </c>
      <c r="M105" s="18"/>
      <c r="N105" s="18"/>
      <c r="O105" s="18"/>
      <c r="P105" s="18"/>
      <c r="Q105" s="18"/>
      <c r="R105" s="18"/>
    </row>
    <row r="106" spans="1:18">
      <c r="A106" s="104" t="s">
        <v>437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517</v>
      </c>
      <c r="M106" s="18"/>
      <c r="N106" s="18"/>
      <c r="O106" s="18"/>
      <c r="P106" s="18"/>
      <c r="Q106" s="18"/>
      <c r="R106" s="18"/>
    </row>
    <row r="107" spans="1:18">
      <c r="A107" s="104" t="s">
        <v>438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517</v>
      </c>
      <c r="M107" s="18"/>
      <c r="N107" s="18"/>
      <c r="O107" s="18"/>
      <c r="P107" s="18"/>
      <c r="Q107" s="18"/>
      <c r="R107" s="18"/>
    </row>
    <row r="108" spans="1:18">
      <c r="A108" s="104" t="s">
        <v>439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517</v>
      </c>
      <c r="M108" s="18"/>
      <c r="N108" s="18"/>
      <c r="O108" s="18"/>
      <c r="P108" s="18"/>
      <c r="Q108" s="18"/>
      <c r="R108" s="18"/>
    </row>
    <row r="109" spans="1:18">
      <c r="A109" s="104" t="s">
        <v>440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517</v>
      </c>
      <c r="M109" s="18"/>
      <c r="N109" s="18"/>
      <c r="O109" s="18"/>
      <c r="P109" s="18"/>
      <c r="Q109" s="18"/>
      <c r="R109" s="18"/>
    </row>
    <row r="110" spans="1:18">
      <c r="A110" s="104" t="s">
        <v>441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517</v>
      </c>
      <c r="M110" s="18"/>
      <c r="N110" s="18"/>
      <c r="O110" s="18"/>
      <c r="P110" s="18"/>
      <c r="Q110" s="18"/>
      <c r="R110" s="18"/>
    </row>
    <row r="111" spans="1:18">
      <c r="A111" s="104" t="s">
        <v>442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517</v>
      </c>
      <c r="M111" s="18"/>
      <c r="N111" s="18"/>
      <c r="O111" s="18"/>
      <c r="P111" s="18"/>
      <c r="Q111" s="18"/>
      <c r="R111" s="18"/>
    </row>
    <row r="112" spans="1:18">
      <c r="A112" s="104" t="s">
        <v>443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517</v>
      </c>
      <c r="M112" s="18"/>
      <c r="N112" s="18"/>
      <c r="O112" s="18"/>
      <c r="P112" s="18"/>
      <c r="Q112" s="18"/>
      <c r="R112" s="18"/>
    </row>
    <row r="113" spans="1:18">
      <c r="A113" s="104" t="s">
        <v>444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517</v>
      </c>
      <c r="M113" s="18"/>
      <c r="N113" s="18"/>
      <c r="O113" s="18"/>
      <c r="P113" s="18"/>
      <c r="Q113" s="18"/>
      <c r="R113" s="18"/>
    </row>
    <row r="114" spans="1:18">
      <c r="A114" s="104" t="s">
        <v>445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517</v>
      </c>
      <c r="M114" s="18"/>
      <c r="N114" s="18"/>
      <c r="O114" s="18"/>
      <c r="P114" s="18"/>
      <c r="Q114" s="18"/>
      <c r="R114" s="18"/>
    </row>
    <row r="115" spans="1:18">
      <c r="A115" s="110" t="s">
        <v>446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517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517</v>
      </c>
      <c r="M116" s="18"/>
      <c r="N116" s="18"/>
      <c r="O116" s="18"/>
      <c r="P116" s="18"/>
      <c r="Q116" s="18"/>
      <c r="R116" s="18"/>
    </row>
    <row r="117" spans="1:18">
      <c r="A117" s="117" t="s">
        <v>447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517</v>
      </c>
      <c r="M117" s="18"/>
      <c r="N117" s="18"/>
      <c r="O117" s="18"/>
      <c r="P117" s="18"/>
      <c r="Q117" s="18"/>
      <c r="R117" s="18"/>
    </row>
    <row r="118" spans="1:18">
      <c r="A118" s="104" t="s">
        <v>448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517</v>
      </c>
      <c r="M118" s="18"/>
      <c r="N118" s="18"/>
      <c r="O118" s="18"/>
      <c r="P118" s="18"/>
      <c r="Q118" s="18"/>
      <c r="R118" s="18"/>
    </row>
    <row r="119" spans="1:18">
      <c r="A119" s="104" t="s">
        <v>428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449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517</v>
      </c>
      <c r="M120" s="18"/>
      <c r="N120" s="18"/>
      <c r="O120" s="18"/>
      <c r="P120" s="18"/>
      <c r="Q120" s="18"/>
      <c r="R120" s="18"/>
    </row>
    <row r="121" spans="1:18">
      <c r="A121" s="104" t="s">
        <v>437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517</v>
      </c>
      <c r="M121" s="18"/>
      <c r="N121" s="18"/>
      <c r="O121" s="18"/>
      <c r="P121" s="18"/>
      <c r="Q121" s="18"/>
      <c r="R121" s="18"/>
    </row>
    <row r="122" spans="1:18">
      <c r="A122" s="104" t="s">
        <v>450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517</v>
      </c>
      <c r="M122" s="18"/>
      <c r="N122" s="18"/>
      <c r="O122" s="18"/>
      <c r="P122" s="18"/>
      <c r="Q122" s="18"/>
      <c r="R122" s="18"/>
    </row>
    <row r="123" spans="1:18">
      <c r="A123" s="104" t="s">
        <v>451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517</v>
      </c>
      <c r="M123" s="18"/>
      <c r="N123" s="18"/>
      <c r="O123" s="18"/>
      <c r="P123" s="18"/>
      <c r="Q123" s="18"/>
      <c r="R123" s="18"/>
    </row>
    <row r="124" spans="1:18">
      <c r="A124" s="115" t="s">
        <v>452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517</v>
      </c>
      <c r="M124" s="18"/>
      <c r="N124" s="18"/>
      <c r="O124" s="18"/>
      <c r="P124" s="18"/>
      <c r="Q124" s="18"/>
      <c r="R124" s="18"/>
    </row>
    <row r="125" spans="1:18">
      <c r="A125" s="115" t="s">
        <v>453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454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517</v>
      </c>
      <c r="M126" s="18"/>
      <c r="N126" s="18"/>
      <c r="O126" s="18"/>
      <c r="P126" s="18"/>
      <c r="Q126" s="18"/>
      <c r="R126" s="18"/>
    </row>
    <row r="127" spans="1:18">
      <c r="A127" s="104" t="s">
        <v>455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517</v>
      </c>
      <c r="M127" s="18"/>
      <c r="N127" s="18"/>
      <c r="O127" s="18"/>
      <c r="P127" s="18"/>
      <c r="Q127" s="18"/>
      <c r="R127" s="18"/>
    </row>
    <row r="128" spans="1:18">
      <c r="A128" s="104" t="s">
        <v>456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517</v>
      </c>
      <c r="M128" s="18"/>
      <c r="N128" s="18"/>
      <c r="O128" s="18"/>
      <c r="P128" s="18"/>
      <c r="Q128" s="18"/>
      <c r="R128" s="18"/>
    </row>
    <row r="129" spans="1:18">
      <c r="A129" s="104" t="s">
        <v>457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517</v>
      </c>
      <c r="M129" s="18"/>
      <c r="N129" s="18"/>
      <c r="O129" s="18"/>
      <c r="P129" s="18"/>
      <c r="Q129" s="18"/>
      <c r="R129" s="18"/>
    </row>
    <row r="130" spans="1:18">
      <c r="A130" s="104" t="s">
        <v>458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517</v>
      </c>
      <c r="M130" s="18"/>
      <c r="N130" s="18"/>
      <c r="O130" s="18"/>
      <c r="P130" s="18"/>
      <c r="Q130" s="18"/>
      <c r="R130" s="18"/>
    </row>
    <row r="131" spans="1:18">
      <c r="A131" s="104" t="s">
        <v>459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460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517</v>
      </c>
      <c r="M132" s="18"/>
      <c r="N132" s="18"/>
      <c r="O132" s="18"/>
      <c r="P132" s="18"/>
      <c r="Q132" s="18"/>
      <c r="R132" s="18"/>
    </row>
    <row r="133" spans="1:18">
      <c r="A133" s="104" t="s">
        <v>461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517</v>
      </c>
      <c r="M133" s="18"/>
      <c r="N133" s="18"/>
      <c r="O133" s="18"/>
      <c r="P133" s="18"/>
      <c r="Q133" s="18"/>
      <c r="R133" s="18"/>
    </row>
    <row r="134" spans="1:18">
      <c r="A134" s="104" t="s">
        <v>462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517</v>
      </c>
      <c r="M134" s="18"/>
      <c r="N134" s="18"/>
      <c r="O134" s="18"/>
      <c r="P134" s="18"/>
      <c r="Q134" s="18"/>
      <c r="R134" s="18"/>
    </row>
    <row r="135" spans="1:18">
      <c r="A135" s="104" t="s">
        <v>463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517</v>
      </c>
      <c r="M135" s="18"/>
      <c r="N135" s="18"/>
      <c r="O135" s="18"/>
      <c r="P135" s="18"/>
      <c r="Q135" s="18"/>
      <c r="R135" s="18"/>
    </row>
    <row r="136" spans="1:18">
      <c r="A136" s="110" t="s">
        <v>464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517</v>
      </c>
      <c r="M136" s="18"/>
      <c r="N136" s="18"/>
      <c r="O136" s="18"/>
      <c r="P136" s="18"/>
      <c r="Q136" s="18"/>
      <c r="R136" s="18"/>
    </row>
    <row r="137" spans="1:18">
      <c r="A137" s="114" t="s">
        <v>465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517</v>
      </c>
      <c r="M137" s="18"/>
      <c r="N137" s="18"/>
      <c r="O137" s="18"/>
      <c r="P137" s="18"/>
      <c r="Q137" s="18"/>
      <c r="R137" s="18"/>
    </row>
    <row r="138" spans="1:18" ht="6" customHeight="1">
      <c r="A138" s="239"/>
      <c r="B138" s="239"/>
      <c r="C138" s="239"/>
      <c r="D138" s="239"/>
      <c r="E138" s="239"/>
      <c r="F138" s="239"/>
      <c r="G138" s="239"/>
      <c r="H138" s="239"/>
      <c r="M138" s="18"/>
      <c r="N138" s="18"/>
      <c r="O138" s="18"/>
      <c r="Q138" s="18"/>
      <c r="R138" s="18"/>
    </row>
    <row r="139" spans="1:18">
      <c r="A139" s="92" t="s">
        <v>466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467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525</v>
      </c>
      <c r="B1" s="144" t="s">
        <v>524</v>
      </c>
    </row>
    <row r="2" spans="1:2">
      <c r="A2">
        <v>5</v>
      </c>
      <c r="B2" t="s">
        <v>517</v>
      </c>
    </row>
    <row r="3" spans="1:2">
      <c r="A3">
        <v>6</v>
      </c>
      <c r="B3" t="s">
        <v>517</v>
      </c>
    </row>
    <row r="4" spans="1:2">
      <c r="A4">
        <v>7</v>
      </c>
      <c r="B4" t="s">
        <v>517</v>
      </c>
    </row>
    <row r="5" spans="1:2">
      <c r="A5">
        <v>8</v>
      </c>
      <c r="B5" t="s">
        <v>517</v>
      </c>
    </row>
    <row r="6" spans="1:2">
      <c r="A6">
        <v>9</v>
      </c>
      <c r="B6" t="s">
        <v>517</v>
      </c>
    </row>
    <row r="7" spans="1:2">
      <c r="A7">
        <v>10</v>
      </c>
      <c r="B7" t="s">
        <v>517</v>
      </c>
    </row>
    <row r="8" spans="1:2">
      <c r="A8">
        <v>11</v>
      </c>
      <c r="B8" t="s">
        <v>517</v>
      </c>
    </row>
    <row r="9" spans="1:2">
      <c r="A9">
        <v>12</v>
      </c>
      <c r="B9" t="s">
        <v>517</v>
      </c>
    </row>
    <row r="10" spans="1:2">
      <c r="A10">
        <v>13</v>
      </c>
      <c r="B10" t="s">
        <v>517</v>
      </c>
    </row>
    <row r="11" spans="1:2">
      <c r="A11">
        <v>14</v>
      </c>
      <c r="B11" t="s">
        <v>517</v>
      </c>
    </row>
    <row r="12" spans="1:2">
      <c r="A12">
        <v>15</v>
      </c>
      <c r="B12" t="s">
        <v>517</v>
      </c>
    </row>
    <row r="13" spans="1:2">
      <c r="A13">
        <v>16</v>
      </c>
      <c r="B13" t="s">
        <v>517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517</v>
      </c>
    </row>
    <row r="17" spans="1:2">
      <c r="A17">
        <v>20</v>
      </c>
      <c r="B17" t="s">
        <v>517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517</v>
      </c>
    </row>
    <row r="20" spans="1:2">
      <c r="A20">
        <v>23</v>
      </c>
      <c r="B20" t="s">
        <v>91</v>
      </c>
    </row>
    <row r="21" spans="1:2">
      <c r="A21">
        <v>24</v>
      </c>
      <c r="B21" t="s">
        <v>517</v>
      </c>
    </row>
    <row r="22" spans="1:2">
      <c r="A22">
        <v>25</v>
      </c>
      <c r="B22" t="s">
        <v>517</v>
      </c>
    </row>
    <row r="23" spans="1:2">
      <c r="A23">
        <v>26</v>
      </c>
      <c r="B23" t="s">
        <v>517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517</v>
      </c>
    </row>
    <row r="36" spans="1:2">
      <c r="A36">
        <v>39</v>
      </c>
      <c r="B36" t="s">
        <v>517</v>
      </c>
    </row>
    <row r="37" spans="1:2">
      <c r="A37">
        <v>40</v>
      </c>
      <c r="B37" t="s">
        <v>517</v>
      </c>
    </row>
    <row r="38" spans="1:2">
      <c r="A38">
        <v>41</v>
      </c>
      <c r="B38" t="s">
        <v>517</v>
      </c>
    </row>
    <row r="39" spans="1:2">
      <c r="A39">
        <v>42</v>
      </c>
      <c r="B39" t="s">
        <v>517</v>
      </c>
    </row>
    <row r="40" spans="1:2">
      <c r="A40">
        <v>43</v>
      </c>
      <c r="B40" t="s">
        <v>517</v>
      </c>
    </row>
    <row r="41" spans="1:2">
      <c r="A41">
        <v>44</v>
      </c>
      <c r="B41" t="s">
        <v>517</v>
      </c>
    </row>
    <row r="42" spans="1:2">
      <c r="A42">
        <v>45</v>
      </c>
      <c r="B42" t="s">
        <v>517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517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517</v>
      </c>
    </row>
    <row r="50" spans="1:2">
      <c r="A50">
        <v>53</v>
      </c>
      <c r="B50" t="s">
        <v>517</v>
      </c>
    </row>
    <row r="51" spans="1:2">
      <c r="A51">
        <v>54</v>
      </c>
      <c r="B51" t="s">
        <v>517</v>
      </c>
    </row>
    <row r="52" spans="1:2">
      <c r="A52">
        <v>55</v>
      </c>
      <c r="B52" t="s">
        <v>517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517</v>
      </c>
    </row>
    <row r="56" spans="1:2">
      <c r="A56">
        <v>59</v>
      </c>
      <c r="B56" t="s">
        <v>517</v>
      </c>
    </row>
    <row r="57" spans="1:2">
      <c r="A57">
        <v>60</v>
      </c>
      <c r="B57" t="s">
        <v>517</v>
      </c>
    </row>
    <row r="58" spans="1:2">
      <c r="A58">
        <v>61</v>
      </c>
      <c r="B58" t="s">
        <v>517</v>
      </c>
    </row>
    <row r="59" spans="1:2">
      <c r="A59">
        <v>62</v>
      </c>
      <c r="B59" t="s">
        <v>517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517</v>
      </c>
    </row>
    <row r="63" spans="1:2">
      <c r="A63">
        <v>66</v>
      </c>
      <c r="B63" t="s">
        <v>517</v>
      </c>
    </row>
    <row r="64" spans="1:2">
      <c r="A64">
        <v>67</v>
      </c>
    </row>
    <row r="65" spans="1:2">
      <c r="A65">
        <v>68</v>
      </c>
      <c r="B65" t="s">
        <v>517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517</v>
      </c>
    </row>
    <row r="69" spans="1:2">
      <c r="A69">
        <v>72</v>
      </c>
      <c r="B69" t="s">
        <v>517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517</v>
      </c>
    </row>
    <row r="72" spans="1:2">
      <c r="A72">
        <v>75</v>
      </c>
      <c r="B72" t="s">
        <v>89</v>
      </c>
    </row>
    <row r="73" spans="1:2">
      <c r="A73">
        <v>76</v>
      </c>
      <c r="B73" t="s">
        <v>517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517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517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517</v>
      </c>
    </row>
    <row r="90" spans="1:2">
      <c r="A90">
        <v>93</v>
      </c>
      <c r="B90" t="s">
        <v>517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517</v>
      </c>
    </row>
    <row r="95" spans="1:2">
      <c r="A95">
        <v>98</v>
      </c>
      <c r="B95" t="s">
        <v>517</v>
      </c>
    </row>
    <row r="96" spans="1:2">
      <c r="A96">
        <v>99</v>
      </c>
      <c r="B96" t="s">
        <v>517</v>
      </c>
    </row>
    <row r="97" spans="1:2">
      <c r="A97">
        <v>100</v>
      </c>
      <c r="B97" t="s">
        <v>517</v>
      </c>
    </row>
    <row r="98" spans="1:2">
      <c r="A98">
        <v>101</v>
      </c>
      <c r="B98" t="s">
        <v>517</v>
      </c>
    </row>
    <row r="99" spans="1:2">
      <c r="A99">
        <v>102</v>
      </c>
      <c r="B99" t="s">
        <v>517</v>
      </c>
    </row>
    <row r="100" spans="1:2">
      <c r="A100">
        <v>103</v>
      </c>
      <c r="B100" t="s">
        <v>517</v>
      </c>
    </row>
    <row r="101" spans="1:2">
      <c r="A101">
        <v>104</v>
      </c>
      <c r="B101" t="s">
        <v>517</v>
      </c>
    </row>
    <row r="102" spans="1:2">
      <c r="A102">
        <v>105</v>
      </c>
      <c r="B102" t="s">
        <v>517</v>
      </c>
    </row>
    <row r="103" spans="1:2">
      <c r="A103">
        <v>106</v>
      </c>
      <c r="B103" t="s">
        <v>517</v>
      </c>
    </row>
    <row r="104" spans="1:2">
      <c r="A104">
        <v>107</v>
      </c>
      <c r="B104" t="s">
        <v>517</v>
      </c>
    </row>
    <row r="105" spans="1:2">
      <c r="A105">
        <v>108</v>
      </c>
      <c r="B105" t="s">
        <v>517</v>
      </c>
    </row>
    <row r="106" spans="1:2">
      <c r="A106">
        <v>109</v>
      </c>
      <c r="B106" t="s">
        <v>517</v>
      </c>
    </row>
    <row r="107" spans="1:2">
      <c r="A107">
        <v>110</v>
      </c>
      <c r="B107" t="s">
        <v>517</v>
      </c>
    </row>
    <row r="108" spans="1:2">
      <c r="A108">
        <v>111</v>
      </c>
      <c r="B108" t="s">
        <v>517</v>
      </c>
    </row>
    <row r="109" spans="1:2">
      <c r="A109">
        <v>112</v>
      </c>
      <c r="B109" t="s">
        <v>517</v>
      </c>
    </row>
    <row r="110" spans="1:2">
      <c r="A110">
        <v>113</v>
      </c>
      <c r="B110" t="s">
        <v>517</v>
      </c>
    </row>
    <row r="111" spans="1:2">
      <c r="A111">
        <v>114</v>
      </c>
      <c r="B111" t="s">
        <v>517</v>
      </c>
    </row>
    <row r="112" spans="1:2">
      <c r="A112">
        <v>115</v>
      </c>
      <c r="B112" t="s">
        <v>517</v>
      </c>
    </row>
    <row r="113" spans="1:2">
      <c r="A113">
        <v>116</v>
      </c>
      <c r="B113" t="s">
        <v>517</v>
      </c>
    </row>
    <row r="114" spans="1:2">
      <c r="A114">
        <v>117</v>
      </c>
      <c r="B114" t="s">
        <v>517</v>
      </c>
    </row>
    <row r="115" spans="1:2">
      <c r="A115">
        <v>118</v>
      </c>
      <c r="B115" t="s">
        <v>517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517</v>
      </c>
    </row>
    <row r="118" spans="1:2">
      <c r="A118">
        <v>121</v>
      </c>
      <c r="B118" t="s">
        <v>517</v>
      </c>
    </row>
    <row r="119" spans="1:2">
      <c r="A119">
        <v>122</v>
      </c>
      <c r="B119" t="s">
        <v>517</v>
      </c>
    </row>
    <row r="120" spans="1:2">
      <c r="A120">
        <v>123</v>
      </c>
      <c r="B120" t="s">
        <v>517</v>
      </c>
    </row>
    <row r="121" spans="1:2">
      <c r="A121">
        <v>124</v>
      </c>
      <c r="B121" t="s">
        <v>517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517</v>
      </c>
    </row>
    <row r="124" spans="1:2">
      <c r="A124">
        <v>127</v>
      </c>
      <c r="B124" t="s">
        <v>517</v>
      </c>
    </row>
    <row r="125" spans="1:2">
      <c r="A125">
        <v>128</v>
      </c>
      <c r="B125" t="s">
        <v>517</v>
      </c>
    </row>
    <row r="126" spans="1:2">
      <c r="A126">
        <v>129</v>
      </c>
      <c r="B126" t="s">
        <v>517</v>
      </c>
    </row>
    <row r="127" spans="1:2">
      <c r="A127">
        <v>130</v>
      </c>
      <c r="B127" t="s">
        <v>517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517</v>
      </c>
    </row>
    <row r="130" spans="1:2">
      <c r="A130">
        <v>133</v>
      </c>
      <c r="B130" t="s">
        <v>517</v>
      </c>
    </row>
    <row r="131" spans="1:2">
      <c r="A131">
        <v>134</v>
      </c>
      <c r="B131" t="s">
        <v>517</v>
      </c>
    </row>
    <row r="132" spans="1:2">
      <c r="A132">
        <v>135</v>
      </c>
      <c r="B132" t="s">
        <v>517</v>
      </c>
    </row>
    <row r="133" spans="1:2">
      <c r="A133">
        <v>136</v>
      </c>
      <c r="B133" t="s">
        <v>517</v>
      </c>
    </row>
    <row r="134" spans="1:2">
      <c r="A134">
        <v>137</v>
      </c>
      <c r="B134" t="s">
        <v>517</v>
      </c>
    </row>
  </sheetData>
  <autoFilter ref="A1:B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E7FB-6158-495E-BB13-3FB498394BB8}">
  <sheetPr codeName="Sheet7"/>
  <dimension ref="A1:D131"/>
  <sheetViews>
    <sheetView workbookViewId="0">
      <selection activeCell="B11" sqref="B11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585</v>
      </c>
      <c r="B1" s="15" t="s">
        <v>586</v>
      </c>
      <c r="C1" s="15" t="s">
        <v>587</v>
      </c>
      <c r="D1" t="s">
        <v>588</v>
      </c>
    </row>
    <row r="2" spans="1:4">
      <c r="A2" s="15">
        <v>0</v>
      </c>
      <c r="B2" s="15" t="s">
        <v>589</v>
      </c>
      <c r="C2" s="15" t="s">
        <v>590</v>
      </c>
    </row>
    <row r="3" spans="1:4">
      <c r="A3" s="15" t="s">
        <v>233</v>
      </c>
      <c r="B3" s="15" t="s">
        <v>589</v>
      </c>
      <c r="C3" s="15" t="s">
        <v>590</v>
      </c>
    </row>
    <row r="4" spans="1:4">
      <c r="A4" s="15" t="s">
        <v>221</v>
      </c>
      <c r="B4" s="15" t="s">
        <v>589</v>
      </c>
      <c r="C4" s="15" t="s">
        <v>590</v>
      </c>
    </row>
    <row r="5" spans="1:4">
      <c r="A5" s="15" t="s">
        <v>220</v>
      </c>
      <c r="B5" s="15" t="s">
        <v>589</v>
      </c>
      <c r="C5" s="15" t="s">
        <v>590</v>
      </c>
    </row>
    <row r="6" spans="1:4">
      <c r="A6" s="15" t="s">
        <v>218</v>
      </c>
      <c r="B6" s="15" t="s">
        <v>589</v>
      </c>
      <c r="C6" s="15" t="s">
        <v>590</v>
      </c>
    </row>
    <row r="7" spans="1:4">
      <c r="A7" s="15" t="s">
        <v>241</v>
      </c>
      <c r="B7" s="15" t="s">
        <v>589</v>
      </c>
      <c r="C7" s="15" t="s">
        <v>590</v>
      </c>
    </row>
    <row r="8" spans="1:4">
      <c r="A8" s="15" t="s">
        <v>222</v>
      </c>
      <c r="B8" s="15" t="s">
        <v>589</v>
      </c>
      <c r="C8" s="15" t="s">
        <v>590</v>
      </c>
    </row>
    <row r="9" spans="1:4">
      <c r="A9" s="15" t="s">
        <v>211</v>
      </c>
      <c r="B9" s="15" t="s">
        <v>589</v>
      </c>
      <c r="C9" s="15" t="s">
        <v>590</v>
      </c>
    </row>
    <row r="10" spans="1:4">
      <c r="A10" s="15" t="s">
        <v>225</v>
      </c>
      <c r="B10" s="15" t="s">
        <v>589</v>
      </c>
      <c r="C10" s="15" t="s">
        <v>590</v>
      </c>
    </row>
    <row r="11" spans="1:4">
      <c r="A11" s="15" t="s">
        <v>228</v>
      </c>
      <c r="B11" s="15" t="s">
        <v>589</v>
      </c>
      <c r="C11" s="15" t="s">
        <v>590</v>
      </c>
    </row>
    <row r="12" spans="1:4">
      <c r="A12" s="15" t="s">
        <v>230</v>
      </c>
      <c r="B12" s="15" t="s">
        <v>589</v>
      </c>
      <c r="C12" s="15" t="s">
        <v>590</v>
      </c>
    </row>
    <row r="13" spans="1:4">
      <c r="A13" s="15" t="s">
        <v>231</v>
      </c>
      <c r="B13" s="15" t="s">
        <v>589</v>
      </c>
      <c r="C13" s="15" t="s">
        <v>590</v>
      </c>
    </row>
    <row r="14" spans="1:4">
      <c r="A14" s="15" t="s">
        <v>227</v>
      </c>
      <c r="B14" s="15" t="s">
        <v>589</v>
      </c>
      <c r="C14" s="15" t="s">
        <v>590</v>
      </c>
    </row>
    <row r="15" spans="1:4">
      <c r="A15" s="15" t="s">
        <v>229</v>
      </c>
      <c r="B15" s="15" t="s">
        <v>589</v>
      </c>
      <c r="C15" s="15" t="s">
        <v>590</v>
      </c>
    </row>
    <row r="16" spans="1:4">
      <c r="A16" s="15" t="s">
        <v>226</v>
      </c>
      <c r="B16" s="15" t="s">
        <v>589</v>
      </c>
      <c r="C16" s="15" t="s">
        <v>590</v>
      </c>
    </row>
    <row r="17" spans="1:3">
      <c r="A17" s="15" t="s">
        <v>179</v>
      </c>
      <c r="B17" s="15" t="s">
        <v>589</v>
      </c>
      <c r="C17" s="15" t="s">
        <v>590</v>
      </c>
    </row>
    <row r="18" spans="1:3">
      <c r="A18" s="15" t="s">
        <v>237</v>
      </c>
      <c r="B18" s="15" t="s">
        <v>589</v>
      </c>
      <c r="C18" s="15" t="s">
        <v>590</v>
      </c>
    </row>
    <row r="19" spans="1:3">
      <c r="A19" s="15" t="s">
        <v>182</v>
      </c>
      <c r="B19" s="15" t="s">
        <v>589</v>
      </c>
      <c r="C19" s="15" t="s">
        <v>590</v>
      </c>
    </row>
    <row r="20" spans="1:3">
      <c r="A20" s="15" t="s">
        <v>235</v>
      </c>
      <c r="B20" s="15" t="s">
        <v>589</v>
      </c>
      <c r="C20" s="15" t="s">
        <v>590</v>
      </c>
    </row>
    <row r="21" spans="1:3">
      <c r="A21" s="15" t="s">
        <v>236</v>
      </c>
      <c r="B21" s="15" t="s">
        <v>589</v>
      </c>
      <c r="C21" s="15" t="s">
        <v>590</v>
      </c>
    </row>
    <row r="22" spans="1:3">
      <c r="A22" s="15" t="s">
        <v>189</v>
      </c>
      <c r="B22" s="15" t="s">
        <v>589</v>
      </c>
      <c r="C22" s="15" t="s">
        <v>590</v>
      </c>
    </row>
    <row r="23" spans="1:3">
      <c r="A23" s="15" t="s">
        <v>174</v>
      </c>
      <c r="B23" s="15" t="s">
        <v>589</v>
      </c>
      <c r="C23" s="15" t="s">
        <v>590</v>
      </c>
    </row>
    <row r="24" spans="1:3">
      <c r="A24" s="15" t="s">
        <v>215</v>
      </c>
      <c r="B24" s="15" t="s">
        <v>589</v>
      </c>
      <c r="C24" s="15" t="s">
        <v>590</v>
      </c>
    </row>
    <row r="25" spans="1:3">
      <c r="A25" s="15" t="s">
        <v>210</v>
      </c>
      <c r="B25" s="15" t="s">
        <v>589</v>
      </c>
      <c r="C25" s="15" t="s">
        <v>590</v>
      </c>
    </row>
    <row r="26" spans="1:3">
      <c r="A26" s="15" t="s">
        <v>309</v>
      </c>
      <c r="B26" s="15" t="s">
        <v>589</v>
      </c>
      <c r="C26" s="15" t="s">
        <v>590</v>
      </c>
    </row>
    <row r="27" spans="1:3">
      <c r="A27" s="15" t="s">
        <v>177</v>
      </c>
      <c r="B27" s="15" t="s">
        <v>589</v>
      </c>
      <c r="C27" s="15" t="s">
        <v>590</v>
      </c>
    </row>
    <row r="28" spans="1:3">
      <c r="A28" s="15" t="s">
        <v>208</v>
      </c>
      <c r="B28" s="15" t="s">
        <v>589</v>
      </c>
      <c r="C28" s="15" t="s">
        <v>590</v>
      </c>
    </row>
    <row r="29" spans="1:3">
      <c r="A29" s="15" t="s">
        <v>214</v>
      </c>
      <c r="B29" s="15" t="s">
        <v>589</v>
      </c>
      <c r="C29" s="15" t="s">
        <v>590</v>
      </c>
    </row>
    <row r="30" spans="1:3">
      <c r="A30" s="15" t="s">
        <v>187</v>
      </c>
      <c r="B30" s="15" t="s">
        <v>589</v>
      </c>
      <c r="C30" s="15" t="s">
        <v>590</v>
      </c>
    </row>
    <row r="31" spans="1:3">
      <c r="A31" s="15" t="s">
        <v>224</v>
      </c>
      <c r="B31" s="15" t="s">
        <v>589</v>
      </c>
      <c r="C31" s="15" t="s">
        <v>590</v>
      </c>
    </row>
    <row r="32" spans="1:3">
      <c r="A32" s="15" t="s">
        <v>579</v>
      </c>
      <c r="B32" s="15" t="s">
        <v>589</v>
      </c>
      <c r="C32" s="15" t="s">
        <v>590</v>
      </c>
    </row>
    <row r="33" spans="1:3">
      <c r="A33" s="15" t="s">
        <v>186</v>
      </c>
      <c r="B33" s="15" t="s">
        <v>589</v>
      </c>
      <c r="C33" s="15" t="s">
        <v>590</v>
      </c>
    </row>
    <row r="34" spans="1:3">
      <c r="A34" s="15" t="s">
        <v>217</v>
      </c>
      <c r="B34" s="15" t="s">
        <v>589</v>
      </c>
      <c r="C34" s="15" t="s">
        <v>590</v>
      </c>
    </row>
    <row r="35" spans="1:3">
      <c r="A35" s="15" t="s">
        <v>223</v>
      </c>
      <c r="B35" s="15" t="s">
        <v>589</v>
      </c>
      <c r="C35" s="15" t="s">
        <v>590</v>
      </c>
    </row>
    <row r="36" spans="1:3">
      <c r="A36" s="15" t="s">
        <v>232</v>
      </c>
      <c r="B36" s="15" t="s">
        <v>589</v>
      </c>
      <c r="C36" s="15" t="s">
        <v>590</v>
      </c>
    </row>
    <row r="37" spans="1:3">
      <c r="A37" s="15" t="s">
        <v>216</v>
      </c>
      <c r="B37" s="15" t="s">
        <v>589</v>
      </c>
      <c r="C37" s="15" t="s">
        <v>590</v>
      </c>
    </row>
    <row r="38" spans="1:3">
      <c r="A38" s="15" t="s">
        <v>219</v>
      </c>
      <c r="B38" s="15" t="s">
        <v>589</v>
      </c>
      <c r="C38" s="15" t="s">
        <v>590</v>
      </c>
    </row>
    <row r="39" spans="1:3">
      <c r="A39" s="15" t="s">
        <v>240</v>
      </c>
      <c r="B39" s="15" t="s">
        <v>589</v>
      </c>
      <c r="C39" s="15" t="s">
        <v>590</v>
      </c>
    </row>
    <row r="40" spans="1:3">
      <c r="A40" s="15" t="s">
        <v>238</v>
      </c>
      <c r="B40" s="15" t="s">
        <v>589</v>
      </c>
      <c r="C40" s="15" t="s">
        <v>590</v>
      </c>
    </row>
    <row r="41" spans="1:3">
      <c r="A41" s="15" t="s">
        <v>239</v>
      </c>
      <c r="B41" s="15" t="s">
        <v>589</v>
      </c>
      <c r="C41" s="15" t="s">
        <v>590</v>
      </c>
    </row>
    <row r="42" spans="1:3">
      <c r="A42" s="15" t="s">
        <v>209</v>
      </c>
      <c r="B42" s="15" t="s">
        <v>589</v>
      </c>
      <c r="C42" s="15" t="s">
        <v>590</v>
      </c>
    </row>
    <row r="43" spans="1:3">
      <c r="A43" s="15" t="s">
        <v>294</v>
      </c>
      <c r="B43" s="15" t="s">
        <v>589</v>
      </c>
      <c r="C43" s="15" t="s">
        <v>590</v>
      </c>
    </row>
    <row r="44" spans="1:3">
      <c r="A44" s="15" t="s">
        <v>234</v>
      </c>
      <c r="B44" s="15" t="s">
        <v>589</v>
      </c>
      <c r="C44" s="15" t="s">
        <v>590</v>
      </c>
    </row>
    <row r="45" spans="1:3">
      <c r="A45" s="15" t="s">
        <v>296</v>
      </c>
      <c r="B45" s="15" t="s">
        <v>589</v>
      </c>
      <c r="C45" s="15" t="s">
        <v>590</v>
      </c>
    </row>
    <row r="46" spans="1:3">
      <c r="A46" s="15" t="s">
        <v>295</v>
      </c>
      <c r="B46" s="15" t="s">
        <v>589</v>
      </c>
      <c r="C46" s="15" t="s">
        <v>590</v>
      </c>
    </row>
    <row r="47" spans="1:3">
      <c r="A47" s="15" t="s">
        <v>297</v>
      </c>
      <c r="B47" s="15" t="s">
        <v>589</v>
      </c>
      <c r="C47" s="15" t="s">
        <v>590</v>
      </c>
    </row>
    <row r="48" spans="1:3">
      <c r="A48" s="15" t="s">
        <v>287</v>
      </c>
      <c r="B48" s="15" t="s">
        <v>589</v>
      </c>
      <c r="C48" s="15" t="s">
        <v>590</v>
      </c>
    </row>
    <row r="49" spans="1:3">
      <c r="A49" s="15" t="s">
        <v>281</v>
      </c>
      <c r="B49" s="15" t="s">
        <v>589</v>
      </c>
      <c r="C49" s="15" t="s">
        <v>590</v>
      </c>
    </row>
    <row r="50" spans="1:3">
      <c r="A50" s="15" t="s">
        <v>286</v>
      </c>
      <c r="B50" s="15" t="s">
        <v>589</v>
      </c>
      <c r="C50" s="15" t="s">
        <v>590</v>
      </c>
    </row>
    <row r="51" spans="1:3">
      <c r="A51" s="15" t="s">
        <v>285</v>
      </c>
      <c r="B51" s="15" t="s">
        <v>589</v>
      </c>
      <c r="C51" s="15" t="s">
        <v>590</v>
      </c>
    </row>
    <row r="52" spans="1:3">
      <c r="A52" s="15" t="s">
        <v>284</v>
      </c>
      <c r="B52" s="15" t="s">
        <v>589</v>
      </c>
      <c r="C52" s="15" t="s">
        <v>590</v>
      </c>
    </row>
    <row r="53" spans="1:3">
      <c r="A53" s="15" t="s">
        <v>194</v>
      </c>
      <c r="B53" s="15" t="s">
        <v>589</v>
      </c>
      <c r="C53" s="15" t="s">
        <v>590</v>
      </c>
    </row>
    <row r="54" spans="1:3">
      <c r="A54" s="15" t="s">
        <v>213</v>
      </c>
      <c r="B54" s="15" t="s">
        <v>589</v>
      </c>
      <c r="C54" s="15" t="s">
        <v>590</v>
      </c>
    </row>
    <row r="55" spans="1:3">
      <c r="A55" s="15" t="s">
        <v>279</v>
      </c>
      <c r="B55" s="15" t="s">
        <v>589</v>
      </c>
      <c r="C55" s="15" t="s">
        <v>590</v>
      </c>
    </row>
    <row r="56" spans="1:3">
      <c r="A56" s="15" t="s">
        <v>290</v>
      </c>
      <c r="B56" s="15" t="s">
        <v>589</v>
      </c>
      <c r="C56" s="15" t="s">
        <v>590</v>
      </c>
    </row>
    <row r="57" spans="1:3">
      <c r="A57" s="15" t="s">
        <v>291</v>
      </c>
      <c r="B57" s="15" t="s">
        <v>589</v>
      </c>
      <c r="C57" s="15" t="s">
        <v>590</v>
      </c>
    </row>
    <row r="58" spans="1:3">
      <c r="A58" s="15" t="s">
        <v>280</v>
      </c>
      <c r="B58" s="15" t="s">
        <v>589</v>
      </c>
      <c r="C58" s="15" t="s">
        <v>590</v>
      </c>
    </row>
    <row r="59" spans="1:3">
      <c r="A59" s="15" t="s">
        <v>289</v>
      </c>
      <c r="B59" s="15" t="s">
        <v>589</v>
      </c>
      <c r="C59" s="15" t="s">
        <v>590</v>
      </c>
    </row>
    <row r="60" spans="1:3">
      <c r="A60" s="15" t="s">
        <v>200</v>
      </c>
      <c r="B60" s="15" t="s">
        <v>589</v>
      </c>
      <c r="C60" s="15" t="s">
        <v>590</v>
      </c>
    </row>
    <row r="61" spans="1:3">
      <c r="A61" s="15" t="s">
        <v>288</v>
      </c>
      <c r="B61" s="15" t="s">
        <v>589</v>
      </c>
      <c r="C61" s="15" t="s">
        <v>590</v>
      </c>
    </row>
    <row r="62" spans="1:3">
      <c r="A62" s="15" t="s">
        <v>180</v>
      </c>
      <c r="B62" s="15" t="s">
        <v>589</v>
      </c>
      <c r="C62" s="15" t="s">
        <v>590</v>
      </c>
    </row>
    <row r="63" spans="1:3">
      <c r="A63" s="15" t="s">
        <v>183</v>
      </c>
      <c r="B63" s="15" t="s">
        <v>589</v>
      </c>
      <c r="C63" s="15" t="s">
        <v>590</v>
      </c>
    </row>
    <row r="64" spans="1:3">
      <c r="A64" s="15" t="s">
        <v>292</v>
      </c>
      <c r="B64" s="15" t="s">
        <v>589</v>
      </c>
      <c r="C64" s="15" t="s">
        <v>590</v>
      </c>
    </row>
    <row r="65" spans="1:3">
      <c r="A65" s="15" t="s">
        <v>293</v>
      </c>
      <c r="B65" s="15" t="s">
        <v>589</v>
      </c>
      <c r="C65" s="15" t="s">
        <v>590</v>
      </c>
    </row>
    <row r="66" spans="1:3">
      <c r="A66" s="15" t="s">
        <v>175</v>
      </c>
      <c r="B66" s="15" t="s">
        <v>589</v>
      </c>
      <c r="C66" s="15" t="s">
        <v>590</v>
      </c>
    </row>
    <row r="67" spans="1:3">
      <c r="A67" s="15" t="s">
        <v>206</v>
      </c>
      <c r="B67" s="15" t="s">
        <v>589</v>
      </c>
      <c r="C67" s="15" t="s">
        <v>590</v>
      </c>
    </row>
    <row r="68" spans="1:3">
      <c r="A68" s="15" t="s">
        <v>178</v>
      </c>
      <c r="B68" s="15" t="s">
        <v>589</v>
      </c>
      <c r="C68" s="15" t="s">
        <v>590</v>
      </c>
    </row>
    <row r="69" spans="1:3">
      <c r="A69" s="15" t="s">
        <v>188</v>
      </c>
      <c r="B69" s="15" t="s">
        <v>589</v>
      </c>
      <c r="C69" s="15" t="s">
        <v>590</v>
      </c>
    </row>
    <row r="70" spans="1:3">
      <c r="A70" s="15" t="s">
        <v>278</v>
      </c>
      <c r="B70" s="15" t="s">
        <v>589</v>
      </c>
      <c r="C70" s="15" t="s">
        <v>590</v>
      </c>
    </row>
    <row r="71" spans="1:3">
      <c r="A71" s="15" t="s">
        <v>196</v>
      </c>
      <c r="B71" s="15" t="s">
        <v>589</v>
      </c>
      <c r="C71" s="15" t="s">
        <v>590</v>
      </c>
    </row>
    <row r="72" spans="1:3">
      <c r="A72" s="15" t="s">
        <v>580</v>
      </c>
      <c r="B72" s="15" t="s">
        <v>589</v>
      </c>
      <c r="C72" s="15" t="s">
        <v>590</v>
      </c>
    </row>
    <row r="73" spans="1:3">
      <c r="A73" s="15" t="s">
        <v>195</v>
      </c>
      <c r="B73" s="15" t="s">
        <v>589</v>
      </c>
      <c r="C73" s="15" t="s">
        <v>590</v>
      </c>
    </row>
    <row r="74" spans="1:3">
      <c r="A74" s="15" t="s">
        <v>198</v>
      </c>
      <c r="B74" s="15" t="s">
        <v>589</v>
      </c>
      <c r="C74" s="15" t="s">
        <v>590</v>
      </c>
    </row>
    <row r="75" spans="1:3">
      <c r="A75" s="15" t="s">
        <v>203</v>
      </c>
      <c r="B75" s="15" t="s">
        <v>589</v>
      </c>
      <c r="C75" s="15" t="s">
        <v>590</v>
      </c>
    </row>
    <row r="76" spans="1:3">
      <c r="A76" s="15" t="s">
        <v>283</v>
      </c>
      <c r="B76" s="15" t="s">
        <v>589</v>
      </c>
      <c r="C76" s="15" t="s">
        <v>590</v>
      </c>
    </row>
    <row r="77" spans="1:3">
      <c r="A77" s="15" t="s">
        <v>277</v>
      </c>
      <c r="B77" s="15" t="s">
        <v>589</v>
      </c>
      <c r="C77" s="15" t="s">
        <v>590</v>
      </c>
    </row>
    <row r="78" spans="1:3">
      <c r="A78" s="15" t="s">
        <v>282</v>
      </c>
      <c r="B78" s="15" t="s">
        <v>589</v>
      </c>
      <c r="C78" s="15" t="s">
        <v>590</v>
      </c>
    </row>
    <row r="79" spans="1:3">
      <c r="A79" s="15" t="s">
        <v>192</v>
      </c>
      <c r="B79" s="15" t="s">
        <v>589</v>
      </c>
      <c r="C79" s="15" t="s">
        <v>590</v>
      </c>
    </row>
    <row r="80" spans="1:3">
      <c r="A80" s="15" t="s">
        <v>205</v>
      </c>
      <c r="B80" s="15" t="s">
        <v>589</v>
      </c>
      <c r="C80" s="15" t="s">
        <v>590</v>
      </c>
    </row>
    <row r="81" spans="1:3">
      <c r="A81" s="15" t="s">
        <v>300</v>
      </c>
      <c r="B81" s="15" t="s">
        <v>589</v>
      </c>
      <c r="C81" s="15" t="s">
        <v>590</v>
      </c>
    </row>
    <row r="82" spans="1:3">
      <c r="A82" s="15" t="s">
        <v>270</v>
      </c>
      <c r="B82" s="15" t="s">
        <v>589</v>
      </c>
      <c r="C82" s="15" t="s">
        <v>590</v>
      </c>
    </row>
    <row r="83" spans="1:3">
      <c r="A83" s="15" t="s">
        <v>264</v>
      </c>
      <c r="B83" s="15" t="s">
        <v>589</v>
      </c>
      <c r="C83" s="15" t="s">
        <v>590</v>
      </c>
    </row>
    <row r="84" spans="1:3">
      <c r="A84" s="15" t="s">
        <v>269</v>
      </c>
      <c r="B84" s="15" t="s">
        <v>589</v>
      </c>
      <c r="C84" s="15" t="s">
        <v>590</v>
      </c>
    </row>
    <row r="85" spans="1:3">
      <c r="A85" s="15" t="s">
        <v>268</v>
      </c>
      <c r="B85" s="15" t="s">
        <v>589</v>
      </c>
      <c r="C85" s="15" t="s">
        <v>590</v>
      </c>
    </row>
    <row r="86" spans="1:3">
      <c r="A86" s="15" t="s">
        <v>267</v>
      </c>
      <c r="B86" s="15" t="s">
        <v>589</v>
      </c>
      <c r="C86" s="15" t="s">
        <v>590</v>
      </c>
    </row>
    <row r="87" spans="1:3">
      <c r="A87" s="15" t="s">
        <v>212</v>
      </c>
      <c r="B87" s="15" t="s">
        <v>589</v>
      </c>
      <c r="C87" s="15" t="s">
        <v>590</v>
      </c>
    </row>
    <row r="88" spans="1:3">
      <c r="A88" s="15" t="s">
        <v>262</v>
      </c>
      <c r="B88" s="15" t="s">
        <v>589</v>
      </c>
      <c r="C88" s="15" t="s">
        <v>590</v>
      </c>
    </row>
    <row r="89" spans="1:3">
      <c r="A89" s="15" t="s">
        <v>273</v>
      </c>
      <c r="B89" s="15" t="s">
        <v>589</v>
      </c>
      <c r="C89" s="15" t="s">
        <v>590</v>
      </c>
    </row>
    <row r="90" spans="1:3">
      <c r="A90" s="15" t="s">
        <v>274</v>
      </c>
      <c r="B90" s="15" t="s">
        <v>589</v>
      </c>
      <c r="C90" s="15" t="s">
        <v>590</v>
      </c>
    </row>
    <row r="91" spans="1:3">
      <c r="A91" s="15" t="s">
        <v>263</v>
      </c>
      <c r="B91" s="15" t="s">
        <v>589</v>
      </c>
      <c r="C91" s="15" t="s">
        <v>590</v>
      </c>
    </row>
    <row r="92" spans="1:3">
      <c r="A92" s="15" t="s">
        <v>272</v>
      </c>
      <c r="B92" s="15" t="s">
        <v>589</v>
      </c>
      <c r="C92" s="15" t="s">
        <v>590</v>
      </c>
    </row>
    <row r="93" spans="1:3">
      <c r="A93" s="15" t="s">
        <v>199</v>
      </c>
      <c r="B93" s="15" t="s">
        <v>589</v>
      </c>
      <c r="C93" s="15" t="s">
        <v>590</v>
      </c>
    </row>
    <row r="94" spans="1:3">
      <c r="A94" s="15" t="s">
        <v>271</v>
      </c>
      <c r="B94" s="15" t="s">
        <v>589</v>
      </c>
      <c r="C94" s="15" t="s">
        <v>590</v>
      </c>
    </row>
    <row r="95" spans="1:3">
      <c r="A95" s="15" t="s">
        <v>184</v>
      </c>
      <c r="B95" s="15" t="s">
        <v>589</v>
      </c>
      <c r="C95" s="15" t="s">
        <v>590</v>
      </c>
    </row>
    <row r="96" spans="1:3">
      <c r="A96" s="15" t="s">
        <v>276</v>
      </c>
      <c r="B96" s="15" t="s">
        <v>589</v>
      </c>
      <c r="C96" s="15" t="s">
        <v>590</v>
      </c>
    </row>
    <row r="97" spans="1:3">
      <c r="A97" s="15" t="s">
        <v>176</v>
      </c>
      <c r="B97" s="15" t="s">
        <v>589</v>
      </c>
      <c r="C97" s="15" t="s">
        <v>590</v>
      </c>
    </row>
    <row r="98" spans="1:3">
      <c r="A98" s="15" t="s">
        <v>302</v>
      </c>
      <c r="B98" s="15" t="s">
        <v>589</v>
      </c>
      <c r="C98" s="15" t="s">
        <v>590</v>
      </c>
    </row>
    <row r="99" spans="1:3">
      <c r="A99" s="15" t="s">
        <v>275</v>
      </c>
      <c r="B99" s="15" t="s">
        <v>589</v>
      </c>
      <c r="C99" s="15" t="s">
        <v>590</v>
      </c>
    </row>
    <row r="100" spans="1:3">
      <c r="A100" s="15" t="s">
        <v>261</v>
      </c>
      <c r="B100" s="15" t="s">
        <v>589</v>
      </c>
      <c r="C100" s="15" t="s">
        <v>590</v>
      </c>
    </row>
    <row r="101" spans="1:3">
      <c r="A101" s="15" t="s">
        <v>581</v>
      </c>
      <c r="B101" s="15" t="s">
        <v>589</v>
      </c>
      <c r="C101" s="15" t="s">
        <v>590</v>
      </c>
    </row>
    <row r="102" spans="1:3">
      <c r="A102" s="15" t="s">
        <v>197</v>
      </c>
      <c r="B102" s="15" t="s">
        <v>589</v>
      </c>
      <c r="C102" s="15" t="s">
        <v>590</v>
      </c>
    </row>
    <row r="103" spans="1:3">
      <c r="A103" s="15" t="s">
        <v>202</v>
      </c>
      <c r="B103" s="15" t="s">
        <v>589</v>
      </c>
      <c r="C103" s="15" t="s">
        <v>590</v>
      </c>
    </row>
    <row r="104" spans="1:3">
      <c r="A104" s="15" t="s">
        <v>266</v>
      </c>
      <c r="B104" s="15" t="s">
        <v>589</v>
      </c>
      <c r="C104" s="15" t="s">
        <v>590</v>
      </c>
    </row>
    <row r="105" spans="1:3">
      <c r="A105" s="15" t="s">
        <v>260</v>
      </c>
      <c r="B105" s="15" t="s">
        <v>589</v>
      </c>
      <c r="C105" s="15" t="s">
        <v>590</v>
      </c>
    </row>
    <row r="106" spans="1:3">
      <c r="A106" s="15" t="s">
        <v>265</v>
      </c>
      <c r="B106" s="15" t="s">
        <v>589</v>
      </c>
      <c r="C106" s="15" t="s">
        <v>590</v>
      </c>
    </row>
    <row r="107" spans="1:3">
      <c r="A107" s="15" t="s">
        <v>303</v>
      </c>
      <c r="B107" s="15" t="s">
        <v>589</v>
      </c>
      <c r="C107" s="15" t="s">
        <v>590</v>
      </c>
    </row>
    <row r="108" spans="1:3">
      <c r="A108" s="15" t="s">
        <v>299</v>
      </c>
      <c r="B108" s="15" t="s">
        <v>589</v>
      </c>
      <c r="C108" s="15" t="s">
        <v>590</v>
      </c>
    </row>
    <row r="109" spans="1:3">
      <c r="A109" s="15" t="s">
        <v>257</v>
      </c>
      <c r="B109" s="15" t="s">
        <v>589</v>
      </c>
      <c r="C109" s="15" t="s">
        <v>590</v>
      </c>
    </row>
    <row r="110" spans="1:3">
      <c r="A110" s="15" t="s">
        <v>246</v>
      </c>
      <c r="B110" s="15" t="s">
        <v>589</v>
      </c>
      <c r="C110" s="15" t="s">
        <v>590</v>
      </c>
    </row>
    <row r="111" spans="1:3">
      <c r="A111" s="15" t="s">
        <v>255</v>
      </c>
      <c r="B111" s="15" t="s">
        <v>589</v>
      </c>
      <c r="C111" s="15" t="s">
        <v>590</v>
      </c>
    </row>
    <row r="112" spans="1:3">
      <c r="A112" s="15" t="s">
        <v>245</v>
      </c>
      <c r="B112" s="15" t="s">
        <v>589</v>
      </c>
      <c r="C112" s="15" t="s">
        <v>590</v>
      </c>
    </row>
    <row r="113" spans="1:3">
      <c r="A113" s="15" t="s">
        <v>185</v>
      </c>
      <c r="B113" s="15" t="s">
        <v>589</v>
      </c>
      <c r="C113" s="15" t="s">
        <v>590</v>
      </c>
    </row>
    <row r="114" spans="1:3">
      <c r="A114" s="15" t="s">
        <v>243</v>
      </c>
      <c r="B114" s="15" t="s">
        <v>589</v>
      </c>
      <c r="C114" s="15" t="s">
        <v>590</v>
      </c>
    </row>
    <row r="115" spans="1:3">
      <c r="A115" s="15" t="s">
        <v>249</v>
      </c>
      <c r="B115" s="15" t="s">
        <v>589</v>
      </c>
      <c r="C115" s="15" t="s">
        <v>590</v>
      </c>
    </row>
    <row r="116" spans="1:3">
      <c r="A116" s="15" t="s">
        <v>251</v>
      </c>
      <c r="B116" s="15" t="s">
        <v>589</v>
      </c>
      <c r="C116" s="15" t="s">
        <v>590</v>
      </c>
    </row>
    <row r="117" spans="1:3">
      <c r="A117" s="15" t="s">
        <v>252</v>
      </c>
      <c r="B117" s="15" t="s">
        <v>589</v>
      </c>
      <c r="C117" s="15" t="s">
        <v>590</v>
      </c>
    </row>
    <row r="118" spans="1:3">
      <c r="A118" s="15" t="s">
        <v>248</v>
      </c>
      <c r="B118" s="15" t="s">
        <v>589</v>
      </c>
      <c r="C118" s="15" t="s">
        <v>590</v>
      </c>
    </row>
    <row r="119" spans="1:3">
      <c r="A119" s="15" t="s">
        <v>250</v>
      </c>
      <c r="B119" s="15" t="s">
        <v>589</v>
      </c>
      <c r="C119" s="15" t="s">
        <v>590</v>
      </c>
    </row>
    <row r="120" spans="1:3">
      <c r="A120" s="15" t="s">
        <v>247</v>
      </c>
      <c r="B120" s="15" t="s">
        <v>589</v>
      </c>
      <c r="C120" s="15" t="s">
        <v>590</v>
      </c>
    </row>
    <row r="121" spans="1:3">
      <c r="A121" s="15" t="s">
        <v>181</v>
      </c>
      <c r="B121" s="15" t="s">
        <v>589</v>
      </c>
      <c r="C121" s="15" t="s">
        <v>590</v>
      </c>
    </row>
    <row r="122" spans="1:3">
      <c r="A122" s="15" t="s">
        <v>253</v>
      </c>
      <c r="B122" s="15" t="s">
        <v>589</v>
      </c>
      <c r="C122" s="15" t="s">
        <v>590</v>
      </c>
    </row>
    <row r="123" spans="1:3">
      <c r="A123" s="15" t="s">
        <v>259</v>
      </c>
      <c r="B123" s="15" t="s">
        <v>589</v>
      </c>
      <c r="C123" s="15" t="s">
        <v>590</v>
      </c>
    </row>
    <row r="124" spans="1:3">
      <c r="A124" s="15" t="s">
        <v>258</v>
      </c>
      <c r="B124" s="15" t="s">
        <v>589</v>
      </c>
      <c r="C124" s="15" t="s">
        <v>590</v>
      </c>
    </row>
    <row r="125" spans="1:3">
      <c r="A125" s="15" t="s">
        <v>242</v>
      </c>
      <c r="B125" s="15" t="s">
        <v>589</v>
      </c>
      <c r="C125" s="15" t="s">
        <v>590</v>
      </c>
    </row>
    <row r="126" spans="1:3">
      <c r="A126" s="15" t="s">
        <v>582</v>
      </c>
      <c r="B126" s="15" t="s">
        <v>589</v>
      </c>
      <c r="C126" s="15" t="s">
        <v>590</v>
      </c>
    </row>
    <row r="127" spans="1:3">
      <c r="A127" s="15" t="s">
        <v>256</v>
      </c>
      <c r="B127" s="15" t="s">
        <v>589</v>
      </c>
      <c r="C127" s="15" t="s">
        <v>590</v>
      </c>
    </row>
    <row r="128" spans="1:3">
      <c r="A128" s="15" t="s">
        <v>201</v>
      </c>
      <c r="B128" s="15" t="s">
        <v>589</v>
      </c>
      <c r="C128" s="15" t="s">
        <v>590</v>
      </c>
    </row>
    <row r="129" spans="1:3">
      <c r="A129" s="15" t="s">
        <v>254</v>
      </c>
      <c r="B129" s="15" t="s">
        <v>589</v>
      </c>
      <c r="C129" s="15" t="s">
        <v>590</v>
      </c>
    </row>
    <row r="130" spans="1:3">
      <c r="A130" s="15" t="s">
        <v>204</v>
      </c>
      <c r="B130" s="15" t="s">
        <v>589</v>
      </c>
      <c r="C130" s="15" t="s">
        <v>590</v>
      </c>
    </row>
    <row r="131" spans="1:3">
      <c r="A131" s="15" t="s">
        <v>298</v>
      </c>
      <c r="B131" s="15" t="s">
        <v>589</v>
      </c>
      <c r="C131" s="15" t="s">
        <v>590</v>
      </c>
    </row>
  </sheetData>
  <sortState xmlns:xlrd2="http://schemas.microsoft.com/office/spreadsheetml/2017/richdata2" ref="A2:A131">
    <sortCondition ref="A1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2024-03-01T10:01:44Z</dcterms:modified>
</cp:coreProperties>
</file>