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"/>
    </mc:Choice>
  </mc:AlternateContent>
  <xr:revisionPtr revIDLastSave="0" documentId="13_ncr:1_{D02FCA23-02B8-4AA4-969C-5BA8A9C542E9}" xr6:coauthVersionLast="47" xr6:coauthVersionMax="47" xr10:uidLastSave="{00000000-0000-0000-0000-000000000000}"/>
  <bookViews>
    <workbookView xWindow="-120" yWindow="-120" windowWidth="20730" windowHeight="11160" xr2:uid="{54D09946-E7FE-4E48-AED8-A6C67471F458}"/>
  </bookViews>
  <sheets>
    <sheet name="PETUNJUK" sheetId="2" r:id="rId1"/>
  </sheets>
  <definedNames>
    <definedName name="_xlnm._FilterDatabase" localSheetId="0" hidden="1">PETUNJUK!$DQ$1:$DQ$2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2" l="1"/>
  <c r="DH1" i="2" l="1"/>
  <c r="CT3" i="2" l="1"/>
  <c r="DJ1" i="2" s="1"/>
  <c r="DI5" i="2" s="1"/>
  <c r="CX2" i="2"/>
  <c r="DA4" i="2" s="1"/>
  <c r="DH2" i="2"/>
  <c r="CQ1" i="2"/>
  <c r="CT2" i="2" s="1"/>
  <c r="DI1" i="2" l="1"/>
  <c r="DI4" i="2" s="1"/>
  <c r="DH3" i="2"/>
  <c r="DI3" i="2" l="1"/>
  <c r="DI2" i="2"/>
  <c r="DI6" i="2"/>
  <c r="DC19" i="2" l="1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</calcChain>
</file>

<file path=xl/sharedStrings.xml><?xml version="1.0" encoding="utf-8"?>
<sst xmlns="http://schemas.openxmlformats.org/spreadsheetml/2006/main" count="240" uniqueCount="92">
  <si>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</si>
  <si>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</si>
  <si>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</si>
  <si>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</si>
  <si>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</si>
  <si>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</si>
  <si>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</si>
  <si>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</si>
  <si>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</si>
  <si>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</si>
  <si>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</si>
  <si>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</si>
  <si>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</si>
  <si>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</si>
  <si>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</si>
  <si>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</si>
  <si>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</si>
  <si>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</si>
  <si>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</si>
  <si>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</si>
  <si>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</si>
  <si>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</si>
  <si>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</si>
  <si>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</si>
  <si>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</si>
  <si>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</si>
  <si>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</si>
  <si>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</si>
  <si>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</si>
  <si>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</si>
  <si>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</si>
  <si>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630900</t>
  </si>
  <si>
    <t>1205.801160</t>
  </si>
  <si>
    <t>630720</t>
  </si>
  <si>
    <t>631000</t>
  </si>
  <si>
    <t>1206.801160</t>
  </si>
  <si>
    <t>630730</t>
  </si>
  <si>
    <t>630450</t>
  </si>
  <si>
    <t>630740</t>
  </si>
  <si>
    <t>631100</t>
  </si>
  <si>
    <t>1204.630200</t>
  </si>
  <si>
    <t>630750</t>
  </si>
  <si>
    <t>710200</t>
  </si>
  <si>
    <t>1205.630200</t>
  </si>
  <si>
    <t>630760</t>
  </si>
  <si>
    <t>720100</t>
  </si>
  <si>
    <t>1206.630200</t>
  </si>
  <si>
    <t>630770</t>
  </si>
  <si>
    <t>720400</t>
  </si>
  <si>
    <t>720500</t>
  </si>
  <si>
    <t>1204.630520</t>
  </si>
  <si>
    <t>730200</t>
  </si>
  <si>
    <t>1205.630520</t>
  </si>
  <si>
    <t>730300</t>
  </si>
  <si>
    <t>1206.630520</t>
  </si>
  <si>
    <t>801110</t>
  </si>
  <si>
    <t>1201.630530</t>
  </si>
  <si>
    <t>801120</t>
  </si>
  <si>
    <t>1204.630530</t>
  </si>
  <si>
    <t>802120</t>
  </si>
  <si>
    <t>1205.630530</t>
  </si>
  <si>
    <t>802140</t>
  </si>
  <si>
    <t>1206.630530</t>
  </si>
  <si>
    <t>805120</t>
  </si>
  <si>
    <t>807100</t>
  </si>
  <si>
    <t>1204.630600</t>
  </si>
  <si>
    <t>808100</t>
  </si>
  <si>
    <t>1205.630600</t>
  </si>
  <si>
    <t>809100</t>
  </si>
  <si>
    <t>1206.630600</t>
  </si>
  <si>
    <t>810110;810120;810130</t>
  </si>
  <si>
    <t>ELECTRICITY</t>
  </si>
  <si>
    <t>812100</t>
  </si>
  <si>
    <t>1204.630400</t>
  </si>
  <si>
    <t>813100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</si>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</sst>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_(&quot;$&quot;* #,##0_);_(&quot;$&quot;* \(#,##0\);_(&quot;$&quot;* &quot;-&quot;??_);_(@_)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36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6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7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right"/>
    </xf>
    <xf numFmtId="0" fontId="0" fillId="0" borderId="1" xfId="0" applyBorder="1"/>
    <xf numFmtId="0" fontId="0" fillId="3" borderId="7" xfId="0" applyFill="1" applyBorder="1" applyAlignment="1">
      <alignment horizontal="right"/>
    </xf>
    <xf numFmtId="0" fontId="0" fillId="3" borderId="8" xfId="0" applyFill="1" applyBorder="1"/>
    <xf numFmtId="0" fontId="0" fillId="3" borderId="2" xfId="0" applyFill="1" applyBorder="1" applyAlignment="1">
      <alignment horizontal="right"/>
    </xf>
    <xf numFmtId="169" fontId="2" fillId="0" borderId="3" xfId="0" applyNumberFormat="1" applyFont="1" applyBorder="1" applyAlignment="1">
      <alignment horizontal="center" vertical="center"/>
    </xf>
    <xf numFmtId="169" fontId="2" fillId="0" borderId="4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_COSTU-05" xfId="1" xr:uid="{E4AE1FB3-9A28-4C87-BD9B-FAF2A0954E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30"/>
  <sheetViews>
    <sheetView tabSelected="1" zoomScale="85" zoomScaleNormal="85" workbookViewId="0">
      <selection activeCell="O34" sqref="O34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2.140625" style="1" bestFit="1" customWidth="1"/>
    <col min="12" max="14" width="9.140625" customWidth="1"/>
    <col min="15" max="15" width="18.28515625" bestFit="1" customWidth="1"/>
    <col min="16" max="16" width="83" bestFit="1" customWidth="1"/>
    <col min="17" max="17" width="11.5703125" bestFit="1" customWidth="1"/>
    <col min="18" max="93" width="9.140625" customWidth="1"/>
    <col min="94" max="94" width="16.140625" bestFit="1" customWidth="1"/>
    <col min="95" max="95" width="13.5703125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26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>
      <c r="AM1" s="35" t="s">
        <v>75</v>
      </c>
      <c r="AN1" t="s">
        <v>22</v>
      </c>
      <c r="AO1" t="s">
        <v>1</v>
      </c>
      <c r="AP1" t="s">
        <v>76</v>
      </c>
      <c r="CP1" t="s">
        <v>77</v>
      </c>
      <c r="CQ1" s="2">
        <f ca="1">TODAY()</f>
        <v>45321</v>
      </c>
      <c r="CS1" t="s">
        <v>78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45292</v>
      </c>
      <c r="DD1">
        <f ca="1">IF(DC1&lt;&gt;"",WEEKNUM(DC1,2),"")</f>
        <v>1</v>
      </c>
      <c r="DE1">
        <v>1</v>
      </c>
      <c r="DF1" s="3" t="s">
        <v>0</v>
      </c>
      <c r="DG1" s="4" t="s">
        <v>79</v>
      </c>
      <c r="DH1" s="2">
        <f ca="1">TODAY()-1</f>
        <v>45320</v>
      </c>
      <c r="DI1" s="2" t="str">
        <f ca="1">CONCATENATE(B7,"/",DH2,"/",CT3)</f>
        <v>01/29/2024</v>
      </c>
      <c r="DJ1" s="2" t="str">
        <f ca="1">CONCATENATE(B7,"/",CT1,"/",CT3)</f>
        <v>01/1/2024</v>
      </c>
      <c r="DL1" s="2">
        <f ca="1">DC1</f>
        <v>45292</v>
      </c>
      <c r="DM1" s="2">
        <v>44780</v>
      </c>
      <c r="DN1" t="s">
        <v>80</v>
      </c>
      <c r="DO1" s="5"/>
      <c r="DQ1" t="s">
        <v>81</v>
      </c>
      <c r="DR1" t="s">
        <v>76</v>
      </c>
      <c r="DT1" t="s">
        <v>82</v>
      </c>
      <c r="DU1" t="s">
        <v>1</v>
      </c>
      <c r="DV1" t="s">
        <v>76</v>
      </c>
      <c r="DX1" s="6" t="s">
        <v>2</v>
      </c>
      <c r="DY1" s="6" t="s">
        <v>81</v>
      </c>
      <c r="DZ1" s="6" t="s">
        <v>76</v>
      </c>
    </row>
    <row r="2" spans="1:130">
      <c r="B2" t="s">
        <v>14</v>
      </c>
      <c r="I2" s="6" t="s">
        <v>2</v>
      </c>
      <c r="J2" s="6" t="s">
        <v>81</v>
      </c>
      <c r="K2" s="6" t="s">
        <v>76</v>
      </c>
      <c r="O2" s="28"/>
      <c r="P2" s="28"/>
      <c r="AM2" s="35"/>
      <c r="AO2" t="s">
        <v>4</v>
      </c>
      <c r="AP2" s="16">
        <v>450000</v>
      </c>
      <c r="CS2" t="s">
        <v>85</v>
      </c>
      <c r="CT2">
        <f ca="1">DAY(EOMONTH(CQ1,0))</f>
        <v>31</v>
      </c>
      <c r="CW2">
        <v>2</v>
      </c>
      <c r="CX2">
        <f>IF(MOD(B8,4)=0,29,28)</f>
        <v>29</v>
      </c>
      <c r="CZ2">
        <v>8</v>
      </c>
      <c r="DA2">
        <v>14</v>
      </c>
      <c r="DB2">
        <v>2</v>
      </c>
      <c r="DC2" s="2">
        <f t="shared" ref="DC2:DC30" ca="1" si="0">IF(DB2&lt;=$DI$2,DATE($DI$4,$DI$3,DB2),"")</f>
        <v>45293</v>
      </c>
      <c r="DD2">
        <f ca="1">IF(DC2&lt;&gt;"",WEEKNUM(DC2,2),"")</f>
        <v>1</v>
      </c>
      <c r="DE2">
        <f ca="1">IF(DD2&lt;&gt;"",IF(DD2=DD1,DE1,DE1+1),"")</f>
        <v>1</v>
      </c>
      <c r="DF2" s="3" t="s">
        <v>3</v>
      </c>
      <c r="DG2" s="4" t="s">
        <v>79</v>
      </c>
      <c r="DH2">
        <f ca="1">DAY(DH1)</f>
        <v>29</v>
      </c>
      <c r="DI2">
        <f ca="1">DAY(DI1)</f>
        <v>29</v>
      </c>
      <c r="DJ2" s="2"/>
      <c r="DL2" s="2">
        <v>44781</v>
      </c>
      <c r="DM2" s="2">
        <v>44787</v>
      </c>
      <c r="DN2" t="s">
        <v>4</v>
      </c>
      <c r="DO2">
        <v>1</v>
      </c>
      <c r="DQ2" t="s">
        <v>0</v>
      </c>
      <c r="DR2" s="7">
        <v>260250</v>
      </c>
      <c r="DT2">
        <v>1</v>
      </c>
      <c r="DU2" t="s">
        <v>4</v>
      </c>
      <c r="DV2" s="7">
        <v>260250</v>
      </c>
      <c r="DW2" s="7"/>
      <c r="DX2" s="8">
        <v>1</v>
      </c>
      <c r="DY2" s="9" t="s">
        <v>0</v>
      </c>
      <c r="DZ2" s="10">
        <v>450000</v>
      </c>
    </row>
    <row r="3" spans="1:130">
      <c r="B3" t="s">
        <v>14</v>
      </c>
      <c r="I3" s="8">
        <v>1</v>
      </c>
      <c r="J3" s="9" t="s">
        <v>0</v>
      </c>
      <c r="K3" s="32">
        <v>260250</v>
      </c>
      <c r="O3" s="28"/>
      <c r="P3" s="28"/>
      <c r="AM3" s="35"/>
      <c r="AO3" t="s">
        <v>6</v>
      </c>
      <c r="AP3" s="16">
        <v>21000</v>
      </c>
      <c r="CT3">
        <f>B8</f>
        <v>2024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45294</v>
      </c>
      <c r="DD3">
        <f ca="1">IF(DC3&lt;&gt;"",WEEKNUM(DC3,2),"")</f>
        <v>1</v>
      </c>
      <c r="DE3">
        <f ca="1">IF(DD3&lt;&gt;"",IF(DD3=DD2,DE2,DE2+1),"")</f>
        <v>1</v>
      </c>
      <c r="DF3" s="3" t="s">
        <v>5</v>
      </c>
      <c r="DG3" s="11" t="s">
        <v>79</v>
      </c>
      <c r="DH3">
        <f ca="1">MONTH(DH1)</f>
        <v>1</v>
      </c>
      <c r="DI3">
        <f ca="1">MONTH(DI1)</f>
        <v>1</v>
      </c>
      <c r="DJ3" s="2"/>
      <c r="DL3" s="2">
        <v>44788</v>
      </c>
      <c r="DM3" s="2">
        <v>44794</v>
      </c>
      <c r="DN3" t="s">
        <v>6</v>
      </c>
      <c r="DO3">
        <v>2</v>
      </c>
      <c r="DQ3" t="s">
        <v>7</v>
      </c>
      <c r="DR3" s="7">
        <v>10343.979499999999</v>
      </c>
      <c r="DT3">
        <v>2</v>
      </c>
      <c r="DU3" t="s">
        <v>6</v>
      </c>
      <c r="DV3" s="7">
        <v>10343.979499999999</v>
      </c>
      <c r="DW3" s="7"/>
      <c r="DX3" s="8">
        <v>2</v>
      </c>
      <c r="DY3" s="9" t="s">
        <v>3</v>
      </c>
      <c r="DZ3" s="10">
        <v>0</v>
      </c>
    </row>
    <row r="4" spans="1:130">
      <c r="A4" s="2"/>
      <c r="B4" t="s">
        <v>14</v>
      </c>
      <c r="I4" s="8">
        <v>2</v>
      </c>
      <c r="J4" s="9" t="s">
        <v>3</v>
      </c>
      <c r="K4" s="33"/>
      <c r="O4" s="28"/>
      <c r="P4" s="28"/>
      <c r="AM4" s="35"/>
      <c r="AO4" t="s">
        <v>9</v>
      </c>
      <c r="AP4" s="16">
        <v>28000</v>
      </c>
      <c r="CW4">
        <v>4</v>
      </c>
      <c r="CX4">
        <v>30</v>
      </c>
      <c r="CZ4">
        <v>22</v>
      </c>
      <c r="DA4" t="e">
        <f ca="1">VLOOKUP(B7,CW:CX,2,0)</f>
        <v>#N/A</v>
      </c>
      <c r="DB4">
        <v>4</v>
      </c>
      <c r="DC4" s="2">
        <f t="shared" ca="1" si="0"/>
        <v>45295</v>
      </c>
      <c r="DD4">
        <f t="shared" ref="DD4:DD30" ca="1" si="1">IF(DC4&lt;&gt;"",WEEKNUM(DC4,2),"")</f>
        <v>1</v>
      </c>
      <c r="DE4">
        <f t="shared" ref="DE4:DE30" ca="1" si="2">IF(DD4&lt;&gt;"",IF(DD4=DD3,DE3,DE3+1),"")</f>
        <v>1</v>
      </c>
      <c r="DF4" s="3" t="s">
        <v>8</v>
      </c>
      <c r="DG4" s="4" t="s">
        <v>79</v>
      </c>
      <c r="DH4" t="s">
        <v>86</v>
      </c>
      <c r="DI4">
        <f ca="1">YEAR(DI1)</f>
        <v>2024</v>
      </c>
      <c r="DJ4" s="2"/>
      <c r="DL4" s="2">
        <v>44795</v>
      </c>
      <c r="DM4" s="2">
        <v>44801</v>
      </c>
      <c r="DN4" t="s">
        <v>9</v>
      </c>
      <c r="DO4">
        <v>3</v>
      </c>
      <c r="DQ4" t="s">
        <v>10</v>
      </c>
      <c r="DR4" s="7">
        <v>15885.723</v>
      </c>
      <c r="DT4">
        <v>3</v>
      </c>
      <c r="DU4" t="s">
        <v>9</v>
      </c>
      <c r="DV4" s="7">
        <v>15885.723</v>
      </c>
      <c r="DW4" s="7"/>
      <c r="DX4" s="8">
        <v>3</v>
      </c>
      <c r="DY4" s="9" t="s">
        <v>5</v>
      </c>
      <c r="DZ4" s="10">
        <v>0</v>
      </c>
    </row>
    <row r="5" spans="1:130">
      <c r="B5" t="s">
        <v>14</v>
      </c>
      <c r="I5" s="8">
        <v>3</v>
      </c>
      <c r="J5" s="9" t="s">
        <v>5</v>
      </c>
      <c r="K5" s="33"/>
      <c r="AM5" s="35"/>
      <c r="AO5" t="s">
        <v>11</v>
      </c>
      <c r="AP5" s="16">
        <v>12000</v>
      </c>
      <c r="CW5">
        <v>5</v>
      </c>
      <c r="CX5">
        <v>31</v>
      </c>
      <c r="DB5">
        <v>5</v>
      </c>
      <c r="DC5" s="2">
        <f t="shared" ca="1" si="0"/>
        <v>45296</v>
      </c>
      <c r="DD5">
        <f t="shared" ca="1" si="1"/>
        <v>1</v>
      </c>
      <c r="DE5">
        <f t="shared" ca="1" si="2"/>
        <v>1</v>
      </c>
      <c r="DF5" s="3" t="s">
        <v>7</v>
      </c>
      <c r="DG5" s="4" t="s">
        <v>87</v>
      </c>
      <c r="DI5">
        <f ca="1">DAY(EOMONTH(DJ1,0))</f>
        <v>31</v>
      </c>
      <c r="DL5" s="2">
        <v>44802</v>
      </c>
      <c r="DM5" s="2">
        <v>44802</v>
      </c>
      <c r="DN5" t="s">
        <v>11</v>
      </c>
      <c r="DO5">
        <v>4</v>
      </c>
      <c r="DQ5" t="s">
        <v>12</v>
      </c>
      <c r="DR5" s="7">
        <v>7303</v>
      </c>
      <c r="DT5">
        <v>4</v>
      </c>
      <c r="DU5" t="s">
        <v>11</v>
      </c>
      <c r="DV5" s="7">
        <v>7303</v>
      </c>
      <c r="DW5" s="7"/>
      <c r="DX5" s="8">
        <v>4</v>
      </c>
      <c r="DY5" s="9" t="s">
        <v>8</v>
      </c>
      <c r="DZ5" s="10">
        <v>0</v>
      </c>
    </row>
    <row r="6" spans="1:130" ht="15.75" thickBot="1">
      <c r="B6" t="s">
        <v>14</v>
      </c>
      <c r="I6" s="8">
        <v>4</v>
      </c>
      <c r="J6" s="9" t="s">
        <v>8</v>
      </c>
      <c r="K6" s="34"/>
      <c r="AM6" s="35"/>
      <c r="AO6" t="s">
        <v>17</v>
      </c>
      <c r="AP6" s="16">
        <v>16000</v>
      </c>
      <c r="CW6">
        <v>6</v>
      </c>
      <c r="CX6">
        <v>30</v>
      </c>
      <c r="DB6">
        <v>6</v>
      </c>
      <c r="DC6" s="2">
        <f t="shared" ca="1" si="0"/>
        <v>45297</v>
      </c>
      <c r="DD6">
        <f t="shared" ca="1" si="1"/>
        <v>1</v>
      </c>
      <c r="DE6">
        <f t="shared" ca="1" si="2"/>
        <v>1</v>
      </c>
      <c r="DF6" s="3" t="s">
        <v>13</v>
      </c>
      <c r="DG6" s="4" t="s">
        <v>87</v>
      </c>
      <c r="DI6" t="str">
        <f ca="1">SUBSTITUTE(DI1,"/","-")</f>
        <v>01-29-2024</v>
      </c>
      <c r="DL6" s="2" t="s">
        <v>14</v>
      </c>
      <c r="DN6" t="s">
        <v>15</v>
      </c>
      <c r="DO6">
        <v>5</v>
      </c>
      <c r="DQ6" t="s">
        <v>16</v>
      </c>
      <c r="DR6" s="7">
        <v>3000</v>
      </c>
      <c r="DT6">
        <v>5</v>
      </c>
      <c r="DU6" t="s">
        <v>17</v>
      </c>
      <c r="DV6" s="7">
        <v>3000</v>
      </c>
      <c r="DW6" s="7"/>
      <c r="DX6" s="8">
        <v>5</v>
      </c>
      <c r="DY6" s="12" t="s">
        <v>7</v>
      </c>
      <c r="DZ6" s="10">
        <v>21000</v>
      </c>
    </row>
    <row r="7" spans="1:130">
      <c r="A7" s="29" t="s">
        <v>88</v>
      </c>
      <c r="B7" s="31" t="str">
        <f ca="1">TEXT(NOW(),"mm")</f>
        <v>01</v>
      </c>
      <c r="I7" s="8">
        <v>5</v>
      </c>
      <c r="J7" s="12" t="s">
        <v>7</v>
      </c>
      <c r="K7" s="32">
        <v>10343.979499999999</v>
      </c>
      <c r="AM7" s="35"/>
      <c r="AO7" t="s">
        <v>21</v>
      </c>
      <c r="AP7" s="16">
        <v>278453</v>
      </c>
      <c r="CW7">
        <v>7</v>
      </c>
      <c r="CX7">
        <v>31</v>
      </c>
      <c r="DA7" s="5"/>
      <c r="DB7">
        <v>7</v>
      </c>
      <c r="DC7" s="2">
        <f t="shared" ca="1" si="0"/>
        <v>45298</v>
      </c>
      <c r="DD7">
        <f t="shared" ca="1" si="1"/>
        <v>1</v>
      </c>
      <c r="DE7">
        <f ca="1">IF(DD7&lt;&gt;"",IF(DD7=DD6,DE6,DE6+1),"")</f>
        <v>1</v>
      </c>
      <c r="DF7" s="3" t="s">
        <v>18</v>
      </c>
      <c r="DG7" s="4" t="s">
        <v>87</v>
      </c>
      <c r="DI7" s="13"/>
      <c r="DJ7" s="13"/>
      <c r="DN7" t="s">
        <v>19</v>
      </c>
      <c r="DO7">
        <v>5</v>
      </c>
      <c r="DQ7" t="s">
        <v>20</v>
      </c>
      <c r="DR7" s="7">
        <v>327475.06</v>
      </c>
      <c r="DT7">
        <v>6</v>
      </c>
      <c r="DU7" t="s">
        <v>21</v>
      </c>
      <c r="DV7" s="7">
        <v>327475.06</v>
      </c>
      <c r="DW7" s="7"/>
      <c r="DX7" s="8">
        <v>6</v>
      </c>
      <c r="DY7" s="12" t="s">
        <v>13</v>
      </c>
      <c r="DZ7" s="10">
        <v>0</v>
      </c>
    </row>
    <row r="8" spans="1:130" ht="15.75" thickBot="1">
      <c r="A8" s="27" t="s">
        <v>89</v>
      </c>
      <c r="B8" s="30">
        <v>2024</v>
      </c>
      <c r="I8" s="8">
        <v>6</v>
      </c>
      <c r="J8" s="12" t="s">
        <v>13</v>
      </c>
      <c r="K8" s="33"/>
      <c r="AM8" s="35"/>
      <c r="AO8" t="s">
        <v>25</v>
      </c>
      <c r="AP8" s="16">
        <v>16000</v>
      </c>
      <c r="CW8">
        <v>8</v>
      </c>
      <c r="CX8">
        <v>31</v>
      </c>
      <c r="DB8">
        <v>8</v>
      </c>
      <c r="DC8" s="2">
        <f t="shared" ca="1" si="0"/>
        <v>45299</v>
      </c>
      <c r="DD8">
        <f t="shared" ca="1" si="1"/>
        <v>2</v>
      </c>
      <c r="DE8">
        <f t="shared" ca="1" si="2"/>
        <v>2</v>
      </c>
      <c r="DF8" s="3" t="s">
        <v>23</v>
      </c>
      <c r="DG8" s="4" t="s">
        <v>87</v>
      </c>
      <c r="DI8" s="14"/>
      <c r="DJ8" s="15"/>
      <c r="DN8" t="s">
        <v>21</v>
      </c>
      <c r="DO8">
        <v>6</v>
      </c>
      <c r="DQ8" t="s">
        <v>24</v>
      </c>
      <c r="DR8" s="7">
        <v>6500</v>
      </c>
      <c r="DT8">
        <v>7</v>
      </c>
      <c r="DU8" t="s">
        <v>25</v>
      </c>
      <c r="DV8" s="7">
        <v>6500</v>
      </c>
      <c r="DW8" s="7"/>
      <c r="DX8" s="8">
        <v>7</v>
      </c>
      <c r="DY8" s="12" t="s">
        <v>18</v>
      </c>
      <c r="DZ8" s="10">
        <v>0</v>
      </c>
    </row>
    <row r="9" spans="1:130">
      <c r="I9" s="8">
        <v>7</v>
      </c>
      <c r="J9" s="12" t="s">
        <v>18</v>
      </c>
      <c r="K9" s="33"/>
      <c r="AM9" s="35"/>
      <c r="AO9" t="s">
        <v>28</v>
      </c>
      <c r="AP9" s="16">
        <v>8000</v>
      </c>
      <c r="CW9">
        <v>9</v>
      </c>
      <c r="CX9">
        <v>30</v>
      </c>
      <c r="DB9">
        <v>9</v>
      </c>
      <c r="DC9" s="2">
        <f t="shared" ca="1" si="0"/>
        <v>45300</v>
      </c>
      <c r="DD9">
        <f t="shared" ca="1" si="1"/>
        <v>2</v>
      </c>
      <c r="DE9">
        <f t="shared" ca="1" si="2"/>
        <v>2</v>
      </c>
      <c r="DF9" s="3" t="s">
        <v>10</v>
      </c>
      <c r="DG9" s="4" t="s">
        <v>26</v>
      </c>
      <c r="DI9" s="14"/>
      <c r="DJ9" s="15"/>
      <c r="DN9" t="s">
        <v>25</v>
      </c>
      <c r="DO9">
        <v>7</v>
      </c>
      <c r="DQ9" t="s">
        <v>27</v>
      </c>
      <c r="DR9" s="7">
        <v>5173</v>
      </c>
      <c r="DT9">
        <v>8</v>
      </c>
      <c r="DU9" t="s">
        <v>28</v>
      </c>
      <c r="DV9" s="7">
        <v>5173</v>
      </c>
      <c r="DW9" s="7"/>
      <c r="DX9" s="8">
        <v>8</v>
      </c>
      <c r="DY9" s="12" t="s">
        <v>23</v>
      </c>
      <c r="DZ9" s="10">
        <v>0</v>
      </c>
    </row>
    <row r="10" spans="1:130">
      <c r="I10" s="8">
        <v>8</v>
      </c>
      <c r="J10" s="12" t="s">
        <v>23</v>
      </c>
      <c r="K10" s="34"/>
      <c r="AM10" s="35"/>
      <c r="AO10" t="s">
        <v>31</v>
      </c>
      <c r="AP10" s="16">
        <v>4000</v>
      </c>
      <c r="CW10">
        <v>10</v>
      </c>
      <c r="CX10">
        <v>31</v>
      </c>
      <c r="DB10">
        <v>10</v>
      </c>
      <c r="DC10" s="2">
        <f t="shared" ca="1" si="0"/>
        <v>45301</v>
      </c>
      <c r="DD10">
        <f t="shared" ca="1" si="1"/>
        <v>2</v>
      </c>
      <c r="DE10">
        <f t="shared" ca="1" si="2"/>
        <v>2</v>
      </c>
      <c r="DF10" s="3" t="s">
        <v>29</v>
      </c>
      <c r="DG10" s="4" t="s">
        <v>26</v>
      </c>
      <c r="DI10" s="14"/>
      <c r="DJ10" s="17"/>
      <c r="DN10" t="s">
        <v>30</v>
      </c>
      <c r="DO10">
        <v>8</v>
      </c>
      <c r="DT10">
        <v>9</v>
      </c>
      <c r="DU10" t="s">
        <v>31</v>
      </c>
      <c r="DV10" s="7">
        <v>3431.8</v>
      </c>
      <c r="DW10" s="7"/>
      <c r="DX10" s="8">
        <v>9</v>
      </c>
      <c r="DY10" s="18" t="s">
        <v>10</v>
      </c>
      <c r="DZ10" s="10">
        <v>28000</v>
      </c>
    </row>
    <row r="11" spans="1:130">
      <c r="A11" s="19"/>
      <c r="I11" s="8">
        <v>9</v>
      </c>
      <c r="J11" s="18" t="s">
        <v>10</v>
      </c>
      <c r="K11" s="32">
        <v>15885.723</v>
      </c>
      <c r="AM11" s="35"/>
      <c r="AO11" t="s">
        <v>34</v>
      </c>
      <c r="AP11" s="16">
        <v>22000</v>
      </c>
      <c r="CW11">
        <v>11</v>
      </c>
      <c r="CX11">
        <v>30</v>
      </c>
      <c r="DB11">
        <v>11</v>
      </c>
      <c r="DC11" s="2">
        <f t="shared" ca="1" si="0"/>
        <v>45302</v>
      </c>
      <c r="DD11">
        <f t="shared" ca="1" si="1"/>
        <v>2</v>
      </c>
      <c r="DE11">
        <f t="shared" ca="1" si="2"/>
        <v>2</v>
      </c>
      <c r="DF11" s="3" t="s">
        <v>32</v>
      </c>
      <c r="DG11" s="4" t="s">
        <v>26</v>
      </c>
      <c r="DI11" s="14"/>
      <c r="DJ11" s="15"/>
      <c r="DN11" t="s">
        <v>33</v>
      </c>
      <c r="DO11">
        <v>8</v>
      </c>
      <c r="DT11">
        <v>10</v>
      </c>
      <c r="DU11" t="s">
        <v>34</v>
      </c>
      <c r="DV11" s="7">
        <v>10096.219999999999</v>
      </c>
      <c r="DW11" s="7"/>
      <c r="DX11" s="8">
        <v>10</v>
      </c>
      <c r="DY11" s="18" t="s">
        <v>29</v>
      </c>
      <c r="DZ11" s="10">
        <v>0</v>
      </c>
    </row>
    <row r="12" spans="1:130">
      <c r="I12" s="8">
        <v>10</v>
      </c>
      <c r="J12" s="18" t="s">
        <v>29</v>
      </c>
      <c r="K12" s="33"/>
      <c r="AM12" s="35"/>
      <c r="AO12" t="s">
        <v>37</v>
      </c>
      <c r="AP12" s="16">
        <v>300</v>
      </c>
      <c r="CW12">
        <v>12</v>
      </c>
      <c r="CX12">
        <v>31</v>
      </c>
      <c r="DB12">
        <v>12</v>
      </c>
      <c r="DC12" s="2">
        <f t="shared" ca="1" si="0"/>
        <v>45303</v>
      </c>
      <c r="DD12">
        <f t="shared" ca="1" si="1"/>
        <v>2</v>
      </c>
      <c r="DE12">
        <f t="shared" ca="1" si="2"/>
        <v>2</v>
      </c>
      <c r="DF12" s="3" t="s">
        <v>35</v>
      </c>
      <c r="DG12" s="4" t="s">
        <v>26</v>
      </c>
      <c r="DI12" s="14"/>
      <c r="DJ12" s="15"/>
      <c r="DN12" t="s">
        <v>36</v>
      </c>
      <c r="DO12">
        <v>8</v>
      </c>
      <c r="DT12">
        <v>11</v>
      </c>
      <c r="DU12" t="s">
        <v>37</v>
      </c>
      <c r="DV12" s="7">
        <v>171.91</v>
      </c>
      <c r="DW12" s="7"/>
      <c r="DX12" s="8">
        <v>11</v>
      </c>
      <c r="DY12" s="18" t="s">
        <v>32</v>
      </c>
      <c r="DZ12" s="10">
        <v>0</v>
      </c>
    </row>
    <row r="13" spans="1:130">
      <c r="I13" s="8">
        <v>11</v>
      </c>
      <c r="J13" s="18" t="s">
        <v>32</v>
      </c>
      <c r="K13" s="33"/>
      <c r="AM13" s="35"/>
      <c r="AO13" t="s">
        <v>39</v>
      </c>
      <c r="AP13" s="16">
        <v>60000</v>
      </c>
      <c r="DB13">
        <v>13</v>
      </c>
      <c r="DC13" s="2">
        <f t="shared" ca="1" si="0"/>
        <v>45304</v>
      </c>
      <c r="DD13">
        <f t="shared" ca="1" si="1"/>
        <v>2</v>
      </c>
      <c r="DE13">
        <f t="shared" ca="1" si="2"/>
        <v>2</v>
      </c>
      <c r="DF13" s="3" t="s">
        <v>12</v>
      </c>
      <c r="DG13" s="4" t="s">
        <v>83</v>
      </c>
      <c r="DI13" s="20"/>
      <c r="DJ13" s="15"/>
      <c r="DN13" t="s">
        <v>38</v>
      </c>
      <c r="DO13">
        <v>8</v>
      </c>
      <c r="DT13">
        <v>12</v>
      </c>
      <c r="DU13" t="s">
        <v>39</v>
      </c>
      <c r="DV13" s="7">
        <v>36190</v>
      </c>
      <c r="DW13" s="7"/>
      <c r="DX13" s="8">
        <v>12</v>
      </c>
      <c r="DY13" s="18" t="s">
        <v>35</v>
      </c>
      <c r="DZ13" s="10">
        <v>0</v>
      </c>
    </row>
    <row r="14" spans="1:130">
      <c r="I14" s="8">
        <v>12</v>
      </c>
      <c r="J14" s="18" t="s">
        <v>35</v>
      </c>
      <c r="K14" s="34"/>
      <c r="AM14" s="35"/>
      <c r="AO14" t="s">
        <v>42</v>
      </c>
      <c r="AP14" s="16">
        <v>800</v>
      </c>
      <c r="DB14">
        <v>14</v>
      </c>
      <c r="DC14" s="2">
        <f t="shared" ca="1" si="0"/>
        <v>45305</v>
      </c>
      <c r="DD14">
        <f t="shared" ca="1" si="1"/>
        <v>2</v>
      </c>
      <c r="DE14">
        <f t="shared" ca="1" si="2"/>
        <v>2</v>
      </c>
      <c r="DF14" s="3" t="s">
        <v>40</v>
      </c>
      <c r="DG14" s="4" t="s">
        <v>83</v>
      </c>
      <c r="DI14" s="14"/>
      <c r="DJ14" s="15"/>
      <c r="DN14" t="s">
        <v>41</v>
      </c>
      <c r="DO14">
        <v>8</v>
      </c>
      <c r="DT14">
        <v>13</v>
      </c>
      <c r="DU14" t="s">
        <v>42</v>
      </c>
      <c r="DV14" s="7">
        <v>450</v>
      </c>
      <c r="DW14" s="7"/>
      <c r="DX14" s="8">
        <v>13</v>
      </c>
      <c r="DY14" s="12" t="s">
        <v>12</v>
      </c>
      <c r="DZ14" s="10">
        <v>12000</v>
      </c>
    </row>
    <row r="15" spans="1:130">
      <c r="I15" s="8">
        <v>13</v>
      </c>
      <c r="J15" s="12" t="s">
        <v>12</v>
      </c>
      <c r="K15" s="32">
        <v>7303</v>
      </c>
      <c r="AM15" s="35"/>
      <c r="AO15" t="s">
        <v>45</v>
      </c>
      <c r="AP15" s="16">
        <v>15000</v>
      </c>
      <c r="DB15">
        <v>15</v>
      </c>
      <c r="DC15" s="2">
        <f t="shared" ca="1" si="0"/>
        <v>45306</v>
      </c>
      <c r="DD15">
        <f t="shared" ca="1" si="1"/>
        <v>3</v>
      </c>
      <c r="DE15">
        <f t="shared" ca="1" si="2"/>
        <v>3</v>
      </c>
      <c r="DF15" s="3" t="s">
        <v>43</v>
      </c>
      <c r="DG15" s="4" t="s">
        <v>83</v>
      </c>
      <c r="DI15" s="14"/>
      <c r="DJ15" s="15"/>
      <c r="DN15" t="s">
        <v>44</v>
      </c>
      <c r="DO15">
        <v>8</v>
      </c>
      <c r="DT15">
        <v>14</v>
      </c>
      <c r="DU15" t="s">
        <v>45</v>
      </c>
      <c r="DV15" s="7">
        <v>15000</v>
      </c>
      <c r="DW15" s="7"/>
      <c r="DX15" s="8">
        <v>14</v>
      </c>
      <c r="DY15" s="12" t="s">
        <v>40</v>
      </c>
      <c r="DZ15" s="10">
        <v>0</v>
      </c>
    </row>
    <row r="16" spans="1:130">
      <c r="A16" s="21"/>
      <c r="I16" s="8">
        <v>14</v>
      </c>
      <c r="J16" s="12" t="s">
        <v>40</v>
      </c>
      <c r="K16" s="33"/>
      <c r="AM16" s="35"/>
      <c r="AO16" t="s">
        <v>48</v>
      </c>
      <c r="AP16" s="16">
        <v>30000</v>
      </c>
      <c r="DB16">
        <v>16</v>
      </c>
      <c r="DC16" s="2">
        <f t="shared" ca="1" si="0"/>
        <v>45307</v>
      </c>
      <c r="DD16">
        <f t="shared" ca="1" si="1"/>
        <v>3</v>
      </c>
      <c r="DE16">
        <f t="shared" ca="1" si="2"/>
        <v>3</v>
      </c>
      <c r="DF16" s="3" t="s">
        <v>46</v>
      </c>
      <c r="DG16" s="4" t="s">
        <v>83</v>
      </c>
      <c r="DI16" s="14"/>
      <c r="DJ16" s="15"/>
      <c r="DN16" t="s">
        <v>47</v>
      </c>
      <c r="DO16">
        <v>8</v>
      </c>
      <c r="DT16">
        <v>15</v>
      </c>
      <c r="DU16" t="s">
        <v>48</v>
      </c>
      <c r="DV16" s="7">
        <v>20000</v>
      </c>
      <c r="DW16" s="7"/>
      <c r="DX16" s="8">
        <v>15</v>
      </c>
      <c r="DY16" s="12" t="s">
        <v>43</v>
      </c>
      <c r="DZ16" s="10">
        <v>0</v>
      </c>
    </row>
    <row r="17" spans="1:130">
      <c r="A17" s="22"/>
      <c r="E17" s="23"/>
      <c r="I17" s="8">
        <v>15</v>
      </c>
      <c r="J17" s="12" t="s">
        <v>43</v>
      </c>
      <c r="K17" s="33"/>
      <c r="AM17" s="35"/>
      <c r="AO17" t="s">
        <v>49</v>
      </c>
      <c r="AP17" s="16">
        <v>3000</v>
      </c>
      <c r="DB17">
        <v>17</v>
      </c>
      <c r="DC17" s="2">
        <f t="shared" ca="1" si="0"/>
        <v>45308</v>
      </c>
      <c r="DD17">
        <f t="shared" ca="1" si="1"/>
        <v>3</v>
      </c>
      <c r="DE17">
        <f t="shared" ca="1" si="2"/>
        <v>3</v>
      </c>
      <c r="DF17" s="3" t="s">
        <v>16</v>
      </c>
      <c r="DG17" s="4" t="s">
        <v>90</v>
      </c>
      <c r="DI17" s="14"/>
      <c r="DJ17" s="15"/>
      <c r="DN17" t="s">
        <v>31</v>
      </c>
      <c r="DO17">
        <v>9</v>
      </c>
      <c r="DT17">
        <v>16</v>
      </c>
      <c r="DU17" t="s">
        <v>49</v>
      </c>
      <c r="DV17" s="7">
        <v>0</v>
      </c>
      <c r="DW17" s="7"/>
      <c r="DX17" s="8">
        <v>16</v>
      </c>
      <c r="DY17" s="12" t="s">
        <v>46</v>
      </c>
      <c r="DZ17" s="10">
        <v>0</v>
      </c>
    </row>
    <row r="18" spans="1:130">
      <c r="A18" s="22"/>
      <c r="I18" s="8">
        <v>16</v>
      </c>
      <c r="J18" s="12" t="s">
        <v>46</v>
      </c>
      <c r="K18" s="34"/>
      <c r="AM18" s="35"/>
      <c r="AO18" t="s">
        <v>51</v>
      </c>
      <c r="AP18" s="16">
        <v>11000</v>
      </c>
      <c r="DB18">
        <v>18</v>
      </c>
      <c r="DC18" s="2">
        <f t="shared" ca="1" si="0"/>
        <v>45309</v>
      </c>
      <c r="DD18">
        <f t="shared" ca="1" si="1"/>
        <v>3</v>
      </c>
      <c r="DE18">
        <f t="shared" ca="1" si="2"/>
        <v>3</v>
      </c>
      <c r="DF18" s="3" t="s">
        <v>50</v>
      </c>
      <c r="DG18" s="4" t="s">
        <v>90</v>
      </c>
      <c r="DI18" s="14"/>
      <c r="DJ18" s="15"/>
      <c r="DN18" t="s">
        <v>34</v>
      </c>
      <c r="DO18">
        <v>10</v>
      </c>
      <c r="DT18">
        <v>17</v>
      </c>
      <c r="DU18" t="s">
        <v>51</v>
      </c>
      <c r="DV18" s="7">
        <v>14347.4</v>
      </c>
      <c r="DW18" s="7"/>
      <c r="DX18" s="8">
        <v>17</v>
      </c>
      <c r="DY18" s="24" t="s">
        <v>16</v>
      </c>
      <c r="DZ18" s="10">
        <v>16000</v>
      </c>
    </row>
    <row r="19" spans="1:130">
      <c r="I19" s="8">
        <v>17</v>
      </c>
      <c r="J19" s="24" t="s">
        <v>16</v>
      </c>
      <c r="K19" s="32">
        <v>3000</v>
      </c>
      <c r="AM19" s="35"/>
      <c r="AO19" t="s">
        <v>53</v>
      </c>
      <c r="AP19" s="16">
        <v>2000</v>
      </c>
      <c r="DB19">
        <v>19</v>
      </c>
      <c r="DC19" s="2">
        <f t="shared" ca="1" si="0"/>
        <v>45310</v>
      </c>
      <c r="DD19">
        <f t="shared" ca="1" si="1"/>
        <v>3</v>
      </c>
      <c r="DE19">
        <f t="shared" ca="1" si="2"/>
        <v>3</v>
      </c>
      <c r="DF19" s="3" t="s">
        <v>52</v>
      </c>
      <c r="DG19" s="4" t="s">
        <v>90</v>
      </c>
      <c r="DI19" s="14"/>
      <c r="DJ19" s="15"/>
      <c r="DN19" t="s">
        <v>37</v>
      </c>
      <c r="DO19">
        <v>11</v>
      </c>
      <c r="DT19">
        <v>18</v>
      </c>
      <c r="DU19" t="s">
        <v>53</v>
      </c>
      <c r="DV19" s="7">
        <v>1200</v>
      </c>
      <c r="DW19" s="7"/>
      <c r="DX19" s="8">
        <v>18</v>
      </c>
      <c r="DY19" s="24" t="s">
        <v>50</v>
      </c>
      <c r="DZ19" s="10">
        <v>0</v>
      </c>
    </row>
    <row r="20" spans="1:130">
      <c r="I20" s="8">
        <v>18</v>
      </c>
      <c r="J20" s="24" t="s">
        <v>50</v>
      </c>
      <c r="K20" s="33"/>
      <c r="AM20" s="35"/>
      <c r="AO20" t="s">
        <v>55</v>
      </c>
      <c r="AP20" s="16">
        <v>68000</v>
      </c>
      <c r="DB20">
        <v>20</v>
      </c>
      <c r="DC20" s="2">
        <f t="shared" ca="1" si="0"/>
        <v>45311</v>
      </c>
      <c r="DD20">
        <f t="shared" ca="1" si="1"/>
        <v>3</v>
      </c>
      <c r="DE20">
        <f t="shared" ca="1" si="2"/>
        <v>3</v>
      </c>
      <c r="DF20" s="3" t="s">
        <v>54</v>
      </c>
      <c r="DG20" s="4" t="s">
        <v>90</v>
      </c>
      <c r="DI20" s="14"/>
      <c r="DJ20" s="15"/>
      <c r="DN20" t="s">
        <v>39</v>
      </c>
      <c r="DO20">
        <v>12</v>
      </c>
      <c r="DT20">
        <v>19</v>
      </c>
      <c r="DU20" t="s">
        <v>55</v>
      </c>
      <c r="DV20" s="7">
        <v>65000</v>
      </c>
      <c r="DW20" s="7"/>
      <c r="DX20" s="8">
        <v>19</v>
      </c>
      <c r="DY20" s="24" t="s">
        <v>52</v>
      </c>
      <c r="DZ20" s="10">
        <v>0</v>
      </c>
    </row>
    <row r="21" spans="1:130">
      <c r="I21" s="8">
        <v>19</v>
      </c>
      <c r="J21" s="24" t="s">
        <v>52</v>
      </c>
      <c r="K21" s="33"/>
      <c r="AM21" s="35"/>
      <c r="AO21" t="s">
        <v>57</v>
      </c>
      <c r="AP21" s="16">
        <v>0</v>
      </c>
      <c r="DB21">
        <v>21</v>
      </c>
      <c r="DC21" s="2">
        <f t="shared" ca="1" si="0"/>
        <v>45312</v>
      </c>
      <c r="DD21">
        <f t="shared" ca="1" si="1"/>
        <v>3</v>
      </c>
      <c r="DE21">
        <f t="shared" ca="1" si="2"/>
        <v>3</v>
      </c>
      <c r="DF21" s="3" t="s">
        <v>56</v>
      </c>
      <c r="DG21" s="4" t="s">
        <v>84</v>
      </c>
      <c r="DI21" s="14"/>
      <c r="DJ21" s="15"/>
      <c r="DN21" t="s">
        <v>42</v>
      </c>
      <c r="DO21">
        <v>13</v>
      </c>
      <c r="DT21">
        <v>20</v>
      </c>
      <c r="DU21" t="s">
        <v>57</v>
      </c>
      <c r="DV21" s="7">
        <v>0</v>
      </c>
      <c r="DW21" s="7"/>
      <c r="DX21" s="8">
        <v>20</v>
      </c>
      <c r="DY21" s="24" t="s">
        <v>54</v>
      </c>
      <c r="DZ21" s="10">
        <v>0</v>
      </c>
    </row>
    <row r="22" spans="1:130">
      <c r="I22" s="8">
        <v>20</v>
      </c>
      <c r="J22" s="24" t="s">
        <v>54</v>
      </c>
      <c r="K22" s="33"/>
      <c r="AM22" s="35"/>
      <c r="AO22" t="s">
        <v>59</v>
      </c>
      <c r="AP22" s="16">
        <v>500</v>
      </c>
      <c r="DB22">
        <v>22</v>
      </c>
      <c r="DC22" s="2">
        <f t="shared" ca="1" si="0"/>
        <v>45313</v>
      </c>
      <c r="DD22">
        <f t="shared" ca="1" si="1"/>
        <v>4</v>
      </c>
      <c r="DE22">
        <f t="shared" ca="1" si="2"/>
        <v>4</v>
      </c>
      <c r="DF22" s="3" t="s">
        <v>58</v>
      </c>
      <c r="DG22" s="4" t="s">
        <v>84</v>
      </c>
      <c r="DI22" s="14"/>
      <c r="DJ22" s="15"/>
      <c r="DN22" t="s">
        <v>45</v>
      </c>
      <c r="DO22">
        <v>14</v>
      </c>
      <c r="DT22">
        <v>21</v>
      </c>
      <c r="DU22" t="s">
        <v>59</v>
      </c>
      <c r="DV22" s="7">
        <v>250</v>
      </c>
      <c r="DW22" s="7"/>
      <c r="DX22" s="8">
        <v>21</v>
      </c>
      <c r="DY22" s="24" t="s">
        <v>56</v>
      </c>
      <c r="DZ22" s="10">
        <v>0</v>
      </c>
    </row>
    <row r="23" spans="1:130">
      <c r="I23" s="8">
        <v>21</v>
      </c>
      <c r="J23" s="24" t="s">
        <v>56</v>
      </c>
      <c r="K23" s="33"/>
      <c r="AM23" s="35"/>
      <c r="AO23" t="s">
        <v>61</v>
      </c>
      <c r="AP23" s="16">
        <v>1000</v>
      </c>
      <c r="DB23">
        <v>23</v>
      </c>
      <c r="DC23" s="2">
        <f t="shared" ca="1" si="0"/>
        <v>45314</v>
      </c>
      <c r="DD23">
        <f t="shared" ca="1" si="1"/>
        <v>4</v>
      </c>
      <c r="DE23">
        <f t="shared" ca="1" si="2"/>
        <v>4</v>
      </c>
      <c r="DF23" s="3" t="s">
        <v>60</v>
      </c>
      <c r="DG23" s="4" t="s">
        <v>84</v>
      </c>
      <c r="DI23" s="14"/>
      <c r="DJ23" s="15"/>
      <c r="DN23" t="s">
        <v>48</v>
      </c>
      <c r="DO23">
        <v>15</v>
      </c>
      <c r="DT23">
        <v>22</v>
      </c>
      <c r="DU23" t="s">
        <v>61</v>
      </c>
      <c r="DV23" s="7">
        <v>950</v>
      </c>
      <c r="DW23" s="7"/>
      <c r="DX23" s="8">
        <v>22</v>
      </c>
      <c r="DY23" s="24" t="s">
        <v>58</v>
      </c>
      <c r="DZ23" s="10">
        <v>0</v>
      </c>
    </row>
    <row r="24" spans="1:130">
      <c r="I24" s="8">
        <v>22</v>
      </c>
      <c r="J24" s="24" t="s">
        <v>58</v>
      </c>
      <c r="K24" s="33"/>
      <c r="AM24" s="35"/>
      <c r="AO24" t="s">
        <v>63</v>
      </c>
      <c r="AP24" s="16">
        <v>0</v>
      </c>
      <c r="DB24">
        <v>24</v>
      </c>
      <c r="DC24" s="2">
        <f t="shared" ca="1" si="0"/>
        <v>45315</v>
      </c>
      <c r="DD24">
        <f t="shared" ca="1" si="1"/>
        <v>4</v>
      </c>
      <c r="DE24">
        <f t="shared" ca="1" si="2"/>
        <v>4</v>
      </c>
      <c r="DF24" s="3" t="s">
        <v>62</v>
      </c>
      <c r="DG24" s="4" t="s">
        <v>84</v>
      </c>
      <c r="DI24" s="14"/>
      <c r="DJ24" s="15"/>
      <c r="DN24" t="s">
        <v>49</v>
      </c>
      <c r="DO24">
        <v>16</v>
      </c>
      <c r="DT24">
        <v>23</v>
      </c>
      <c r="DU24" t="s">
        <v>63</v>
      </c>
      <c r="DV24" s="7">
        <v>0</v>
      </c>
      <c r="DW24" s="7"/>
      <c r="DX24" s="8">
        <v>23</v>
      </c>
      <c r="DY24" s="24" t="s">
        <v>60</v>
      </c>
      <c r="DZ24" s="10">
        <v>0</v>
      </c>
    </row>
    <row r="25" spans="1:130">
      <c r="I25" s="8">
        <v>23</v>
      </c>
      <c r="J25" s="24" t="s">
        <v>60</v>
      </c>
      <c r="K25" s="33"/>
      <c r="AM25" s="35"/>
      <c r="AO25" t="s">
        <v>64</v>
      </c>
      <c r="AP25" s="16">
        <v>1200</v>
      </c>
      <c r="DB25">
        <v>25</v>
      </c>
      <c r="DC25" s="2">
        <f t="shared" ca="1" si="0"/>
        <v>45316</v>
      </c>
      <c r="DD25">
        <f t="shared" ca="1" si="1"/>
        <v>4</v>
      </c>
      <c r="DE25">
        <f t="shared" ca="1" si="2"/>
        <v>4</v>
      </c>
      <c r="DF25" s="3" t="s">
        <v>20</v>
      </c>
      <c r="DG25" s="4" t="s">
        <v>91</v>
      </c>
      <c r="DI25" s="14"/>
      <c r="DJ25" s="15"/>
      <c r="DN25" t="s">
        <v>51</v>
      </c>
      <c r="DO25">
        <v>17</v>
      </c>
      <c r="DT25">
        <v>24</v>
      </c>
      <c r="DU25" t="s">
        <v>64</v>
      </c>
      <c r="DV25" s="7">
        <v>200</v>
      </c>
      <c r="DW25" s="7"/>
      <c r="DX25" s="8">
        <v>24</v>
      </c>
      <c r="DY25" s="24" t="s">
        <v>62</v>
      </c>
      <c r="DZ25" s="10">
        <v>0</v>
      </c>
    </row>
    <row r="26" spans="1:130">
      <c r="I26" s="8">
        <v>24</v>
      </c>
      <c r="J26" s="24" t="s">
        <v>62</v>
      </c>
      <c r="K26" s="34"/>
      <c r="AM26" s="35"/>
      <c r="AO26" t="s">
        <v>66</v>
      </c>
      <c r="AP26" s="16">
        <v>5500</v>
      </c>
      <c r="DB26">
        <v>26</v>
      </c>
      <c r="DC26" s="2">
        <f t="shared" ca="1" si="0"/>
        <v>45317</v>
      </c>
      <c r="DD26">
        <f t="shared" ca="1" si="1"/>
        <v>4</v>
      </c>
      <c r="DE26">
        <f t="shared" ca="1" si="2"/>
        <v>4</v>
      </c>
      <c r="DF26" s="3" t="s">
        <v>65</v>
      </c>
      <c r="DG26" s="4" t="s">
        <v>91</v>
      </c>
      <c r="DI26" s="14"/>
      <c r="DJ26" s="15"/>
      <c r="DN26" t="s">
        <v>53</v>
      </c>
      <c r="DO26">
        <v>18</v>
      </c>
      <c r="DT26">
        <v>25</v>
      </c>
      <c r="DU26" t="s">
        <v>66</v>
      </c>
      <c r="DV26" s="7">
        <v>2500</v>
      </c>
      <c r="DW26" s="7"/>
      <c r="DX26" s="8">
        <v>25</v>
      </c>
      <c r="DY26" s="25" t="s">
        <v>20</v>
      </c>
      <c r="DZ26" s="10">
        <v>278453</v>
      </c>
    </row>
    <row r="27" spans="1:130">
      <c r="I27" s="8">
        <v>25</v>
      </c>
      <c r="J27" s="25" t="s">
        <v>20</v>
      </c>
      <c r="K27" s="32">
        <v>327475.06</v>
      </c>
      <c r="AM27" s="35"/>
      <c r="AO27" t="s">
        <v>68</v>
      </c>
      <c r="AP27" s="16">
        <v>3000</v>
      </c>
      <c r="DB27">
        <v>27</v>
      </c>
      <c r="DC27" s="2">
        <f t="shared" ca="1" si="0"/>
        <v>45318</v>
      </c>
      <c r="DD27">
        <f t="shared" ca="1" si="1"/>
        <v>4</v>
      </c>
      <c r="DE27">
        <f t="shared" ca="1" si="2"/>
        <v>4</v>
      </c>
      <c r="DF27" s="3" t="s">
        <v>67</v>
      </c>
      <c r="DG27" s="4" t="s">
        <v>91</v>
      </c>
      <c r="DI27" s="14"/>
      <c r="DJ27" s="15"/>
      <c r="DN27" t="s">
        <v>55</v>
      </c>
      <c r="DO27">
        <v>19</v>
      </c>
      <c r="DT27">
        <v>26</v>
      </c>
      <c r="DU27" t="s">
        <v>68</v>
      </c>
      <c r="DV27" s="7">
        <v>200</v>
      </c>
      <c r="DW27" s="7"/>
      <c r="DX27" s="8">
        <v>26</v>
      </c>
      <c r="DY27" s="25" t="s">
        <v>65</v>
      </c>
      <c r="DZ27" s="10">
        <v>0</v>
      </c>
    </row>
    <row r="28" spans="1:130">
      <c r="I28" s="8">
        <v>26</v>
      </c>
      <c r="J28" s="25" t="s">
        <v>65</v>
      </c>
      <c r="K28" s="33"/>
      <c r="AM28" s="35"/>
      <c r="AO28" t="s">
        <v>70</v>
      </c>
      <c r="AP28" s="16">
        <v>1000</v>
      </c>
      <c r="DB28">
        <v>28</v>
      </c>
      <c r="DC28" s="2">
        <f t="shared" ca="1" si="0"/>
        <v>45319</v>
      </c>
      <c r="DD28">
        <f t="shared" ca="1" si="1"/>
        <v>4</v>
      </c>
      <c r="DE28">
        <f t="shared" ca="1" si="2"/>
        <v>4</v>
      </c>
      <c r="DF28" s="3" t="s">
        <v>69</v>
      </c>
      <c r="DG28" s="4" t="s">
        <v>91</v>
      </c>
      <c r="DI28" s="14"/>
      <c r="DJ28" s="15"/>
      <c r="DN28" t="s">
        <v>57</v>
      </c>
      <c r="DO28">
        <v>20</v>
      </c>
      <c r="DT28">
        <v>27</v>
      </c>
      <c r="DU28" t="s">
        <v>70</v>
      </c>
      <c r="DV28" s="7">
        <v>900</v>
      </c>
      <c r="DW28" s="7"/>
      <c r="DX28" s="8">
        <v>27</v>
      </c>
      <c r="DY28" s="25" t="s">
        <v>67</v>
      </c>
      <c r="DZ28" s="10">
        <v>0</v>
      </c>
    </row>
    <row r="29" spans="1:130">
      <c r="I29" s="8">
        <v>27</v>
      </c>
      <c r="J29" s="25" t="s">
        <v>67</v>
      </c>
      <c r="K29" s="33"/>
      <c r="AM29" s="35"/>
      <c r="AO29" t="s">
        <v>72</v>
      </c>
      <c r="AP29" s="16">
        <v>20000</v>
      </c>
      <c r="DB29">
        <v>29</v>
      </c>
      <c r="DC29" s="2">
        <f t="shared" ca="1" si="0"/>
        <v>45320</v>
      </c>
      <c r="DD29">
        <f t="shared" ca="1" si="1"/>
        <v>5</v>
      </c>
      <c r="DE29">
        <f t="shared" ca="1" si="2"/>
        <v>5</v>
      </c>
      <c r="DF29" s="3" t="s">
        <v>24</v>
      </c>
      <c r="DG29" s="4" t="s">
        <v>71</v>
      </c>
      <c r="DI29" s="14"/>
      <c r="DJ29" s="15"/>
      <c r="DN29" t="s">
        <v>59</v>
      </c>
      <c r="DO29">
        <v>21</v>
      </c>
      <c r="DT29">
        <v>28</v>
      </c>
      <c r="DU29" t="s">
        <v>72</v>
      </c>
      <c r="DV29" s="7">
        <v>16800</v>
      </c>
      <c r="DW29" s="7"/>
      <c r="DX29" s="8">
        <v>28</v>
      </c>
      <c r="DY29" s="25" t="s">
        <v>69</v>
      </c>
      <c r="DZ29" s="10">
        <v>0</v>
      </c>
    </row>
    <row r="30" spans="1:130">
      <c r="I30" s="8">
        <v>28</v>
      </c>
      <c r="J30" s="25" t="s">
        <v>69</v>
      </c>
      <c r="K30" s="34"/>
      <c r="AM30" s="35"/>
      <c r="AO30" t="s">
        <v>74</v>
      </c>
      <c r="AP30" s="16">
        <v>3000</v>
      </c>
      <c r="DB30">
        <v>30</v>
      </c>
      <c r="DC30" s="2" t="str">
        <f t="shared" ca="1" si="0"/>
        <v/>
      </c>
      <c r="DD30" t="str">
        <f t="shared" ca="1" si="1"/>
        <v/>
      </c>
      <c r="DE30" t="str">
        <f t="shared" ca="1" si="2"/>
        <v/>
      </c>
      <c r="DF30" s="3" t="s">
        <v>73</v>
      </c>
      <c r="DG30" s="4" t="s">
        <v>71</v>
      </c>
      <c r="DI30" s="14"/>
      <c r="DJ30" s="15"/>
      <c r="DN30" t="s">
        <v>61</v>
      </c>
      <c r="DO30">
        <v>22</v>
      </c>
      <c r="DT30">
        <v>29</v>
      </c>
      <c r="DU30" t="s">
        <v>74</v>
      </c>
      <c r="DV30" s="7">
        <v>2095</v>
      </c>
      <c r="DW30" s="7"/>
      <c r="DX30" s="8">
        <v>29</v>
      </c>
      <c r="DY30" s="26" t="s">
        <v>24</v>
      </c>
      <c r="DZ30" s="10">
        <v>16000</v>
      </c>
    </row>
  </sheetData>
  <mergeCells count="7">
    <mergeCell ref="AM1:AM30"/>
    <mergeCell ref="K27:K30"/>
    <mergeCell ref="K3:K6"/>
    <mergeCell ref="K7:K10"/>
    <mergeCell ref="K11:K14"/>
    <mergeCell ref="K15:K18"/>
    <mergeCell ref="K19:K2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PETUNJUK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user</cp:lastModifiedBy>
  <dcterms:created xsi:type="dcterms:W3CDTF">2022-08-31T02:37:20Z</dcterms:created>
  <dcterms:modified xsi:type="dcterms:W3CDTF">2024-01-30T07:24:38Z</dcterms:modified>
</cp:coreProperties>
</file>