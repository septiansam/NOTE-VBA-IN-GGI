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Accounting Finance\Santy\Profit Loss\File Lama\"/>
    </mc:Choice>
  </mc:AlternateContent>
  <xr:revisionPtr revIDLastSave="0" documentId="8_{D68A5FDC-F1D9-4989-A8FD-6937D8CB3C80}" xr6:coauthVersionLast="47" xr6:coauthVersionMax="47" xr10:uidLastSave="{00000000-0000-0000-0000-000000000000}"/>
  <bookViews>
    <workbookView xWindow="-120" yWindow="-120" windowWidth="20640" windowHeight="11160" xr2:uid="{54D09946-E7FE-4E48-AED8-A6C67471F458}"/>
  </bookViews>
  <sheets>
    <sheet name="PETUNJUK" sheetId="2" r:id="rId1"/>
    <sheet name="INPUT RPA" sheetId="3" r:id="rId2"/>
  </sheets>
  <externalReferences>
    <externalReference r:id="rId3"/>
  </externalReferences>
  <definedNames>
    <definedName name="_xlnm._FilterDatabase" localSheetId="0" hidden="1">PETUNJUK!$I$2:$O$223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4" i="2" l="1"/>
  <c r="M162" i="2"/>
  <c r="M150" i="2"/>
  <c r="N150" i="2" s="1"/>
  <c r="M134" i="2"/>
  <c r="M130" i="2"/>
  <c r="M106" i="2"/>
  <c r="M74" i="2"/>
  <c r="M73" i="2"/>
  <c r="M34" i="2"/>
  <c r="M30" i="2"/>
  <c r="M29" i="2"/>
  <c r="M222" i="2"/>
  <c r="M21" i="2"/>
  <c r="M19" i="2"/>
  <c r="M14" i="2"/>
  <c r="M10" i="2"/>
  <c r="M22" i="2"/>
  <c r="M20" i="2"/>
  <c r="L7" i="2"/>
  <c r="L8" i="2" s="1"/>
  <c r="L9" i="2" s="1"/>
  <c r="L10" i="2" s="1"/>
  <c r="L11" i="2"/>
  <c r="L15" i="2"/>
  <c r="L19" i="2"/>
  <c r="L27" i="2"/>
  <c r="L31" i="2"/>
  <c r="L35" i="2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/>
  <c r="L67" i="2"/>
  <c r="L68" i="2" s="1"/>
  <c r="L69" i="2" s="1"/>
  <c r="L70" i="2" s="1"/>
  <c r="L71" i="2"/>
  <c r="L75" i="2"/>
  <c r="L76" i="2" s="1"/>
  <c r="L77" i="2" s="1"/>
  <c r="L78" i="2" s="1"/>
  <c r="L79" i="2"/>
  <c r="L83" i="2"/>
  <c r="L87" i="2"/>
  <c r="L91" i="2"/>
  <c r="L92" i="2" s="1"/>
  <c r="L93" i="2" s="1"/>
  <c r="L94" i="2" s="1"/>
  <c r="L95" i="2"/>
  <c r="L99" i="2"/>
  <c r="L100" i="2" s="1"/>
  <c r="L101" i="2" s="1"/>
  <c r="L102" i="2" s="1"/>
  <c r="L103" i="2"/>
  <c r="L107" i="2"/>
  <c r="L108" i="2" s="1"/>
  <c r="L109" i="2" s="1"/>
  <c r="L110" i="2" s="1"/>
  <c r="L111" i="2"/>
  <c r="L115" i="2"/>
  <c r="L119" i="2"/>
  <c r="L123" i="2"/>
  <c r="L124" i="2" s="1"/>
  <c r="L125" i="2" s="1"/>
  <c r="L126" i="2" s="1"/>
  <c r="L127" i="2"/>
  <c r="L131" i="2"/>
  <c r="L132" i="2" s="1"/>
  <c r="L133" i="2" s="1"/>
  <c r="L134" i="2" s="1"/>
  <c r="L135" i="2"/>
  <c r="L147" i="2"/>
  <c r="L148" i="2" s="1"/>
  <c r="L149" i="2" s="1"/>
  <c r="L150" i="2" s="1"/>
  <c r="L151" i="2"/>
  <c r="L155" i="2"/>
  <c r="L159" i="2"/>
  <c r="L163" i="2"/>
  <c r="L164" i="2" s="1"/>
  <c r="L165" i="2" s="1"/>
  <c r="L166" i="2" s="1"/>
  <c r="L167" i="2"/>
  <c r="L171" i="2"/>
  <c r="L172" i="2" s="1"/>
  <c r="L173" i="2" s="1"/>
  <c r="L174" i="2" s="1"/>
  <c r="L175" i="2"/>
  <c r="L179" i="2"/>
  <c r="L180" i="2" s="1"/>
  <c r="L181" i="2" s="1"/>
  <c r="L182" i="2" s="1"/>
  <c r="L183" i="2"/>
  <c r="L187" i="2"/>
  <c r="L191" i="2"/>
  <c r="L195" i="2"/>
  <c r="L199" i="2"/>
  <c r="L200" i="2" s="1"/>
  <c r="L201" i="2" s="1"/>
  <c r="L202" i="2" s="1"/>
  <c r="L203" i="2"/>
  <c r="L223" i="2"/>
  <c r="L3" i="2"/>
  <c r="M199" i="2"/>
  <c r="N199" i="2" s="1"/>
  <c r="M195" i="2"/>
  <c r="N195" i="2" s="1"/>
  <c r="M167" i="2"/>
  <c r="M119" i="2"/>
  <c r="M111" i="2"/>
  <c r="M223" i="2"/>
  <c r="N223" i="2" s="1"/>
  <c r="M107" i="2"/>
  <c r="N107" i="2" s="1"/>
  <c r="M99" i="2"/>
  <c r="M75" i="2"/>
  <c r="N75" i="2" s="1"/>
  <c r="M71" i="2"/>
  <c r="N71" i="2" s="1"/>
  <c r="M95" i="2" l="1"/>
  <c r="N95" i="2" s="1"/>
  <c r="M67" i="2"/>
  <c r="M163" i="2"/>
  <c r="N163" i="2" s="1"/>
  <c r="N67" i="2"/>
  <c r="N10" i="2"/>
  <c r="N134" i="2"/>
  <c r="N99" i="2"/>
  <c r="L188" i="2"/>
  <c r="L156" i="2"/>
  <c r="L116" i="2"/>
  <c r="L84" i="2"/>
  <c r="L28" i="2"/>
  <c r="L184" i="2"/>
  <c r="L160" i="2"/>
  <c r="L152" i="2"/>
  <c r="L136" i="2"/>
  <c r="N19" i="2"/>
  <c r="N111" i="2"/>
  <c r="L204" i="2"/>
  <c r="L192" i="2"/>
  <c r="L12" i="2"/>
  <c r="L20" i="2"/>
  <c r="L196" i="2"/>
  <c r="N119" i="2"/>
  <c r="N167" i="2"/>
  <c r="M171" i="2"/>
  <c r="N171" i="2" s="1"/>
  <c r="M72" i="2"/>
  <c r="N72" i="2" s="1"/>
  <c r="M65" i="2"/>
  <c r="M64" i="2"/>
  <c r="M155" i="2"/>
  <c r="N155" i="2" s="1"/>
  <c r="M172" i="2"/>
  <c r="N172" i="2" s="1"/>
  <c r="M108" i="2"/>
  <c r="N108" i="2" s="1"/>
  <c r="M138" i="2"/>
  <c r="M178" i="2"/>
  <c r="M76" i="2"/>
  <c r="N76" i="2" s="1"/>
  <c r="M42" i="2"/>
  <c r="N42" i="2" s="1"/>
  <c r="M82" i="2"/>
  <c r="M81" i="2"/>
  <c r="M112" i="2"/>
  <c r="M154" i="2"/>
  <c r="M153" i="2"/>
  <c r="M24" i="2"/>
  <c r="M84" i="2"/>
  <c r="M117" i="2"/>
  <c r="M118" i="2"/>
  <c r="M156" i="2"/>
  <c r="N156" i="2" s="1"/>
  <c r="M168" i="2"/>
  <c r="N168" i="2" s="1"/>
  <c r="M66" i="2"/>
  <c r="M88" i="2"/>
  <c r="M120" i="2"/>
  <c r="M196" i="2"/>
  <c r="N196" i="2" s="1"/>
  <c r="M18" i="2"/>
  <c r="M17" i="2"/>
  <c r="M100" i="2"/>
  <c r="N100" i="2" s="1"/>
  <c r="M68" i="2"/>
  <c r="N68" i="2" s="1"/>
  <c r="M96" i="2"/>
  <c r="M125" i="2"/>
  <c r="N125" i="2" s="1"/>
  <c r="M126" i="2"/>
  <c r="N126" i="2" s="1"/>
  <c r="M164" i="2"/>
  <c r="N164" i="2" s="1"/>
  <c r="M200" i="2"/>
  <c r="N200" i="2" s="1"/>
  <c r="M6" i="2"/>
  <c r="M8" i="2"/>
  <c r="N8" i="2" s="1"/>
  <c r="M16" i="2"/>
  <c r="M32" i="2"/>
  <c r="M40" i="2"/>
  <c r="N40" i="2" s="1"/>
  <c r="M80" i="2"/>
  <c r="M104" i="2"/>
  <c r="N104" i="2" s="1"/>
  <c r="M128" i="2"/>
  <c r="M136" i="2"/>
  <c r="N136" i="2" s="1"/>
  <c r="M152" i="2"/>
  <c r="N152" i="2" s="1"/>
  <c r="M160" i="2"/>
  <c r="M176" i="2"/>
  <c r="M192" i="2"/>
  <c r="N192" i="2" s="1"/>
  <c r="M208" i="2"/>
  <c r="M216" i="2"/>
  <c r="M9" i="2"/>
  <c r="N9" i="2" s="1"/>
  <c r="M33" i="2"/>
  <c r="M41" i="2"/>
  <c r="N41" i="2" s="1"/>
  <c r="M105" i="2"/>
  <c r="M129" i="2"/>
  <c r="M137" i="2"/>
  <c r="M161" i="2"/>
  <c r="M177" i="2"/>
  <c r="M193" i="2"/>
  <c r="M209" i="2"/>
  <c r="M217" i="2"/>
  <c r="M3" i="2"/>
  <c r="N3" i="2" s="1"/>
  <c r="M11" i="2"/>
  <c r="N11" i="2" s="1"/>
  <c r="M27" i="2"/>
  <c r="N27" i="2" s="1"/>
  <c r="M35" i="2"/>
  <c r="N35" i="2" s="1"/>
  <c r="M51" i="2"/>
  <c r="N51" i="2" s="1"/>
  <c r="M59" i="2"/>
  <c r="N59" i="2" s="1"/>
  <c r="M83" i="2"/>
  <c r="N83" i="2" s="1"/>
  <c r="M115" i="2"/>
  <c r="N115" i="2" s="1"/>
  <c r="M123" i="2"/>
  <c r="N123" i="2" s="1"/>
  <c r="M131" i="2"/>
  <c r="N131" i="2" s="1"/>
  <c r="M147" i="2"/>
  <c r="N147" i="2" s="1"/>
  <c r="M203" i="2"/>
  <c r="N203" i="2" s="1"/>
  <c r="M211" i="2"/>
  <c r="M219" i="2"/>
  <c r="M4" i="2"/>
  <c r="M12" i="2"/>
  <c r="M28" i="2"/>
  <c r="N28" i="2" s="1"/>
  <c r="M36" i="2"/>
  <c r="N36" i="2" s="1"/>
  <c r="M116" i="2"/>
  <c r="N116" i="2" s="1"/>
  <c r="M124" i="2"/>
  <c r="N124" i="2" s="1"/>
  <c r="M132" i="2"/>
  <c r="N132" i="2" s="1"/>
  <c r="M148" i="2"/>
  <c r="N148" i="2" s="1"/>
  <c r="M204" i="2"/>
  <c r="M212" i="2"/>
  <c r="M220" i="2"/>
  <c r="M218" i="2"/>
  <c r="M5" i="2"/>
  <c r="M13" i="2"/>
  <c r="M37" i="2"/>
  <c r="N37" i="2" s="1"/>
  <c r="M133" i="2"/>
  <c r="N133" i="2" s="1"/>
  <c r="M149" i="2"/>
  <c r="N149" i="2" s="1"/>
  <c r="M205" i="2"/>
  <c r="M213" i="2"/>
  <c r="M221" i="2"/>
  <c r="M38" i="2"/>
  <c r="N38" i="2" s="1"/>
  <c r="M206" i="2"/>
  <c r="M214" i="2"/>
  <c r="M210" i="2"/>
  <c r="M7" i="2"/>
  <c r="N7" i="2" s="1"/>
  <c r="M15" i="2"/>
  <c r="N15" i="2" s="1"/>
  <c r="M23" i="2"/>
  <c r="M31" i="2"/>
  <c r="N31" i="2" s="1"/>
  <c r="M39" i="2"/>
  <c r="N39" i="2" s="1"/>
  <c r="M47" i="2"/>
  <c r="N47" i="2" s="1"/>
  <c r="M63" i="2"/>
  <c r="N63" i="2" s="1"/>
  <c r="M79" i="2"/>
  <c r="N79" i="2" s="1"/>
  <c r="M87" i="2"/>
  <c r="N87" i="2" s="1"/>
  <c r="M103" i="2"/>
  <c r="N103" i="2" s="1"/>
  <c r="M127" i="2"/>
  <c r="N127" i="2" s="1"/>
  <c r="M135" i="2"/>
  <c r="N135" i="2" s="1"/>
  <c r="M151" i="2"/>
  <c r="N151" i="2" s="1"/>
  <c r="M159" i="2"/>
  <c r="N159" i="2" s="1"/>
  <c r="M175" i="2"/>
  <c r="N175" i="2" s="1"/>
  <c r="M191" i="2"/>
  <c r="N191" i="2" s="1"/>
  <c r="M207" i="2"/>
  <c r="M215" i="2"/>
  <c r="L128" i="2"/>
  <c r="L120" i="2"/>
  <c r="L96" i="2"/>
  <c r="L112" i="2"/>
  <c r="L88" i="2"/>
  <c r="L64" i="2"/>
  <c r="L168" i="2"/>
  <c r="L80" i="2"/>
  <c r="L32" i="2"/>
  <c r="L104" i="2"/>
  <c r="L176" i="2"/>
  <c r="L72" i="2"/>
  <c r="L89" i="2"/>
  <c r="L4" i="2"/>
  <c r="L16" i="2"/>
  <c r="B7" i="2"/>
  <c r="M44" i="2" l="1"/>
  <c r="N44" i="2" s="1"/>
  <c r="M56" i="2"/>
  <c r="N56" i="2" s="1"/>
  <c r="M57" i="2"/>
  <c r="N57" i="2" s="1"/>
  <c r="M48" i="2"/>
  <c r="N48" i="2" s="1"/>
  <c r="M55" i="2"/>
  <c r="N55" i="2" s="1"/>
  <c r="M45" i="2"/>
  <c r="N45" i="2" s="1"/>
  <c r="M49" i="2"/>
  <c r="N49" i="2" s="1"/>
  <c r="L81" i="2"/>
  <c r="N204" i="2"/>
  <c r="L161" i="2"/>
  <c r="L85" i="2"/>
  <c r="L169" i="2"/>
  <c r="N80" i="2"/>
  <c r="N96" i="2"/>
  <c r="L197" i="2"/>
  <c r="L137" i="2"/>
  <c r="N128" i="2"/>
  <c r="N120" i="2"/>
  <c r="L193" i="2"/>
  <c r="N193" i="2" s="1"/>
  <c r="L117" i="2"/>
  <c r="N12" i="2"/>
  <c r="N176" i="2"/>
  <c r="L185" i="2"/>
  <c r="N161" i="2"/>
  <c r="L13" i="2"/>
  <c r="N13" i="2" s="1"/>
  <c r="L90" i="2"/>
  <c r="L65" i="2"/>
  <c r="N65" i="2" s="1"/>
  <c r="L73" i="2"/>
  <c r="L113" i="2"/>
  <c r="N4" i="2"/>
  <c r="N160" i="2"/>
  <c r="N88" i="2"/>
  <c r="L21" i="2"/>
  <c r="L157" i="2"/>
  <c r="L129" i="2"/>
  <c r="L177" i="2"/>
  <c r="N177" i="2" s="1"/>
  <c r="L97" i="2"/>
  <c r="N32" i="2"/>
  <c r="N112" i="2"/>
  <c r="N64" i="2"/>
  <c r="L205" i="2"/>
  <c r="N205" i="2" s="1"/>
  <c r="L121" i="2"/>
  <c r="N16" i="2"/>
  <c r="N84" i="2"/>
  <c r="N81" i="2"/>
  <c r="N20" i="2"/>
  <c r="L153" i="2"/>
  <c r="L29" i="2"/>
  <c r="L189" i="2"/>
  <c r="M54" i="2"/>
  <c r="N54" i="2" s="1"/>
  <c r="M46" i="2"/>
  <c r="N46" i="2" s="1"/>
  <c r="M43" i="2"/>
  <c r="N43" i="2" s="1"/>
  <c r="M61" i="2"/>
  <c r="N61" i="2" s="1"/>
  <c r="M60" i="2"/>
  <c r="N60" i="2" s="1"/>
  <c r="M58" i="2"/>
  <c r="N58" i="2" s="1"/>
  <c r="M53" i="2"/>
  <c r="N53" i="2" s="1"/>
  <c r="M52" i="2"/>
  <c r="N52" i="2" s="1"/>
  <c r="M50" i="2"/>
  <c r="N50" i="2" s="1"/>
  <c r="M114" i="2"/>
  <c r="M113" i="2"/>
  <c r="N113" i="2" s="1"/>
  <c r="M179" i="2"/>
  <c r="N179" i="2" s="1"/>
  <c r="M165" i="2"/>
  <c r="N165" i="2" s="1"/>
  <c r="M101" i="2"/>
  <c r="N101" i="2" s="1"/>
  <c r="M89" i="2"/>
  <c r="N89" i="2" s="1"/>
  <c r="M139" i="2"/>
  <c r="M86" i="2"/>
  <c r="M85" i="2"/>
  <c r="N85" i="2" s="1"/>
  <c r="M97" i="2"/>
  <c r="M98" i="2"/>
  <c r="M198" i="2"/>
  <c r="M197" i="2"/>
  <c r="N197" i="2" s="1"/>
  <c r="M170" i="2"/>
  <c r="M169" i="2"/>
  <c r="M26" i="2"/>
  <c r="M25" i="2"/>
  <c r="M109" i="2"/>
  <c r="N109" i="2" s="1"/>
  <c r="M158" i="2"/>
  <c r="M157" i="2"/>
  <c r="N157" i="2" s="1"/>
  <c r="M77" i="2"/>
  <c r="N77" i="2" s="1"/>
  <c r="M201" i="2"/>
  <c r="N201" i="2" s="1"/>
  <c r="M69" i="2"/>
  <c r="N69" i="2" s="1"/>
  <c r="M122" i="2"/>
  <c r="M121" i="2"/>
  <c r="N121" i="2" s="1"/>
  <c r="M173" i="2"/>
  <c r="N173" i="2" s="1"/>
  <c r="L33" i="2"/>
  <c r="L105" i="2"/>
  <c r="L5" i="2"/>
  <c r="L34" i="2"/>
  <c r="L82" i="2"/>
  <c r="L130" i="2"/>
  <c r="L17" i="2"/>
  <c r="DJ1" i="2"/>
  <c r="M62" i="2" l="1"/>
  <c r="N62" i="2" s="1"/>
  <c r="M202" i="2"/>
  <c r="N202" i="2" s="1"/>
  <c r="M166" i="2"/>
  <c r="N166" i="2" s="1"/>
  <c r="M174" i="2"/>
  <c r="N174" i="2" s="1"/>
  <c r="M110" i="2"/>
  <c r="N110" i="2" s="1"/>
  <c r="M102" i="2"/>
  <c r="N102" i="2" s="1"/>
  <c r="N82" i="2"/>
  <c r="L154" i="2"/>
  <c r="L14" i="2"/>
  <c r="L118" i="2"/>
  <c r="N158" i="2"/>
  <c r="N97" i="2"/>
  <c r="N117" i="2"/>
  <c r="L178" i="2"/>
  <c r="L74" i="2"/>
  <c r="N73" i="2"/>
  <c r="L86" i="2"/>
  <c r="L22" i="2"/>
  <c r="N21" i="2"/>
  <c r="L170" i="2"/>
  <c r="N34" i="2"/>
  <c r="N17" i="2"/>
  <c r="N5" i="2"/>
  <c r="N153" i="2"/>
  <c r="L138" i="2"/>
  <c r="L162" i="2"/>
  <c r="L114" i="2"/>
  <c r="L190" i="2"/>
  <c r="L122" i="2"/>
  <c r="L194" i="2"/>
  <c r="N129" i="2"/>
  <c r="N169" i="2"/>
  <c r="L30" i="2"/>
  <c r="N29" i="2"/>
  <c r="L66" i="2"/>
  <c r="N137" i="2"/>
  <c r="N130" i="2"/>
  <c r="L98" i="2"/>
  <c r="N170" i="2"/>
  <c r="N33" i="2"/>
  <c r="L206" i="2"/>
  <c r="L158" i="2"/>
  <c r="L186" i="2"/>
  <c r="N105" i="2"/>
  <c r="L198" i="2"/>
  <c r="M78" i="2"/>
  <c r="N78" i="2" s="1"/>
  <c r="M140" i="2"/>
  <c r="M180" i="2"/>
  <c r="N180" i="2" s="1"/>
  <c r="M70" i="2"/>
  <c r="N70" i="2" s="1"/>
  <c r="M90" i="2"/>
  <c r="N90" i="2" s="1"/>
  <c r="L106" i="2"/>
  <c r="L18" i="2"/>
  <c r="L6" i="2"/>
  <c r="DF32" i="2"/>
  <c r="CV3" i="2"/>
  <c r="DL1" i="2" s="1"/>
  <c r="DK5" i="2" s="1"/>
  <c r="CZ2" i="2"/>
  <c r="DC4" i="2" s="1"/>
  <c r="DJ2" i="2"/>
  <c r="CS1" i="2"/>
  <c r="CV2" i="2" s="1"/>
  <c r="N122" i="2" l="1"/>
  <c r="N114" i="2"/>
  <c r="L139" i="2"/>
  <c r="N138" i="2"/>
  <c r="N106" i="2"/>
  <c r="N118" i="2"/>
  <c r="L207" i="2"/>
  <c r="N206" i="2"/>
  <c r="N74" i="2"/>
  <c r="N194" i="2"/>
  <c r="N198" i="2"/>
  <c r="N86" i="2"/>
  <c r="N178" i="2"/>
  <c r="N98" i="2"/>
  <c r="N6" i="2"/>
  <c r="N18" i="2"/>
  <c r="N30" i="2"/>
  <c r="N66" i="2"/>
  <c r="L23" i="2"/>
  <c r="N22" i="2"/>
  <c r="N14" i="2"/>
  <c r="N162" i="2"/>
  <c r="N154" i="2"/>
  <c r="M181" i="2"/>
  <c r="N181" i="2" s="1"/>
  <c r="M91" i="2"/>
  <c r="N91" i="2" s="1"/>
  <c r="M141" i="2"/>
  <c r="DK1" i="2"/>
  <c r="DK4" i="2" s="1"/>
  <c r="DJ3" i="2"/>
  <c r="L24" i="2" l="1"/>
  <c r="N23" i="2"/>
  <c r="L208" i="2"/>
  <c r="N207" i="2"/>
  <c r="L140" i="2"/>
  <c r="N139" i="2"/>
  <c r="M92" i="2"/>
  <c r="N92" i="2" s="1"/>
  <c r="M142" i="2"/>
  <c r="M182" i="2"/>
  <c r="N182" i="2" s="1"/>
  <c r="DK3" i="2"/>
  <c r="DK2" i="2"/>
  <c r="DK6" i="2"/>
  <c r="L209" i="2" l="1"/>
  <c r="N208" i="2"/>
  <c r="L141" i="2"/>
  <c r="N140" i="2"/>
  <c r="L25" i="2"/>
  <c r="N24" i="2"/>
  <c r="M183" i="2"/>
  <c r="N183" i="2" s="1"/>
  <c r="M143" i="2"/>
  <c r="M93" i="2"/>
  <c r="N93" i="2" s="1"/>
  <c r="DE31" i="2"/>
  <c r="DF31" i="2" s="1"/>
  <c r="DE19" i="2"/>
  <c r="DF19" i="2" s="1"/>
  <c r="DE23" i="2"/>
  <c r="DF23" i="2" s="1"/>
  <c r="DE14" i="2"/>
  <c r="DF14" i="2" s="1"/>
  <c r="DE27" i="2"/>
  <c r="DF27" i="2" s="1"/>
  <c r="DE28" i="2"/>
  <c r="DF28" i="2" s="1"/>
  <c r="DE10" i="2"/>
  <c r="DF10" i="2" s="1"/>
  <c r="DE5" i="2"/>
  <c r="DF5" i="2" s="1"/>
  <c r="DE3" i="2"/>
  <c r="DF3" i="2" s="1"/>
  <c r="DE8" i="2"/>
  <c r="DF8" i="2" s="1"/>
  <c r="DE11" i="2"/>
  <c r="DF11" i="2" s="1"/>
  <c r="DE29" i="2"/>
  <c r="DF29" i="2" s="1"/>
  <c r="DE18" i="2"/>
  <c r="DF18" i="2" s="1"/>
  <c r="DE22" i="2"/>
  <c r="DF22" i="2" s="1"/>
  <c r="DE1" i="2"/>
  <c r="DF1" i="2" s="1"/>
  <c r="DE26" i="2"/>
  <c r="DF26" i="2" s="1"/>
  <c r="DE9" i="2"/>
  <c r="DF9" i="2" s="1"/>
  <c r="DE30" i="2"/>
  <c r="DF30" i="2" s="1"/>
  <c r="DE12" i="2"/>
  <c r="DF12" i="2" s="1"/>
  <c r="DE13" i="2"/>
  <c r="DF13" i="2" s="1"/>
  <c r="DE2" i="2"/>
  <c r="DF2" i="2" s="1"/>
  <c r="DE16" i="2"/>
  <c r="DF16" i="2" s="1"/>
  <c r="DE17" i="2"/>
  <c r="DF17" i="2" s="1"/>
  <c r="DE4" i="2"/>
  <c r="DF4" i="2" s="1"/>
  <c r="DE20" i="2"/>
  <c r="DF20" i="2" s="1"/>
  <c r="DE21" i="2"/>
  <c r="DF21" i="2" s="1"/>
  <c r="DE7" i="2"/>
  <c r="DF7" i="2" s="1"/>
  <c r="DE24" i="2"/>
  <c r="DF24" i="2" s="1"/>
  <c r="DE25" i="2"/>
  <c r="DF25" i="2" s="1"/>
  <c r="DE15" i="2"/>
  <c r="DF15" i="2" s="1"/>
  <c r="DE6" i="2"/>
  <c r="DF6" i="2" s="1"/>
  <c r="M94" i="2" l="1"/>
  <c r="N94" i="2" s="1"/>
  <c r="L26" i="2"/>
  <c r="N25" i="2"/>
  <c r="L142" i="2"/>
  <c r="N141" i="2"/>
  <c r="L210" i="2"/>
  <c r="N209" i="2"/>
  <c r="M144" i="2"/>
  <c r="M184" i="2"/>
  <c r="N184" i="2" s="1"/>
  <c r="DN1" i="2"/>
  <c r="DG2" i="2"/>
  <c r="DG3" i="2" s="1"/>
  <c r="DG4" i="2" s="1"/>
  <c r="DG5" i="2" s="1"/>
  <c r="DG6" i="2" s="1"/>
  <c r="DG7" i="2" s="1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L211" i="2" l="1"/>
  <c r="N210" i="2"/>
  <c r="L143" i="2"/>
  <c r="N142" i="2"/>
  <c r="N26" i="2"/>
  <c r="M185" i="2"/>
  <c r="N185" i="2" s="1"/>
  <c r="M146" i="2"/>
  <c r="M145" i="2"/>
  <c r="L144" i="2" l="1"/>
  <c r="N143" i="2"/>
  <c r="L212" i="2"/>
  <c r="N211" i="2"/>
  <c r="M186" i="2"/>
  <c r="N186" i="2" s="1"/>
  <c r="L213" i="2" l="1"/>
  <c r="N212" i="2"/>
  <c r="L145" i="2"/>
  <c r="N144" i="2"/>
  <c r="M187" i="2"/>
  <c r="N187" i="2" s="1"/>
  <c r="L146" i="2" l="1"/>
  <c r="N145" i="2"/>
  <c r="L214" i="2"/>
  <c r="N213" i="2"/>
  <c r="M188" i="2"/>
  <c r="N188" i="2" s="1"/>
  <c r="L215" i="2" l="1"/>
  <c r="N214" i="2"/>
  <c r="N146" i="2"/>
  <c r="M189" i="2"/>
  <c r="N189" i="2" s="1"/>
  <c r="M190" i="2" l="1"/>
  <c r="N190" i="2" s="1"/>
  <c r="L216" i="2"/>
  <c r="N215" i="2"/>
  <c r="L217" i="2" l="1"/>
  <c r="N216" i="2"/>
  <c r="L218" i="2" l="1"/>
  <c r="N217" i="2"/>
  <c r="L219" i="2" l="1"/>
  <c r="N218" i="2"/>
  <c r="L220" i="2" l="1"/>
  <c r="N219" i="2"/>
  <c r="L221" i="2" l="1"/>
  <c r="N220" i="2"/>
  <c r="L222" i="2" l="1"/>
  <c r="N221" i="2"/>
  <c r="N222" i="2" l="1"/>
</calcChain>
</file>

<file path=xl/sharedStrings.xml><?xml version="1.0" encoding="utf-8"?>
<sst xmlns="http://schemas.openxmlformats.org/spreadsheetml/2006/main" count="1703" uniqueCount="345">
  <si>
    <t>1201.630110</t>
  </si>
  <si>
    <t>Account</t>
  </si>
  <si>
    <t>No</t>
  </si>
  <si>
    <t>1204.630110</t>
  </si>
  <si>
    <t>630110</t>
  </si>
  <si>
    <t>1205.630110</t>
  </si>
  <si>
    <t>630130</t>
  </si>
  <si>
    <t>1201.630130</t>
  </si>
  <si>
    <t>1206.630110</t>
  </si>
  <si>
    <t>801160</t>
  </si>
  <si>
    <t>1201.801160</t>
  </si>
  <si>
    <t>630200</t>
  </si>
  <si>
    <t>1201.630200</t>
  </si>
  <si>
    <t>1204.630130</t>
  </si>
  <si>
    <t/>
  </si>
  <si>
    <t>630520</t>
  </si>
  <si>
    <t>1201.630520</t>
  </si>
  <si>
    <t>630520;630530</t>
  </si>
  <si>
    <t>1205.630130</t>
  </si>
  <si>
    <t>630530</t>
  </si>
  <si>
    <t>1201.630600</t>
  </si>
  <si>
    <t>630600</t>
  </si>
  <si>
    <t>kategori</t>
  </si>
  <si>
    <t>1206.630130</t>
  </si>
  <si>
    <t>1201.630400</t>
  </si>
  <si>
    <t>630400</t>
  </si>
  <si>
    <t>JAMSOSTEK</t>
  </si>
  <si>
    <t>1201.630710</t>
  </si>
  <si>
    <t>630710;630720;630730;630740;630750;630760;630770</t>
  </si>
  <si>
    <t>1204.801160</t>
  </si>
  <si>
    <t>630710</t>
  </si>
  <si>
    <t>1201.630900</t>
  </si>
  <si>
    <t>630900</t>
  </si>
  <si>
    <t>1205.801160</t>
  </si>
  <si>
    <t>630720</t>
  </si>
  <si>
    <t>1201.631000</t>
  </si>
  <si>
    <t>631000</t>
  </si>
  <si>
    <t>1206.801160</t>
  </si>
  <si>
    <t>630730</t>
  </si>
  <si>
    <t>1201.630450</t>
  </si>
  <si>
    <t>630450</t>
  </si>
  <si>
    <t>630740</t>
  </si>
  <si>
    <t>1201.631100</t>
  </si>
  <si>
    <t>631100</t>
  </si>
  <si>
    <t>1204.630200</t>
  </si>
  <si>
    <t>630750</t>
  </si>
  <si>
    <t>1201.710200</t>
  </si>
  <si>
    <t>710200</t>
  </si>
  <si>
    <t>1205.630200</t>
  </si>
  <si>
    <t>630760</t>
  </si>
  <si>
    <t>1201.720100</t>
  </si>
  <si>
    <t>720100</t>
  </si>
  <si>
    <t>1206.630200</t>
  </si>
  <si>
    <t>630770</t>
  </si>
  <si>
    <t>1201.720400</t>
  </si>
  <si>
    <t>720400</t>
  </si>
  <si>
    <t>1201.720500</t>
  </si>
  <si>
    <t>720500</t>
  </si>
  <si>
    <t>1204.630520</t>
  </si>
  <si>
    <t>1201.730200</t>
  </si>
  <si>
    <t>730200</t>
  </si>
  <si>
    <t>1205.630520</t>
  </si>
  <si>
    <t>1201.730300</t>
  </si>
  <si>
    <t>730300</t>
  </si>
  <si>
    <t>1206.630520</t>
  </si>
  <si>
    <t>1201.801110</t>
  </si>
  <si>
    <t>801110</t>
  </si>
  <si>
    <t>1201.630530</t>
  </si>
  <si>
    <t>1201.801120</t>
  </si>
  <si>
    <t>801120</t>
  </si>
  <si>
    <t>1204.630530</t>
  </si>
  <si>
    <t>1201.802120</t>
  </si>
  <si>
    <t>802120</t>
  </si>
  <si>
    <t>1205.630530</t>
  </si>
  <si>
    <t>1201.802140</t>
  </si>
  <si>
    <t>802140</t>
  </si>
  <si>
    <t>1206.630530</t>
  </si>
  <si>
    <t>1201.805120</t>
  </si>
  <si>
    <t>805120</t>
  </si>
  <si>
    <t>1201.807100</t>
  </si>
  <si>
    <t>807100</t>
  </si>
  <si>
    <t>1204.630600</t>
  </si>
  <si>
    <t>1201.808100</t>
  </si>
  <si>
    <t>808100</t>
  </si>
  <si>
    <t>1205.630600</t>
  </si>
  <si>
    <t>1201.809100</t>
  </si>
  <si>
    <t>809100</t>
  </si>
  <si>
    <t>1206.630600</t>
  </si>
  <si>
    <t>1201.810110</t>
  </si>
  <si>
    <t>810110;810120;810130</t>
  </si>
  <si>
    <t>ELECTRICITY</t>
  </si>
  <si>
    <t>1201.812100</t>
  </si>
  <si>
    <t>812100</t>
  </si>
  <si>
    <t>1204.630400</t>
  </si>
  <si>
    <t>1201.813100</t>
  </si>
  <si>
    <t>813100</t>
  </si>
  <si>
    <t>1205.630400</t>
  </si>
  <si>
    <t>1201.814110</t>
  </si>
  <si>
    <t>814110</t>
  </si>
  <si>
    <t>1206.630400</t>
  </si>
  <si>
    <t>1201.815110</t>
  </si>
  <si>
    <t>815110</t>
  </si>
  <si>
    <t>1201.815120</t>
  </si>
  <si>
    <t>815120</t>
  </si>
  <si>
    <t>1204.630710</t>
  </si>
  <si>
    <t>1201.816110</t>
  </si>
  <si>
    <t>816110</t>
  </si>
  <si>
    <t>1205.630710</t>
  </si>
  <si>
    <t>810110</t>
  </si>
  <si>
    <t>1201.816120</t>
  </si>
  <si>
    <t>816120</t>
  </si>
  <si>
    <t>1206.630710</t>
  </si>
  <si>
    <t>810120</t>
  </si>
  <si>
    <t>1201.816130</t>
  </si>
  <si>
    <t>816130</t>
  </si>
  <si>
    <t>1201.630720</t>
  </si>
  <si>
    <t>810130</t>
  </si>
  <si>
    <t>1201.911000</t>
  </si>
  <si>
    <t>911000</t>
  </si>
  <si>
    <t>1204.630720</t>
  </si>
  <si>
    <t>1201.910100</t>
  </si>
  <si>
    <t>910100</t>
  </si>
  <si>
    <t>1205.630720</t>
  </si>
  <si>
    <t>1201.920600</t>
  </si>
  <si>
    <t>920600</t>
  </si>
  <si>
    <t>1206.630720</t>
  </si>
  <si>
    <t>1201.920700</t>
  </si>
  <si>
    <t>920700</t>
  </si>
  <si>
    <t>1201.630730</t>
  </si>
  <si>
    <t>1201.920120</t>
  </si>
  <si>
    <t>920120</t>
  </si>
  <si>
    <t>1204.630730</t>
  </si>
  <si>
    <t>1201.920410</t>
  </si>
  <si>
    <t>920410</t>
  </si>
  <si>
    <t>1205.630730</t>
  </si>
  <si>
    <t>1206.630730</t>
  </si>
  <si>
    <t>1201.630740</t>
  </si>
  <si>
    <t>1204.630740</t>
  </si>
  <si>
    <t>1205.630740</t>
  </si>
  <si>
    <t>1206.630740</t>
  </si>
  <si>
    <t>1201.630750</t>
  </si>
  <si>
    <t>1204.630750</t>
  </si>
  <si>
    <t>1205.630750</t>
  </si>
  <si>
    <t>1206.630750</t>
  </si>
  <si>
    <t>1201.630760</t>
  </si>
  <si>
    <t>1204.630760</t>
  </si>
  <si>
    <t>1205.630760</t>
  </si>
  <si>
    <t>1206.630760</t>
  </si>
  <si>
    <t>1201.630770</t>
  </si>
  <si>
    <t>1204.630770</t>
  </si>
  <si>
    <t>1205.630770</t>
  </si>
  <si>
    <t>1206.630770</t>
  </si>
  <si>
    <t>1204.630900</t>
  </si>
  <si>
    <t>1205.630900</t>
  </si>
  <si>
    <t>1206.630900</t>
  </si>
  <si>
    <t>1204.631000</t>
  </si>
  <si>
    <t>1205.631000</t>
  </si>
  <si>
    <t>1206.631000</t>
  </si>
  <si>
    <t>WATER</t>
  </si>
  <si>
    <t>1204.630450</t>
  </si>
  <si>
    <t>1205.630450</t>
  </si>
  <si>
    <t>1206.630450</t>
  </si>
  <si>
    <t>1204.631100</t>
  </si>
  <si>
    <t>1205.631100</t>
  </si>
  <si>
    <t>1206.631100</t>
  </si>
  <si>
    <t>1204.710200</t>
  </si>
  <si>
    <t>1205.710200</t>
  </si>
  <si>
    <t>1206.710200</t>
  </si>
  <si>
    <t>1204.720100</t>
  </si>
  <si>
    <t>1205.720100</t>
  </si>
  <si>
    <t>1206.720100</t>
  </si>
  <si>
    <t>1204.720400</t>
  </si>
  <si>
    <t>1205.720400</t>
  </si>
  <si>
    <t>1206.720400</t>
  </si>
  <si>
    <t>1204.720500</t>
  </si>
  <si>
    <t>1205.720500</t>
  </si>
  <si>
    <t>1206.720500</t>
  </si>
  <si>
    <t>1204.730200</t>
  </si>
  <si>
    <t>1205.730200</t>
  </si>
  <si>
    <t>1206.730200</t>
  </si>
  <si>
    <t>1204.730300</t>
  </si>
  <si>
    <t>1205.730300</t>
  </si>
  <si>
    <t>1206.730300</t>
  </si>
  <si>
    <t>1204.801110</t>
  </si>
  <si>
    <t>1205.801110</t>
  </si>
  <si>
    <t>1206.801110</t>
  </si>
  <si>
    <t>1204.801120</t>
  </si>
  <si>
    <t>1205.801120</t>
  </si>
  <si>
    <t>1206.801120</t>
  </si>
  <si>
    <t>1204.802120</t>
  </si>
  <si>
    <t>1205.802120</t>
  </si>
  <si>
    <t>1206.802120</t>
  </si>
  <si>
    <t>1204.802140</t>
  </si>
  <si>
    <t>1205.802140</t>
  </si>
  <si>
    <t>1206.802140</t>
  </si>
  <si>
    <t>1204.805120</t>
  </si>
  <si>
    <t>1205.805120</t>
  </si>
  <si>
    <t>1206.805120</t>
  </si>
  <si>
    <t>1204.807100</t>
  </si>
  <si>
    <t>1205.807100</t>
  </si>
  <si>
    <t>1206.807100</t>
  </si>
  <si>
    <t>1204.808100</t>
  </si>
  <si>
    <t>1205.808100</t>
  </si>
  <si>
    <t>1206.808100</t>
  </si>
  <si>
    <t>1204.809100</t>
  </si>
  <si>
    <t>1205.809100</t>
  </si>
  <si>
    <t>1206.809100</t>
  </si>
  <si>
    <t>1204.810110</t>
  </si>
  <si>
    <t>1205.810110</t>
  </si>
  <si>
    <t>1206.810110</t>
  </si>
  <si>
    <t>1201.810120</t>
  </si>
  <si>
    <t>1204.810120</t>
  </si>
  <si>
    <t>1205.810120</t>
  </si>
  <si>
    <t>1206.810120</t>
  </si>
  <si>
    <t>1201.810130</t>
  </si>
  <si>
    <t>1204.810130</t>
  </si>
  <si>
    <t>1205.810130</t>
  </si>
  <si>
    <t>1206.810130</t>
  </si>
  <si>
    <t>1204.812100</t>
  </si>
  <si>
    <t>1205.812100</t>
  </si>
  <si>
    <t>1206.812100</t>
  </si>
  <si>
    <t>ENTERTAINMENT</t>
  </si>
  <si>
    <t>1204.813100</t>
  </si>
  <si>
    <t>1205.813100</t>
  </si>
  <si>
    <t>1206.813100</t>
  </si>
  <si>
    <t>1204.814110</t>
  </si>
  <si>
    <t>1205.814110</t>
  </si>
  <si>
    <t>1206.814110</t>
  </si>
  <si>
    <t>1204.815110</t>
  </si>
  <si>
    <t>1205.815110</t>
  </si>
  <si>
    <t>1206.815110</t>
  </si>
  <si>
    <t>1204.815120</t>
  </si>
  <si>
    <t>1205.815120</t>
  </si>
  <si>
    <t>1206.815120</t>
  </si>
  <si>
    <t>1204.816110</t>
  </si>
  <si>
    <t>1205.816110</t>
  </si>
  <si>
    <t>1206.816110</t>
  </si>
  <si>
    <t>1204.816120</t>
  </si>
  <si>
    <t>1205.816120</t>
  </si>
  <si>
    <t>1206.816120</t>
  </si>
  <si>
    <t>1204.816130</t>
  </si>
  <si>
    <t>1205.816130</t>
  </si>
  <si>
    <t>1206.816130</t>
  </si>
  <si>
    <t>1204.911000</t>
  </si>
  <si>
    <t>1205.911000</t>
  </si>
  <si>
    <t>1206.911000</t>
  </si>
  <si>
    <t>1204.910100</t>
  </si>
  <si>
    <t>1205.910100</t>
  </si>
  <si>
    <t>1206.910100</t>
  </si>
  <si>
    <t>1204.920600</t>
  </si>
  <si>
    <t>1205.920600</t>
  </si>
  <si>
    <t>1206.920600</t>
  </si>
  <si>
    <t>TAXES</t>
  </si>
  <si>
    <t>1204.920700</t>
  </si>
  <si>
    <t>1205.920700</t>
  </si>
  <si>
    <t>1206.920700</t>
  </si>
  <si>
    <t>1204.920120</t>
  </si>
  <si>
    <t>1205.920120</t>
  </si>
  <si>
    <t>1206.920120</t>
  </si>
  <si>
    <t>1204.920410</t>
  </si>
  <si>
    <t>1205.920410</t>
  </si>
  <si>
    <t>1206.920410</t>
  </si>
  <si>
    <t>Gakepake</t>
  </si>
  <si>
    <t>PlanBudget</t>
  </si>
  <si>
    <t>Tanggalsekarang</t>
  </si>
  <si>
    <t>Tanggalawalbulan</t>
  </si>
  <si>
    <t>LABORCOST</t>
  </si>
  <si>
    <t>kuncibuatidentitasfilter</t>
  </si>
  <si>
    <t>NoAccount</t>
  </si>
  <si>
    <t>kuncifilter</t>
  </si>
  <si>
    <t>FAREALLOWANCE</t>
  </si>
  <si>
    <t>FREIGHTIN</t>
  </si>
  <si>
    <t>OTHERPRODUCTIONCOST</t>
  </si>
  <si>
    <t>SAMPLEEXPENSES</t>
  </si>
  <si>
    <t>OFFICERSALARIES</t>
  </si>
  <si>
    <t>CONTRIBUTIONCOST</t>
  </si>
  <si>
    <t>FUELFORMOTORVEHICLE</t>
  </si>
  <si>
    <t>LEGALEXPENSES</t>
  </si>
  <si>
    <t>OFFICESUPPLIESEXPENSES</t>
  </si>
  <si>
    <t>BANKCHARGES</t>
  </si>
  <si>
    <t>Tanggalakhirbulan</t>
  </si>
  <si>
    <t>Prosesseharisebelumnya</t>
  </si>
  <si>
    <t>MEDICALALLOWANCE</t>
  </si>
  <si>
    <t>MONTH:</t>
  </si>
  <si>
    <t>YEAR:</t>
  </si>
  <si>
    <t>FREIGHTEXPENSES</t>
  </si>
  <si>
    <t>VENDOREXPENSES</t>
  </si>
  <si>
    <t>MAINT.&amp;REP.BUILDING</t>
  </si>
  <si>
    <t>MAINT.&amp;REP.MACHINERIE</t>
  </si>
  <si>
    <t>MAINT.&amp;REP.PLANTEQUI</t>
  </si>
  <si>
    <t>MAINT.&amp;REP.WATERINSTL.</t>
  </si>
  <si>
    <t>MAINT.&amp;REP.GEN&amp;BOILER</t>
  </si>
  <si>
    <t>MAINT.&amp;REP.MOTORVEHICLE</t>
  </si>
  <si>
    <t>MAINT.&amp;REP.ELECTRICITY</t>
  </si>
  <si>
    <t>INSURANCEEXP.OFBUILD.&amp;</t>
  </si>
  <si>
    <t>RENTEXPENSES</t>
  </si>
  <si>
    <t>TRUCKINGEXPENSES</t>
  </si>
  <si>
    <t>EXPEDITION/SEAFREIGHT</t>
  </si>
  <si>
    <t>AIRFREIGHT</t>
  </si>
  <si>
    <t>SALESCOMMISSION</t>
  </si>
  <si>
    <t>FABRICTESTEDCHARGES</t>
  </si>
  <si>
    <t>TELEPHONEEXPENSES</t>
  </si>
  <si>
    <t>INTERNETEXPENSES</t>
  </si>
  <si>
    <t>PREMIUMCOST</t>
  </si>
  <si>
    <t>MAINT.OFFICEEQUIP.</t>
  </si>
  <si>
    <t>MAINT.MOTORVEHICLE</t>
  </si>
  <si>
    <t>MAINTENANCEHOUSE</t>
  </si>
  <si>
    <t>BUSINESSTRIPEXPENSES</t>
  </si>
  <si>
    <t>TRAININGBYEMPLOYEE</t>
  </si>
  <si>
    <t>RENTEXPENSESBUILDING</t>
  </si>
  <si>
    <t>RENTEXPENSESLAND</t>
  </si>
  <si>
    <t>INSURANCEEXPENSES</t>
  </si>
  <si>
    <t>ACCOUNTING&amp;TAXADVISORYEXP.</t>
  </si>
  <si>
    <t>AMENDS/CLAIMSREVENUE</t>
  </si>
  <si>
    <t>INTERESTINCOME</t>
  </si>
  <si>
    <t>WASTE&amp;SCRAPCOST</t>
  </si>
  <si>
    <t>INTERESTEXPOFDOMESTIC</t>
  </si>
  <si>
    <t>1201.630300</t>
  </si>
  <si>
    <t>1201.631110</t>
  </si>
  <si>
    <t>1201.631140</t>
  </si>
  <si>
    <t>1201.631150</t>
  </si>
  <si>
    <t>1201.631180</t>
  </si>
  <si>
    <t>1204.630300</t>
  </si>
  <si>
    <t>1204.631110</t>
  </si>
  <si>
    <t>1204.631140</t>
  </si>
  <si>
    <t>1204.631150</t>
  </si>
  <si>
    <t>1204.631180</t>
  </si>
  <si>
    <t>1205.630300</t>
  </si>
  <si>
    <t>1205.631110</t>
  </si>
  <si>
    <t>1205.631140</t>
  </si>
  <si>
    <t>1205.631150</t>
  </si>
  <si>
    <t>1205.631180</t>
  </si>
  <si>
    <t>1206.630300</t>
  </si>
  <si>
    <t>1206.631110</t>
  </si>
  <si>
    <t>1206.631140</t>
  </si>
  <si>
    <t>1206.631150</t>
  </si>
  <si>
    <t>1206.631180</t>
  </si>
  <si>
    <t>1201.801140</t>
  </si>
  <si>
    <t>-</t>
  </si>
  <si>
    <t>From Date</t>
  </si>
  <si>
    <t>Thru Date</t>
  </si>
  <si>
    <t>01/1/2024</t>
  </si>
  <si>
    <t>01/31/2024</t>
  </si>
  <si>
    <t>q</t>
  </si>
  <si>
    <t>budget di ledger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</si>
</sst>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$-409]#,##0;[Red][$$-409]#,##0"/>
    <numFmt numFmtId="165" formatCode="[$$-409]#,##0;[Red]&quot;-&quot;[$$-409]#,##0"/>
    <numFmt numFmtId="166" formatCode="&quot;$&quot;#,##0;[Red]&quot;$&quot;#,##0"/>
    <numFmt numFmtId="167" formatCode="0.000000"/>
    <numFmt numFmtId="168" formatCode="_-[$$-409]* #,##0.00_ ;_-[$$-409]* \-#,##0.00\ ;_-[$$-409]* &quot;-&quot;??_ ;_-@_ "/>
    <numFmt numFmtId="169" formatCode="_(&quot;$&quot;* #,##0_);_(&quot;$&quot;* \(#,##0\);_(&quot;$&quot;* &quot;-&quot;??_);_(@_)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badi MT Condensed Light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name val="Lucida Sans Unicode"/>
      <family val="2"/>
    </font>
    <font>
      <i/>
      <sz val="8"/>
      <color rgb="FF454545"/>
      <name val="Arial"/>
      <family val="2"/>
    </font>
    <font>
      <b/>
      <i/>
      <sz val="11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96">
    <xf numFmtId="0" fontId="0" fillId="0" borderId="0" xfId="0"/>
    <xf numFmtId="0" fontId="2" fillId="0" borderId="0" xfId="0" applyFont="1" applyAlignment="1">
      <alignment horizontal="center" vertical="center"/>
    </xf>
    <xf numFmtId="14" fontId="0" fillId="0" borderId="0" xfId="0" applyNumberFormat="1"/>
    <xf numFmtId="49" fontId="2" fillId="0" borderId="0" xfId="1" quotePrefix="1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49" fontId="4" fillId="0" borderId="0" xfId="0" applyNumberFormat="1" applyFont="1"/>
    <xf numFmtId="49" fontId="2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quotePrefix="1" applyFont="1" applyAlignment="1">
      <alignment horizontal="left"/>
    </xf>
    <xf numFmtId="0" fontId="7" fillId="0" borderId="0" xfId="0" applyFont="1" applyAlignment="1">
      <alignment vertical="center"/>
    </xf>
    <xf numFmtId="166" fontId="0" fillId="0" borderId="0" xfId="0" applyNumberFormat="1"/>
    <xf numFmtId="0" fontId="7" fillId="0" borderId="0" xfId="0" applyFont="1"/>
    <xf numFmtId="49" fontId="2" fillId="7" borderId="1" xfId="0" applyNumberFormat="1" applyFont="1" applyFill="1" applyBorder="1" applyAlignment="1">
      <alignment horizontal="center" vertical="center"/>
    </xf>
    <xf numFmtId="0" fontId="1" fillId="0" borderId="0" xfId="0" applyFont="1"/>
    <xf numFmtId="167" fontId="6" fillId="0" borderId="0" xfId="1" quotePrefix="1" applyNumberFormat="1" applyFont="1" applyAlignment="1">
      <alignment horizontal="left"/>
    </xf>
    <xf numFmtId="0" fontId="8" fillId="0" borderId="0" xfId="0" applyFont="1"/>
    <xf numFmtId="0" fontId="0" fillId="0" borderId="0" xfId="0" quotePrefix="1"/>
    <xf numFmtId="168" fontId="0" fillId="0" borderId="0" xfId="0" applyNumberFormat="1"/>
    <xf numFmtId="49" fontId="2" fillId="8" borderId="1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10" borderId="1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16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8" borderId="1" xfId="0" applyNumberFormat="1" applyFont="1" applyFill="1" applyBorder="1" applyAlignment="1">
      <alignment horizontal="center" vertical="center"/>
    </xf>
    <xf numFmtId="49" fontId="2" fillId="19" borderId="1" xfId="0" applyNumberFormat="1" applyFont="1" applyFill="1" applyBorder="1" applyAlignment="1">
      <alignment horizontal="center" vertical="center"/>
    </xf>
    <xf numFmtId="49" fontId="2" fillId="20" borderId="1" xfId="0" applyNumberFormat="1" applyFont="1" applyFill="1" applyBorder="1" applyAlignment="1">
      <alignment horizontal="center" vertical="center"/>
    </xf>
    <xf numFmtId="49" fontId="2" fillId="21" borderId="1" xfId="0" applyNumberFormat="1" applyFont="1" applyFill="1" applyBorder="1" applyAlignment="1">
      <alignment horizontal="center" vertical="center"/>
    </xf>
    <xf numFmtId="49" fontId="2" fillId="22" borderId="1" xfId="0" applyNumberFormat="1" applyFont="1" applyFill="1" applyBorder="1" applyAlignment="1">
      <alignment horizontal="center" vertical="center"/>
    </xf>
    <xf numFmtId="49" fontId="2" fillId="23" borderId="1" xfId="0" applyNumberFormat="1" applyFont="1" applyFill="1" applyBorder="1" applyAlignment="1">
      <alignment horizontal="center" vertical="center"/>
    </xf>
    <xf numFmtId="49" fontId="2" fillId="24" borderId="1" xfId="0" applyNumberFormat="1" applyFont="1" applyFill="1" applyBorder="1" applyAlignment="1">
      <alignment horizontal="center" vertical="center"/>
    </xf>
    <xf numFmtId="49" fontId="2" fillId="25" borderId="1" xfId="0" applyNumberFormat="1" applyFont="1" applyFill="1" applyBorder="1" applyAlignment="1">
      <alignment horizontal="center" vertical="center"/>
    </xf>
    <xf numFmtId="49" fontId="2" fillId="26" borderId="1" xfId="0" applyNumberFormat="1" applyFont="1" applyFill="1" applyBorder="1" applyAlignment="1">
      <alignment horizontal="center" vertical="center"/>
    </xf>
    <xf numFmtId="49" fontId="2" fillId="27" borderId="1" xfId="0" applyNumberFormat="1" applyFont="1" applyFill="1" applyBorder="1" applyAlignment="1">
      <alignment horizontal="center" vertical="center"/>
    </xf>
    <xf numFmtId="49" fontId="2" fillId="28" borderId="1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right"/>
    </xf>
    <xf numFmtId="0" fontId="0" fillId="0" borderId="1" xfId="0" applyBorder="1"/>
    <xf numFmtId="0" fontId="0" fillId="3" borderId="7" xfId="0" applyFill="1" applyBorder="1" applyAlignment="1">
      <alignment horizontal="right"/>
    </xf>
    <xf numFmtId="0" fontId="0" fillId="3" borderId="8" xfId="0" applyFill="1" applyBorder="1"/>
    <xf numFmtId="0" fontId="0" fillId="3" borderId="2" xfId="0" applyFill="1" applyBorder="1" applyAlignment="1">
      <alignment horizontal="right"/>
    </xf>
    <xf numFmtId="49" fontId="2" fillId="11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0" borderId="10" xfId="0" applyFont="1" applyBorder="1" applyAlignment="1">
      <alignment horizontal="center" vertical="center"/>
    </xf>
    <xf numFmtId="169" fontId="2" fillId="0" borderId="10" xfId="0" applyNumberFormat="1" applyFont="1" applyBorder="1" applyAlignment="1">
      <alignment vertical="center"/>
    </xf>
    <xf numFmtId="49" fontId="2" fillId="8" borderId="10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4" borderId="13" xfId="0" applyNumberFormat="1" applyFont="1" applyFill="1" applyBorder="1" applyAlignment="1">
      <alignment horizontal="center" vertical="center"/>
    </xf>
    <xf numFmtId="49" fontId="2" fillId="5" borderId="13" xfId="0" applyNumberFormat="1" applyFont="1" applyFill="1" applyBorder="1" applyAlignment="1">
      <alignment horizontal="center" vertical="center"/>
    </xf>
    <xf numFmtId="49" fontId="2" fillId="7" borderId="13" xfId="0" applyNumberFormat="1" applyFont="1" applyFill="1" applyBorder="1" applyAlignment="1">
      <alignment horizontal="center" vertical="center"/>
    </xf>
    <xf numFmtId="49" fontId="2" fillId="8" borderId="13" xfId="0" applyNumberFormat="1" applyFont="1" applyFill="1" applyBorder="1" applyAlignment="1">
      <alignment horizontal="center" vertical="center"/>
    </xf>
    <xf numFmtId="49" fontId="2" fillId="9" borderId="13" xfId="0" applyNumberFormat="1" applyFont="1" applyFill="1" applyBorder="1" applyAlignment="1">
      <alignment horizontal="center" vertical="center"/>
    </xf>
    <xf numFmtId="49" fontId="2" fillId="3" borderId="13" xfId="0" applyNumberFormat="1" applyFont="1" applyFill="1" applyBorder="1" applyAlignment="1">
      <alignment horizontal="center" vertical="center"/>
    </xf>
    <xf numFmtId="49" fontId="2" fillId="10" borderId="13" xfId="0" applyNumberFormat="1" applyFont="1" applyFill="1" applyBorder="1" applyAlignment="1">
      <alignment horizontal="center" vertical="center"/>
    </xf>
    <xf numFmtId="49" fontId="2" fillId="11" borderId="13" xfId="0" applyNumberFormat="1" applyFont="1" applyFill="1" applyBorder="1" applyAlignment="1">
      <alignment horizontal="center" vertical="center"/>
    </xf>
    <xf numFmtId="49" fontId="2" fillId="12" borderId="13" xfId="0" applyNumberFormat="1" applyFont="1" applyFill="1" applyBorder="1" applyAlignment="1">
      <alignment horizontal="center" vertical="center"/>
    </xf>
    <xf numFmtId="49" fontId="2" fillId="13" borderId="13" xfId="0" applyNumberFormat="1" applyFont="1" applyFill="1" applyBorder="1" applyAlignment="1">
      <alignment horizontal="center" vertical="center"/>
    </xf>
    <xf numFmtId="49" fontId="2" fillId="14" borderId="13" xfId="0" applyNumberFormat="1" applyFont="1" applyFill="1" applyBorder="1" applyAlignment="1">
      <alignment horizontal="center" vertical="center"/>
    </xf>
    <xf numFmtId="49" fontId="2" fillId="15" borderId="13" xfId="0" applyNumberFormat="1" applyFont="1" applyFill="1" applyBorder="1" applyAlignment="1">
      <alignment horizontal="center" vertical="center"/>
    </xf>
    <xf numFmtId="49" fontId="2" fillId="6" borderId="13" xfId="0" applyNumberFormat="1" applyFont="1" applyFill="1" applyBorder="1" applyAlignment="1">
      <alignment horizontal="center" vertical="center"/>
    </xf>
    <xf numFmtId="49" fontId="2" fillId="16" borderId="13" xfId="0" applyNumberFormat="1" applyFont="1" applyFill="1" applyBorder="1" applyAlignment="1">
      <alignment horizontal="center" vertical="center"/>
    </xf>
    <xf numFmtId="49" fontId="2" fillId="17" borderId="13" xfId="0" applyNumberFormat="1" applyFont="1" applyFill="1" applyBorder="1" applyAlignment="1">
      <alignment horizontal="center" vertical="center"/>
    </xf>
    <xf numFmtId="49" fontId="2" fillId="18" borderId="13" xfId="0" applyNumberFormat="1" applyFont="1" applyFill="1" applyBorder="1" applyAlignment="1">
      <alignment horizontal="center" vertical="center"/>
    </xf>
    <xf numFmtId="49" fontId="2" fillId="19" borderId="13" xfId="0" applyNumberFormat="1" applyFont="1" applyFill="1" applyBorder="1" applyAlignment="1">
      <alignment horizontal="center" vertical="center"/>
    </xf>
    <xf numFmtId="49" fontId="2" fillId="20" borderId="13" xfId="0" applyNumberFormat="1" applyFont="1" applyFill="1" applyBorder="1" applyAlignment="1">
      <alignment horizontal="center" vertical="center"/>
    </xf>
    <xf numFmtId="49" fontId="2" fillId="21" borderId="13" xfId="0" applyNumberFormat="1" applyFont="1" applyFill="1" applyBorder="1" applyAlignment="1">
      <alignment horizontal="center" vertical="center"/>
    </xf>
    <xf numFmtId="49" fontId="2" fillId="22" borderId="13" xfId="0" applyNumberFormat="1" applyFont="1" applyFill="1" applyBorder="1" applyAlignment="1">
      <alignment horizontal="center" vertical="center"/>
    </xf>
    <xf numFmtId="49" fontId="2" fillId="23" borderId="13" xfId="0" applyNumberFormat="1" applyFont="1" applyFill="1" applyBorder="1" applyAlignment="1">
      <alignment horizontal="center" vertical="center"/>
    </xf>
    <xf numFmtId="49" fontId="2" fillId="24" borderId="13" xfId="0" applyNumberFormat="1" applyFont="1" applyFill="1" applyBorder="1" applyAlignment="1">
      <alignment horizontal="center" vertical="center"/>
    </xf>
    <xf numFmtId="49" fontId="2" fillId="25" borderId="13" xfId="0" applyNumberFormat="1" applyFont="1" applyFill="1" applyBorder="1" applyAlignment="1">
      <alignment horizontal="center" vertical="center"/>
    </xf>
    <xf numFmtId="49" fontId="2" fillId="26" borderId="13" xfId="0" applyNumberFormat="1" applyFont="1" applyFill="1" applyBorder="1" applyAlignment="1">
      <alignment horizontal="center" vertical="center"/>
    </xf>
    <xf numFmtId="49" fontId="2" fillId="27" borderId="13" xfId="0" applyNumberFormat="1" applyFont="1" applyFill="1" applyBorder="1" applyAlignment="1">
      <alignment horizontal="center" vertical="center"/>
    </xf>
    <xf numFmtId="49" fontId="2" fillId="28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9" fontId="2" fillId="0" borderId="3" xfId="0" applyNumberFormat="1" applyFont="1" applyBorder="1" applyAlignment="1">
      <alignment vertical="center"/>
    </xf>
    <xf numFmtId="169" fontId="2" fillId="0" borderId="4" xfId="0" applyNumberFormat="1" applyFont="1" applyBorder="1" applyAlignment="1">
      <alignment vertical="center"/>
    </xf>
    <xf numFmtId="169" fontId="2" fillId="0" borderId="6" xfId="0" applyNumberFormat="1" applyFont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</cellXfs>
  <cellStyles count="2">
    <cellStyle name="Normal" xfId="0" builtinId="0"/>
    <cellStyle name="Normal_COSTU-05" xfId="1" xr:uid="{E4AE1FB3-9A28-4C87-BD9B-FAF2A0954E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F44004-A0C5-437B-9DF8-DCE52D0530F5}"/>
            </a:ext>
          </a:extLst>
        </xdr:cNvPr>
        <xdr:cNvSpPr/>
      </xdr:nvSpPr>
      <xdr:spPr>
        <a:xfrm>
          <a:off x="736786" y="2123515"/>
          <a:ext cx="989481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DC817E-CAB3-48BF-BB1B-02BA25AE216C}"/>
            </a:ext>
          </a:extLst>
        </xdr:cNvPr>
        <xdr:cNvSpPr/>
      </xdr:nvSpPr>
      <xdr:spPr>
        <a:xfrm>
          <a:off x="2119592" y="2976843"/>
          <a:ext cx="1066241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86E77B-D3CB-4B2E-B24F-520CB378ECA8}"/>
            </a:ext>
          </a:extLst>
        </xdr:cNvPr>
        <xdr:cNvSpPr/>
      </xdr:nvSpPr>
      <xdr:spPr>
        <a:xfrm>
          <a:off x="2110068" y="2108948"/>
          <a:ext cx="1053354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414617</xdr:colOff>
      <xdr:row>15</xdr:row>
      <xdr:rowOff>44822</xdr:rowOff>
    </xdr:from>
    <xdr:to>
      <xdr:col>2</xdr:col>
      <xdr:colOff>571499</xdr:colOff>
      <xdr:row>17</xdr:row>
      <xdr:rowOff>100852</xdr:rowOff>
    </xdr:to>
    <xdr:sp macro="[0]!Update_PIC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B206F5E-0086-4522-9E7B-A8DB31A997B6}"/>
            </a:ext>
          </a:extLst>
        </xdr:cNvPr>
        <xdr:cNvSpPr/>
      </xdr:nvSpPr>
      <xdr:spPr>
        <a:xfrm>
          <a:off x="414617" y="2924734"/>
          <a:ext cx="1423147" cy="43703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UPDATE</a:t>
          </a:r>
          <a:r>
            <a:rPr lang="en-ID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PIC</a:t>
          </a:r>
          <a:endParaRPr lang="en-ID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Bersama\IT\Macro%20Record%20Projects\MASTER%20BACKUP\MACRO%20-%20Report%20Profit%20Loss%20Breakdown%20PIC\.bahan\Copy%20of%20List%20PIC%20-%20Account%20Ledger.xlsx" TargetMode="External"/><Relationship Id="rId1" Type="http://schemas.openxmlformats.org/officeDocument/2006/relationships/externalLinkPath" Target="file:///\\10.8.0.35\Bersama\IT\Macro%20Record%20Projects\MASTER%20BACKUP\MACRO%20-%20Report%20Profit%20Loss%20Breakdown%20PIC\.bahan\Copy%20of%20List%20PIC%20-%20Account%20Ledg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sheetDataSet>
      <sheetData sheetId="0">
        <row r="4">
          <cell r="B4" t="str">
            <v>NO ACCOUNT</v>
          </cell>
          <cell r="C4" t="str">
            <v>ACCOUNT DESCRIPTION</v>
          </cell>
          <cell r="D4" t="str">
            <v>PLAN BUDGET</v>
          </cell>
          <cell r="E4" t="str">
            <v>FILL</v>
          </cell>
        </row>
        <row r="5">
          <cell r="B5" t="str">
            <v>1201.630110</v>
          </cell>
          <cell r="C5" t="str">
            <v>LABOR COST</v>
          </cell>
          <cell r="D5">
            <v>260250</v>
          </cell>
          <cell r="E5">
            <v>260250</v>
          </cell>
        </row>
        <row r="6">
          <cell r="B6" t="str">
            <v>1204.630110</v>
          </cell>
          <cell r="C6" t="str">
            <v>LABOR COST</v>
          </cell>
          <cell r="E6">
            <v>260250</v>
          </cell>
        </row>
        <row r="7">
          <cell r="B7" t="str">
            <v>1205.630110</v>
          </cell>
          <cell r="C7" t="str">
            <v>LABOR COST</v>
          </cell>
          <cell r="E7">
            <v>260250</v>
          </cell>
        </row>
        <row r="8">
          <cell r="B8" t="str">
            <v>1206.630110</v>
          </cell>
          <cell r="C8" t="str">
            <v>LABOR COST</v>
          </cell>
          <cell r="E8">
            <v>260250</v>
          </cell>
        </row>
        <row r="9">
          <cell r="B9" t="str">
            <v>1201.630130</v>
          </cell>
          <cell r="C9" t="str">
            <v>MEDICAL ALLOWANCE</v>
          </cell>
          <cell r="D9">
            <v>10343.979499999999</v>
          </cell>
          <cell r="E9">
            <v>10343.979499999999</v>
          </cell>
        </row>
        <row r="10">
          <cell r="B10" t="str">
            <v>1204.630130</v>
          </cell>
          <cell r="C10" t="str">
            <v>MEDICAL ALLOWANCE</v>
          </cell>
          <cell r="E10">
            <v>10343.979499999999</v>
          </cell>
        </row>
        <row r="11">
          <cell r="B11" t="str">
            <v>1205.630130</v>
          </cell>
          <cell r="C11" t="str">
            <v>MEDICAL ALLOWANCE</v>
          </cell>
          <cell r="E11">
            <v>10343.979499999999</v>
          </cell>
        </row>
        <row r="12">
          <cell r="B12" t="str">
            <v>1206.630130</v>
          </cell>
          <cell r="C12" t="str">
            <v>MEDICAL ALLOWANCE</v>
          </cell>
          <cell r="E12">
            <v>10343.979499999999</v>
          </cell>
        </row>
        <row r="13">
          <cell r="B13" t="str">
            <v>1201.801160</v>
          </cell>
          <cell r="C13" t="str">
            <v>JAMSOSTEK</v>
          </cell>
          <cell r="D13">
            <v>15885.723</v>
          </cell>
          <cell r="E13">
            <v>15885.723</v>
          </cell>
        </row>
        <row r="14">
          <cell r="B14" t="str">
            <v>1204.801160</v>
          </cell>
          <cell r="C14" t="str">
            <v>JAMSOSTEK</v>
          </cell>
          <cell r="E14">
            <v>15885.723</v>
          </cell>
        </row>
        <row r="15">
          <cell r="B15" t="str">
            <v>1205.801160</v>
          </cell>
          <cell r="C15" t="str">
            <v>JAMSOSTEK</v>
          </cell>
          <cell r="E15">
            <v>15885.723</v>
          </cell>
        </row>
        <row r="16">
          <cell r="B16" t="str">
            <v>1206.801160</v>
          </cell>
          <cell r="C16" t="str">
            <v>JAMSOSTEK</v>
          </cell>
          <cell r="E16">
            <v>15885.723</v>
          </cell>
        </row>
        <row r="17">
          <cell r="B17" t="str">
            <v>1201.630200</v>
          </cell>
          <cell r="C17" t="str">
            <v>FARE ALLOWANCE</v>
          </cell>
          <cell r="D17">
            <v>5375.03</v>
          </cell>
          <cell r="E17">
            <v>5375.03</v>
          </cell>
        </row>
        <row r="18">
          <cell r="B18" t="str">
            <v>1204.630200</v>
          </cell>
          <cell r="C18" t="str">
            <v>FARE ALLOWANCE</v>
          </cell>
          <cell r="E18">
            <v>5375.03</v>
          </cell>
        </row>
        <row r="19">
          <cell r="B19" t="str">
            <v>1205.630200</v>
          </cell>
          <cell r="C19" t="str">
            <v>FARE ALLOWANCE</v>
          </cell>
          <cell r="E19">
            <v>5375.03</v>
          </cell>
        </row>
        <row r="20">
          <cell r="B20" t="str">
            <v>1206.630200</v>
          </cell>
          <cell r="C20" t="str">
            <v>FARE ALLOWANCE</v>
          </cell>
          <cell r="E20">
            <v>5375.03</v>
          </cell>
        </row>
        <row r="21">
          <cell r="B21" t="str">
            <v>1201.630520</v>
          </cell>
          <cell r="C21" t="str">
            <v>FREIGHT EXPENSES</v>
          </cell>
          <cell r="D21">
            <v>0</v>
          </cell>
          <cell r="E21">
            <v>0</v>
          </cell>
        </row>
        <row r="22">
          <cell r="B22" t="str">
            <v>1204.630520</v>
          </cell>
          <cell r="C22" t="str">
            <v>FREIGHT EXPENSES</v>
          </cell>
          <cell r="D22">
            <v>0</v>
          </cell>
          <cell r="E22">
            <v>0</v>
          </cell>
        </row>
        <row r="23">
          <cell r="B23" t="str">
            <v>1205.630520</v>
          </cell>
          <cell r="C23" t="str">
            <v>FREIGHT EXPENSES</v>
          </cell>
          <cell r="D23">
            <v>0</v>
          </cell>
          <cell r="E23">
            <v>0</v>
          </cell>
        </row>
        <row r="24">
          <cell r="B24" t="str">
            <v>1206.630520</v>
          </cell>
          <cell r="C24" t="str">
            <v>FREIGHT EXPENSES</v>
          </cell>
          <cell r="D24">
            <v>0</v>
          </cell>
          <cell r="E24">
            <v>0</v>
          </cell>
        </row>
        <row r="25">
          <cell r="B25" t="str">
            <v>1201.630530</v>
          </cell>
          <cell r="C25" t="str">
            <v>FREIGHT IN</v>
          </cell>
          <cell r="D25">
            <v>4548.3100000000004</v>
          </cell>
          <cell r="E25">
            <v>4548.3100000000004</v>
          </cell>
        </row>
        <row r="26">
          <cell r="B26" t="str">
            <v>1204.630530</v>
          </cell>
          <cell r="C26" t="str">
            <v>FREIGHT IN</v>
          </cell>
          <cell r="E26">
            <v>4548.3100000000004</v>
          </cell>
        </row>
        <row r="27">
          <cell r="B27" t="str">
            <v>1205.630530</v>
          </cell>
          <cell r="C27" t="str">
            <v>FREIGHT IN</v>
          </cell>
          <cell r="E27">
            <v>4548.3100000000004</v>
          </cell>
        </row>
        <row r="28">
          <cell r="B28" t="str">
            <v>1206.630530</v>
          </cell>
          <cell r="C28" t="str">
            <v>FREIGHT IN</v>
          </cell>
          <cell r="E28">
            <v>4548.3100000000004</v>
          </cell>
        </row>
        <row r="29">
          <cell r="B29" t="str">
            <v>1201.630300</v>
          </cell>
          <cell r="C29" t="str">
            <v>FACTORY SUPPLIES EXPENSE</v>
          </cell>
          <cell r="D29">
            <v>21536.61</v>
          </cell>
          <cell r="E29">
            <v>21536.61</v>
          </cell>
        </row>
        <row r="30">
          <cell r="B30" t="str">
            <v>1201.631110</v>
          </cell>
          <cell r="C30" t="str">
            <v>PEMAKAIAN SPARE PART</v>
          </cell>
          <cell r="E30">
            <v>21536.61</v>
          </cell>
        </row>
        <row r="31">
          <cell r="B31" t="str">
            <v>1201.631140</v>
          </cell>
          <cell r="C31" t="str">
            <v>PMKN FUEL &amp; LUBRICANT</v>
          </cell>
          <cell r="E31">
            <v>21536.61</v>
          </cell>
        </row>
        <row r="32">
          <cell r="B32" t="str">
            <v>1201.631150</v>
          </cell>
          <cell r="C32" t="str">
            <v>PEMAKAIAN PACKING</v>
          </cell>
          <cell r="E32">
            <v>21536.61</v>
          </cell>
        </row>
        <row r="33">
          <cell r="B33" t="str">
            <v>1201.631180</v>
          </cell>
          <cell r="C33" t="str">
            <v>PEMAKAIAN GENERAL MATERIAL</v>
          </cell>
          <cell r="E33">
            <v>21536.61</v>
          </cell>
        </row>
        <row r="34">
          <cell r="B34" t="str">
            <v>1204.630300</v>
          </cell>
          <cell r="C34" t="str">
            <v>FACTORY SUPPLIES EXPENSE</v>
          </cell>
          <cell r="E34">
            <v>21536.61</v>
          </cell>
        </row>
        <row r="35">
          <cell r="B35" t="str">
            <v>1204.631110</v>
          </cell>
          <cell r="C35" t="str">
            <v>PEMAKAIAN SPARE PART</v>
          </cell>
          <cell r="E35">
            <v>21536.61</v>
          </cell>
        </row>
        <row r="36">
          <cell r="B36" t="str">
            <v>1204.631140</v>
          </cell>
          <cell r="C36" t="str">
            <v>PMKN FUEL &amp; LUBRICANT</v>
          </cell>
          <cell r="E36">
            <v>21536.61</v>
          </cell>
        </row>
        <row r="37">
          <cell r="B37" t="str">
            <v>1204.631150</v>
          </cell>
          <cell r="C37" t="str">
            <v>PEMAKAIAN PACKING</v>
          </cell>
          <cell r="E37">
            <v>21536.61</v>
          </cell>
        </row>
        <row r="38">
          <cell r="B38" t="str">
            <v>1204.631180</v>
          </cell>
          <cell r="C38" t="str">
            <v>PEMAKAIAN GENERAL MATERIAL</v>
          </cell>
          <cell r="E38">
            <v>21536.61</v>
          </cell>
        </row>
        <row r="39">
          <cell r="B39" t="str">
            <v>1205.630300</v>
          </cell>
          <cell r="C39" t="str">
            <v>FACTORY SUPPLIES EXPENSE</v>
          </cell>
          <cell r="E39">
            <v>21536.61</v>
          </cell>
        </row>
        <row r="40">
          <cell r="B40" t="str">
            <v>1205.631110</v>
          </cell>
          <cell r="C40" t="str">
            <v>PEMAKAIAN SPARE PART</v>
          </cell>
          <cell r="E40">
            <v>21536.61</v>
          </cell>
        </row>
        <row r="41">
          <cell r="B41" t="str">
            <v>1205.631140</v>
          </cell>
          <cell r="C41" t="str">
            <v>PMKN FUEL &amp; LUBRICANT</v>
          </cell>
          <cell r="E41">
            <v>21536.61</v>
          </cell>
        </row>
        <row r="42">
          <cell r="B42" t="str">
            <v>1205.631150</v>
          </cell>
          <cell r="C42" t="str">
            <v>PEMAKAIAN PACKING</v>
          </cell>
          <cell r="E42">
            <v>21536.61</v>
          </cell>
        </row>
        <row r="43">
          <cell r="B43" t="str">
            <v>1205.631180</v>
          </cell>
          <cell r="C43" t="str">
            <v>PEMAKAIAN GENERAL MATERIAL</v>
          </cell>
          <cell r="E43">
            <v>21536.61</v>
          </cell>
        </row>
        <row r="44">
          <cell r="B44" t="str">
            <v>1206.630300</v>
          </cell>
          <cell r="C44" t="str">
            <v>FACTORY SUPPLIES EXPENSE</v>
          </cell>
          <cell r="E44">
            <v>21536.61</v>
          </cell>
        </row>
        <row r="45">
          <cell r="B45" t="str">
            <v>1206.631110</v>
          </cell>
          <cell r="C45" t="str">
            <v>PEMAKAIAN SPARE PART</v>
          </cell>
          <cell r="E45">
            <v>21536.61</v>
          </cell>
        </row>
        <row r="46">
          <cell r="B46" t="str">
            <v>1206.631140</v>
          </cell>
          <cell r="C46" t="str">
            <v>PMKN FUEL &amp; LUBRICANT</v>
          </cell>
          <cell r="E46">
            <v>21536.61</v>
          </cell>
        </row>
        <row r="47">
          <cell r="B47" t="str">
            <v>1206.631150</v>
          </cell>
          <cell r="C47" t="str">
            <v>PEMAKAIAN PACKING</v>
          </cell>
          <cell r="E47">
            <v>21536.61</v>
          </cell>
        </row>
        <row r="48">
          <cell r="B48" t="str">
            <v>1206.631180</v>
          </cell>
          <cell r="C48" t="str">
            <v>PEMAKAIAN GENERAL MATERIAL</v>
          </cell>
          <cell r="E48">
            <v>21536.61</v>
          </cell>
        </row>
        <row r="49">
          <cell r="B49" t="str">
            <v>1201.630600</v>
          </cell>
          <cell r="C49" t="str">
            <v>VENDOR EXPENSES</v>
          </cell>
          <cell r="D49">
            <v>257250</v>
          </cell>
          <cell r="E49">
            <v>257250</v>
          </cell>
        </row>
        <row r="50">
          <cell r="B50" t="str">
            <v>1204.630600</v>
          </cell>
          <cell r="C50" t="str">
            <v>VENDOR EXPENSES</v>
          </cell>
          <cell r="E50">
            <v>257250</v>
          </cell>
        </row>
        <row r="51">
          <cell r="B51" t="str">
            <v>1205.630600</v>
          </cell>
          <cell r="C51" t="str">
            <v>VENDOR EXPENSES</v>
          </cell>
          <cell r="E51">
            <v>257250</v>
          </cell>
        </row>
        <row r="52">
          <cell r="B52" t="str">
            <v>1206.630600</v>
          </cell>
          <cell r="C52" t="str">
            <v>VENDOR EXPENSES</v>
          </cell>
          <cell r="D52">
            <v>0</v>
          </cell>
          <cell r="E52">
            <v>0</v>
          </cell>
        </row>
        <row r="53">
          <cell r="B53" t="str">
            <v>1201.630400</v>
          </cell>
          <cell r="C53" t="str">
            <v>ELECTRICITY</v>
          </cell>
          <cell r="D53">
            <v>15561.89</v>
          </cell>
          <cell r="E53">
            <v>15561.89</v>
          </cell>
        </row>
        <row r="54">
          <cell r="B54" t="str">
            <v>1204.630400</v>
          </cell>
          <cell r="C54" t="str">
            <v>ELECTRICITY</v>
          </cell>
          <cell r="E54">
            <v>15561.89</v>
          </cell>
        </row>
        <row r="55">
          <cell r="B55" t="str">
            <v>1205.630400</v>
          </cell>
          <cell r="C55" t="str">
            <v>ELECTRICITY</v>
          </cell>
          <cell r="E55">
            <v>15561.89</v>
          </cell>
        </row>
        <row r="56">
          <cell r="B56" t="str">
            <v>1206.630400</v>
          </cell>
          <cell r="C56" t="str">
            <v>ELECTRICITY</v>
          </cell>
          <cell r="E56">
            <v>15561.89</v>
          </cell>
        </row>
        <row r="57">
          <cell r="B57" t="str">
            <v>1201.630710</v>
          </cell>
          <cell r="C57" t="str">
            <v>MAINT.&amp;REP.BUILDING</v>
          </cell>
          <cell r="D57">
            <v>6000</v>
          </cell>
          <cell r="E57">
            <v>6000</v>
          </cell>
        </row>
        <row r="58">
          <cell r="B58" t="str">
            <v>1204.630710</v>
          </cell>
          <cell r="C58" t="str">
            <v>MAINT.&amp;REP.BUILDING</v>
          </cell>
          <cell r="E58">
            <v>6000</v>
          </cell>
        </row>
        <row r="59">
          <cell r="B59" t="str">
            <v>1205.630710</v>
          </cell>
          <cell r="C59" t="str">
            <v>MAINT.&amp;REP.BUILDING</v>
          </cell>
          <cell r="E59">
            <v>6000</v>
          </cell>
        </row>
        <row r="60">
          <cell r="B60" t="str">
            <v>1206.630710</v>
          </cell>
          <cell r="C60" t="str">
            <v>MAINT.&amp;REP.BUILDING</v>
          </cell>
          <cell r="E60">
            <v>6000</v>
          </cell>
        </row>
        <row r="61">
          <cell r="B61" t="str">
            <v>1201.630720</v>
          </cell>
          <cell r="C61" t="str">
            <v>MAINT.&amp;REP.MACHINERIE</v>
          </cell>
          <cell r="E61">
            <v>6000</v>
          </cell>
        </row>
        <row r="62">
          <cell r="B62" t="str">
            <v>1204.630720</v>
          </cell>
          <cell r="C62" t="str">
            <v>MAINT.&amp;REP.MACHINERIE</v>
          </cell>
          <cell r="E62">
            <v>6000</v>
          </cell>
        </row>
        <row r="63">
          <cell r="B63" t="str">
            <v>1205.630720</v>
          </cell>
          <cell r="C63" t="str">
            <v>MAINT.&amp;REP.MACHINERIE</v>
          </cell>
          <cell r="E63">
            <v>6000</v>
          </cell>
        </row>
        <row r="64">
          <cell r="B64" t="str">
            <v>1206.630720</v>
          </cell>
          <cell r="C64" t="str">
            <v>MAINT.&amp;REP.MACHINERIE</v>
          </cell>
          <cell r="E64">
            <v>6000</v>
          </cell>
        </row>
        <row r="65">
          <cell r="B65" t="str">
            <v>1201.630730</v>
          </cell>
          <cell r="C65" t="str">
            <v>MAINT.&amp;REP.PLANTEQUI</v>
          </cell>
          <cell r="E65">
            <v>6000</v>
          </cell>
        </row>
        <row r="66">
          <cell r="B66" t="str">
            <v>1204.630730</v>
          </cell>
          <cell r="C66" t="str">
            <v>MAINT.&amp;REP.PLANTEQUI</v>
          </cell>
          <cell r="E66">
            <v>6000</v>
          </cell>
        </row>
        <row r="67">
          <cell r="B67" t="str">
            <v>1205.630730</v>
          </cell>
          <cell r="C67" t="str">
            <v>MAINT.&amp;REP.PLANTEQUI</v>
          </cell>
          <cell r="E67">
            <v>6000</v>
          </cell>
        </row>
        <row r="68">
          <cell r="B68" t="str">
            <v>1206.630730</v>
          </cell>
          <cell r="C68" t="str">
            <v>MAINT.&amp;REP.PLANTEQUI</v>
          </cell>
          <cell r="E68">
            <v>6000</v>
          </cell>
        </row>
        <row r="69">
          <cell r="B69" t="str">
            <v>1201.630740</v>
          </cell>
          <cell r="C69" t="str">
            <v>MAINT.&amp;REP.WATERINSTL.</v>
          </cell>
          <cell r="E69">
            <v>6000</v>
          </cell>
        </row>
        <row r="70">
          <cell r="B70" t="str">
            <v>1204.630740</v>
          </cell>
          <cell r="C70" t="str">
            <v>MAINT.&amp;REP.WATERINSTL.</v>
          </cell>
          <cell r="E70">
            <v>6000</v>
          </cell>
        </row>
        <row r="71">
          <cell r="B71" t="str">
            <v>1205.630740</v>
          </cell>
          <cell r="C71" t="str">
            <v>MAINT.&amp;REP.WATERINSTL.</v>
          </cell>
          <cell r="E71">
            <v>6000</v>
          </cell>
        </row>
        <row r="72">
          <cell r="B72" t="str">
            <v>1206.630740</v>
          </cell>
          <cell r="C72" t="str">
            <v>MAINT.&amp;REP.WATERINSTL.</v>
          </cell>
          <cell r="E72">
            <v>6000</v>
          </cell>
        </row>
        <row r="73">
          <cell r="B73" t="str">
            <v>1201.630750</v>
          </cell>
          <cell r="C73" t="str">
            <v>MAINT.&amp;REP.GEN&amp;BOILER</v>
          </cell>
          <cell r="E73">
            <v>6000</v>
          </cell>
        </row>
        <row r="74">
          <cell r="B74" t="str">
            <v>1204.630750</v>
          </cell>
          <cell r="C74" t="str">
            <v>MAINT.&amp;REP.GEN&amp;BOILER</v>
          </cell>
          <cell r="E74">
            <v>6000</v>
          </cell>
        </row>
        <row r="75">
          <cell r="B75" t="str">
            <v>1205.630750</v>
          </cell>
          <cell r="C75" t="str">
            <v>MAINT.&amp;REP.GEN&amp;BOILER</v>
          </cell>
          <cell r="E75">
            <v>6000</v>
          </cell>
        </row>
        <row r="76">
          <cell r="B76" t="str">
            <v>1206.630750</v>
          </cell>
          <cell r="C76" t="str">
            <v>MAINT.&amp;REP.GEN&amp;BOILER</v>
          </cell>
          <cell r="E76">
            <v>6000</v>
          </cell>
        </row>
        <row r="77">
          <cell r="B77" t="str">
            <v>1201.630760</v>
          </cell>
          <cell r="C77" t="str">
            <v>MAINT.&amp;REP.MOTORVEHICLE</v>
          </cell>
          <cell r="E77">
            <v>6000</v>
          </cell>
        </row>
        <row r="78">
          <cell r="B78" t="str">
            <v>1204.630760</v>
          </cell>
          <cell r="C78" t="str">
            <v>MAINT.&amp;REP.MOTORVEHICLE</v>
          </cell>
          <cell r="E78">
            <v>6000</v>
          </cell>
        </row>
        <row r="79">
          <cell r="B79" t="str">
            <v>1205.630760</v>
          </cell>
          <cell r="C79" t="str">
            <v>MAINT.&amp;REP.MOTORVEHICLE</v>
          </cell>
          <cell r="E79">
            <v>6000</v>
          </cell>
        </row>
        <row r="80">
          <cell r="B80" t="str">
            <v>1206.630760</v>
          </cell>
          <cell r="C80" t="str">
            <v>MAINT.&amp;REP.MOTORVEHICLE</v>
          </cell>
          <cell r="E80">
            <v>6000</v>
          </cell>
        </row>
        <row r="81">
          <cell r="B81" t="str">
            <v>1201.630770</v>
          </cell>
          <cell r="C81" t="str">
            <v>MAINT.&amp;REP.ELECTRICITY</v>
          </cell>
          <cell r="E81">
            <v>6000</v>
          </cell>
        </row>
        <row r="82">
          <cell r="B82" t="str">
            <v>1204.630770</v>
          </cell>
          <cell r="C82" t="str">
            <v>MAINT.&amp;REP.ELECTRICITY</v>
          </cell>
          <cell r="E82">
            <v>6000</v>
          </cell>
        </row>
        <row r="83">
          <cell r="B83" t="str">
            <v>1205.630770</v>
          </cell>
          <cell r="C83" t="str">
            <v>MAINT.&amp;REP.ELECTRICITY</v>
          </cell>
          <cell r="E83">
            <v>6000</v>
          </cell>
        </row>
        <row r="84">
          <cell r="B84" t="str">
            <v>1206.630770</v>
          </cell>
          <cell r="C84" t="str">
            <v>MAINT.&amp;REP.ELECTRICITY</v>
          </cell>
          <cell r="E84">
            <v>6000</v>
          </cell>
        </row>
        <row r="85">
          <cell r="B85" t="str">
            <v>1201.630900</v>
          </cell>
          <cell r="C85" t="str">
            <v>INSURANCEEXP.OFBUILD.&amp;</v>
          </cell>
          <cell r="D85">
            <v>3679.7200000000003</v>
          </cell>
          <cell r="E85">
            <v>3679.7200000000003</v>
          </cell>
        </row>
        <row r="86">
          <cell r="B86" t="str">
            <v>1204.630900</v>
          </cell>
          <cell r="C86" t="str">
            <v>INSURANCEEXP.OFBUILD.&amp;</v>
          </cell>
          <cell r="E86">
            <v>3679.7200000000003</v>
          </cell>
        </row>
        <row r="87">
          <cell r="B87" t="str">
            <v>1205.630900</v>
          </cell>
          <cell r="C87" t="str">
            <v>INSURANCEEXP.OFBUILD.&amp;</v>
          </cell>
          <cell r="E87">
            <v>3679.7200000000003</v>
          </cell>
        </row>
        <row r="88">
          <cell r="B88" t="str">
            <v>1206.630900</v>
          </cell>
          <cell r="C88" t="str">
            <v>INSURANCEEXP.OFBUILD.&amp;</v>
          </cell>
          <cell r="E88">
            <v>3679.7200000000003</v>
          </cell>
        </row>
        <row r="89">
          <cell r="B89" t="str">
            <v>1201.631000</v>
          </cell>
          <cell r="C89" t="str">
            <v>RENT EXPENSES</v>
          </cell>
          <cell r="D89">
            <v>5623.8399999999992</v>
          </cell>
          <cell r="E89">
            <v>5623.8399999999992</v>
          </cell>
        </row>
        <row r="90">
          <cell r="B90" t="str">
            <v>1204.631000</v>
          </cell>
          <cell r="C90" t="str">
            <v>RENT EXPENSES</v>
          </cell>
          <cell r="E90">
            <v>5623.8399999999992</v>
          </cell>
        </row>
        <row r="91">
          <cell r="B91" t="str">
            <v>1205.631000</v>
          </cell>
          <cell r="C91" t="str">
            <v>RENT EXPENSES</v>
          </cell>
          <cell r="E91">
            <v>5623.8399999999992</v>
          </cell>
        </row>
        <row r="92">
          <cell r="B92" t="str">
            <v>1206.631000</v>
          </cell>
          <cell r="C92" t="str">
            <v>RENT EXPENSES</v>
          </cell>
          <cell r="E92">
            <v>5623.8399999999992</v>
          </cell>
        </row>
        <row r="93">
          <cell r="B93" t="str">
            <v>1201.630450</v>
          </cell>
          <cell r="C93" t="str">
            <v>WATER</v>
          </cell>
          <cell r="D93">
            <v>484.46</v>
          </cell>
          <cell r="E93">
            <v>484.46</v>
          </cell>
        </row>
        <row r="94">
          <cell r="B94" t="str">
            <v>1204.630450</v>
          </cell>
          <cell r="C94" t="str">
            <v>WATER</v>
          </cell>
          <cell r="E94">
            <v>484.46</v>
          </cell>
        </row>
        <row r="95">
          <cell r="B95" t="str">
            <v>1205.630450</v>
          </cell>
          <cell r="C95" t="str">
            <v>WATER</v>
          </cell>
          <cell r="E95">
            <v>484.46</v>
          </cell>
        </row>
        <row r="96">
          <cell r="B96" t="str">
            <v>1206.630450</v>
          </cell>
          <cell r="C96" t="str">
            <v>WATER</v>
          </cell>
          <cell r="D96">
            <v>20.09</v>
          </cell>
          <cell r="E96">
            <v>20.09</v>
          </cell>
        </row>
        <row r="97">
          <cell r="B97" t="str">
            <v>1201.631100</v>
          </cell>
          <cell r="C97" t="str">
            <v>OTHER PRODUCTION COST</v>
          </cell>
          <cell r="D97">
            <v>37855.17</v>
          </cell>
          <cell r="E97">
            <v>37855.17</v>
          </cell>
        </row>
        <row r="98">
          <cell r="C98" t="str">
            <v>SECURITY</v>
          </cell>
          <cell r="E98">
            <v>37855.17</v>
          </cell>
        </row>
        <row r="99">
          <cell r="C99" t="str">
            <v>DOKTER + OBAT</v>
          </cell>
          <cell r="E99">
            <v>37855.17</v>
          </cell>
        </row>
        <row r="100">
          <cell r="C100" t="str">
            <v>IMPORT CHERGE</v>
          </cell>
          <cell r="E100">
            <v>37855.17</v>
          </cell>
        </row>
        <row r="101">
          <cell r="B101" t="str">
            <v>1204.631100</v>
          </cell>
          <cell r="C101" t="str">
            <v>OTHER PRODUCTION COST</v>
          </cell>
          <cell r="E101">
            <v>37855.17</v>
          </cell>
        </row>
        <row r="102">
          <cell r="C102" t="str">
            <v>SECURITY</v>
          </cell>
          <cell r="E102">
            <v>37855.17</v>
          </cell>
        </row>
        <row r="103">
          <cell r="C103" t="str">
            <v>DOKTER + OBAT</v>
          </cell>
          <cell r="E103">
            <v>37855.17</v>
          </cell>
        </row>
        <row r="104">
          <cell r="C104" t="str">
            <v>IMPORT CHERGE</v>
          </cell>
          <cell r="E104">
            <v>37855.17</v>
          </cell>
        </row>
        <row r="105">
          <cell r="B105" t="str">
            <v>1205.631100</v>
          </cell>
          <cell r="C105" t="str">
            <v>OTHER PRODUCTION COST</v>
          </cell>
          <cell r="E105">
            <v>37855.17</v>
          </cell>
        </row>
        <row r="106">
          <cell r="C106" t="str">
            <v>SECURITY</v>
          </cell>
          <cell r="E106">
            <v>37855.17</v>
          </cell>
        </row>
        <row r="107">
          <cell r="C107" t="str">
            <v>DOKTER + OBAT</v>
          </cell>
          <cell r="E107">
            <v>37855.17</v>
          </cell>
        </row>
        <row r="108">
          <cell r="C108" t="str">
            <v>IMPORT CHERGE</v>
          </cell>
          <cell r="E108">
            <v>37855.17</v>
          </cell>
        </row>
        <row r="109">
          <cell r="B109" t="str">
            <v>1206.631100</v>
          </cell>
          <cell r="C109" t="str">
            <v>OTHER PRODUCTION COST</v>
          </cell>
          <cell r="E109">
            <v>37855.17</v>
          </cell>
        </row>
        <row r="110">
          <cell r="B110" t="str">
            <v>1201.710200</v>
          </cell>
          <cell r="C110" t="str">
            <v>SAMPLE EXPENSES</v>
          </cell>
          <cell r="D110">
            <v>500</v>
          </cell>
          <cell r="E110">
            <v>500</v>
          </cell>
        </row>
        <row r="111">
          <cell r="B111" t="str">
            <v>1204.710200</v>
          </cell>
          <cell r="C111" t="str">
            <v>SAMPLE EXPENSES</v>
          </cell>
          <cell r="E111">
            <v>500</v>
          </cell>
        </row>
        <row r="112">
          <cell r="B112" t="str">
            <v>1205.710200</v>
          </cell>
          <cell r="C112" t="str">
            <v>SAMPLE EXPENSES</v>
          </cell>
          <cell r="E112">
            <v>500</v>
          </cell>
        </row>
        <row r="113">
          <cell r="B113" t="str">
            <v>1206.710200</v>
          </cell>
          <cell r="C113" t="str">
            <v>SAMPLE EXPENSES</v>
          </cell>
          <cell r="E113">
            <v>500</v>
          </cell>
        </row>
        <row r="114">
          <cell r="B114" t="str">
            <v>1201.720100</v>
          </cell>
          <cell r="C114" t="str">
            <v>TRUCKING EXPENSES</v>
          </cell>
          <cell r="D114">
            <v>10000</v>
          </cell>
          <cell r="E114">
            <v>10000</v>
          </cell>
        </row>
        <row r="115">
          <cell r="B115" t="str">
            <v>1204.720100</v>
          </cell>
          <cell r="C115" t="str">
            <v>TRUCKING EXPENSES</v>
          </cell>
          <cell r="E115">
            <v>10000</v>
          </cell>
        </row>
        <row r="116">
          <cell r="B116" t="str">
            <v>1205.720100</v>
          </cell>
          <cell r="C116" t="str">
            <v>TRUCKING EXPENSES</v>
          </cell>
          <cell r="E116">
            <v>10000</v>
          </cell>
        </row>
        <row r="117">
          <cell r="B117" t="str">
            <v>1206.720100</v>
          </cell>
          <cell r="C117" t="str">
            <v>TRUCKING EXPENSES</v>
          </cell>
          <cell r="E117">
            <v>10000</v>
          </cell>
        </row>
        <row r="118">
          <cell r="B118" t="str">
            <v>1201.720400</v>
          </cell>
          <cell r="C118" t="str">
            <v>EXPEDITION/SEA FREIGHT</v>
          </cell>
          <cell r="D118">
            <v>20000</v>
          </cell>
          <cell r="E118">
            <v>20000</v>
          </cell>
        </row>
        <row r="119">
          <cell r="B119" t="str">
            <v>1204.720400</v>
          </cell>
          <cell r="C119" t="str">
            <v>EXPEDITION/SEA FREIGHT</v>
          </cell>
          <cell r="E119">
            <v>20000</v>
          </cell>
        </row>
        <row r="120">
          <cell r="B120" t="str">
            <v>1205.720400</v>
          </cell>
          <cell r="C120" t="str">
            <v>EXPEDITION/SEA FREIGHT</v>
          </cell>
          <cell r="E120">
            <v>20000</v>
          </cell>
        </row>
        <row r="121">
          <cell r="B121" t="str">
            <v>1206.720400</v>
          </cell>
          <cell r="C121" t="str">
            <v>EXPEDITION/SEA FREIGHT</v>
          </cell>
          <cell r="E121">
            <v>20000</v>
          </cell>
        </row>
        <row r="122">
          <cell r="B122" t="str">
            <v>1201.720500</v>
          </cell>
          <cell r="C122" t="str">
            <v>AIR FREIGHT</v>
          </cell>
          <cell r="E122">
            <v>20000</v>
          </cell>
        </row>
        <row r="123">
          <cell r="B123" t="str">
            <v>1204.720500</v>
          </cell>
          <cell r="C123" t="str">
            <v>AIR FREIGHT</v>
          </cell>
          <cell r="E123">
            <v>20000</v>
          </cell>
        </row>
        <row r="124">
          <cell r="B124" t="str">
            <v>1205.720500</v>
          </cell>
          <cell r="C124" t="str">
            <v>AIR FREIGHT</v>
          </cell>
          <cell r="E124">
            <v>20000</v>
          </cell>
        </row>
        <row r="125">
          <cell r="B125" t="str">
            <v>1206.720500</v>
          </cell>
          <cell r="C125" t="str">
            <v>AIR FREIGHT</v>
          </cell>
          <cell r="E125">
            <v>20000</v>
          </cell>
        </row>
        <row r="126">
          <cell r="B126" t="str">
            <v>1201.730200</v>
          </cell>
          <cell r="C126" t="str">
            <v>SALES COMMISSION</v>
          </cell>
          <cell r="D126">
            <v>7000</v>
          </cell>
          <cell r="E126">
            <v>7000</v>
          </cell>
        </row>
        <row r="127">
          <cell r="B127" t="str">
            <v>1204.730200</v>
          </cell>
          <cell r="C127" t="str">
            <v>SALES COMMISSION</v>
          </cell>
          <cell r="E127">
            <v>7000</v>
          </cell>
        </row>
        <row r="128">
          <cell r="B128" t="str">
            <v>1205.730200</v>
          </cell>
          <cell r="C128" t="str">
            <v>SALES COMMISSION</v>
          </cell>
          <cell r="E128">
            <v>7000</v>
          </cell>
        </row>
        <row r="129">
          <cell r="B129" t="str">
            <v>1206.730200</v>
          </cell>
          <cell r="C129" t="str">
            <v>SALES COMMISSION</v>
          </cell>
          <cell r="E129">
            <v>7000</v>
          </cell>
        </row>
        <row r="130">
          <cell r="B130" t="str">
            <v>1201.730300</v>
          </cell>
          <cell r="C130" t="str">
            <v>FABRIC TESTED CHARGES</v>
          </cell>
          <cell r="D130">
            <v>2000</v>
          </cell>
          <cell r="E130">
            <v>2000</v>
          </cell>
        </row>
        <row r="131">
          <cell r="B131" t="str">
            <v>1204.730300</v>
          </cell>
          <cell r="C131" t="str">
            <v>FABRIC TESTED CHARGES</v>
          </cell>
          <cell r="E131">
            <v>2000</v>
          </cell>
        </row>
        <row r="132">
          <cell r="B132" t="str">
            <v>1205.730300</v>
          </cell>
          <cell r="C132" t="str">
            <v>FABRIC TESTED CHARGES</v>
          </cell>
          <cell r="E132">
            <v>2000</v>
          </cell>
        </row>
        <row r="133">
          <cell r="B133" t="str">
            <v>1206.730300</v>
          </cell>
          <cell r="C133" t="str">
            <v>FABRIC TESTED CHARGES</v>
          </cell>
          <cell r="E133">
            <v>2000</v>
          </cell>
        </row>
        <row r="134">
          <cell r="B134" t="str">
            <v>1201.801110</v>
          </cell>
          <cell r="C134" t="str">
            <v>OFFICER SALARIES</v>
          </cell>
          <cell r="D134">
            <v>65254.421499999997</v>
          </cell>
          <cell r="E134">
            <v>65254.421499999997</v>
          </cell>
        </row>
        <row r="135">
          <cell r="B135" t="str">
            <v>1204.801110</v>
          </cell>
          <cell r="C135" t="str">
            <v>OFFICER SALARIES</v>
          </cell>
          <cell r="E135">
            <v>65254.421499999997</v>
          </cell>
        </row>
        <row r="136">
          <cell r="B136" t="str">
            <v>1205.801110</v>
          </cell>
          <cell r="C136" t="str">
            <v>OFFICER SALARIES</v>
          </cell>
          <cell r="E136">
            <v>65254.421499999997</v>
          </cell>
        </row>
        <row r="137">
          <cell r="B137" t="str">
            <v>1206.801110</v>
          </cell>
          <cell r="C137" t="str">
            <v>OFFICER SALARIES</v>
          </cell>
          <cell r="E137">
            <v>65254.421499999997</v>
          </cell>
        </row>
        <row r="138">
          <cell r="B138" t="str">
            <v>1201.801120</v>
          </cell>
          <cell r="C138" t="str">
            <v>MEDICAL ALLOWANCE</v>
          </cell>
          <cell r="D138">
            <v>2100</v>
          </cell>
          <cell r="E138">
            <v>2100</v>
          </cell>
        </row>
        <row r="139">
          <cell r="B139" t="str">
            <v>1204.801120</v>
          </cell>
          <cell r="C139" t="str">
            <v>MEDICAL ALLOWANCE</v>
          </cell>
          <cell r="E139">
            <v>2100</v>
          </cell>
        </row>
        <row r="140">
          <cell r="B140" t="str">
            <v>1205.801120</v>
          </cell>
          <cell r="C140" t="str">
            <v>MEDICAL ALLOWANCE</v>
          </cell>
          <cell r="E140">
            <v>2100</v>
          </cell>
        </row>
        <row r="141">
          <cell r="B141" t="str">
            <v>1206.801120</v>
          </cell>
          <cell r="C141" t="str">
            <v>MEDICAL ALLOWANCE</v>
          </cell>
          <cell r="E141">
            <v>2100</v>
          </cell>
        </row>
        <row r="142">
          <cell r="B142" t="str">
            <v>1201.801140</v>
          </cell>
          <cell r="C142" t="str">
            <v>FARE ALLOWANCE</v>
          </cell>
          <cell r="D142">
            <v>2403.8200000000002</v>
          </cell>
          <cell r="E142">
            <v>2403.8200000000002</v>
          </cell>
        </row>
        <row r="143">
          <cell r="B143" t="str">
            <v>1204.801140</v>
          </cell>
          <cell r="C143" t="str">
            <v>FARE ALLOWANCE</v>
          </cell>
          <cell r="E143">
            <v>2403.8200000000002</v>
          </cell>
        </row>
        <row r="144">
          <cell r="B144" t="str">
            <v>1205.801140</v>
          </cell>
          <cell r="C144" t="str">
            <v>FARE ALLOWANCE</v>
          </cell>
          <cell r="E144">
            <v>2403.8200000000002</v>
          </cell>
        </row>
        <row r="145">
          <cell r="B145" t="str">
            <v>1206.801140</v>
          </cell>
          <cell r="C145" t="str">
            <v>FARE ALLOWANCE</v>
          </cell>
          <cell r="E145">
            <v>2403.8200000000002</v>
          </cell>
        </row>
        <row r="146">
          <cell r="B146" t="str">
            <v>1201.802120</v>
          </cell>
          <cell r="C146" t="str">
            <v>TELEPHONE EXPENSES</v>
          </cell>
          <cell r="D146">
            <v>309.85000000000002</v>
          </cell>
          <cell r="E146">
            <v>309.85000000000002</v>
          </cell>
        </row>
        <row r="147">
          <cell r="B147" t="str">
            <v>1204.802120</v>
          </cell>
          <cell r="C147" t="str">
            <v>TELEPHONE EXPENSES</v>
          </cell>
          <cell r="E147">
            <v>309.85000000000002</v>
          </cell>
        </row>
        <row r="148">
          <cell r="B148" t="str">
            <v>1205.802120</v>
          </cell>
          <cell r="C148" t="str">
            <v>TELEPHONE EXPENSES</v>
          </cell>
          <cell r="E148">
            <v>309.85000000000002</v>
          </cell>
        </row>
        <row r="149">
          <cell r="B149" t="str">
            <v>1206.802120</v>
          </cell>
          <cell r="C149" t="str">
            <v>TELEPHONE EXPENSES</v>
          </cell>
          <cell r="E149">
            <v>309.85000000000002</v>
          </cell>
        </row>
        <row r="150">
          <cell r="B150" t="str">
            <v>1201.802140</v>
          </cell>
          <cell r="C150" t="str">
            <v>INTERNET EXPENSES</v>
          </cell>
          <cell r="D150">
            <v>869.23</v>
          </cell>
          <cell r="E150">
            <v>869.23</v>
          </cell>
        </row>
        <row r="151">
          <cell r="B151" t="str">
            <v>1204.802140</v>
          </cell>
          <cell r="C151" t="str">
            <v>INTERNET EXPENSES</v>
          </cell>
          <cell r="E151">
            <v>869.23</v>
          </cell>
        </row>
        <row r="152">
          <cell r="B152" t="str">
            <v>1205.802140</v>
          </cell>
          <cell r="C152" t="str">
            <v>INTERNET EXPENSES</v>
          </cell>
          <cell r="E152">
            <v>869.23</v>
          </cell>
        </row>
        <row r="153">
          <cell r="B153" t="str">
            <v>1206.802140</v>
          </cell>
          <cell r="C153" t="str">
            <v>INTERNET EXPENSES</v>
          </cell>
          <cell r="E153">
            <v>869.23</v>
          </cell>
        </row>
        <row r="154">
          <cell r="B154" t="str">
            <v>1201.805120</v>
          </cell>
          <cell r="C154" t="str">
            <v>PREMIUM COST</v>
          </cell>
          <cell r="D154">
            <v>743.73</v>
          </cell>
          <cell r="E154">
            <v>743.73</v>
          </cell>
        </row>
        <row r="155">
          <cell r="B155" t="str">
            <v>1204.805120</v>
          </cell>
          <cell r="C155" t="str">
            <v>PREMIUM COST</v>
          </cell>
          <cell r="E155">
            <v>743.73</v>
          </cell>
        </row>
        <row r="156">
          <cell r="B156" t="str">
            <v>1205.805120</v>
          </cell>
          <cell r="C156" t="str">
            <v>PREMIUM COST</v>
          </cell>
          <cell r="E156">
            <v>743.73</v>
          </cell>
        </row>
        <row r="157">
          <cell r="B157" t="str">
            <v>1206.805120</v>
          </cell>
          <cell r="C157" t="str">
            <v>PREMIUM COST</v>
          </cell>
          <cell r="E157">
            <v>743.73</v>
          </cell>
        </row>
        <row r="158">
          <cell r="B158" t="str">
            <v>1201.807100</v>
          </cell>
          <cell r="C158" t="str">
            <v>CONTRIBUTION COST</v>
          </cell>
          <cell r="D158">
            <v>345.96999999999997</v>
          </cell>
          <cell r="E158">
            <v>345.96999999999997</v>
          </cell>
        </row>
        <row r="159">
          <cell r="B159" t="str">
            <v>1204.807100</v>
          </cell>
          <cell r="C159" t="str">
            <v>CONTRIBUTION COST</v>
          </cell>
          <cell r="E159">
            <v>345.96999999999997</v>
          </cell>
        </row>
        <row r="160">
          <cell r="B160" t="str">
            <v>1205.807100</v>
          </cell>
          <cell r="C160" t="str">
            <v>CONTRIBUTION COST</v>
          </cell>
          <cell r="E160">
            <v>345.96999999999997</v>
          </cell>
        </row>
        <row r="161">
          <cell r="B161" t="str">
            <v>1206.807100</v>
          </cell>
          <cell r="C161" t="str">
            <v>CONTRIBUTION COST</v>
          </cell>
          <cell r="E161">
            <v>345.96999999999997</v>
          </cell>
        </row>
        <row r="162">
          <cell r="B162" t="str">
            <v>1201.808100</v>
          </cell>
          <cell r="C162" t="str">
            <v>FUEL FOR MOTOR VEHICLE</v>
          </cell>
          <cell r="D162">
            <v>3432.3599999999997</v>
          </cell>
          <cell r="E162">
            <v>3432.3599999999997</v>
          </cell>
        </row>
        <row r="163">
          <cell r="B163" t="str">
            <v>1204.808100</v>
          </cell>
          <cell r="C163" t="str">
            <v>FUEL FOR MOTOR VEHICLE</v>
          </cell>
          <cell r="E163">
            <v>3432.3599999999997</v>
          </cell>
        </row>
        <row r="164">
          <cell r="B164" t="str">
            <v>1205.808100</v>
          </cell>
          <cell r="C164" t="str">
            <v>FUEL FOR MOTOR VEHICLE</v>
          </cell>
          <cell r="E164">
            <v>3432.3599999999997</v>
          </cell>
        </row>
        <row r="165">
          <cell r="B165" t="str">
            <v>1206.808100</v>
          </cell>
          <cell r="C165" t="str">
            <v>FUEL FOR MOTOR VEHICLE</v>
          </cell>
          <cell r="E165">
            <v>3432.3599999999997</v>
          </cell>
        </row>
        <row r="166">
          <cell r="B166" t="str">
            <v>1201.809100</v>
          </cell>
          <cell r="C166" t="str">
            <v>LEGAL EXPENSES</v>
          </cell>
          <cell r="D166">
            <v>1499.6899999999998</v>
          </cell>
          <cell r="E166">
            <v>1499.6899999999998</v>
          </cell>
        </row>
        <row r="167">
          <cell r="B167" t="str">
            <v>1204.809100</v>
          </cell>
          <cell r="C167" t="str">
            <v>LEGAL EXPENSES</v>
          </cell>
          <cell r="E167">
            <v>1499.6899999999998</v>
          </cell>
        </row>
        <row r="168">
          <cell r="B168" t="str">
            <v>1205.809100</v>
          </cell>
          <cell r="C168" t="str">
            <v>LEGAL EXPENSES</v>
          </cell>
          <cell r="E168">
            <v>1499.6899999999998</v>
          </cell>
        </row>
        <row r="169">
          <cell r="B169" t="str">
            <v>1206.809100</v>
          </cell>
          <cell r="C169" t="str">
            <v>LEGAL EXPENSES</v>
          </cell>
          <cell r="E169">
            <v>1499.6899999999998</v>
          </cell>
        </row>
        <row r="170">
          <cell r="B170" t="str">
            <v>1201.810110</v>
          </cell>
          <cell r="C170" t="str">
            <v>MAINT.OFFICEEQUIP.</v>
          </cell>
          <cell r="D170">
            <v>750</v>
          </cell>
          <cell r="E170">
            <v>750</v>
          </cell>
        </row>
        <row r="171">
          <cell r="B171" t="str">
            <v>1204.810110</v>
          </cell>
          <cell r="C171" t="str">
            <v>MAINT.OFFICEEQUIP.</v>
          </cell>
          <cell r="E171">
            <v>750</v>
          </cell>
        </row>
        <row r="172">
          <cell r="B172" t="str">
            <v>1205.810110</v>
          </cell>
          <cell r="C172" t="str">
            <v>MAINT.OFFICEEQUIP.</v>
          </cell>
          <cell r="E172">
            <v>750</v>
          </cell>
        </row>
        <row r="173">
          <cell r="B173" t="str">
            <v>1206.810110</v>
          </cell>
          <cell r="C173" t="str">
            <v>MAINT.OFFICEEQUIP.</v>
          </cell>
          <cell r="E173">
            <v>750</v>
          </cell>
        </row>
        <row r="174">
          <cell r="B174" t="str">
            <v>1201.810120</v>
          </cell>
          <cell r="C174" t="str">
            <v>MAINT.MOTOR VEHICLE</v>
          </cell>
          <cell r="E174">
            <v>750</v>
          </cell>
        </row>
        <row r="175">
          <cell r="B175" t="str">
            <v>1204.810120</v>
          </cell>
          <cell r="C175" t="str">
            <v>MAINT.MOTOR VEHICLE</v>
          </cell>
          <cell r="E175">
            <v>750</v>
          </cell>
        </row>
        <row r="176">
          <cell r="B176" t="str">
            <v>1205.810120</v>
          </cell>
          <cell r="C176" t="str">
            <v>MAINT.MOTOR VEHICLE</v>
          </cell>
          <cell r="E176">
            <v>750</v>
          </cell>
        </row>
        <row r="177">
          <cell r="B177" t="str">
            <v>1206.810120</v>
          </cell>
          <cell r="C177" t="str">
            <v>MAINT.MOTOR VEHICLE</v>
          </cell>
          <cell r="E177">
            <v>750</v>
          </cell>
        </row>
        <row r="178">
          <cell r="B178" t="str">
            <v>1201.810130</v>
          </cell>
          <cell r="C178" t="str">
            <v>MAINTENANCE HOUSE</v>
          </cell>
          <cell r="E178">
            <v>750</v>
          </cell>
        </row>
        <row r="179">
          <cell r="B179" t="str">
            <v>1204.810130</v>
          </cell>
          <cell r="C179" t="str">
            <v>MAINTENANCE HOUSE</v>
          </cell>
          <cell r="E179">
            <v>750</v>
          </cell>
        </row>
        <row r="180">
          <cell r="B180" t="str">
            <v>1205.810130</v>
          </cell>
          <cell r="C180" t="str">
            <v>MAINTENANCE HOUSE</v>
          </cell>
          <cell r="E180">
            <v>750</v>
          </cell>
        </row>
        <row r="181">
          <cell r="B181" t="str">
            <v>1206.810130</v>
          </cell>
          <cell r="C181" t="str">
            <v>MAINTENANCE HOUSE</v>
          </cell>
          <cell r="E181">
            <v>750</v>
          </cell>
        </row>
        <row r="182">
          <cell r="B182" t="str">
            <v>1201.812100</v>
          </cell>
          <cell r="C182" t="str">
            <v>BUSINESS TRIP EXPENSES</v>
          </cell>
          <cell r="D182">
            <v>23465.289999999997</v>
          </cell>
          <cell r="E182">
            <v>23465.289999999997</v>
          </cell>
        </row>
        <row r="183">
          <cell r="B183" t="str">
            <v>1204.812100</v>
          </cell>
          <cell r="C183" t="str">
            <v>BUSINESS TRIP EXPENSES</v>
          </cell>
          <cell r="E183">
            <v>23465.289999999997</v>
          </cell>
        </row>
        <row r="184">
          <cell r="B184" t="str">
            <v>1205.812100</v>
          </cell>
          <cell r="C184" t="str">
            <v>BUSINESS TRIP EXPENSES</v>
          </cell>
          <cell r="E184">
            <v>23465.289999999997</v>
          </cell>
        </row>
        <row r="185">
          <cell r="B185" t="str">
            <v>1206.812100</v>
          </cell>
          <cell r="C185" t="str">
            <v>BUSINESS TRIP EXPENSES</v>
          </cell>
          <cell r="E185">
            <v>23465.289999999997</v>
          </cell>
        </row>
        <row r="186">
          <cell r="B186" t="str">
            <v>1201.813100</v>
          </cell>
          <cell r="C186" t="str">
            <v>ENTERTAINMENT</v>
          </cell>
          <cell r="D186">
            <v>2095.96</v>
          </cell>
          <cell r="E186">
            <v>2095.96</v>
          </cell>
        </row>
        <row r="187">
          <cell r="B187" t="str">
            <v>1204.813100</v>
          </cell>
          <cell r="C187" t="str">
            <v>ENTERTAINMENT</v>
          </cell>
          <cell r="E187">
            <v>2095.96</v>
          </cell>
        </row>
        <row r="188">
          <cell r="B188" t="str">
            <v>1205.813100</v>
          </cell>
          <cell r="C188" t="str">
            <v>ENTERTAINMENT</v>
          </cell>
          <cell r="E188">
            <v>2095.96</v>
          </cell>
        </row>
        <row r="189">
          <cell r="B189" t="str">
            <v>1206.813100</v>
          </cell>
          <cell r="C189" t="str">
            <v>ENTERTAINMENT</v>
          </cell>
          <cell r="E189">
            <v>2095.96</v>
          </cell>
        </row>
        <row r="190">
          <cell r="B190" t="str">
            <v>1201.814110</v>
          </cell>
          <cell r="C190" t="str">
            <v>TRAINING BY EMPLOYEE</v>
          </cell>
          <cell r="D190">
            <v>200</v>
          </cell>
          <cell r="E190">
            <v>200</v>
          </cell>
        </row>
        <row r="191">
          <cell r="B191" t="str">
            <v>1204.814110</v>
          </cell>
          <cell r="C191" t="str">
            <v>TRAINING BY EMPLOYEE</v>
          </cell>
          <cell r="E191">
            <v>200</v>
          </cell>
        </row>
        <row r="192">
          <cell r="B192" t="str">
            <v>1205.814110</v>
          </cell>
          <cell r="C192" t="str">
            <v>TRAINING BY EMPLOYEE</v>
          </cell>
          <cell r="E192">
            <v>200</v>
          </cell>
        </row>
        <row r="193">
          <cell r="B193" t="str">
            <v>1206.814110</v>
          </cell>
          <cell r="C193" t="str">
            <v>TRAINING BY EMPLOYEE</v>
          </cell>
          <cell r="E193">
            <v>200</v>
          </cell>
        </row>
        <row r="194">
          <cell r="B194" t="str">
            <v>1201.815110</v>
          </cell>
          <cell r="C194" t="str">
            <v>RENT EXPENSES BUILDING</v>
          </cell>
          <cell r="D194">
            <v>1682.6100000000001</v>
          </cell>
          <cell r="E194">
            <v>1682.6100000000001</v>
          </cell>
        </row>
        <row r="195">
          <cell r="B195" t="str">
            <v>1204.815110</v>
          </cell>
          <cell r="C195" t="str">
            <v>RENT EXPENSES BUILDING</v>
          </cell>
          <cell r="E195">
            <v>1682.6100000000001</v>
          </cell>
        </row>
        <row r="196">
          <cell r="B196" t="str">
            <v>1205.815110</v>
          </cell>
          <cell r="C196" t="str">
            <v>RENT EXPENSES BUILDING</v>
          </cell>
          <cell r="E196">
            <v>1682.6100000000001</v>
          </cell>
        </row>
        <row r="197">
          <cell r="B197" t="str">
            <v>1206.815110</v>
          </cell>
          <cell r="C197" t="str">
            <v>RENT EXPENSES BUILDING</v>
          </cell>
          <cell r="E197">
            <v>1682.6100000000001</v>
          </cell>
        </row>
        <row r="198">
          <cell r="B198" t="str">
            <v>1201.815120</v>
          </cell>
          <cell r="C198" t="str">
            <v>RENT EXPENSES LAND</v>
          </cell>
          <cell r="D198">
            <v>764.4</v>
          </cell>
          <cell r="E198">
            <v>764.4</v>
          </cell>
        </row>
        <row r="199">
          <cell r="B199" t="str">
            <v>1204.815120</v>
          </cell>
          <cell r="C199" t="str">
            <v>RENT EXPENSES LAND</v>
          </cell>
          <cell r="E199">
            <v>764.4</v>
          </cell>
        </row>
        <row r="200">
          <cell r="B200" t="str">
            <v>1205.815120</v>
          </cell>
          <cell r="C200" t="str">
            <v>RENT EXPENSES LAND</v>
          </cell>
          <cell r="E200">
            <v>764.4</v>
          </cell>
        </row>
        <row r="201">
          <cell r="B201" t="str">
            <v>1206.815120</v>
          </cell>
          <cell r="C201" t="str">
            <v>RENT EXPENSES LAND</v>
          </cell>
          <cell r="E201">
            <v>764.4</v>
          </cell>
        </row>
        <row r="202">
          <cell r="B202" t="str">
            <v>1201.816110</v>
          </cell>
          <cell r="C202" t="str">
            <v>INSURANCE EXPENSES</v>
          </cell>
          <cell r="D202">
            <v>2312.8199999999997</v>
          </cell>
          <cell r="E202">
            <v>2312.8199999999997</v>
          </cell>
        </row>
        <row r="203">
          <cell r="B203" t="str">
            <v>1204.816110</v>
          </cell>
          <cell r="C203" t="str">
            <v>INSURANCE EXPENSES</v>
          </cell>
          <cell r="E203">
            <v>2312.8199999999997</v>
          </cell>
        </row>
        <row r="204">
          <cell r="B204" t="str">
            <v>1205.816110</v>
          </cell>
          <cell r="C204" t="str">
            <v>INSURANCE EXPENSES</v>
          </cell>
          <cell r="E204">
            <v>2312.8199999999997</v>
          </cell>
        </row>
        <row r="205">
          <cell r="B205" t="str">
            <v>1206.816110</v>
          </cell>
          <cell r="C205" t="str">
            <v>INSURANCE EXPENSES</v>
          </cell>
          <cell r="E205">
            <v>2312.8199999999997</v>
          </cell>
        </row>
        <row r="206">
          <cell r="B206" t="str">
            <v>1201.816120</v>
          </cell>
          <cell r="C206" t="str">
            <v>ACCOUNTING&amp;TAX ADVISORY EXP.</v>
          </cell>
          <cell r="D206">
            <v>943.01</v>
          </cell>
          <cell r="E206">
            <v>943.01</v>
          </cell>
        </row>
        <row r="207">
          <cell r="B207" t="str">
            <v>1204.816120</v>
          </cell>
          <cell r="C207" t="str">
            <v>ACCOUNTING&amp;TAX ADVISORY EXP.</v>
          </cell>
          <cell r="E207">
            <v>943.01</v>
          </cell>
        </row>
        <row r="208">
          <cell r="B208" t="str">
            <v>1205.816120</v>
          </cell>
          <cell r="C208" t="str">
            <v>ACCOUNTING&amp;TAX ADVISORY EXP.</v>
          </cell>
          <cell r="E208">
            <v>943.01</v>
          </cell>
        </row>
        <row r="209">
          <cell r="B209" t="str">
            <v>1206.816120</v>
          </cell>
          <cell r="C209" t="str">
            <v>ACCOUNTING&amp;TAX ADVISORY EXP.</v>
          </cell>
          <cell r="E209">
            <v>943.01</v>
          </cell>
        </row>
        <row r="210">
          <cell r="B210" t="str">
            <v>1201.816130</v>
          </cell>
          <cell r="C210" t="str">
            <v>OFFICE SUPPLIES EXPENSES</v>
          </cell>
          <cell r="D210">
            <v>5256.43</v>
          </cell>
          <cell r="E210">
            <v>5256.43</v>
          </cell>
        </row>
        <row r="211">
          <cell r="B211" t="str">
            <v>1204.816130</v>
          </cell>
          <cell r="C211" t="str">
            <v>OFFICE SUPPLIES EXPENSES</v>
          </cell>
          <cell r="E211">
            <v>5256.43</v>
          </cell>
        </row>
        <row r="212">
          <cell r="B212" t="str">
            <v>1205.816130</v>
          </cell>
          <cell r="C212" t="str">
            <v>OFFICE SUPPLIES EXPENSES</v>
          </cell>
          <cell r="E212">
            <v>5256.43</v>
          </cell>
        </row>
        <row r="213">
          <cell r="B213" t="str">
            <v>1206.816130</v>
          </cell>
          <cell r="C213" t="str">
            <v>OFFICE SUPPLIES EXPENSES</v>
          </cell>
          <cell r="E213">
            <v>5256.43</v>
          </cell>
        </row>
        <row r="214">
          <cell r="B214" t="str">
            <v>1201.911000</v>
          </cell>
          <cell r="C214" t="str">
            <v>AMENDS/CLAIMS REVENUE</v>
          </cell>
          <cell r="E214">
            <v>5256.43</v>
          </cell>
        </row>
        <row r="215">
          <cell r="B215" t="str">
            <v>1204.911000</v>
          </cell>
          <cell r="C215" t="str">
            <v>AMENDS/CLAIMS REVENUE</v>
          </cell>
          <cell r="E215">
            <v>5256.43</v>
          </cell>
        </row>
        <row r="216">
          <cell r="B216" t="str">
            <v>1205.911000</v>
          </cell>
          <cell r="C216" t="str">
            <v>AMENDS/CLAIMS REVENUE</v>
          </cell>
          <cell r="E216">
            <v>5256.43</v>
          </cell>
        </row>
        <row r="217">
          <cell r="B217" t="str">
            <v>1206.911000</v>
          </cell>
          <cell r="C217" t="str">
            <v>AMENDS/CLAIMS REVENUE</v>
          </cell>
          <cell r="E217">
            <v>5256.43</v>
          </cell>
        </row>
        <row r="218">
          <cell r="B218" t="str">
            <v>1201.910100</v>
          </cell>
          <cell r="C218" t="str">
            <v>INTEREST INCOME</v>
          </cell>
          <cell r="E218">
            <v>5256.43</v>
          </cell>
        </row>
        <row r="219">
          <cell r="B219" t="str">
            <v>1204.910100</v>
          </cell>
          <cell r="C219" t="str">
            <v>INTEREST INCOME</v>
          </cell>
          <cell r="E219">
            <v>5256.43</v>
          </cell>
        </row>
        <row r="220">
          <cell r="B220" t="str">
            <v>1205.910100</v>
          </cell>
          <cell r="C220" t="str">
            <v>INTEREST INCOME</v>
          </cell>
          <cell r="E220">
            <v>5256.43</v>
          </cell>
        </row>
        <row r="221">
          <cell r="B221" t="str">
            <v>1206.910100</v>
          </cell>
          <cell r="C221" t="str">
            <v>INTEREST INCOME</v>
          </cell>
          <cell r="E221">
            <v>5256.43</v>
          </cell>
        </row>
        <row r="222">
          <cell r="B222" t="str">
            <v>1201.920600</v>
          </cell>
          <cell r="C222" t="str">
            <v>WASTE&amp;SCRAP COST</v>
          </cell>
          <cell r="E222">
            <v>5256.43</v>
          </cell>
        </row>
        <row r="223">
          <cell r="B223" t="str">
            <v>1204.920600</v>
          </cell>
          <cell r="C223" t="str">
            <v>WASTE&amp;SCRAP COST</v>
          </cell>
          <cell r="E223">
            <v>5256.43</v>
          </cell>
        </row>
        <row r="224">
          <cell r="B224" t="str">
            <v>1205.920600</v>
          </cell>
          <cell r="C224" t="str">
            <v>WASTE&amp;SCRAP COST</v>
          </cell>
          <cell r="E224">
            <v>5256.43</v>
          </cell>
        </row>
        <row r="225">
          <cell r="B225" t="str">
            <v>1206.920600</v>
          </cell>
          <cell r="C225" t="str">
            <v>WASTE&amp;SCRAP COST</v>
          </cell>
          <cell r="E225">
            <v>5256.43</v>
          </cell>
        </row>
        <row r="226">
          <cell r="B226" t="str">
            <v>1201.920700</v>
          </cell>
          <cell r="C226" t="str">
            <v>TAXES</v>
          </cell>
          <cell r="D226">
            <v>5000</v>
          </cell>
          <cell r="E226">
            <v>5000</v>
          </cell>
        </row>
        <row r="227">
          <cell r="B227" t="str">
            <v>1204.920700</v>
          </cell>
          <cell r="C227" t="str">
            <v>TAXES</v>
          </cell>
          <cell r="E227">
            <v>5000</v>
          </cell>
        </row>
        <row r="228">
          <cell r="B228" t="str">
            <v>1205.920700</v>
          </cell>
          <cell r="C228" t="str">
            <v>TAXES</v>
          </cell>
          <cell r="E228">
            <v>5000</v>
          </cell>
        </row>
        <row r="229">
          <cell r="B229" t="str">
            <v>1206.920700</v>
          </cell>
          <cell r="C229" t="str">
            <v>TAXES</v>
          </cell>
          <cell r="E229">
            <v>5000</v>
          </cell>
        </row>
        <row r="230">
          <cell r="B230" t="str">
            <v>1201.920120</v>
          </cell>
          <cell r="C230" t="str">
            <v>INTEREST EXP OF DOMESTIC</v>
          </cell>
          <cell r="D230">
            <v>27000</v>
          </cell>
          <cell r="E230">
            <v>27000</v>
          </cell>
        </row>
        <row r="231">
          <cell r="B231" t="str">
            <v>1204.920120</v>
          </cell>
          <cell r="C231" t="str">
            <v>INTEREST EXP OF DOMESTIC</v>
          </cell>
          <cell r="E231">
            <v>27000</v>
          </cell>
        </row>
        <row r="232">
          <cell r="B232" t="str">
            <v>1205.920120</v>
          </cell>
          <cell r="C232" t="str">
            <v>INTEREST EXP OF DOMESTIC</v>
          </cell>
          <cell r="E232">
            <v>27000</v>
          </cell>
        </row>
        <row r="233">
          <cell r="B233" t="str">
            <v>1206.920120</v>
          </cell>
          <cell r="C233" t="str">
            <v>INTEREST EXP OF DOMESTIC</v>
          </cell>
          <cell r="E233">
            <v>27000</v>
          </cell>
        </row>
        <row r="234">
          <cell r="B234" t="str">
            <v>1201.920410</v>
          </cell>
          <cell r="C234" t="str">
            <v>BANK CHARGES</v>
          </cell>
          <cell r="D234">
            <v>3000</v>
          </cell>
          <cell r="E234">
            <v>3000</v>
          </cell>
        </row>
        <row r="235">
          <cell r="B235" t="str">
            <v>1204.920410</v>
          </cell>
          <cell r="C235" t="str">
            <v>BANK CHARGES</v>
          </cell>
          <cell r="E235">
            <v>3000</v>
          </cell>
        </row>
        <row r="236">
          <cell r="B236" t="str">
            <v>1205.920410</v>
          </cell>
          <cell r="C236" t="str">
            <v>BANK CHARGES</v>
          </cell>
          <cell r="E236">
            <v>3000</v>
          </cell>
        </row>
        <row r="237">
          <cell r="B237" t="str">
            <v>1206.920410</v>
          </cell>
          <cell r="C237" t="str">
            <v>BANK CHARGES</v>
          </cell>
          <cell r="E237">
            <v>3000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6F50-BF5F-4109-8118-9AEB067B1568}">
  <sheetPr codeName="Sheet2"/>
  <dimension ref="A1:EB223"/>
  <sheetViews>
    <sheetView tabSelected="1" topLeftCell="A209" zoomScale="85" zoomScaleNormal="85" workbookViewId="0">
      <selection activeCell="O220" sqref="O220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1" bestFit="1" customWidth="1"/>
    <col min="11" max="11" width="12.140625" style="1" bestFit="1" customWidth="1"/>
    <col min="12" max="12" width="11.28515625" bestFit="1" customWidth="1"/>
    <col min="13" max="13" width="22" bestFit="1" customWidth="1"/>
    <col min="14" max="14" width="11.28515625" customWidth="1"/>
    <col min="15" max="15" width="22" bestFit="1" customWidth="1"/>
    <col min="16" max="16" width="9.140625" customWidth="1"/>
    <col min="17" max="17" width="18.28515625" bestFit="1" customWidth="1"/>
    <col min="18" max="18" width="83" bestFit="1" customWidth="1"/>
    <col min="19" max="19" width="11.5703125" bestFit="1" customWidth="1"/>
    <col min="20" max="42" width="9.140625" customWidth="1"/>
    <col min="43" max="43" width="25.85546875" customWidth="1"/>
    <col min="44" max="44" width="11.5703125" bestFit="1" customWidth="1"/>
    <col min="45" max="95" width="9.140625" customWidth="1"/>
    <col min="96" max="96" width="16.140625" bestFit="1" customWidth="1"/>
    <col min="97" max="97" width="13.5703125" customWidth="1"/>
    <col min="98" max="98" width="9.140625" customWidth="1"/>
    <col min="99" max="99" width="18" bestFit="1" customWidth="1"/>
    <col min="100" max="106" width="9.140625" customWidth="1"/>
    <col min="107" max="107" width="9.7109375" customWidth="1"/>
    <col min="108" max="108" width="9.140625" customWidth="1"/>
    <col min="109" max="109" width="11.85546875" bestFit="1" customWidth="1"/>
    <col min="110" max="110" width="9.7109375" customWidth="1"/>
    <col min="111" max="111" width="9.140625" customWidth="1"/>
    <col min="112" max="112" width="11.5703125" customWidth="1"/>
    <col min="113" max="113" width="69.28515625" customWidth="1"/>
    <col min="114" max="114" width="26" bestFit="1" customWidth="1"/>
    <col min="115" max="115" width="13.140625" bestFit="1" customWidth="1"/>
    <col min="116" max="116" width="10.7109375" customWidth="1"/>
    <col min="117" max="117" width="9.140625" customWidth="1"/>
    <col min="118" max="119" width="11.85546875" style="2" bestFit="1" customWidth="1"/>
    <col min="122" max="122" width="11.7109375" bestFit="1" customWidth="1"/>
    <col min="127" max="127" width="48" bestFit="1" customWidth="1"/>
    <col min="128" max="128" width="12.140625" bestFit="1" customWidth="1"/>
  </cols>
  <sheetData>
    <row r="1" spans="1:132">
      <c r="AO1" s="91" t="s">
        <v>262</v>
      </c>
      <c r="AP1" t="s">
        <v>22</v>
      </c>
      <c r="AQ1" t="s">
        <v>1</v>
      </c>
      <c r="AR1" t="s">
        <v>263</v>
      </c>
      <c r="CR1" t="s">
        <v>264</v>
      </c>
      <c r="CS1" s="2">
        <f ca="1">TODAY()</f>
        <v>45322</v>
      </c>
      <c r="CU1" t="s">
        <v>265</v>
      </c>
      <c r="CV1">
        <v>1</v>
      </c>
      <c r="CY1">
        <v>1</v>
      </c>
      <c r="CZ1">
        <v>31</v>
      </c>
      <c r="DB1">
        <v>1</v>
      </c>
      <c r="DC1">
        <v>7</v>
      </c>
      <c r="DD1">
        <v>1</v>
      </c>
      <c r="DE1" s="2">
        <f ca="1">IF(DD1&lt;=$DK$2,DATE($DK$4,$DK$3,DD1),"")</f>
        <v>45292</v>
      </c>
      <c r="DF1">
        <f ca="1">IF(DE1&lt;&gt;"",WEEKNUM(DE1,2),"")</f>
        <v>1</v>
      </c>
      <c r="DG1">
        <v>1</v>
      </c>
      <c r="DH1" s="3" t="s">
        <v>0</v>
      </c>
      <c r="DI1" s="4" t="s">
        <v>266</v>
      </c>
      <c r="DJ1" s="2">
        <f ca="1">TODAY()-1</f>
        <v>45321</v>
      </c>
      <c r="DK1" s="2" t="str">
        <f ca="1">CONCATENATE(B7,"/",DJ2,"/",CV3)</f>
        <v>01/30/2024</v>
      </c>
      <c r="DL1" s="2" t="str">
        <f ca="1">CONCATENATE(B7,"/",CV1,"/",CV3)</f>
        <v>01/1/2024</v>
      </c>
      <c r="DN1" s="2">
        <f ca="1">DE1</f>
        <v>45292</v>
      </c>
      <c r="DO1" s="2">
        <v>44780</v>
      </c>
      <c r="DP1" t="s">
        <v>267</v>
      </c>
      <c r="DQ1" s="5"/>
      <c r="DS1" t="s">
        <v>268</v>
      </c>
      <c r="DT1" t="s">
        <v>263</v>
      </c>
      <c r="DV1" t="s">
        <v>269</v>
      </c>
      <c r="DW1" t="s">
        <v>1</v>
      </c>
      <c r="DX1" t="s">
        <v>263</v>
      </c>
      <c r="DZ1" s="6" t="s">
        <v>2</v>
      </c>
      <c r="EA1" s="6" t="s">
        <v>268</v>
      </c>
      <c r="EB1" s="6" t="s">
        <v>263</v>
      </c>
    </row>
    <row r="2" spans="1:132">
      <c r="B2" t="s">
        <v>14</v>
      </c>
      <c r="I2" s="6" t="s">
        <v>2</v>
      </c>
      <c r="J2" s="6" t="s">
        <v>268</v>
      </c>
      <c r="K2" s="6" t="s">
        <v>263</v>
      </c>
      <c r="L2" s="95" t="s">
        <v>343</v>
      </c>
      <c r="M2" s="95" t="s">
        <v>344</v>
      </c>
      <c r="N2" s="95" t="s">
        <v>343</v>
      </c>
      <c r="O2" s="95" t="s">
        <v>343</v>
      </c>
      <c r="Q2" s="49"/>
      <c r="R2" s="49"/>
      <c r="AO2" s="91"/>
      <c r="AQ2" t="s">
        <v>4</v>
      </c>
      <c r="AR2" s="16">
        <v>450000</v>
      </c>
      <c r="CU2" t="s">
        <v>280</v>
      </c>
      <c r="CV2">
        <f ca="1">DAY(EOMONTH(CS1,0))</f>
        <v>31</v>
      </c>
      <c r="CY2">
        <v>2</v>
      </c>
      <c r="CZ2">
        <f>IF(MOD(B8,4)=0,29,28)</f>
        <v>29</v>
      </c>
      <c r="DB2">
        <v>8</v>
      </c>
      <c r="DC2">
        <v>14</v>
      </c>
      <c r="DD2">
        <v>2</v>
      </c>
      <c r="DE2" s="2">
        <f t="shared" ref="DE2:DE31" ca="1" si="0">IF(DD2&lt;=$DK$2,DATE($DK$4,$DK$3,DD2),"")</f>
        <v>45293</v>
      </c>
      <c r="DF2">
        <f ca="1">IF(DE2&lt;&gt;"",WEEKNUM(DE2,2),"")</f>
        <v>1</v>
      </c>
      <c r="DG2">
        <f ca="1">IF(DF2&lt;&gt;"",IF(DF2=DF1,DG1,DG1+1),"")</f>
        <v>1</v>
      </c>
      <c r="DH2" s="3" t="s">
        <v>3</v>
      </c>
      <c r="DI2" s="4" t="s">
        <v>266</v>
      </c>
      <c r="DJ2">
        <f ca="1">DAY(DJ1)</f>
        <v>30</v>
      </c>
      <c r="DK2">
        <f ca="1">DAY(DK1)</f>
        <v>30</v>
      </c>
      <c r="DL2" s="2"/>
      <c r="DN2" s="2">
        <v>44781</v>
      </c>
      <c r="DO2" s="2">
        <v>44787</v>
      </c>
      <c r="DP2" t="s">
        <v>4</v>
      </c>
      <c r="DQ2">
        <v>1</v>
      </c>
      <c r="DS2" t="s">
        <v>0</v>
      </c>
      <c r="DT2" s="7">
        <v>260250</v>
      </c>
      <c r="DV2">
        <v>1</v>
      </c>
      <c r="DW2" t="s">
        <v>4</v>
      </c>
      <c r="DX2" s="7">
        <v>260250</v>
      </c>
      <c r="DY2" s="7"/>
      <c r="DZ2" s="8">
        <v>1</v>
      </c>
      <c r="EA2" s="9" t="s">
        <v>0</v>
      </c>
      <c r="EB2" s="10">
        <v>450000</v>
      </c>
    </row>
    <row r="3" spans="1:132">
      <c r="B3" t="s">
        <v>14</v>
      </c>
      <c r="I3" s="8">
        <v>1</v>
      </c>
      <c r="J3" s="9" t="s">
        <v>0</v>
      </c>
      <c r="K3" s="92">
        <v>260250</v>
      </c>
      <c r="L3">
        <f>IF(K3="",L2,K3)</f>
        <v>260250</v>
      </c>
      <c r="M3">
        <f>_xlfn.IFNA(VLOOKUP(J3,[1]Sheet1!B:E,4,FALSE),"NOT FOUND")</f>
        <v>260250</v>
      </c>
      <c r="N3" t="b">
        <f>M3=L3</f>
        <v>1</v>
      </c>
      <c r="Q3" s="49"/>
      <c r="R3" s="49"/>
      <c r="AO3" s="91"/>
      <c r="AQ3" t="s">
        <v>6</v>
      </c>
      <c r="AR3" s="16">
        <v>21000</v>
      </c>
      <c r="CV3">
        <f>B8</f>
        <v>2024</v>
      </c>
      <c r="CY3">
        <v>3</v>
      </c>
      <c r="CZ3">
        <v>31</v>
      </c>
      <c r="DB3">
        <v>15</v>
      </c>
      <c r="DC3">
        <v>21</v>
      </c>
      <c r="DD3">
        <v>3</v>
      </c>
      <c r="DE3" s="2">
        <f t="shared" ca="1" si="0"/>
        <v>45294</v>
      </c>
      <c r="DF3">
        <f ca="1">IF(DE3&lt;&gt;"",WEEKNUM(DE3,2),"")</f>
        <v>1</v>
      </c>
      <c r="DG3">
        <f ca="1">IF(DF3&lt;&gt;"",IF(DF3=DF2,DG2,DG2+1),"")</f>
        <v>1</v>
      </c>
      <c r="DH3" s="3" t="s">
        <v>5</v>
      </c>
      <c r="DI3" s="11" t="s">
        <v>266</v>
      </c>
      <c r="DJ3">
        <f ca="1">MONTH(DJ1)</f>
        <v>1</v>
      </c>
      <c r="DK3">
        <f ca="1">MONTH(DK1)</f>
        <v>1</v>
      </c>
      <c r="DL3" s="2"/>
      <c r="DN3" s="2">
        <v>44788</v>
      </c>
      <c r="DO3" s="2">
        <v>44794</v>
      </c>
      <c r="DP3" t="s">
        <v>6</v>
      </c>
      <c r="DQ3">
        <v>2</v>
      </c>
      <c r="DS3" t="s">
        <v>7</v>
      </c>
      <c r="DT3" s="7">
        <v>10343.979499999999</v>
      </c>
      <c r="DV3">
        <v>2</v>
      </c>
      <c r="DW3" t="s">
        <v>6</v>
      </c>
      <c r="DX3" s="7">
        <v>10343.979499999999</v>
      </c>
      <c r="DY3" s="7"/>
      <c r="DZ3" s="8">
        <v>2</v>
      </c>
      <c r="EA3" s="9" t="s">
        <v>3</v>
      </c>
      <c r="EB3" s="10">
        <v>0</v>
      </c>
    </row>
    <row r="4" spans="1:132">
      <c r="A4" s="2"/>
      <c r="B4" t="s">
        <v>14</v>
      </c>
      <c r="I4" s="8">
        <v>2</v>
      </c>
      <c r="J4" s="9" t="s">
        <v>3</v>
      </c>
      <c r="K4" s="93"/>
      <c r="L4">
        <f t="shared" ref="L4:L67" si="1">IF(K4="",L3,K4)</f>
        <v>260250</v>
      </c>
      <c r="M4">
        <f>_xlfn.IFNA(VLOOKUP(J4,[1]Sheet1!B:E,4,FALSE),"NOT FOUND")</f>
        <v>260250</v>
      </c>
      <c r="N4" t="b">
        <f t="shared" ref="N4:N67" si="2">M4=L4</f>
        <v>1</v>
      </c>
      <c r="Q4" s="49"/>
      <c r="R4" s="49"/>
      <c r="AO4" s="91"/>
      <c r="AQ4" t="s">
        <v>9</v>
      </c>
      <c r="AR4" s="16">
        <v>28000</v>
      </c>
      <c r="CY4">
        <v>4</v>
      </c>
      <c r="CZ4">
        <v>30</v>
      </c>
      <c r="DB4">
        <v>22</v>
      </c>
      <c r="DC4" t="e">
        <f ca="1">VLOOKUP(B7,CY:CZ,2,0)</f>
        <v>#N/A</v>
      </c>
      <c r="DD4">
        <v>4</v>
      </c>
      <c r="DE4" s="2">
        <f t="shared" ca="1" si="0"/>
        <v>45295</v>
      </c>
      <c r="DF4">
        <f t="shared" ref="DF4:DF32" ca="1" si="3">IF(DE4&lt;&gt;"",WEEKNUM(DE4,2),"")</f>
        <v>1</v>
      </c>
      <c r="DG4">
        <f t="shared" ref="DG4:DG31" ca="1" si="4">IF(DF4&lt;&gt;"",IF(DF4=DF3,DG3,DG3+1),"")</f>
        <v>1</v>
      </c>
      <c r="DH4" s="3" t="s">
        <v>8</v>
      </c>
      <c r="DI4" s="4" t="s">
        <v>266</v>
      </c>
      <c r="DJ4" t="s">
        <v>281</v>
      </c>
      <c r="DK4">
        <f ca="1">YEAR(DK1)</f>
        <v>2024</v>
      </c>
      <c r="DL4" s="2"/>
      <c r="DN4" s="2">
        <v>44795</v>
      </c>
      <c r="DO4" s="2">
        <v>44801</v>
      </c>
      <c r="DP4" t="s">
        <v>9</v>
      </c>
      <c r="DQ4">
        <v>3</v>
      </c>
      <c r="DS4" t="s">
        <v>10</v>
      </c>
      <c r="DT4" s="7">
        <v>15885.723</v>
      </c>
      <c r="DV4">
        <v>3</v>
      </c>
      <c r="DW4" t="s">
        <v>9</v>
      </c>
      <c r="DX4" s="7">
        <v>15885.723</v>
      </c>
      <c r="DY4" s="7"/>
      <c r="DZ4" s="8">
        <v>3</v>
      </c>
      <c r="EA4" s="9" t="s">
        <v>5</v>
      </c>
      <c r="EB4" s="10">
        <v>0</v>
      </c>
    </row>
    <row r="5" spans="1:132">
      <c r="B5" t="s">
        <v>14</v>
      </c>
      <c r="I5" s="8">
        <v>3</v>
      </c>
      <c r="J5" s="9" t="s">
        <v>5</v>
      </c>
      <c r="K5" s="93"/>
      <c r="L5">
        <f t="shared" si="1"/>
        <v>260250</v>
      </c>
      <c r="M5">
        <f>_xlfn.IFNA(VLOOKUP(J5,[1]Sheet1!B:E,4,FALSE),"NOT FOUND")</f>
        <v>260250</v>
      </c>
      <c r="N5" t="b">
        <f t="shared" si="2"/>
        <v>1</v>
      </c>
      <c r="AO5" s="91"/>
      <c r="AQ5" t="s">
        <v>11</v>
      </c>
      <c r="AR5" s="16">
        <v>12000</v>
      </c>
      <c r="CY5">
        <v>5</v>
      </c>
      <c r="CZ5">
        <v>31</v>
      </c>
      <c r="DD5">
        <v>5</v>
      </c>
      <c r="DE5" s="2">
        <f t="shared" ca="1" si="0"/>
        <v>45296</v>
      </c>
      <c r="DF5">
        <f t="shared" ca="1" si="3"/>
        <v>1</v>
      </c>
      <c r="DG5">
        <f t="shared" ca="1" si="4"/>
        <v>1</v>
      </c>
      <c r="DH5" s="3" t="s">
        <v>7</v>
      </c>
      <c r="DI5" s="4" t="s">
        <v>282</v>
      </c>
      <c r="DK5">
        <f ca="1">DAY(EOMONTH(DL1,0))</f>
        <v>31</v>
      </c>
      <c r="DN5" s="2">
        <v>44802</v>
      </c>
      <c r="DO5" s="2">
        <v>44802</v>
      </c>
      <c r="DP5" t="s">
        <v>11</v>
      </c>
      <c r="DQ5">
        <v>4</v>
      </c>
      <c r="DS5" t="s">
        <v>12</v>
      </c>
      <c r="DT5" s="7">
        <v>7303</v>
      </c>
      <c r="DV5">
        <v>4</v>
      </c>
      <c r="DW5" t="s">
        <v>11</v>
      </c>
      <c r="DX5" s="7">
        <v>7303</v>
      </c>
      <c r="DY5" s="7"/>
      <c r="DZ5" s="8">
        <v>4</v>
      </c>
      <c r="EA5" s="9" t="s">
        <v>8</v>
      </c>
      <c r="EB5" s="10">
        <v>0</v>
      </c>
    </row>
    <row r="6" spans="1:132" ht="15.75" thickBot="1">
      <c r="B6" t="s">
        <v>14</v>
      </c>
      <c r="I6" s="8">
        <v>4</v>
      </c>
      <c r="J6" s="9" t="s">
        <v>8</v>
      </c>
      <c r="K6" s="94"/>
      <c r="L6">
        <f t="shared" si="1"/>
        <v>260250</v>
      </c>
      <c r="M6">
        <f>_xlfn.IFNA(VLOOKUP(J6,[1]Sheet1!B:E,4,FALSE),"NOT FOUND")</f>
        <v>260250</v>
      </c>
      <c r="N6" t="b">
        <f t="shared" si="2"/>
        <v>1</v>
      </c>
      <c r="AO6" s="91"/>
      <c r="AQ6" t="s">
        <v>17</v>
      </c>
      <c r="AR6" s="16">
        <v>16000</v>
      </c>
      <c r="CY6">
        <v>6</v>
      </c>
      <c r="CZ6">
        <v>30</v>
      </c>
      <c r="DD6">
        <v>6</v>
      </c>
      <c r="DE6" s="2">
        <f t="shared" ca="1" si="0"/>
        <v>45297</v>
      </c>
      <c r="DF6">
        <f t="shared" ca="1" si="3"/>
        <v>1</v>
      </c>
      <c r="DG6">
        <f t="shared" ca="1" si="4"/>
        <v>1</v>
      </c>
      <c r="DH6" s="3" t="s">
        <v>13</v>
      </c>
      <c r="DI6" s="4" t="s">
        <v>282</v>
      </c>
      <c r="DK6" t="str">
        <f ca="1">SUBSTITUTE(DK1,"/","-")</f>
        <v>01-30-2024</v>
      </c>
      <c r="DN6" s="2" t="s">
        <v>14</v>
      </c>
      <c r="DP6" t="s">
        <v>15</v>
      </c>
      <c r="DQ6">
        <v>5</v>
      </c>
      <c r="DS6" t="s">
        <v>16</v>
      </c>
      <c r="DT6" s="7">
        <v>3000</v>
      </c>
      <c r="DV6">
        <v>5</v>
      </c>
      <c r="DW6" t="s">
        <v>17</v>
      </c>
      <c r="DX6" s="7">
        <v>3000</v>
      </c>
      <c r="DY6" s="7"/>
      <c r="DZ6" s="8">
        <v>5</v>
      </c>
      <c r="EA6" s="12" t="s">
        <v>7</v>
      </c>
      <c r="EB6" s="10">
        <v>21000</v>
      </c>
    </row>
    <row r="7" spans="1:132">
      <c r="A7" s="50" t="s">
        <v>283</v>
      </c>
      <c r="B7" s="52" t="str">
        <f ca="1">TEXT(NOW(),"mm")</f>
        <v>01</v>
      </c>
      <c r="I7" s="8">
        <v>5</v>
      </c>
      <c r="J7" s="12" t="s">
        <v>7</v>
      </c>
      <c r="K7" s="92">
        <v>10343.979499999999</v>
      </c>
      <c r="L7">
        <f t="shared" si="1"/>
        <v>10343.979499999999</v>
      </c>
      <c r="M7">
        <f>_xlfn.IFNA(VLOOKUP(J7,[1]Sheet1!B:E,4,FALSE),"NOT FOUND")</f>
        <v>10343.979499999999</v>
      </c>
      <c r="N7" t="b">
        <f t="shared" si="2"/>
        <v>1</v>
      </c>
      <c r="AO7" s="91"/>
      <c r="AQ7" t="s">
        <v>21</v>
      </c>
      <c r="AR7" s="16">
        <v>278453</v>
      </c>
      <c r="CY7">
        <v>7</v>
      </c>
      <c r="CZ7">
        <v>31</v>
      </c>
      <c r="DC7" s="5"/>
      <c r="DD7">
        <v>7</v>
      </c>
      <c r="DE7" s="2">
        <f t="shared" ca="1" si="0"/>
        <v>45298</v>
      </c>
      <c r="DF7">
        <f t="shared" ca="1" si="3"/>
        <v>1</v>
      </c>
      <c r="DG7">
        <f ca="1">IF(DF7&lt;&gt;"",IF(DF7=DF6,DG6,DG6+1),"")</f>
        <v>1</v>
      </c>
      <c r="DH7" s="3" t="s">
        <v>18</v>
      </c>
      <c r="DI7" s="4" t="s">
        <v>282</v>
      </c>
      <c r="DK7" s="13"/>
      <c r="DL7" s="13"/>
      <c r="DP7" t="s">
        <v>19</v>
      </c>
      <c r="DQ7">
        <v>5</v>
      </c>
      <c r="DS7" t="s">
        <v>20</v>
      </c>
      <c r="DT7" s="7">
        <v>327475.06</v>
      </c>
      <c r="DV7">
        <v>6</v>
      </c>
      <c r="DW7" t="s">
        <v>21</v>
      </c>
      <c r="DX7" s="7">
        <v>327475.06</v>
      </c>
      <c r="DY7" s="7"/>
      <c r="DZ7" s="8">
        <v>6</v>
      </c>
      <c r="EA7" s="12" t="s">
        <v>13</v>
      </c>
      <c r="EB7" s="10">
        <v>0</v>
      </c>
    </row>
    <row r="8" spans="1:132" ht="15.75" thickBot="1">
      <c r="A8" s="48" t="s">
        <v>284</v>
      </c>
      <c r="B8" s="51">
        <v>2024</v>
      </c>
      <c r="I8" s="8">
        <v>6</v>
      </c>
      <c r="J8" s="12" t="s">
        <v>13</v>
      </c>
      <c r="K8" s="93"/>
      <c r="L8">
        <f t="shared" si="1"/>
        <v>10343.979499999999</v>
      </c>
      <c r="M8">
        <f>_xlfn.IFNA(VLOOKUP(J8,[1]Sheet1!B:E,4,FALSE),"NOT FOUND")</f>
        <v>10343.979499999999</v>
      </c>
      <c r="N8" t="b">
        <f t="shared" si="2"/>
        <v>1</v>
      </c>
      <c r="AO8" s="91"/>
      <c r="AQ8" t="s">
        <v>25</v>
      </c>
      <c r="AR8" s="16">
        <v>16000</v>
      </c>
      <c r="CY8">
        <v>8</v>
      </c>
      <c r="CZ8">
        <v>31</v>
      </c>
      <c r="DD8">
        <v>8</v>
      </c>
      <c r="DE8" s="2">
        <f t="shared" ca="1" si="0"/>
        <v>45299</v>
      </c>
      <c r="DF8">
        <f t="shared" ca="1" si="3"/>
        <v>2</v>
      </c>
      <c r="DG8">
        <f t="shared" ca="1" si="4"/>
        <v>2</v>
      </c>
      <c r="DH8" s="3" t="s">
        <v>23</v>
      </c>
      <c r="DI8" s="4" t="s">
        <v>282</v>
      </c>
      <c r="DK8" s="14"/>
      <c r="DL8" s="15"/>
      <c r="DP8" t="s">
        <v>21</v>
      </c>
      <c r="DQ8">
        <v>6</v>
      </c>
      <c r="DS8" t="s">
        <v>24</v>
      </c>
      <c r="DT8" s="7">
        <v>6500</v>
      </c>
      <c r="DV8">
        <v>7</v>
      </c>
      <c r="DW8" t="s">
        <v>25</v>
      </c>
      <c r="DX8" s="7">
        <v>6500</v>
      </c>
      <c r="DY8" s="7"/>
      <c r="DZ8" s="8">
        <v>7</v>
      </c>
      <c r="EA8" s="12" t="s">
        <v>18</v>
      </c>
      <c r="EB8" s="10">
        <v>0</v>
      </c>
    </row>
    <row r="9" spans="1:132">
      <c r="I9" s="8">
        <v>7</v>
      </c>
      <c r="J9" s="12" t="s">
        <v>18</v>
      </c>
      <c r="K9" s="93"/>
      <c r="L9">
        <f t="shared" si="1"/>
        <v>10343.979499999999</v>
      </c>
      <c r="M9">
        <f>_xlfn.IFNA(VLOOKUP(J9,[1]Sheet1!B:E,4,FALSE),"NOT FOUND")</f>
        <v>10343.979499999999</v>
      </c>
      <c r="N9" t="b">
        <f t="shared" si="2"/>
        <v>1</v>
      </c>
      <c r="AO9" s="91"/>
      <c r="AQ9" t="s">
        <v>28</v>
      </c>
      <c r="AR9" s="16">
        <v>8000</v>
      </c>
      <c r="CY9">
        <v>9</v>
      </c>
      <c r="CZ9">
        <v>30</v>
      </c>
      <c r="DD9">
        <v>9</v>
      </c>
      <c r="DE9" s="2">
        <f t="shared" ca="1" si="0"/>
        <v>45300</v>
      </c>
      <c r="DF9">
        <f t="shared" ca="1" si="3"/>
        <v>2</v>
      </c>
      <c r="DG9">
        <f t="shared" ca="1" si="4"/>
        <v>2</v>
      </c>
      <c r="DH9" s="3" t="s">
        <v>10</v>
      </c>
      <c r="DI9" s="4" t="s">
        <v>26</v>
      </c>
      <c r="DK9" s="14"/>
      <c r="DL9" s="15"/>
      <c r="DP9" t="s">
        <v>25</v>
      </c>
      <c r="DQ9">
        <v>7</v>
      </c>
      <c r="DS9" t="s">
        <v>27</v>
      </c>
      <c r="DT9" s="7">
        <v>5173</v>
      </c>
      <c r="DV9">
        <v>8</v>
      </c>
      <c r="DW9" t="s">
        <v>28</v>
      </c>
      <c r="DX9" s="7">
        <v>5173</v>
      </c>
      <c r="DY9" s="7"/>
      <c r="DZ9" s="8">
        <v>8</v>
      </c>
      <c r="EA9" s="12" t="s">
        <v>23</v>
      </c>
      <c r="EB9" s="10">
        <v>0</v>
      </c>
    </row>
    <row r="10" spans="1:132">
      <c r="I10" s="8">
        <v>8</v>
      </c>
      <c r="J10" s="12" t="s">
        <v>23</v>
      </c>
      <c r="K10" s="94"/>
      <c r="L10">
        <f t="shared" si="1"/>
        <v>10343.979499999999</v>
      </c>
      <c r="M10">
        <f>_xlfn.IFNA(VLOOKUP(J10,[1]Sheet1!B:E,4,FALSE),"NOT FOUND")</f>
        <v>10343.979499999999</v>
      </c>
      <c r="N10" t="b">
        <f t="shared" si="2"/>
        <v>1</v>
      </c>
      <c r="AO10" s="91"/>
      <c r="AQ10" t="s">
        <v>32</v>
      </c>
      <c r="AR10" s="16">
        <v>4000</v>
      </c>
      <c r="CY10">
        <v>10</v>
      </c>
      <c r="CZ10">
        <v>31</v>
      </c>
      <c r="DD10">
        <v>10</v>
      </c>
      <c r="DE10" s="2">
        <f t="shared" ca="1" si="0"/>
        <v>45301</v>
      </c>
      <c r="DF10">
        <f t="shared" ca="1" si="3"/>
        <v>2</v>
      </c>
      <c r="DG10">
        <f t="shared" ca="1" si="4"/>
        <v>2</v>
      </c>
      <c r="DH10" s="3" t="s">
        <v>29</v>
      </c>
      <c r="DI10" s="4" t="s">
        <v>26</v>
      </c>
      <c r="DK10" s="14"/>
      <c r="DL10" s="17"/>
      <c r="DP10" t="s">
        <v>30</v>
      </c>
      <c r="DQ10">
        <v>8</v>
      </c>
      <c r="DS10" t="s">
        <v>31</v>
      </c>
      <c r="DT10" s="7">
        <v>3431.8</v>
      </c>
      <c r="DV10">
        <v>9</v>
      </c>
      <c r="DW10" t="s">
        <v>32</v>
      </c>
      <c r="DX10" s="7">
        <v>3431.8</v>
      </c>
      <c r="DY10" s="7"/>
      <c r="DZ10" s="8">
        <v>9</v>
      </c>
      <c r="EA10" s="18" t="s">
        <v>10</v>
      </c>
      <c r="EB10" s="10">
        <v>28000</v>
      </c>
    </row>
    <row r="11" spans="1:132">
      <c r="A11" s="19"/>
      <c r="I11" s="8">
        <v>9</v>
      </c>
      <c r="J11" s="18" t="s">
        <v>10</v>
      </c>
      <c r="K11" s="92">
        <v>15885.723</v>
      </c>
      <c r="L11">
        <f t="shared" si="1"/>
        <v>15885.723</v>
      </c>
      <c r="M11">
        <f>_xlfn.IFNA(VLOOKUP(J11,[1]Sheet1!B:E,4,FALSE),"NOT FOUND")</f>
        <v>15885.723</v>
      </c>
      <c r="N11" t="b">
        <f t="shared" si="2"/>
        <v>1</v>
      </c>
      <c r="AO11" s="91"/>
      <c r="AQ11" t="s">
        <v>36</v>
      </c>
      <c r="AR11" s="16">
        <v>22000</v>
      </c>
      <c r="CY11">
        <v>11</v>
      </c>
      <c r="CZ11">
        <v>30</v>
      </c>
      <c r="DD11">
        <v>11</v>
      </c>
      <c r="DE11" s="2">
        <f t="shared" ca="1" si="0"/>
        <v>45302</v>
      </c>
      <c r="DF11">
        <f t="shared" ca="1" si="3"/>
        <v>2</v>
      </c>
      <c r="DG11">
        <f t="shared" ca="1" si="4"/>
        <v>2</v>
      </c>
      <c r="DH11" s="3" t="s">
        <v>33</v>
      </c>
      <c r="DI11" s="4" t="s">
        <v>26</v>
      </c>
      <c r="DK11" s="14"/>
      <c r="DL11" s="15"/>
      <c r="DP11" t="s">
        <v>34</v>
      </c>
      <c r="DQ11">
        <v>8</v>
      </c>
      <c r="DS11" t="s">
        <v>35</v>
      </c>
      <c r="DT11" s="7">
        <v>10096.219999999999</v>
      </c>
      <c r="DV11">
        <v>10</v>
      </c>
      <c r="DW11" t="s">
        <v>36</v>
      </c>
      <c r="DX11" s="7">
        <v>10096.219999999999</v>
      </c>
      <c r="DY11" s="7"/>
      <c r="DZ11" s="8">
        <v>10</v>
      </c>
      <c r="EA11" s="18" t="s">
        <v>29</v>
      </c>
      <c r="EB11" s="10">
        <v>0</v>
      </c>
    </row>
    <row r="12" spans="1:132">
      <c r="I12" s="8">
        <v>10</v>
      </c>
      <c r="J12" s="18" t="s">
        <v>29</v>
      </c>
      <c r="K12" s="93"/>
      <c r="L12">
        <f t="shared" si="1"/>
        <v>15885.723</v>
      </c>
      <c r="M12">
        <f>_xlfn.IFNA(VLOOKUP(J12,[1]Sheet1!B:E,4,FALSE),"NOT FOUND")</f>
        <v>15885.723</v>
      </c>
      <c r="N12" t="b">
        <f t="shared" si="2"/>
        <v>1</v>
      </c>
      <c r="AO12" s="91"/>
      <c r="AQ12" t="s">
        <v>40</v>
      </c>
      <c r="AR12" s="16">
        <v>300</v>
      </c>
      <c r="CY12">
        <v>12</v>
      </c>
      <c r="CZ12">
        <v>31</v>
      </c>
      <c r="DD12">
        <v>12</v>
      </c>
      <c r="DE12" s="2">
        <f t="shared" ca="1" si="0"/>
        <v>45303</v>
      </c>
      <c r="DF12">
        <f t="shared" ca="1" si="3"/>
        <v>2</v>
      </c>
      <c r="DG12">
        <f t="shared" ca="1" si="4"/>
        <v>2</v>
      </c>
      <c r="DH12" s="3" t="s">
        <v>37</v>
      </c>
      <c r="DI12" s="4" t="s">
        <v>26</v>
      </c>
      <c r="DK12" s="14"/>
      <c r="DL12" s="15"/>
      <c r="DP12" t="s">
        <v>38</v>
      </c>
      <c r="DQ12">
        <v>8</v>
      </c>
      <c r="DS12" t="s">
        <v>39</v>
      </c>
      <c r="DT12" s="7">
        <v>171.91</v>
      </c>
      <c r="DV12">
        <v>11</v>
      </c>
      <c r="DW12" t="s">
        <v>40</v>
      </c>
      <c r="DX12" s="7">
        <v>171.91</v>
      </c>
      <c r="DY12" s="7"/>
      <c r="DZ12" s="8">
        <v>11</v>
      </c>
      <c r="EA12" s="18" t="s">
        <v>33</v>
      </c>
      <c r="EB12" s="10">
        <v>0</v>
      </c>
    </row>
    <row r="13" spans="1:132">
      <c r="B13" t="s">
        <v>338</v>
      </c>
      <c r="C13" t="s">
        <v>338</v>
      </c>
      <c r="E13" s="54" t="s">
        <v>338</v>
      </c>
      <c r="F13" t="s">
        <v>338</v>
      </c>
      <c r="I13" s="8">
        <v>11</v>
      </c>
      <c r="J13" s="18" t="s">
        <v>33</v>
      </c>
      <c r="K13" s="93"/>
      <c r="L13">
        <f t="shared" si="1"/>
        <v>15885.723</v>
      </c>
      <c r="M13">
        <f>_xlfn.IFNA(VLOOKUP(J13,[1]Sheet1!B:E,4,FALSE),"NOT FOUND")</f>
        <v>15885.723</v>
      </c>
      <c r="N13" t="b">
        <f t="shared" si="2"/>
        <v>1</v>
      </c>
      <c r="AO13" s="91"/>
      <c r="AQ13" t="s">
        <v>43</v>
      </c>
      <c r="AR13" s="16">
        <v>60000</v>
      </c>
      <c r="DD13">
        <v>13</v>
      </c>
      <c r="DE13" s="2">
        <f t="shared" ca="1" si="0"/>
        <v>45304</v>
      </c>
      <c r="DF13">
        <f t="shared" ca="1" si="3"/>
        <v>2</v>
      </c>
      <c r="DG13">
        <f t="shared" ca="1" si="4"/>
        <v>2</v>
      </c>
      <c r="DH13" s="3" t="s">
        <v>12</v>
      </c>
      <c r="DI13" s="4" t="s">
        <v>270</v>
      </c>
      <c r="DK13" s="20"/>
      <c r="DL13" s="15"/>
      <c r="DP13" t="s">
        <v>41</v>
      </c>
      <c r="DQ13">
        <v>8</v>
      </c>
      <c r="DS13" t="s">
        <v>42</v>
      </c>
      <c r="DT13" s="7">
        <v>36190</v>
      </c>
      <c r="DV13">
        <v>12</v>
      </c>
      <c r="DW13" t="s">
        <v>43</v>
      </c>
      <c r="DX13" s="7">
        <v>36190</v>
      </c>
      <c r="DY13" s="7"/>
      <c r="DZ13" s="8">
        <v>12</v>
      </c>
      <c r="EA13" s="18" t="s">
        <v>37</v>
      </c>
      <c r="EB13" s="10">
        <v>0</v>
      </c>
    </row>
    <row r="14" spans="1:132">
      <c r="I14" s="8">
        <v>12</v>
      </c>
      <c r="J14" s="18" t="s">
        <v>37</v>
      </c>
      <c r="K14" s="94"/>
      <c r="L14">
        <f t="shared" si="1"/>
        <v>15885.723</v>
      </c>
      <c r="M14">
        <f>_xlfn.IFNA(VLOOKUP(J14,[1]Sheet1!B:E,4,FALSE),"NOT FOUND")</f>
        <v>15885.723</v>
      </c>
      <c r="N14" t="b">
        <f t="shared" si="2"/>
        <v>1</v>
      </c>
      <c r="AO14" s="91"/>
      <c r="AQ14" t="s">
        <v>47</v>
      </c>
      <c r="AR14" s="16">
        <v>800</v>
      </c>
      <c r="DD14">
        <v>14</v>
      </c>
      <c r="DE14" s="2">
        <f t="shared" ca="1" si="0"/>
        <v>45305</v>
      </c>
      <c r="DF14">
        <f t="shared" ca="1" si="3"/>
        <v>2</v>
      </c>
      <c r="DG14">
        <f t="shared" ca="1" si="4"/>
        <v>2</v>
      </c>
      <c r="DH14" s="3" t="s">
        <v>44</v>
      </c>
      <c r="DI14" s="4" t="s">
        <v>270</v>
      </c>
      <c r="DK14" s="14"/>
      <c r="DL14" s="15"/>
      <c r="DP14" t="s">
        <v>45</v>
      </c>
      <c r="DQ14">
        <v>8</v>
      </c>
      <c r="DS14" t="s">
        <v>46</v>
      </c>
      <c r="DT14" s="7">
        <v>450</v>
      </c>
      <c r="DV14">
        <v>13</v>
      </c>
      <c r="DW14" t="s">
        <v>47</v>
      </c>
      <c r="DX14" s="7">
        <v>450</v>
      </c>
      <c r="DY14" s="7"/>
      <c r="DZ14" s="8">
        <v>13</v>
      </c>
      <c r="EA14" s="12" t="s">
        <v>12</v>
      </c>
      <c r="EB14" s="10">
        <v>12000</v>
      </c>
    </row>
    <row r="15" spans="1:132">
      <c r="I15" s="8">
        <v>13</v>
      </c>
      <c r="J15" s="12" t="s">
        <v>12</v>
      </c>
      <c r="K15" s="92">
        <v>5375.03</v>
      </c>
      <c r="L15">
        <f t="shared" si="1"/>
        <v>5375.03</v>
      </c>
      <c r="M15">
        <f>_xlfn.IFNA(VLOOKUP(J15,[1]Sheet1!B:E,4,FALSE),"NOT FOUND")</f>
        <v>5375.03</v>
      </c>
      <c r="N15" t="b">
        <f t="shared" si="2"/>
        <v>1</v>
      </c>
      <c r="AO15" s="91"/>
      <c r="AQ15" t="s">
        <v>51</v>
      </c>
      <c r="AR15" s="16">
        <v>15000</v>
      </c>
      <c r="DD15">
        <v>15</v>
      </c>
      <c r="DE15" s="2">
        <f t="shared" ca="1" si="0"/>
        <v>45306</v>
      </c>
      <c r="DF15">
        <f t="shared" ca="1" si="3"/>
        <v>3</v>
      </c>
      <c r="DG15">
        <f t="shared" ca="1" si="4"/>
        <v>3</v>
      </c>
      <c r="DH15" s="3" t="s">
        <v>48</v>
      </c>
      <c r="DI15" s="4" t="s">
        <v>270</v>
      </c>
      <c r="DK15" s="14"/>
      <c r="DL15" s="15"/>
      <c r="DP15" t="s">
        <v>49</v>
      </c>
      <c r="DQ15">
        <v>8</v>
      </c>
      <c r="DS15" t="s">
        <v>50</v>
      </c>
      <c r="DT15" s="7">
        <v>15000</v>
      </c>
      <c r="DV15">
        <v>14</v>
      </c>
      <c r="DW15" t="s">
        <v>51</v>
      </c>
      <c r="DX15" s="7">
        <v>15000</v>
      </c>
      <c r="DY15" s="7"/>
      <c r="DZ15" s="8">
        <v>14</v>
      </c>
      <c r="EA15" s="12" t="s">
        <v>44</v>
      </c>
      <c r="EB15" s="10">
        <v>0</v>
      </c>
    </row>
    <row r="16" spans="1:132">
      <c r="A16" s="21"/>
      <c r="I16" s="8">
        <v>14</v>
      </c>
      <c r="J16" s="12" t="s">
        <v>44</v>
      </c>
      <c r="K16" s="93"/>
      <c r="L16">
        <f t="shared" si="1"/>
        <v>5375.03</v>
      </c>
      <c r="M16">
        <f>_xlfn.IFNA(VLOOKUP(J16,[1]Sheet1!B:E,4,FALSE),"NOT FOUND")</f>
        <v>5375.03</v>
      </c>
      <c r="N16" t="b">
        <f t="shared" si="2"/>
        <v>1</v>
      </c>
      <c r="AO16" s="91"/>
      <c r="AQ16" t="s">
        <v>55</v>
      </c>
      <c r="AR16" s="16">
        <v>30000</v>
      </c>
      <c r="DD16">
        <v>16</v>
      </c>
      <c r="DE16" s="2">
        <f t="shared" ca="1" si="0"/>
        <v>45307</v>
      </c>
      <c r="DF16">
        <f t="shared" ca="1" si="3"/>
        <v>3</v>
      </c>
      <c r="DG16">
        <f t="shared" ca="1" si="4"/>
        <v>3</v>
      </c>
      <c r="DH16" s="3" t="s">
        <v>52</v>
      </c>
      <c r="DI16" s="4" t="s">
        <v>270</v>
      </c>
      <c r="DK16" s="14"/>
      <c r="DL16" s="15"/>
      <c r="DP16" t="s">
        <v>53</v>
      </c>
      <c r="DQ16">
        <v>8</v>
      </c>
      <c r="DS16" t="s">
        <v>54</v>
      </c>
      <c r="DT16" s="7">
        <v>20000</v>
      </c>
      <c r="DV16">
        <v>15</v>
      </c>
      <c r="DW16" t="s">
        <v>55</v>
      </c>
      <c r="DX16" s="7">
        <v>20000</v>
      </c>
      <c r="DY16" s="7"/>
      <c r="DZ16" s="8">
        <v>15</v>
      </c>
      <c r="EA16" s="12" t="s">
        <v>48</v>
      </c>
      <c r="EB16" s="10">
        <v>0</v>
      </c>
    </row>
    <row r="17" spans="1:132">
      <c r="A17" s="22"/>
      <c r="B17" t="s">
        <v>338</v>
      </c>
      <c r="C17" t="s">
        <v>338</v>
      </c>
      <c r="E17" s="23" t="s">
        <v>338</v>
      </c>
      <c r="F17" t="s">
        <v>338</v>
      </c>
      <c r="I17" s="8">
        <v>15</v>
      </c>
      <c r="J17" s="12" t="s">
        <v>48</v>
      </c>
      <c r="K17" s="93"/>
      <c r="L17">
        <f t="shared" si="1"/>
        <v>5375.03</v>
      </c>
      <c r="M17">
        <f>_xlfn.IFNA(VLOOKUP(J17,[1]Sheet1!B:E,4,FALSE),"NOT FOUND")</f>
        <v>5375.03</v>
      </c>
      <c r="N17" t="b">
        <f t="shared" si="2"/>
        <v>1</v>
      </c>
      <c r="AO17" s="91"/>
      <c r="AQ17" t="s">
        <v>57</v>
      </c>
      <c r="AR17" s="16">
        <v>3000</v>
      </c>
      <c r="DD17">
        <v>17</v>
      </c>
      <c r="DE17" s="2">
        <f t="shared" ca="1" si="0"/>
        <v>45308</v>
      </c>
      <c r="DF17">
        <f t="shared" ca="1" si="3"/>
        <v>3</v>
      </c>
      <c r="DG17">
        <f t="shared" ca="1" si="4"/>
        <v>3</v>
      </c>
      <c r="DH17" s="3" t="s">
        <v>16</v>
      </c>
      <c r="DI17" s="4" t="s">
        <v>285</v>
      </c>
      <c r="DK17" s="14"/>
      <c r="DL17" s="15"/>
      <c r="DP17" t="s">
        <v>32</v>
      </c>
      <c r="DQ17">
        <v>9</v>
      </c>
      <c r="DS17" t="s">
        <v>56</v>
      </c>
      <c r="DT17" s="7">
        <v>0</v>
      </c>
      <c r="DV17">
        <v>16</v>
      </c>
      <c r="DW17" t="s">
        <v>57</v>
      </c>
      <c r="DX17" s="7">
        <v>0</v>
      </c>
      <c r="DY17" s="7"/>
      <c r="DZ17" s="8">
        <v>16</v>
      </c>
      <c r="EA17" s="12" t="s">
        <v>52</v>
      </c>
      <c r="EB17" s="10">
        <v>0</v>
      </c>
    </row>
    <row r="18" spans="1:132">
      <c r="A18" s="22"/>
      <c r="I18" s="8">
        <v>16</v>
      </c>
      <c r="J18" s="12" t="s">
        <v>52</v>
      </c>
      <c r="K18" s="94"/>
      <c r="L18">
        <f t="shared" si="1"/>
        <v>5375.03</v>
      </c>
      <c r="M18">
        <f>_xlfn.IFNA(VLOOKUP(J18,[1]Sheet1!B:E,4,FALSE),"NOT FOUND")</f>
        <v>5375.03</v>
      </c>
      <c r="N18" t="b">
        <f t="shared" si="2"/>
        <v>1</v>
      </c>
      <c r="AO18" s="91"/>
      <c r="AQ18" t="s">
        <v>60</v>
      </c>
      <c r="AR18" s="16">
        <v>11000</v>
      </c>
      <c r="DD18">
        <v>18</v>
      </c>
      <c r="DE18" s="2">
        <f t="shared" ca="1" si="0"/>
        <v>45309</v>
      </c>
      <c r="DF18">
        <f t="shared" ca="1" si="3"/>
        <v>3</v>
      </c>
      <c r="DG18">
        <f t="shared" ca="1" si="4"/>
        <v>3</v>
      </c>
      <c r="DH18" s="3" t="s">
        <v>58</v>
      </c>
      <c r="DI18" s="4" t="s">
        <v>285</v>
      </c>
      <c r="DK18" s="14"/>
      <c r="DL18" s="15"/>
      <c r="DP18" t="s">
        <v>36</v>
      </c>
      <c r="DQ18">
        <v>10</v>
      </c>
      <c r="DS18" t="s">
        <v>59</v>
      </c>
      <c r="DT18" s="7">
        <v>14347.4</v>
      </c>
      <c r="DV18">
        <v>17</v>
      </c>
      <c r="DW18" t="s">
        <v>60</v>
      </c>
      <c r="DX18" s="7">
        <v>14347.4</v>
      </c>
      <c r="DY18" s="7"/>
      <c r="DZ18" s="8">
        <v>17</v>
      </c>
      <c r="EA18" s="24" t="s">
        <v>16</v>
      </c>
      <c r="EB18" s="10">
        <v>16000</v>
      </c>
    </row>
    <row r="19" spans="1:132">
      <c r="I19" s="8">
        <v>17</v>
      </c>
      <c r="J19" s="24" t="s">
        <v>16</v>
      </c>
      <c r="K19" s="92">
        <v>3000</v>
      </c>
      <c r="L19">
        <f t="shared" si="1"/>
        <v>3000</v>
      </c>
      <c r="M19">
        <f>_xlfn.IFNA(VLOOKUP(J19,[1]Sheet1!B:E,4,FALSE),"NOT FOUND")</f>
        <v>0</v>
      </c>
      <c r="N19" t="b">
        <f t="shared" si="2"/>
        <v>0</v>
      </c>
      <c r="AO19" s="91"/>
      <c r="AQ19" t="s">
        <v>63</v>
      </c>
      <c r="AR19" s="16">
        <v>2000</v>
      </c>
      <c r="DD19">
        <v>19</v>
      </c>
      <c r="DE19" s="2">
        <f t="shared" ca="1" si="0"/>
        <v>45310</v>
      </c>
      <c r="DF19">
        <f t="shared" ca="1" si="3"/>
        <v>3</v>
      </c>
      <c r="DG19">
        <f t="shared" ca="1" si="4"/>
        <v>3</v>
      </c>
      <c r="DH19" s="3" t="s">
        <v>61</v>
      </c>
      <c r="DI19" s="4" t="s">
        <v>285</v>
      </c>
      <c r="DK19" s="14"/>
      <c r="DL19" s="15"/>
      <c r="DP19" t="s">
        <v>40</v>
      </c>
      <c r="DQ19">
        <v>11</v>
      </c>
      <c r="DS19" t="s">
        <v>62</v>
      </c>
      <c r="DT19" s="7">
        <v>1200</v>
      </c>
      <c r="DV19">
        <v>18</v>
      </c>
      <c r="DW19" t="s">
        <v>63</v>
      </c>
      <c r="DX19" s="7">
        <v>1200</v>
      </c>
      <c r="DY19" s="7"/>
      <c r="DZ19" s="8">
        <v>18</v>
      </c>
      <c r="EA19" s="24" t="s">
        <v>58</v>
      </c>
      <c r="EB19" s="10">
        <v>0</v>
      </c>
    </row>
    <row r="20" spans="1:132">
      <c r="I20" s="8">
        <v>18</v>
      </c>
      <c r="J20" s="24" t="s">
        <v>58</v>
      </c>
      <c r="K20" s="93"/>
      <c r="L20">
        <f t="shared" si="1"/>
        <v>3000</v>
      </c>
      <c r="M20">
        <f>_xlfn.IFNA(VLOOKUP(J20,[1]Sheet1!B:E,4,FALSE),"NOT FOUND")</f>
        <v>0</v>
      </c>
      <c r="N20" t="b">
        <f t="shared" si="2"/>
        <v>0</v>
      </c>
      <c r="AO20" s="91"/>
      <c r="AQ20" t="s">
        <v>66</v>
      </c>
      <c r="AR20" s="16">
        <v>68000</v>
      </c>
      <c r="DD20">
        <v>20</v>
      </c>
      <c r="DE20" s="2">
        <f t="shared" ca="1" si="0"/>
        <v>45311</v>
      </c>
      <c r="DF20">
        <f t="shared" ca="1" si="3"/>
        <v>3</v>
      </c>
      <c r="DG20">
        <f t="shared" ca="1" si="4"/>
        <v>3</v>
      </c>
      <c r="DH20" s="3" t="s">
        <v>64</v>
      </c>
      <c r="DI20" s="4" t="s">
        <v>285</v>
      </c>
      <c r="DK20" s="14"/>
      <c r="DL20" s="15"/>
      <c r="DP20" t="s">
        <v>43</v>
      </c>
      <c r="DQ20">
        <v>12</v>
      </c>
      <c r="DS20" t="s">
        <v>65</v>
      </c>
      <c r="DT20" s="7">
        <v>65000</v>
      </c>
      <c r="DV20">
        <v>19</v>
      </c>
      <c r="DW20" t="s">
        <v>66</v>
      </c>
      <c r="DX20" s="7">
        <v>65000</v>
      </c>
      <c r="DY20" s="7"/>
      <c r="DZ20" s="8">
        <v>19</v>
      </c>
      <c r="EA20" s="24" t="s">
        <v>61</v>
      </c>
      <c r="EB20" s="10">
        <v>0</v>
      </c>
    </row>
    <row r="21" spans="1:132">
      <c r="I21" s="8">
        <v>19</v>
      </c>
      <c r="J21" s="24" t="s">
        <v>61</v>
      </c>
      <c r="K21" s="93"/>
      <c r="L21">
        <f t="shared" si="1"/>
        <v>3000</v>
      </c>
      <c r="M21">
        <f>_xlfn.IFNA(VLOOKUP(J21,[1]Sheet1!B:E,4,FALSE),"NOT FOUND")</f>
        <v>0</v>
      </c>
      <c r="N21" t="b">
        <f t="shared" si="2"/>
        <v>0</v>
      </c>
      <c r="AO21" s="91"/>
      <c r="AQ21" t="s">
        <v>69</v>
      </c>
      <c r="AR21" s="16">
        <v>0</v>
      </c>
      <c r="DD21">
        <v>21</v>
      </c>
      <c r="DE21" s="2">
        <f t="shared" ca="1" si="0"/>
        <v>45312</v>
      </c>
      <c r="DF21">
        <f t="shared" ca="1" si="3"/>
        <v>3</v>
      </c>
      <c r="DG21">
        <f t="shared" ca="1" si="4"/>
        <v>3</v>
      </c>
      <c r="DH21" s="3" t="s">
        <v>67</v>
      </c>
      <c r="DI21" s="4" t="s">
        <v>271</v>
      </c>
      <c r="DK21" s="14"/>
      <c r="DL21" s="15"/>
      <c r="DP21" t="s">
        <v>47</v>
      </c>
      <c r="DQ21">
        <v>13</v>
      </c>
      <c r="DS21" t="s">
        <v>68</v>
      </c>
      <c r="DT21" s="7">
        <v>0</v>
      </c>
      <c r="DV21">
        <v>20</v>
      </c>
      <c r="DW21" t="s">
        <v>69</v>
      </c>
      <c r="DX21" s="7">
        <v>0</v>
      </c>
      <c r="DY21" s="7"/>
      <c r="DZ21" s="8">
        <v>20</v>
      </c>
      <c r="EA21" s="24" t="s">
        <v>64</v>
      </c>
      <c r="EB21" s="10">
        <v>0</v>
      </c>
    </row>
    <row r="22" spans="1:132">
      <c r="I22" s="8">
        <v>20</v>
      </c>
      <c r="J22" s="24" t="s">
        <v>64</v>
      </c>
      <c r="K22" s="93"/>
      <c r="L22">
        <f t="shared" si="1"/>
        <v>3000</v>
      </c>
      <c r="M22">
        <f>_xlfn.IFNA(VLOOKUP(J22,[1]Sheet1!B:E,4,FALSE),"NOT FOUND")</f>
        <v>0</v>
      </c>
      <c r="N22" t="b">
        <f t="shared" si="2"/>
        <v>0</v>
      </c>
      <c r="AO22" s="91"/>
      <c r="AQ22" t="s">
        <v>72</v>
      </c>
      <c r="AR22" s="16">
        <v>500</v>
      </c>
      <c r="DD22">
        <v>22</v>
      </c>
      <c r="DE22" s="2">
        <f t="shared" ca="1" si="0"/>
        <v>45313</v>
      </c>
      <c r="DF22">
        <f t="shared" ca="1" si="3"/>
        <v>4</v>
      </c>
      <c r="DG22">
        <f t="shared" ca="1" si="4"/>
        <v>4</v>
      </c>
      <c r="DH22" s="3" t="s">
        <v>70</v>
      </c>
      <c r="DI22" s="4" t="s">
        <v>271</v>
      </c>
      <c r="DK22" s="14"/>
      <c r="DL22" s="15"/>
      <c r="DP22" t="s">
        <v>51</v>
      </c>
      <c r="DQ22">
        <v>14</v>
      </c>
      <c r="DS22" t="s">
        <v>71</v>
      </c>
      <c r="DT22" s="7">
        <v>250</v>
      </c>
      <c r="DV22">
        <v>21</v>
      </c>
      <c r="DW22" t="s">
        <v>72</v>
      </c>
      <c r="DX22" s="7">
        <v>250</v>
      </c>
      <c r="DY22" s="7"/>
      <c r="DZ22" s="8">
        <v>21</v>
      </c>
      <c r="EA22" s="24" t="s">
        <v>67</v>
      </c>
      <c r="EB22" s="10">
        <v>0</v>
      </c>
    </row>
    <row r="23" spans="1:132">
      <c r="I23" s="8">
        <v>21</v>
      </c>
      <c r="J23" s="24" t="s">
        <v>67</v>
      </c>
      <c r="K23" s="93"/>
      <c r="L23">
        <f t="shared" si="1"/>
        <v>3000</v>
      </c>
      <c r="M23">
        <f>_xlfn.IFNA(VLOOKUP(J23,[1]Sheet1!B:E,4,FALSE),"NOT FOUND")</f>
        <v>4548.3100000000004</v>
      </c>
      <c r="N23" t="b">
        <f t="shared" si="2"/>
        <v>0</v>
      </c>
      <c r="AO23" s="91"/>
      <c r="AQ23" t="s">
        <v>75</v>
      </c>
      <c r="AR23" s="16">
        <v>1000</v>
      </c>
      <c r="DD23">
        <v>23</v>
      </c>
      <c r="DE23" s="2">
        <f t="shared" ca="1" si="0"/>
        <v>45314</v>
      </c>
      <c r="DF23">
        <f t="shared" ca="1" si="3"/>
        <v>4</v>
      </c>
      <c r="DG23">
        <f t="shared" ca="1" si="4"/>
        <v>4</v>
      </c>
      <c r="DH23" s="3" t="s">
        <v>73</v>
      </c>
      <c r="DI23" s="4" t="s">
        <v>271</v>
      </c>
      <c r="DK23" s="14"/>
      <c r="DL23" s="15"/>
      <c r="DP23" t="s">
        <v>55</v>
      </c>
      <c r="DQ23">
        <v>15</v>
      </c>
      <c r="DS23" t="s">
        <v>74</v>
      </c>
      <c r="DT23" s="7">
        <v>950</v>
      </c>
      <c r="DV23">
        <v>22</v>
      </c>
      <c r="DW23" t="s">
        <v>75</v>
      </c>
      <c r="DX23" s="7">
        <v>950</v>
      </c>
      <c r="DY23" s="7"/>
      <c r="DZ23" s="8">
        <v>22</v>
      </c>
      <c r="EA23" s="24" t="s">
        <v>70</v>
      </c>
      <c r="EB23" s="10">
        <v>0</v>
      </c>
    </row>
    <row r="24" spans="1:132">
      <c r="I24" s="8">
        <v>22</v>
      </c>
      <c r="J24" s="24" t="s">
        <v>70</v>
      </c>
      <c r="K24" s="93"/>
      <c r="L24">
        <f t="shared" si="1"/>
        <v>3000</v>
      </c>
      <c r="M24">
        <f>_xlfn.IFNA(VLOOKUP(J24,[1]Sheet1!B:E,4,FALSE),"NOT FOUND")</f>
        <v>4548.3100000000004</v>
      </c>
      <c r="N24" t="b">
        <f t="shared" si="2"/>
        <v>0</v>
      </c>
      <c r="AO24" s="91"/>
      <c r="AQ24" t="s">
        <v>78</v>
      </c>
      <c r="AR24" s="16">
        <v>0</v>
      </c>
      <c r="DD24">
        <v>24</v>
      </c>
      <c r="DE24" s="2">
        <f t="shared" ca="1" si="0"/>
        <v>45315</v>
      </c>
      <c r="DF24">
        <f t="shared" ca="1" si="3"/>
        <v>4</v>
      </c>
      <c r="DG24">
        <f t="shared" ca="1" si="4"/>
        <v>4</v>
      </c>
      <c r="DH24" s="3" t="s">
        <v>76</v>
      </c>
      <c r="DI24" s="4" t="s">
        <v>271</v>
      </c>
      <c r="DK24" s="14"/>
      <c r="DL24" s="15"/>
      <c r="DP24" t="s">
        <v>57</v>
      </c>
      <c r="DQ24">
        <v>16</v>
      </c>
      <c r="DS24" t="s">
        <v>77</v>
      </c>
      <c r="DT24" s="7">
        <v>0</v>
      </c>
      <c r="DV24">
        <v>23</v>
      </c>
      <c r="DW24" t="s">
        <v>78</v>
      </c>
      <c r="DX24" s="7">
        <v>0</v>
      </c>
      <c r="DY24" s="7"/>
      <c r="DZ24" s="8">
        <v>23</v>
      </c>
      <c r="EA24" s="24" t="s">
        <v>73</v>
      </c>
      <c r="EB24" s="10">
        <v>0</v>
      </c>
    </row>
    <row r="25" spans="1:132">
      <c r="I25" s="8">
        <v>23</v>
      </c>
      <c r="J25" s="24" t="s">
        <v>73</v>
      </c>
      <c r="K25" s="93"/>
      <c r="L25">
        <f t="shared" si="1"/>
        <v>3000</v>
      </c>
      <c r="M25">
        <f>_xlfn.IFNA(VLOOKUP(J25,[1]Sheet1!B:E,4,FALSE),"NOT FOUND")</f>
        <v>4548.3100000000004</v>
      </c>
      <c r="N25" t="b">
        <f t="shared" si="2"/>
        <v>0</v>
      </c>
      <c r="AO25" s="91"/>
      <c r="AQ25" t="s">
        <v>80</v>
      </c>
      <c r="AR25" s="16">
        <v>1200</v>
      </c>
      <c r="DD25">
        <v>25</v>
      </c>
      <c r="DE25" s="2">
        <f t="shared" ca="1" si="0"/>
        <v>45316</v>
      </c>
      <c r="DF25">
        <f t="shared" ca="1" si="3"/>
        <v>4</v>
      </c>
      <c r="DG25">
        <f t="shared" ca="1" si="4"/>
        <v>4</v>
      </c>
      <c r="DH25" s="3" t="s">
        <v>20</v>
      </c>
      <c r="DI25" s="4" t="s">
        <v>286</v>
      </c>
      <c r="DK25" s="14"/>
      <c r="DL25" s="15"/>
      <c r="DP25" t="s">
        <v>60</v>
      </c>
      <c r="DQ25">
        <v>17</v>
      </c>
      <c r="DS25" t="s">
        <v>79</v>
      </c>
      <c r="DT25" s="7">
        <v>200</v>
      </c>
      <c r="DV25">
        <v>24</v>
      </c>
      <c r="DW25" t="s">
        <v>80</v>
      </c>
      <c r="DX25" s="7">
        <v>200</v>
      </c>
      <c r="DY25" s="7"/>
      <c r="DZ25" s="8">
        <v>24</v>
      </c>
      <c r="EA25" s="24" t="s">
        <v>76</v>
      </c>
      <c r="EB25" s="10">
        <v>0</v>
      </c>
    </row>
    <row r="26" spans="1:132">
      <c r="I26" s="8">
        <v>24</v>
      </c>
      <c r="J26" s="24" t="s">
        <v>76</v>
      </c>
      <c r="K26" s="94"/>
      <c r="L26">
        <f t="shared" si="1"/>
        <v>3000</v>
      </c>
      <c r="M26">
        <f>_xlfn.IFNA(VLOOKUP(J26,[1]Sheet1!B:E,4,FALSE),"NOT FOUND")</f>
        <v>4548.3100000000004</v>
      </c>
      <c r="N26" t="b">
        <f t="shared" si="2"/>
        <v>0</v>
      </c>
      <c r="AO26" s="91"/>
      <c r="AQ26" t="s">
        <v>83</v>
      </c>
      <c r="AR26" s="16">
        <v>5500</v>
      </c>
      <c r="DD26">
        <v>26</v>
      </c>
      <c r="DE26" s="2">
        <f t="shared" ca="1" si="0"/>
        <v>45317</v>
      </c>
      <c r="DF26">
        <f t="shared" ca="1" si="3"/>
        <v>4</v>
      </c>
      <c r="DG26">
        <f t="shared" ca="1" si="4"/>
        <v>4</v>
      </c>
      <c r="DH26" s="3" t="s">
        <v>81</v>
      </c>
      <c r="DI26" s="4" t="s">
        <v>286</v>
      </c>
      <c r="DK26" s="14"/>
      <c r="DL26" s="15"/>
      <c r="DP26" t="s">
        <v>63</v>
      </c>
      <c r="DQ26">
        <v>18</v>
      </c>
      <c r="DS26" t="s">
        <v>82</v>
      </c>
      <c r="DT26" s="7">
        <v>2500</v>
      </c>
      <c r="DV26">
        <v>25</v>
      </c>
      <c r="DW26" t="s">
        <v>83</v>
      </c>
      <c r="DX26" s="7">
        <v>2500</v>
      </c>
      <c r="DY26" s="7"/>
      <c r="DZ26" s="8">
        <v>25</v>
      </c>
      <c r="EA26" s="25" t="s">
        <v>20</v>
      </c>
      <c r="EB26" s="10">
        <v>278453</v>
      </c>
    </row>
    <row r="27" spans="1:132">
      <c r="I27" s="8">
        <v>25</v>
      </c>
      <c r="J27" s="25" t="s">
        <v>20</v>
      </c>
      <c r="K27" s="92">
        <v>327475.06</v>
      </c>
      <c r="L27">
        <f t="shared" si="1"/>
        <v>327475.06</v>
      </c>
      <c r="M27">
        <f>_xlfn.IFNA(VLOOKUP(J27,[1]Sheet1!B:E,4,FALSE),"NOT FOUND")</f>
        <v>257250</v>
      </c>
      <c r="N27" t="b">
        <f t="shared" si="2"/>
        <v>0</v>
      </c>
      <c r="AO27" s="91"/>
      <c r="AQ27" t="s">
        <v>86</v>
      </c>
      <c r="AR27" s="16">
        <v>3000</v>
      </c>
      <c r="DD27">
        <v>27</v>
      </c>
      <c r="DE27" s="2">
        <f t="shared" ca="1" si="0"/>
        <v>45318</v>
      </c>
      <c r="DF27">
        <f t="shared" ca="1" si="3"/>
        <v>4</v>
      </c>
      <c r="DG27">
        <f t="shared" ca="1" si="4"/>
        <v>4</v>
      </c>
      <c r="DH27" s="3" t="s">
        <v>84</v>
      </c>
      <c r="DI27" s="4" t="s">
        <v>286</v>
      </c>
      <c r="DK27" s="14"/>
      <c r="DL27" s="15"/>
      <c r="DP27" t="s">
        <v>66</v>
      </c>
      <c r="DQ27">
        <v>19</v>
      </c>
      <c r="DS27" t="s">
        <v>85</v>
      </c>
      <c r="DT27" s="7">
        <v>200</v>
      </c>
      <c r="DV27">
        <v>26</v>
      </c>
      <c r="DW27" t="s">
        <v>86</v>
      </c>
      <c r="DX27" s="7">
        <v>200</v>
      </c>
      <c r="DY27" s="7"/>
      <c r="DZ27" s="8">
        <v>26</v>
      </c>
      <c r="EA27" s="25" t="s">
        <v>81</v>
      </c>
      <c r="EB27" s="10">
        <v>0</v>
      </c>
    </row>
    <row r="28" spans="1:132">
      <c r="I28" s="8">
        <v>26</v>
      </c>
      <c r="J28" s="25" t="s">
        <v>81</v>
      </c>
      <c r="K28" s="93"/>
      <c r="L28">
        <f t="shared" si="1"/>
        <v>327475.06</v>
      </c>
      <c r="M28">
        <f>_xlfn.IFNA(VLOOKUP(J28,[1]Sheet1!B:E,4,FALSE),"NOT FOUND")</f>
        <v>257250</v>
      </c>
      <c r="N28" t="b">
        <f t="shared" si="2"/>
        <v>0</v>
      </c>
      <c r="AO28" s="91"/>
      <c r="AQ28" t="s">
        <v>89</v>
      </c>
      <c r="AR28" s="16">
        <v>1000</v>
      </c>
      <c r="DD28">
        <v>28</v>
      </c>
      <c r="DE28" s="2">
        <f t="shared" ca="1" si="0"/>
        <v>45319</v>
      </c>
      <c r="DF28">
        <f t="shared" ca="1" si="3"/>
        <v>4</v>
      </c>
      <c r="DG28">
        <f t="shared" ca="1" si="4"/>
        <v>4</v>
      </c>
      <c r="DH28" s="3" t="s">
        <v>87</v>
      </c>
      <c r="DI28" s="4" t="s">
        <v>286</v>
      </c>
      <c r="DK28" s="14"/>
      <c r="DL28" s="15"/>
      <c r="DP28" t="s">
        <v>69</v>
      </c>
      <c r="DQ28">
        <v>20</v>
      </c>
      <c r="DS28" t="s">
        <v>88</v>
      </c>
      <c r="DT28" s="7">
        <v>900</v>
      </c>
      <c r="DV28">
        <v>27</v>
      </c>
      <c r="DW28" t="s">
        <v>89</v>
      </c>
      <c r="DX28" s="7">
        <v>900</v>
      </c>
      <c r="DY28" s="7"/>
      <c r="DZ28" s="8">
        <v>27</v>
      </c>
      <c r="EA28" s="25" t="s">
        <v>84</v>
      </c>
      <c r="EB28" s="10">
        <v>0</v>
      </c>
    </row>
    <row r="29" spans="1:132">
      <c r="I29" s="8">
        <v>27</v>
      </c>
      <c r="J29" s="25" t="s">
        <v>84</v>
      </c>
      <c r="K29" s="93"/>
      <c r="L29">
        <f t="shared" si="1"/>
        <v>327475.06</v>
      </c>
      <c r="M29">
        <f>_xlfn.IFNA(VLOOKUP(J29,[1]Sheet1!B:E,4,FALSE),"NOT FOUND")</f>
        <v>257250</v>
      </c>
      <c r="N29" t="b">
        <f t="shared" si="2"/>
        <v>0</v>
      </c>
      <c r="AO29" s="91"/>
      <c r="AQ29" t="s">
        <v>92</v>
      </c>
      <c r="AR29" s="16">
        <v>20000</v>
      </c>
      <c r="DD29">
        <v>29</v>
      </c>
      <c r="DE29" s="2">
        <f t="shared" ca="1" si="0"/>
        <v>45320</v>
      </c>
      <c r="DF29">
        <f t="shared" ca="1" si="3"/>
        <v>5</v>
      </c>
      <c r="DG29">
        <f t="shared" ca="1" si="4"/>
        <v>5</v>
      </c>
      <c r="DH29" s="3" t="s">
        <v>24</v>
      </c>
      <c r="DI29" s="4" t="s">
        <v>90</v>
      </c>
      <c r="DK29" s="14"/>
      <c r="DL29" s="15"/>
      <c r="DP29" t="s">
        <v>72</v>
      </c>
      <c r="DQ29">
        <v>21</v>
      </c>
      <c r="DS29" t="s">
        <v>91</v>
      </c>
      <c r="DT29" s="7">
        <v>16800</v>
      </c>
      <c r="DV29">
        <v>28</v>
      </c>
      <c r="DW29" t="s">
        <v>92</v>
      </c>
      <c r="DX29" s="7">
        <v>16800</v>
      </c>
      <c r="DY29" s="7"/>
      <c r="DZ29" s="8">
        <v>28</v>
      </c>
      <c r="EA29" s="25" t="s">
        <v>87</v>
      </c>
      <c r="EB29" s="10">
        <v>0</v>
      </c>
    </row>
    <row r="30" spans="1:132">
      <c r="I30" s="8">
        <v>28</v>
      </c>
      <c r="J30" s="25" t="s">
        <v>87</v>
      </c>
      <c r="K30" s="94"/>
      <c r="L30">
        <f t="shared" si="1"/>
        <v>327475.06</v>
      </c>
      <c r="M30">
        <f>_xlfn.IFNA(VLOOKUP(J30,[1]Sheet1!B:E,4,FALSE),"NOT FOUND")</f>
        <v>0</v>
      </c>
      <c r="N30" t="b">
        <f t="shared" si="2"/>
        <v>0</v>
      </c>
      <c r="AO30" s="91"/>
      <c r="AQ30" t="s">
        <v>95</v>
      </c>
      <c r="AR30" s="16">
        <v>3000</v>
      </c>
      <c r="DD30">
        <v>30</v>
      </c>
      <c r="DE30" s="2">
        <f t="shared" ca="1" si="0"/>
        <v>45321</v>
      </c>
      <c r="DF30">
        <f t="shared" ca="1" si="3"/>
        <v>5</v>
      </c>
      <c r="DG30">
        <f t="shared" ca="1" si="4"/>
        <v>5</v>
      </c>
      <c r="DH30" s="3" t="s">
        <v>93</v>
      </c>
      <c r="DI30" s="4" t="s">
        <v>90</v>
      </c>
      <c r="DK30" s="14"/>
      <c r="DL30" s="15"/>
      <c r="DP30" t="s">
        <v>75</v>
      </c>
      <c r="DQ30">
        <v>22</v>
      </c>
      <c r="DS30" t="s">
        <v>94</v>
      </c>
      <c r="DT30" s="7">
        <v>2095</v>
      </c>
      <c r="DV30">
        <v>29</v>
      </c>
      <c r="DW30" t="s">
        <v>95</v>
      </c>
      <c r="DX30" s="7">
        <v>2095</v>
      </c>
      <c r="DY30" s="7"/>
      <c r="DZ30" s="8">
        <v>29</v>
      </c>
      <c r="EA30" s="26" t="s">
        <v>24</v>
      </c>
      <c r="EB30" s="10">
        <v>16000</v>
      </c>
    </row>
    <row r="31" spans="1:132">
      <c r="I31" s="8">
        <v>29</v>
      </c>
      <c r="J31" s="26" t="s">
        <v>24</v>
      </c>
      <c r="K31" s="92">
        <v>6500</v>
      </c>
      <c r="L31">
        <f t="shared" si="1"/>
        <v>6500</v>
      </c>
      <c r="M31">
        <f>_xlfn.IFNA(VLOOKUP(J31,[1]Sheet1!B:E,4,FALSE),"NOT FOUND")</f>
        <v>15561.89</v>
      </c>
      <c r="N31" t="b">
        <f t="shared" si="2"/>
        <v>0</v>
      </c>
      <c r="AO31" s="91"/>
      <c r="AQ31" t="s">
        <v>98</v>
      </c>
      <c r="AR31" s="16">
        <v>500</v>
      </c>
      <c r="DD31">
        <v>31</v>
      </c>
      <c r="DE31" s="2" t="str">
        <f t="shared" ca="1" si="0"/>
        <v/>
      </c>
      <c r="DF31" t="str">
        <f t="shared" ca="1" si="3"/>
        <v/>
      </c>
      <c r="DG31" t="str">
        <f t="shared" ca="1" si="4"/>
        <v/>
      </c>
      <c r="DH31" s="3" t="s">
        <v>96</v>
      </c>
      <c r="DI31" s="4" t="s">
        <v>90</v>
      </c>
      <c r="DK31" s="14"/>
      <c r="DL31" s="15"/>
      <c r="DP31" t="s">
        <v>78</v>
      </c>
      <c r="DQ31">
        <v>23</v>
      </c>
      <c r="DS31" t="s">
        <v>97</v>
      </c>
      <c r="DT31" s="7">
        <v>200</v>
      </c>
      <c r="DV31">
        <v>30</v>
      </c>
      <c r="DW31" t="s">
        <v>98</v>
      </c>
      <c r="DX31" s="7">
        <v>200</v>
      </c>
      <c r="DY31" s="7"/>
      <c r="DZ31" s="8">
        <v>30</v>
      </c>
      <c r="EA31" s="26" t="s">
        <v>93</v>
      </c>
      <c r="EB31" s="10">
        <v>0</v>
      </c>
    </row>
    <row r="32" spans="1:132">
      <c r="I32" s="8">
        <v>30</v>
      </c>
      <c r="J32" s="26" t="s">
        <v>93</v>
      </c>
      <c r="K32" s="93"/>
      <c r="L32">
        <f t="shared" si="1"/>
        <v>6500</v>
      </c>
      <c r="M32">
        <f>_xlfn.IFNA(VLOOKUP(J32,[1]Sheet1!B:E,4,FALSE),"NOT FOUND")</f>
        <v>15561.89</v>
      </c>
      <c r="N32" t="b">
        <f t="shared" si="2"/>
        <v>0</v>
      </c>
      <c r="AO32" s="91"/>
      <c r="AQ32" t="s">
        <v>101</v>
      </c>
      <c r="AR32" s="16">
        <v>1800</v>
      </c>
      <c r="DE32" s="2"/>
      <c r="DF32" t="str">
        <f t="shared" si="3"/>
        <v/>
      </c>
      <c r="DH32" s="3" t="s">
        <v>99</v>
      </c>
      <c r="DI32" s="4" t="s">
        <v>90</v>
      </c>
      <c r="DK32" s="14"/>
      <c r="DL32" s="15"/>
      <c r="DP32" t="s">
        <v>80</v>
      </c>
      <c r="DQ32">
        <v>24</v>
      </c>
      <c r="DS32" t="s">
        <v>100</v>
      </c>
      <c r="DT32" s="7">
        <v>1730</v>
      </c>
      <c r="DV32">
        <v>31</v>
      </c>
      <c r="DW32" t="s">
        <v>101</v>
      </c>
      <c r="DX32" s="7">
        <v>1730</v>
      </c>
      <c r="DY32" s="7"/>
      <c r="DZ32" s="8">
        <v>31</v>
      </c>
      <c r="EA32" s="26" t="s">
        <v>96</v>
      </c>
      <c r="EB32" s="10">
        <v>0</v>
      </c>
    </row>
    <row r="33" spans="9:132">
      <c r="I33" s="8">
        <v>31</v>
      </c>
      <c r="J33" s="26" t="s">
        <v>96</v>
      </c>
      <c r="K33" s="93"/>
      <c r="L33">
        <f t="shared" si="1"/>
        <v>6500</v>
      </c>
      <c r="M33">
        <f>_xlfn.IFNA(VLOOKUP(J33,[1]Sheet1!B:E,4,FALSE),"NOT FOUND")</f>
        <v>15561.89</v>
      </c>
      <c r="N33" t="b">
        <f t="shared" si="2"/>
        <v>0</v>
      </c>
      <c r="AO33" s="91"/>
      <c r="AQ33" t="s">
        <v>103</v>
      </c>
      <c r="AR33" s="16">
        <v>1000</v>
      </c>
      <c r="DH33" s="3" t="s">
        <v>27</v>
      </c>
      <c r="DI33" s="4" t="s">
        <v>287</v>
      </c>
      <c r="DK33" s="14"/>
      <c r="DL33" s="15"/>
      <c r="DP33" t="s">
        <v>83</v>
      </c>
      <c r="DQ33">
        <v>25</v>
      </c>
      <c r="DS33" t="s">
        <v>102</v>
      </c>
      <c r="DT33" s="7">
        <v>1020</v>
      </c>
      <c r="DV33">
        <v>32</v>
      </c>
      <c r="DW33" t="s">
        <v>103</v>
      </c>
      <c r="DX33" s="7">
        <v>1020</v>
      </c>
      <c r="DY33" s="7"/>
      <c r="DZ33" s="8">
        <v>32</v>
      </c>
      <c r="EA33" s="26" t="s">
        <v>99</v>
      </c>
      <c r="EB33" s="10">
        <v>0</v>
      </c>
    </row>
    <row r="34" spans="9:132">
      <c r="I34" s="8">
        <v>32</v>
      </c>
      <c r="J34" s="26" t="s">
        <v>99</v>
      </c>
      <c r="K34" s="94"/>
      <c r="L34">
        <f t="shared" si="1"/>
        <v>6500</v>
      </c>
      <c r="M34">
        <f>_xlfn.IFNA(VLOOKUP(J34,[1]Sheet1!B:E,4,FALSE),"NOT FOUND")</f>
        <v>15561.89</v>
      </c>
      <c r="N34" t="b">
        <f t="shared" si="2"/>
        <v>0</v>
      </c>
      <c r="AO34" s="91"/>
      <c r="AQ34" t="s">
        <v>106</v>
      </c>
      <c r="AR34" s="16">
        <v>2000</v>
      </c>
      <c r="DH34" s="3" t="s">
        <v>104</v>
      </c>
      <c r="DI34" s="4" t="s">
        <v>287</v>
      </c>
      <c r="DK34" s="14"/>
      <c r="DL34" s="15"/>
      <c r="DP34" t="s">
        <v>86</v>
      </c>
      <c r="DQ34">
        <v>26</v>
      </c>
      <c r="DS34" t="s">
        <v>105</v>
      </c>
      <c r="DT34" s="7">
        <v>2000</v>
      </c>
      <c r="DV34">
        <v>33</v>
      </c>
      <c r="DW34" t="s">
        <v>106</v>
      </c>
      <c r="DX34" s="7">
        <v>2000</v>
      </c>
      <c r="DY34" s="7"/>
      <c r="DZ34" s="8">
        <v>33</v>
      </c>
      <c r="EA34" s="27" t="s">
        <v>27</v>
      </c>
      <c r="EB34" s="10">
        <v>8000</v>
      </c>
    </row>
    <row r="35" spans="9:132">
      <c r="I35" s="8">
        <v>33</v>
      </c>
      <c r="J35" s="27" t="s">
        <v>27</v>
      </c>
      <c r="K35" s="92">
        <v>5173</v>
      </c>
      <c r="L35">
        <f t="shared" si="1"/>
        <v>5173</v>
      </c>
      <c r="M35">
        <f>_xlfn.IFNA(VLOOKUP(J35,[1]Sheet1!B:E,4,FALSE),"NOT FOUND")</f>
        <v>6000</v>
      </c>
      <c r="N35" t="b">
        <f t="shared" si="2"/>
        <v>0</v>
      </c>
      <c r="AO35" s="91"/>
      <c r="AQ35" t="s">
        <v>110</v>
      </c>
      <c r="AR35" s="16">
        <v>2000</v>
      </c>
      <c r="DH35" s="3" t="s">
        <v>107</v>
      </c>
      <c r="DI35" s="4" t="s">
        <v>287</v>
      </c>
      <c r="DK35" s="14"/>
      <c r="DL35" s="15"/>
      <c r="DP35" t="s">
        <v>108</v>
      </c>
      <c r="DQ35">
        <v>27</v>
      </c>
      <c r="DS35" t="s">
        <v>109</v>
      </c>
      <c r="DT35" s="7">
        <v>400</v>
      </c>
      <c r="DV35">
        <v>34</v>
      </c>
      <c r="DW35" t="s">
        <v>110</v>
      </c>
      <c r="DX35" s="7">
        <v>400</v>
      </c>
      <c r="DY35" s="7"/>
      <c r="DZ35" s="8">
        <v>34</v>
      </c>
      <c r="EA35" s="27" t="s">
        <v>104</v>
      </c>
      <c r="EB35" s="10">
        <v>0</v>
      </c>
    </row>
    <row r="36" spans="9:132">
      <c r="I36" s="8">
        <v>34</v>
      </c>
      <c r="J36" s="27" t="s">
        <v>104</v>
      </c>
      <c r="K36" s="93"/>
      <c r="L36">
        <f t="shared" si="1"/>
        <v>5173</v>
      </c>
      <c r="M36">
        <f>_xlfn.IFNA(VLOOKUP(J36,[1]Sheet1!B:E,4,FALSE),"NOT FOUND")</f>
        <v>6000</v>
      </c>
      <c r="N36" t="b">
        <f t="shared" si="2"/>
        <v>0</v>
      </c>
      <c r="AO36" s="91"/>
      <c r="AQ36" t="s">
        <v>114</v>
      </c>
      <c r="AR36" s="16">
        <v>8000</v>
      </c>
      <c r="DH36" s="3" t="s">
        <v>111</v>
      </c>
      <c r="DI36" s="4" t="s">
        <v>287</v>
      </c>
      <c r="DK36" s="14"/>
      <c r="DL36" s="15"/>
      <c r="DP36" t="s">
        <v>112</v>
      </c>
      <c r="DQ36">
        <v>27</v>
      </c>
      <c r="DS36" t="s">
        <v>113</v>
      </c>
      <c r="DT36" s="7">
        <v>2500</v>
      </c>
      <c r="DV36">
        <v>35</v>
      </c>
      <c r="DW36" t="s">
        <v>114</v>
      </c>
      <c r="DX36" s="7">
        <v>2500</v>
      </c>
      <c r="DY36" s="7"/>
      <c r="DZ36" s="8">
        <v>35</v>
      </c>
      <c r="EA36" s="27" t="s">
        <v>107</v>
      </c>
      <c r="EB36" s="10">
        <v>0</v>
      </c>
    </row>
    <row r="37" spans="9:132">
      <c r="I37" s="8">
        <v>35</v>
      </c>
      <c r="J37" s="27" t="s">
        <v>107</v>
      </c>
      <c r="K37" s="93"/>
      <c r="L37">
        <f t="shared" si="1"/>
        <v>5173</v>
      </c>
      <c r="M37">
        <f>_xlfn.IFNA(VLOOKUP(J37,[1]Sheet1!B:E,4,FALSE),"NOT FOUND")</f>
        <v>6000</v>
      </c>
      <c r="N37" t="b">
        <f t="shared" si="2"/>
        <v>0</v>
      </c>
      <c r="AO37" s="91"/>
      <c r="AQ37" t="s">
        <v>118</v>
      </c>
      <c r="AR37" s="16">
        <v>0</v>
      </c>
      <c r="DH37" s="3" t="s">
        <v>115</v>
      </c>
      <c r="DI37" s="4" t="s">
        <v>288</v>
      </c>
      <c r="DK37" s="14"/>
      <c r="DL37" s="15"/>
      <c r="DP37" t="s">
        <v>116</v>
      </c>
      <c r="DQ37">
        <v>27</v>
      </c>
      <c r="DS37" t="s">
        <v>117</v>
      </c>
      <c r="DT37" s="7">
        <v>0</v>
      </c>
      <c r="DV37">
        <v>36</v>
      </c>
      <c r="DW37" t="s">
        <v>118</v>
      </c>
      <c r="DX37" s="7">
        <v>0</v>
      </c>
      <c r="DY37" s="7"/>
      <c r="DZ37" s="8">
        <v>36</v>
      </c>
      <c r="EA37" s="27" t="s">
        <v>111</v>
      </c>
      <c r="EB37" s="10">
        <v>0</v>
      </c>
    </row>
    <row r="38" spans="9:132">
      <c r="I38" s="8">
        <v>36</v>
      </c>
      <c r="J38" s="27" t="s">
        <v>111</v>
      </c>
      <c r="K38" s="93"/>
      <c r="L38">
        <f t="shared" si="1"/>
        <v>5173</v>
      </c>
      <c r="M38">
        <f>_xlfn.IFNA(VLOOKUP(J38,[1]Sheet1!B:E,4,FALSE),"NOT FOUND")</f>
        <v>6000</v>
      </c>
      <c r="N38" t="b">
        <f t="shared" si="2"/>
        <v>0</v>
      </c>
      <c r="AO38" s="91"/>
      <c r="AQ38" t="s">
        <v>121</v>
      </c>
      <c r="AR38" s="16">
        <v>0</v>
      </c>
      <c r="DH38" s="3" t="s">
        <v>119</v>
      </c>
      <c r="DI38" s="4" t="s">
        <v>288</v>
      </c>
      <c r="DK38" s="14"/>
      <c r="DL38" s="15"/>
      <c r="DP38" t="s">
        <v>92</v>
      </c>
      <c r="DQ38">
        <v>28</v>
      </c>
      <c r="DS38" t="s">
        <v>120</v>
      </c>
      <c r="DT38" s="7">
        <v>0</v>
      </c>
      <c r="DV38">
        <v>37</v>
      </c>
      <c r="DW38" t="s">
        <v>121</v>
      </c>
      <c r="DX38" s="7">
        <v>0</v>
      </c>
      <c r="DY38" s="7"/>
      <c r="DZ38" s="8">
        <v>37</v>
      </c>
      <c r="EA38" s="27" t="s">
        <v>115</v>
      </c>
      <c r="EB38" s="10">
        <v>0</v>
      </c>
    </row>
    <row r="39" spans="9:132">
      <c r="I39" s="8">
        <v>37</v>
      </c>
      <c r="J39" s="27" t="s">
        <v>115</v>
      </c>
      <c r="K39" s="93"/>
      <c r="L39">
        <f t="shared" si="1"/>
        <v>5173</v>
      </c>
      <c r="M39">
        <f>_xlfn.IFNA(VLOOKUP(J39,[1]Sheet1!B:E,4,FALSE),"NOT FOUND")</f>
        <v>6000</v>
      </c>
      <c r="N39" t="b">
        <f t="shared" si="2"/>
        <v>0</v>
      </c>
      <c r="AO39" s="91"/>
      <c r="AQ39" t="s">
        <v>124</v>
      </c>
      <c r="AR39" s="16">
        <v>0</v>
      </c>
      <c r="DH39" s="3" t="s">
        <v>122</v>
      </c>
      <c r="DI39" s="4" t="s">
        <v>288</v>
      </c>
      <c r="DK39" s="14"/>
      <c r="DL39" s="15"/>
      <c r="DP39" t="s">
        <v>95</v>
      </c>
      <c r="DQ39">
        <v>29</v>
      </c>
      <c r="DS39" t="s">
        <v>123</v>
      </c>
      <c r="DT39" s="7">
        <v>0</v>
      </c>
      <c r="DV39">
        <v>38</v>
      </c>
      <c r="DW39" t="s">
        <v>124</v>
      </c>
      <c r="DX39" s="7">
        <v>0</v>
      </c>
      <c r="DY39" s="7"/>
      <c r="DZ39" s="8">
        <v>38</v>
      </c>
      <c r="EA39" s="27" t="s">
        <v>119</v>
      </c>
      <c r="EB39" s="10">
        <v>0</v>
      </c>
    </row>
    <row r="40" spans="9:132">
      <c r="I40" s="8">
        <v>38</v>
      </c>
      <c r="J40" s="27" t="s">
        <v>119</v>
      </c>
      <c r="K40" s="93"/>
      <c r="L40">
        <f t="shared" si="1"/>
        <v>5173</v>
      </c>
      <c r="M40">
        <f>_xlfn.IFNA(VLOOKUP(J40,[1]Sheet1!B:E,4,FALSE),"NOT FOUND")</f>
        <v>6000</v>
      </c>
      <c r="N40" t="b">
        <f t="shared" si="2"/>
        <v>0</v>
      </c>
      <c r="AO40" s="91"/>
      <c r="AQ40" t="s">
        <v>127</v>
      </c>
      <c r="AR40" s="16">
        <v>5000</v>
      </c>
      <c r="DH40" s="3" t="s">
        <v>125</v>
      </c>
      <c r="DI40" s="4" t="s">
        <v>288</v>
      </c>
      <c r="DK40" s="14"/>
      <c r="DL40" s="15"/>
      <c r="DP40" t="s">
        <v>98</v>
      </c>
      <c r="DQ40">
        <v>30</v>
      </c>
      <c r="DS40" t="s">
        <v>126</v>
      </c>
      <c r="DT40" s="7">
        <v>5000</v>
      </c>
      <c r="DV40">
        <v>39</v>
      </c>
      <c r="DW40" t="s">
        <v>127</v>
      </c>
      <c r="DX40" s="7">
        <v>5000</v>
      </c>
      <c r="DY40" s="7"/>
      <c r="DZ40" s="8">
        <v>39</v>
      </c>
      <c r="EA40" s="27" t="s">
        <v>122</v>
      </c>
      <c r="EB40" s="10">
        <v>0</v>
      </c>
    </row>
    <row r="41" spans="9:132">
      <c r="I41" s="8">
        <v>39</v>
      </c>
      <c r="J41" s="27" t="s">
        <v>122</v>
      </c>
      <c r="K41" s="93"/>
      <c r="L41">
        <f t="shared" si="1"/>
        <v>5173</v>
      </c>
      <c r="M41">
        <f>_xlfn.IFNA(VLOOKUP(J41,[1]Sheet1!B:E,4,FALSE),"NOT FOUND")</f>
        <v>6000</v>
      </c>
      <c r="N41" t="b">
        <f t="shared" si="2"/>
        <v>0</v>
      </c>
      <c r="AO41" s="91"/>
      <c r="AQ41" t="s">
        <v>130</v>
      </c>
      <c r="AR41" s="16">
        <v>24000</v>
      </c>
      <c r="DH41" s="3" t="s">
        <v>128</v>
      </c>
      <c r="DI41" s="4" t="s">
        <v>289</v>
      </c>
      <c r="DK41" s="14"/>
      <c r="DL41" s="15"/>
      <c r="DP41" t="s">
        <v>101</v>
      </c>
      <c r="DQ41">
        <v>31</v>
      </c>
      <c r="DS41" t="s">
        <v>129</v>
      </c>
      <c r="DT41" s="7">
        <v>34000</v>
      </c>
      <c r="DV41">
        <v>40</v>
      </c>
      <c r="DW41" t="s">
        <v>130</v>
      </c>
      <c r="DX41" s="7">
        <v>34000</v>
      </c>
      <c r="DY41" s="7"/>
      <c r="DZ41" s="8">
        <v>40</v>
      </c>
      <c r="EA41" s="27" t="s">
        <v>125</v>
      </c>
      <c r="EB41" s="10">
        <v>0</v>
      </c>
    </row>
    <row r="42" spans="9:132">
      <c r="I42" s="8">
        <v>40</v>
      </c>
      <c r="J42" s="27" t="s">
        <v>125</v>
      </c>
      <c r="K42" s="93"/>
      <c r="L42">
        <f t="shared" si="1"/>
        <v>5173</v>
      </c>
      <c r="M42">
        <f>_xlfn.IFNA(VLOOKUP(J42,[1]Sheet1!B:E,4,FALSE),"NOT FOUND")</f>
        <v>6000</v>
      </c>
      <c r="N42" t="b">
        <f t="shared" si="2"/>
        <v>0</v>
      </c>
      <c r="AO42" s="91"/>
      <c r="AQ42" t="s">
        <v>133</v>
      </c>
      <c r="AR42" s="16">
        <v>3000</v>
      </c>
      <c r="DH42" s="3" t="s">
        <v>131</v>
      </c>
      <c r="DI42" s="4" t="s">
        <v>289</v>
      </c>
      <c r="DK42" s="14"/>
      <c r="DL42" s="15"/>
      <c r="DP42" t="s">
        <v>103</v>
      </c>
      <c r="DQ42">
        <v>32</v>
      </c>
      <c r="DS42" t="s">
        <v>132</v>
      </c>
      <c r="DT42" s="7">
        <v>3000</v>
      </c>
      <c r="DV42">
        <v>41</v>
      </c>
      <c r="DW42" t="s">
        <v>133</v>
      </c>
      <c r="DX42" s="7">
        <v>3000</v>
      </c>
      <c r="DY42" s="7"/>
      <c r="DZ42" s="8">
        <v>41</v>
      </c>
      <c r="EA42" s="27" t="s">
        <v>128</v>
      </c>
      <c r="EB42" s="10">
        <v>0</v>
      </c>
    </row>
    <row r="43" spans="9:132">
      <c r="I43" s="8">
        <v>41</v>
      </c>
      <c r="J43" s="27" t="s">
        <v>128</v>
      </c>
      <c r="K43" s="93"/>
      <c r="L43">
        <f t="shared" si="1"/>
        <v>5173</v>
      </c>
      <c r="M43">
        <f>_xlfn.IFNA(VLOOKUP(J43,[1]Sheet1!B:E,4,FALSE),"NOT FOUND")</f>
        <v>6000</v>
      </c>
      <c r="N43" t="b">
        <f t="shared" si="2"/>
        <v>0</v>
      </c>
      <c r="DH43" s="3" t="s">
        <v>134</v>
      </c>
      <c r="DI43" s="4" t="s">
        <v>289</v>
      </c>
      <c r="DK43" s="14"/>
      <c r="DL43" s="15"/>
      <c r="DP43" t="s">
        <v>106</v>
      </c>
      <c r="DQ43">
        <v>33</v>
      </c>
      <c r="DS43" t="s">
        <v>317</v>
      </c>
      <c r="DT43" s="7">
        <v>21536.61</v>
      </c>
      <c r="DX43" s="7">
        <v>21536.61</v>
      </c>
      <c r="DZ43" s="8">
        <v>42</v>
      </c>
      <c r="EA43" s="27" t="s">
        <v>131</v>
      </c>
      <c r="EB43" s="10">
        <v>0</v>
      </c>
    </row>
    <row r="44" spans="9:132">
      <c r="I44" s="8">
        <v>42</v>
      </c>
      <c r="J44" s="27" t="s">
        <v>131</v>
      </c>
      <c r="K44" s="93"/>
      <c r="L44">
        <f t="shared" si="1"/>
        <v>5173</v>
      </c>
      <c r="M44">
        <f>_xlfn.IFNA(VLOOKUP(J44,[1]Sheet1!B:E,4,FALSE),"NOT FOUND")</f>
        <v>6000</v>
      </c>
      <c r="N44" t="b">
        <f t="shared" si="2"/>
        <v>0</v>
      </c>
      <c r="DH44" s="3" t="s">
        <v>135</v>
      </c>
      <c r="DI44" s="4" t="s">
        <v>289</v>
      </c>
      <c r="DK44" s="14"/>
      <c r="DL44" s="15"/>
      <c r="DP44" t="s">
        <v>110</v>
      </c>
      <c r="DQ44">
        <v>34</v>
      </c>
      <c r="DS44" t="s">
        <v>337</v>
      </c>
      <c r="DT44" s="7">
        <v>2403.8200000000002</v>
      </c>
      <c r="DX44" s="7">
        <v>2403.8200000000002</v>
      </c>
      <c r="DZ44" s="8">
        <v>43</v>
      </c>
      <c r="EA44" s="27" t="s">
        <v>134</v>
      </c>
      <c r="EB44" s="10">
        <v>0</v>
      </c>
    </row>
    <row r="45" spans="9:132">
      <c r="I45" s="8">
        <v>43</v>
      </c>
      <c r="J45" s="27" t="s">
        <v>134</v>
      </c>
      <c r="K45" s="93"/>
      <c r="L45">
        <f t="shared" si="1"/>
        <v>5173</v>
      </c>
      <c r="M45">
        <f>_xlfn.IFNA(VLOOKUP(J45,[1]Sheet1!B:E,4,FALSE),"NOT FOUND")</f>
        <v>6000</v>
      </c>
      <c r="N45" t="b">
        <f t="shared" si="2"/>
        <v>0</v>
      </c>
      <c r="DH45" s="3" t="s">
        <v>136</v>
      </c>
      <c r="DI45" s="4" t="s">
        <v>290</v>
      </c>
      <c r="DK45" s="14"/>
      <c r="DL45" s="15"/>
      <c r="DP45" t="s">
        <v>114</v>
      </c>
      <c r="DQ45">
        <v>35</v>
      </c>
      <c r="DZ45" s="8">
        <v>44</v>
      </c>
      <c r="EA45" s="27" t="s">
        <v>135</v>
      </c>
      <c r="EB45" s="10">
        <v>0</v>
      </c>
    </row>
    <row r="46" spans="9:132">
      <c r="I46" s="8">
        <v>44</v>
      </c>
      <c r="J46" s="27" t="s">
        <v>135</v>
      </c>
      <c r="K46" s="93"/>
      <c r="L46">
        <f t="shared" si="1"/>
        <v>5173</v>
      </c>
      <c r="M46">
        <f>_xlfn.IFNA(VLOOKUP(J46,[1]Sheet1!B:E,4,FALSE),"NOT FOUND")</f>
        <v>6000</v>
      </c>
      <c r="N46" t="b">
        <f t="shared" si="2"/>
        <v>0</v>
      </c>
      <c r="DH46" s="3" t="s">
        <v>137</v>
      </c>
      <c r="DI46" s="4" t="s">
        <v>290</v>
      </c>
      <c r="DK46" s="14"/>
      <c r="DL46" s="15"/>
      <c r="DP46" t="s">
        <v>118</v>
      </c>
      <c r="DQ46">
        <v>36</v>
      </c>
      <c r="DZ46" s="8">
        <v>45</v>
      </c>
      <c r="EA46" s="27" t="s">
        <v>136</v>
      </c>
      <c r="EB46" s="10">
        <v>0</v>
      </c>
    </row>
    <row r="47" spans="9:132">
      <c r="I47" s="8">
        <v>45</v>
      </c>
      <c r="J47" s="27" t="s">
        <v>136</v>
      </c>
      <c r="K47" s="93"/>
      <c r="L47">
        <f t="shared" si="1"/>
        <v>5173</v>
      </c>
      <c r="M47">
        <f>_xlfn.IFNA(VLOOKUP(J47,[1]Sheet1!B:E,4,FALSE),"NOT FOUND")</f>
        <v>6000</v>
      </c>
      <c r="N47" t="b">
        <f t="shared" si="2"/>
        <v>0</v>
      </c>
      <c r="DH47" s="3" t="s">
        <v>138</v>
      </c>
      <c r="DI47" s="4" t="s">
        <v>290</v>
      </c>
      <c r="DK47" s="14"/>
      <c r="DL47" s="15"/>
      <c r="DP47" t="s">
        <v>121</v>
      </c>
      <c r="DQ47">
        <v>37</v>
      </c>
      <c r="DZ47" s="8">
        <v>46</v>
      </c>
      <c r="EA47" s="27" t="s">
        <v>137</v>
      </c>
      <c r="EB47" s="10">
        <v>0</v>
      </c>
    </row>
    <row r="48" spans="9:132">
      <c r="I48" s="8">
        <v>46</v>
      </c>
      <c r="J48" s="27" t="s">
        <v>137</v>
      </c>
      <c r="K48" s="93"/>
      <c r="L48">
        <f t="shared" si="1"/>
        <v>5173</v>
      </c>
      <c r="M48">
        <f>_xlfn.IFNA(VLOOKUP(J48,[1]Sheet1!B:E,4,FALSE),"NOT FOUND")</f>
        <v>6000</v>
      </c>
      <c r="N48" t="b">
        <f t="shared" si="2"/>
        <v>0</v>
      </c>
      <c r="DH48" s="3" t="s">
        <v>139</v>
      </c>
      <c r="DI48" s="11" t="s">
        <v>290</v>
      </c>
      <c r="DK48" s="14"/>
      <c r="DL48" s="15"/>
      <c r="DP48" t="s">
        <v>124</v>
      </c>
      <c r="DQ48">
        <v>38</v>
      </c>
      <c r="DZ48" s="8">
        <v>47</v>
      </c>
      <c r="EA48" s="27" t="s">
        <v>138</v>
      </c>
      <c r="EB48" s="10">
        <v>0</v>
      </c>
    </row>
    <row r="49" spans="9:132">
      <c r="I49" s="8">
        <v>47</v>
      </c>
      <c r="J49" s="27" t="s">
        <v>138</v>
      </c>
      <c r="K49" s="93"/>
      <c r="L49">
        <f t="shared" si="1"/>
        <v>5173</v>
      </c>
      <c r="M49">
        <f>_xlfn.IFNA(VLOOKUP(J49,[1]Sheet1!B:E,4,FALSE),"NOT FOUND")</f>
        <v>6000</v>
      </c>
      <c r="N49" t="b">
        <f t="shared" si="2"/>
        <v>0</v>
      </c>
      <c r="DH49" s="3" t="s">
        <v>140</v>
      </c>
      <c r="DI49" s="4" t="s">
        <v>291</v>
      </c>
      <c r="DK49" s="14"/>
      <c r="DL49" s="15"/>
      <c r="DP49" t="s">
        <v>127</v>
      </c>
      <c r="DQ49">
        <v>39</v>
      </c>
      <c r="DZ49" s="8">
        <v>48</v>
      </c>
      <c r="EA49" s="27" t="s">
        <v>139</v>
      </c>
      <c r="EB49" s="10">
        <v>0</v>
      </c>
    </row>
    <row r="50" spans="9:132">
      <c r="I50" s="8">
        <v>48</v>
      </c>
      <c r="J50" s="27" t="s">
        <v>139</v>
      </c>
      <c r="K50" s="93"/>
      <c r="L50">
        <f t="shared" si="1"/>
        <v>5173</v>
      </c>
      <c r="M50">
        <f>_xlfn.IFNA(VLOOKUP(J50,[1]Sheet1!B:E,4,FALSE),"NOT FOUND")</f>
        <v>6000</v>
      </c>
      <c r="N50" t="b">
        <f t="shared" si="2"/>
        <v>0</v>
      </c>
      <c r="Q50" s="28"/>
      <c r="DH50" s="3" t="s">
        <v>141</v>
      </c>
      <c r="DI50" s="4" t="s">
        <v>291</v>
      </c>
      <c r="DK50" s="14"/>
      <c r="DL50" s="15"/>
      <c r="DP50" t="s">
        <v>130</v>
      </c>
      <c r="DQ50">
        <v>40</v>
      </c>
      <c r="DZ50" s="8">
        <v>49</v>
      </c>
      <c r="EA50" s="27" t="s">
        <v>140</v>
      </c>
      <c r="EB50" s="10">
        <v>0</v>
      </c>
    </row>
    <row r="51" spans="9:132">
      <c r="I51" s="8">
        <v>49</v>
      </c>
      <c r="J51" s="27" t="s">
        <v>140</v>
      </c>
      <c r="K51" s="93"/>
      <c r="L51">
        <f t="shared" si="1"/>
        <v>5173</v>
      </c>
      <c r="M51">
        <f>_xlfn.IFNA(VLOOKUP(J51,[1]Sheet1!B:E,4,FALSE),"NOT FOUND")</f>
        <v>6000</v>
      </c>
      <c r="N51" t="b">
        <f t="shared" si="2"/>
        <v>0</v>
      </c>
      <c r="Q51" s="28"/>
      <c r="DH51" s="4" t="s">
        <v>142</v>
      </c>
      <c r="DI51" s="4" t="s">
        <v>291</v>
      </c>
      <c r="DK51" s="14"/>
      <c r="DL51" s="15"/>
      <c r="DP51" t="s">
        <v>133</v>
      </c>
      <c r="DQ51">
        <v>41</v>
      </c>
      <c r="DZ51" s="8">
        <v>50</v>
      </c>
      <c r="EA51" s="27" t="s">
        <v>141</v>
      </c>
      <c r="EB51" s="10">
        <v>0</v>
      </c>
    </row>
    <row r="52" spans="9:132">
      <c r="I52" s="8">
        <v>50</v>
      </c>
      <c r="J52" s="27" t="s">
        <v>141</v>
      </c>
      <c r="K52" s="93"/>
      <c r="L52">
        <f t="shared" si="1"/>
        <v>5173</v>
      </c>
      <c r="M52">
        <f>_xlfn.IFNA(VLOOKUP(J52,[1]Sheet1!B:E,4,FALSE),"NOT FOUND")</f>
        <v>6000</v>
      </c>
      <c r="N52" t="b">
        <f t="shared" si="2"/>
        <v>0</v>
      </c>
      <c r="Q52" s="28"/>
      <c r="DH52" s="4" t="s">
        <v>143</v>
      </c>
      <c r="DI52" s="4" t="s">
        <v>291</v>
      </c>
      <c r="DK52" s="14"/>
      <c r="DL52" s="15"/>
      <c r="DP52" t="s">
        <v>14</v>
      </c>
      <c r="DZ52" s="8">
        <v>51</v>
      </c>
      <c r="EA52" s="27" t="s">
        <v>142</v>
      </c>
      <c r="EB52" s="10">
        <v>0</v>
      </c>
    </row>
    <row r="53" spans="9:132">
      <c r="I53" s="8">
        <v>51</v>
      </c>
      <c r="J53" s="27" t="s">
        <v>142</v>
      </c>
      <c r="K53" s="93"/>
      <c r="L53">
        <f t="shared" si="1"/>
        <v>5173</v>
      </c>
      <c r="M53">
        <f>_xlfn.IFNA(VLOOKUP(J53,[1]Sheet1!B:E,4,FALSE),"NOT FOUND")</f>
        <v>6000</v>
      </c>
      <c r="N53" t="b">
        <f t="shared" si="2"/>
        <v>0</v>
      </c>
      <c r="Q53" s="28"/>
      <c r="DH53" s="4" t="s">
        <v>144</v>
      </c>
      <c r="DI53" s="11" t="s">
        <v>292</v>
      </c>
      <c r="DK53" s="14"/>
      <c r="DL53" s="15"/>
      <c r="DZ53" s="8">
        <v>52</v>
      </c>
      <c r="EA53" s="27" t="s">
        <v>143</v>
      </c>
      <c r="EB53" s="10">
        <v>0</v>
      </c>
    </row>
    <row r="54" spans="9:132">
      <c r="I54" s="8">
        <v>52</v>
      </c>
      <c r="J54" s="27" t="s">
        <v>143</v>
      </c>
      <c r="K54" s="93"/>
      <c r="L54">
        <f t="shared" si="1"/>
        <v>5173</v>
      </c>
      <c r="M54">
        <f>_xlfn.IFNA(VLOOKUP(J54,[1]Sheet1!B:E,4,FALSE),"NOT FOUND")</f>
        <v>6000</v>
      </c>
      <c r="N54" t="b">
        <f t="shared" si="2"/>
        <v>0</v>
      </c>
      <c r="Q54" s="28"/>
      <c r="DH54" s="4" t="s">
        <v>145</v>
      </c>
      <c r="DI54" s="4" t="s">
        <v>292</v>
      </c>
      <c r="DK54" s="14"/>
      <c r="DL54" s="15"/>
      <c r="DZ54" s="8">
        <v>53</v>
      </c>
      <c r="EA54" s="27" t="s">
        <v>144</v>
      </c>
      <c r="EB54" s="10">
        <v>0</v>
      </c>
    </row>
    <row r="55" spans="9:132">
      <c r="I55" s="8">
        <v>53</v>
      </c>
      <c r="J55" s="27" t="s">
        <v>144</v>
      </c>
      <c r="K55" s="93"/>
      <c r="L55">
        <f t="shared" si="1"/>
        <v>5173</v>
      </c>
      <c r="M55">
        <f>_xlfn.IFNA(VLOOKUP(J55,[1]Sheet1!B:E,4,FALSE),"NOT FOUND")</f>
        <v>6000</v>
      </c>
      <c r="N55" t="b">
        <f t="shared" si="2"/>
        <v>0</v>
      </c>
      <c r="Q55" s="28"/>
      <c r="DH55" s="4" t="s">
        <v>146</v>
      </c>
      <c r="DI55" s="4" t="s">
        <v>292</v>
      </c>
      <c r="DK55" s="14"/>
      <c r="DL55" s="17"/>
      <c r="DZ55" s="8">
        <v>54</v>
      </c>
      <c r="EA55" s="27" t="s">
        <v>145</v>
      </c>
      <c r="EB55" s="10">
        <v>0</v>
      </c>
    </row>
    <row r="56" spans="9:132">
      <c r="I56" s="8">
        <v>54</v>
      </c>
      <c r="J56" s="27" t="s">
        <v>145</v>
      </c>
      <c r="K56" s="93"/>
      <c r="L56">
        <f t="shared" si="1"/>
        <v>5173</v>
      </c>
      <c r="M56">
        <f>_xlfn.IFNA(VLOOKUP(J56,[1]Sheet1!B:E,4,FALSE),"NOT FOUND")</f>
        <v>6000</v>
      </c>
      <c r="N56" t="b">
        <f t="shared" si="2"/>
        <v>0</v>
      </c>
      <c r="Q56" s="28"/>
      <c r="DH56" s="4" t="s">
        <v>147</v>
      </c>
      <c r="DI56" s="4" t="s">
        <v>292</v>
      </c>
      <c r="DK56" s="14"/>
      <c r="DL56" s="15"/>
      <c r="DZ56" s="8">
        <v>55</v>
      </c>
      <c r="EA56" s="27" t="s">
        <v>146</v>
      </c>
      <c r="EB56" s="10">
        <v>0</v>
      </c>
    </row>
    <row r="57" spans="9:132">
      <c r="I57" s="8">
        <v>55</v>
      </c>
      <c r="J57" s="27" t="s">
        <v>146</v>
      </c>
      <c r="K57" s="93"/>
      <c r="L57">
        <f t="shared" si="1"/>
        <v>5173</v>
      </c>
      <c r="M57">
        <f>_xlfn.IFNA(VLOOKUP(J57,[1]Sheet1!B:E,4,FALSE),"NOT FOUND")</f>
        <v>6000</v>
      </c>
      <c r="N57" t="b">
        <f t="shared" si="2"/>
        <v>0</v>
      </c>
      <c r="Q57" s="28"/>
      <c r="DH57" s="4" t="s">
        <v>148</v>
      </c>
      <c r="DI57" s="4" t="s">
        <v>293</v>
      </c>
      <c r="DK57" s="14"/>
      <c r="DL57" s="15"/>
      <c r="DZ57" s="8">
        <v>56</v>
      </c>
      <c r="EA57" s="27" t="s">
        <v>147</v>
      </c>
      <c r="EB57" s="10">
        <v>0</v>
      </c>
    </row>
    <row r="58" spans="9:132">
      <c r="I58" s="8">
        <v>56</v>
      </c>
      <c r="J58" s="27" t="s">
        <v>147</v>
      </c>
      <c r="K58" s="93"/>
      <c r="L58">
        <f t="shared" si="1"/>
        <v>5173</v>
      </c>
      <c r="M58">
        <f>_xlfn.IFNA(VLOOKUP(J58,[1]Sheet1!B:E,4,FALSE),"NOT FOUND")</f>
        <v>6000</v>
      </c>
      <c r="N58" t="b">
        <f t="shared" si="2"/>
        <v>0</v>
      </c>
      <c r="Q58" s="28"/>
      <c r="DH58" s="4" t="s">
        <v>149</v>
      </c>
      <c r="DI58" s="4" t="s">
        <v>293</v>
      </c>
      <c r="DZ58" s="8">
        <v>57</v>
      </c>
      <c r="EA58" s="27" t="s">
        <v>148</v>
      </c>
      <c r="EB58" s="10">
        <v>0</v>
      </c>
    </row>
    <row r="59" spans="9:132">
      <c r="I59" s="8">
        <v>57</v>
      </c>
      <c r="J59" s="27" t="s">
        <v>148</v>
      </c>
      <c r="K59" s="93"/>
      <c r="L59">
        <f t="shared" si="1"/>
        <v>5173</v>
      </c>
      <c r="M59">
        <f>_xlfn.IFNA(VLOOKUP(J59,[1]Sheet1!B:E,4,FALSE),"NOT FOUND")</f>
        <v>6000</v>
      </c>
      <c r="N59" t="b">
        <f t="shared" si="2"/>
        <v>0</v>
      </c>
      <c r="Q59" s="28"/>
      <c r="DH59" s="4" t="s">
        <v>150</v>
      </c>
      <c r="DI59" s="4" t="s">
        <v>293</v>
      </c>
      <c r="DZ59" s="8">
        <v>58</v>
      </c>
      <c r="EA59" s="27" t="s">
        <v>149</v>
      </c>
      <c r="EB59" s="10">
        <v>0</v>
      </c>
    </row>
    <row r="60" spans="9:132">
      <c r="I60" s="8">
        <v>58</v>
      </c>
      <c r="J60" s="27" t="s">
        <v>149</v>
      </c>
      <c r="K60" s="93"/>
      <c r="L60">
        <f t="shared" si="1"/>
        <v>5173</v>
      </c>
      <c r="M60">
        <f>_xlfn.IFNA(VLOOKUP(J60,[1]Sheet1!B:E,4,FALSE),"NOT FOUND")</f>
        <v>6000</v>
      </c>
      <c r="N60" t="b">
        <f t="shared" si="2"/>
        <v>0</v>
      </c>
      <c r="Q60" s="28"/>
      <c r="DH60" s="4" t="s">
        <v>151</v>
      </c>
      <c r="DI60" s="4" t="s">
        <v>293</v>
      </c>
      <c r="DZ60" s="8">
        <v>59</v>
      </c>
      <c r="EA60" s="27" t="s">
        <v>150</v>
      </c>
      <c r="EB60" s="10">
        <v>0</v>
      </c>
    </row>
    <row r="61" spans="9:132">
      <c r="I61" s="8">
        <v>59</v>
      </c>
      <c r="J61" s="27" t="s">
        <v>150</v>
      </c>
      <c r="K61" s="93"/>
      <c r="L61">
        <f t="shared" si="1"/>
        <v>5173</v>
      </c>
      <c r="M61">
        <f>_xlfn.IFNA(VLOOKUP(J61,[1]Sheet1!B:E,4,FALSE),"NOT FOUND")</f>
        <v>6000</v>
      </c>
      <c r="N61" t="b">
        <f t="shared" si="2"/>
        <v>0</v>
      </c>
      <c r="Q61" s="28"/>
      <c r="DH61" s="4" t="s">
        <v>31</v>
      </c>
      <c r="DI61" s="4" t="s">
        <v>294</v>
      </c>
      <c r="DZ61" s="8">
        <v>60</v>
      </c>
      <c r="EA61" s="27" t="s">
        <v>151</v>
      </c>
      <c r="EB61" s="10">
        <v>0</v>
      </c>
    </row>
    <row r="62" spans="9:132">
      <c r="I62" s="8">
        <v>60</v>
      </c>
      <c r="J62" s="27" t="s">
        <v>151</v>
      </c>
      <c r="K62" s="94"/>
      <c r="L62">
        <f t="shared" si="1"/>
        <v>5173</v>
      </c>
      <c r="M62">
        <f>_xlfn.IFNA(VLOOKUP(J62,[1]Sheet1!B:E,4,FALSE),"NOT FOUND")</f>
        <v>6000</v>
      </c>
      <c r="N62" t="b">
        <f t="shared" si="2"/>
        <v>0</v>
      </c>
      <c r="Q62" s="28"/>
      <c r="DH62" s="4" t="s">
        <v>152</v>
      </c>
      <c r="DI62" s="4" t="s">
        <v>294</v>
      </c>
      <c r="DZ62" s="8">
        <v>61</v>
      </c>
      <c r="EA62" s="29" t="s">
        <v>31</v>
      </c>
      <c r="EB62" s="10">
        <v>4000</v>
      </c>
    </row>
    <row r="63" spans="9:132">
      <c r="I63" s="8">
        <v>61</v>
      </c>
      <c r="J63" s="29" t="s">
        <v>31</v>
      </c>
      <c r="K63" s="92">
        <v>3431.8</v>
      </c>
      <c r="L63">
        <f t="shared" si="1"/>
        <v>3431.8</v>
      </c>
      <c r="M63">
        <f>_xlfn.IFNA(VLOOKUP(J63,[1]Sheet1!B:E,4,FALSE),"NOT FOUND")</f>
        <v>3679.7200000000003</v>
      </c>
      <c r="N63" t="b">
        <f t="shared" si="2"/>
        <v>0</v>
      </c>
      <c r="Q63" s="28"/>
      <c r="DH63" s="4" t="s">
        <v>153</v>
      </c>
      <c r="DI63" s="4" t="s">
        <v>294</v>
      </c>
      <c r="DZ63" s="8">
        <v>62</v>
      </c>
      <c r="EA63" s="29" t="s">
        <v>152</v>
      </c>
      <c r="EB63" s="10">
        <v>0</v>
      </c>
    </row>
    <row r="64" spans="9:132">
      <c r="I64" s="8">
        <v>62</v>
      </c>
      <c r="J64" s="29" t="s">
        <v>152</v>
      </c>
      <c r="K64" s="93"/>
      <c r="L64">
        <f t="shared" si="1"/>
        <v>3431.8</v>
      </c>
      <c r="M64">
        <f>_xlfn.IFNA(VLOOKUP(J64,[1]Sheet1!B:E,4,FALSE),"NOT FOUND")</f>
        <v>3679.7200000000003</v>
      </c>
      <c r="N64" t="b">
        <f t="shared" si="2"/>
        <v>0</v>
      </c>
      <c r="Q64" s="28"/>
      <c r="DH64" s="4" t="s">
        <v>154</v>
      </c>
      <c r="DI64" s="4" t="s">
        <v>294</v>
      </c>
      <c r="DZ64" s="8">
        <v>63</v>
      </c>
      <c r="EA64" s="29" t="s">
        <v>153</v>
      </c>
      <c r="EB64" s="10">
        <v>0</v>
      </c>
    </row>
    <row r="65" spans="9:132">
      <c r="I65" s="8">
        <v>63</v>
      </c>
      <c r="J65" s="29" t="s">
        <v>153</v>
      </c>
      <c r="K65" s="93"/>
      <c r="L65">
        <f t="shared" si="1"/>
        <v>3431.8</v>
      </c>
      <c r="M65">
        <f>_xlfn.IFNA(VLOOKUP(J65,[1]Sheet1!B:E,4,FALSE),"NOT FOUND")</f>
        <v>3679.7200000000003</v>
      </c>
      <c r="N65" t="b">
        <f t="shared" si="2"/>
        <v>0</v>
      </c>
      <c r="Q65" s="28"/>
      <c r="DH65" s="4" t="s">
        <v>35</v>
      </c>
      <c r="DI65" s="4" t="s">
        <v>295</v>
      </c>
      <c r="DZ65" s="8">
        <v>64</v>
      </c>
      <c r="EA65" s="29" t="s">
        <v>154</v>
      </c>
      <c r="EB65" s="10">
        <v>0</v>
      </c>
    </row>
    <row r="66" spans="9:132">
      <c r="I66" s="8">
        <v>64</v>
      </c>
      <c r="J66" s="29" t="s">
        <v>154</v>
      </c>
      <c r="K66" s="94"/>
      <c r="L66">
        <f t="shared" si="1"/>
        <v>3431.8</v>
      </c>
      <c r="M66">
        <f>_xlfn.IFNA(VLOOKUP(J66,[1]Sheet1!B:E,4,FALSE),"NOT FOUND")</f>
        <v>3679.7200000000003</v>
      </c>
      <c r="N66" t="b">
        <f t="shared" si="2"/>
        <v>0</v>
      </c>
      <c r="Q66" s="28"/>
      <c r="DH66" s="4" t="s">
        <v>155</v>
      </c>
      <c r="DI66" s="4" t="s">
        <v>295</v>
      </c>
      <c r="DZ66" s="8">
        <v>65</v>
      </c>
      <c r="EA66" s="30" t="s">
        <v>35</v>
      </c>
      <c r="EB66" s="10">
        <v>22000</v>
      </c>
    </row>
    <row r="67" spans="9:132">
      <c r="I67" s="8">
        <v>65</v>
      </c>
      <c r="J67" s="30" t="s">
        <v>35</v>
      </c>
      <c r="K67" s="92">
        <v>10096.219999999999</v>
      </c>
      <c r="L67">
        <f t="shared" si="1"/>
        <v>10096.219999999999</v>
      </c>
      <c r="M67">
        <f>_xlfn.IFNA(VLOOKUP(J67,[1]Sheet1!B:E,4,FALSE),"NOT FOUND")</f>
        <v>5623.8399999999992</v>
      </c>
      <c r="N67" t="b">
        <f t="shared" si="2"/>
        <v>0</v>
      </c>
      <c r="Q67" s="28"/>
      <c r="DH67" s="4" t="s">
        <v>156</v>
      </c>
      <c r="DI67" s="4" t="s">
        <v>295</v>
      </c>
      <c r="DZ67" s="8">
        <v>66</v>
      </c>
      <c r="EA67" s="30" t="s">
        <v>155</v>
      </c>
      <c r="EB67" s="10">
        <v>0</v>
      </c>
    </row>
    <row r="68" spans="9:132">
      <c r="I68" s="8">
        <v>66</v>
      </c>
      <c r="J68" s="30" t="s">
        <v>155</v>
      </c>
      <c r="K68" s="93"/>
      <c r="L68">
        <f t="shared" ref="L68:L131" si="5">IF(K68="",L67,K68)</f>
        <v>10096.219999999999</v>
      </c>
      <c r="M68">
        <f>_xlfn.IFNA(VLOOKUP(J68,[1]Sheet1!B:E,4,FALSE),"NOT FOUND")</f>
        <v>5623.8399999999992</v>
      </c>
      <c r="N68" t="b">
        <f t="shared" ref="N68:N131" si="6">M68=L68</f>
        <v>0</v>
      </c>
      <c r="Q68" s="28"/>
      <c r="DH68" s="4" t="s">
        <v>157</v>
      </c>
      <c r="DI68" s="4" t="s">
        <v>295</v>
      </c>
      <c r="DZ68" s="8">
        <v>67</v>
      </c>
      <c r="EA68" s="30" t="s">
        <v>156</v>
      </c>
      <c r="EB68" s="10">
        <v>0</v>
      </c>
    </row>
    <row r="69" spans="9:132">
      <c r="I69" s="8">
        <v>67</v>
      </c>
      <c r="J69" s="30" t="s">
        <v>156</v>
      </c>
      <c r="K69" s="93"/>
      <c r="L69">
        <f t="shared" si="5"/>
        <v>10096.219999999999</v>
      </c>
      <c r="M69">
        <f>_xlfn.IFNA(VLOOKUP(J69,[1]Sheet1!B:E,4,FALSE),"NOT FOUND")</f>
        <v>5623.8399999999992</v>
      </c>
      <c r="N69" t="b">
        <f t="shared" si="6"/>
        <v>0</v>
      </c>
      <c r="Q69" s="28"/>
      <c r="DH69" s="4" t="s">
        <v>39</v>
      </c>
      <c r="DI69" s="4" t="s">
        <v>158</v>
      </c>
      <c r="DZ69" s="8">
        <v>68</v>
      </c>
      <c r="EA69" s="30" t="s">
        <v>157</v>
      </c>
      <c r="EB69" s="10">
        <v>0</v>
      </c>
    </row>
    <row r="70" spans="9:132">
      <c r="I70" s="8">
        <v>68</v>
      </c>
      <c r="J70" s="30" t="s">
        <v>157</v>
      </c>
      <c r="K70" s="94"/>
      <c r="L70">
        <f t="shared" si="5"/>
        <v>10096.219999999999</v>
      </c>
      <c r="M70">
        <f>_xlfn.IFNA(VLOOKUP(J70,[1]Sheet1!B:E,4,FALSE),"NOT FOUND")</f>
        <v>5623.8399999999992</v>
      </c>
      <c r="N70" t="b">
        <f t="shared" si="6"/>
        <v>0</v>
      </c>
      <c r="Q70" s="28"/>
      <c r="DH70" s="4" t="s">
        <v>159</v>
      </c>
      <c r="DI70" s="4" t="s">
        <v>158</v>
      </c>
      <c r="DZ70" s="8">
        <v>69</v>
      </c>
      <c r="EA70" s="31" t="s">
        <v>39</v>
      </c>
      <c r="EB70" s="10">
        <v>300</v>
      </c>
    </row>
    <row r="71" spans="9:132">
      <c r="I71" s="8">
        <v>69</v>
      </c>
      <c r="J71" s="31" t="s">
        <v>39</v>
      </c>
      <c r="K71" s="92">
        <v>171.91</v>
      </c>
      <c r="L71">
        <f t="shared" si="5"/>
        <v>171.91</v>
      </c>
      <c r="M71">
        <f>_xlfn.IFNA(VLOOKUP(J71,[1]Sheet1!B:E,4,FALSE),"NOT FOUND")</f>
        <v>484.46</v>
      </c>
      <c r="N71" t="b">
        <f t="shared" si="6"/>
        <v>0</v>
      </c>
      <c r="Q71" s="28"/>
      <c r="DH71" s="4" t="s">
        <v>160</v>
      </c>
      <c r="DI71" s="4" t="s">
        <v>158</v>
      </c>
      <c r="DZ71" s="8">
        <v>70</v>
      </c>
      <c r="EA71" s="31" t="s">
        <v>159</v>
      </c>
      <c r="EB71" s="10">
        <v>0</v>
      </c>
    </row>
    <row r="72" spans="9:132">
      <c r="I72" s="8">
        <v>70</v>
      </c>
      <c r="J72" s="31" t="s">
        <v>159</v>
      </c>
      <c r="K72" s="93"/>
      <c r="L72">
        <f t="shared" si="5"/>
        <v>171.91</v>
      </c>
      <c r="M72">
        <f>_xlfn.IFNA(VLOOKUP(J72,[1]Sheet1!B:E,4,FALSE),"NOT FOUND")</f>
        <v>484.46</v>
      </c>
      <c r="N72" t="b">
        <f t="shared" si="6"/>
        <v>0</v>
      </c>
      <c r="Q72" s="28"/>
      <c r="DH72" s="4" t="s">
        <v>161</v>
      </c>
      <c r="DI72" s="4" t="s">
        <v>158</v>
      </c>
      <c r="DZ72" s="8">
        <v>71</v>
      </c>
      <c r="EA72" s="31" t="s">
        <v>160</v>
      </c>
      <c r="EB72" s="10">
        <v>0</v>
      </c>
    </row>
    <row r="73" spans="9:132">
      <c r="I73" s="8">
        <v>71</v>
      </c>
      <c r="J73" s="31" t="s">
        <v>160</v>
      </c>
      <c r="K73" s="93"/>
      <c r="L73">
        <f t="shared" si="5"/>
        <v>171.91</v>
      </c>
      <c r="M73">
        <f>_xlfn.IFNA(VLOOKUP(J73,[1]Sheet1!B:E,4,FALSE),"NOT FOUND")</f>
        <v>484.46</v>
      </c>
      <c r="N73" t="b">
        <f t="shared" si="6"/>
        <v>0</v>
      </c>
      <c r="Q73" s="28"/>
      <c r="DH73" s="4" t="s">
        <v>42</v>
      </c>
      <c r="DI73" s="4" t="s">
        <v>272</v>
      </c>
      <c r="DZ73" s="8">
        <v>72</v>
      </c>
      <c r="EA73" s="31" t="s">
        <v>161</v>
      </c>
      <c r="EB73" s="10">
        <v>0</v>
      </c>
    </row>
    <row r="74" spans="9:132">
      <c r="I74" s="8">
        <v>72</v>
      </c>
      <c r="J74" s="31" t="s">
        <v>161</v>
      </c>
      <c r="K74" s="94"/>
      <c r="L74">
        <f t="shared" si="5"/>
        <v>171.91</v>
      </c>
      <c r="M74">
        <f>_xlfn.IFNA(VLOOKUP(J74,[1]Sheet1!B:E,4,FALSE),"NOT FOUND")</f>
        <v>20.09</v>
      </c>
      <c r="N74" t="b">
        <f t="shared" si="6"/>
        <v>0</v>
      </c>
      <c r="Q74" s="28"/>
      <c r="DH74" s="4" t="s">
        <v>162</v>
      </c>
      <c r="DI74" s="4" t="s">
        <v>272</v>
      </c>
      <c r="DZ74" s="8">
        <v>73</v>
      </c>
      <c r="EA74" s="32" t="s">
        <v>42</v>
      </c>
      <c r="EB74" s="10">
        <v>60000</v>
      </c>
    </row>
    <row r="75" spans="9:132">
      <c r="I75" s="8">
        <v>73</v>
      </c>
      <c r="J75" s="32" t="s">
        <v>42</v>
      </c>
      <c r="K75" s="92">
        <v>36190</v>
      </c>
      <c r="L75">
        <f t="shared" si="5"/>
        <v>36190</v>
      </c>
      <c r="M75">
        <f>_xlfn.IFNA(VLOOKUP(J75,[1]Sheet1!B:E,4,FALSE),"NOT FOUND")</f>
        <v>37855.17</v>
      </c>
      <c r="N75" t="b">
        <f t="shared" si="6"/>
        <v>0</v>
      </c>
      <c r="Q75" s="28"/>
      <c r="DH75" s="4" t="s">
        <v>163</v>
      </c>
      <c r="DI75" s="4" t="s">
        <v>272</v>
      </c>
      <c r="DZ75" s="8">
        <v>74</v>
      </c>
      <c r="EA75" s="32" t="s">
        <v>162</v>
      </c>
      <c r="EB75" s="10">
        <v>0</v>
      </c>
    </row>
    <row r="76" spans="9:132">
      <c r="I76" s="8">
        <v>74</v>
      </c>
      <c r="J76" s="32" t="s">
        <v>162</v>
      </c>
      <c r="K76" s="93"/>
      <c r="L76">
        <f t="shared" si="5"/>
        <v>36190</v>
      </c>
      <c r="M76">
        <f>_xlfn.IFNA(VLOOKUP(J76,[1]Sheet1!B:E,4,FALSE),"NOT FOUND")</f>
        <v>37855.17</v>
      </c>
      <c r="N76" t="b">
        <f t="shared" si="6"/>
        <v>0</v>
      </c>
      <c r="Q76" s="28"/>
      <c r="DH76" s="4" t="s">
        <v>164</v>
      </c>
      <c r="DI76" s="4" t="s">
        <v>272</v>
      </c>
      <c r="DZ76" s="8">
        <v>75</v>
      </c>
      <c r="EA76" s="32" t="s">
        <v>163</v>
      </c>
      <c r="EB76" s="10">
        <v>0</v>
      </c>
    </row>
    <row r="77" spans="9:132">
      <c r="I77" s="8">
        <v>75</v>
      </c>
      <c r="J77" s="32" t="s">
        <v>163</v>
      </c>
      <c r="K77" s="93"/>
      <c r="L77">
        <f t="shared" si="5"/>
        <v>36190</v>
      </c>
      <c r="M77">
        <f>_xlfn.IFNA(VLOOKUP(J77,[1]Sheet1!B:E,4,FALSE),"NOT FOUND")</f>
        <v>37855.17</v>
      </c>
      <c r="N77" t="b">
        <f t="shared" si="6"/>
        <v>0</v>
      </c>
      <c r="Q77" s="28"/>
      <c r="DH77" s="4" t="s">
        <v>46</v>
      </c>
      <c r="DI77" s="4" t="s">
        <v>273</v>
      </c>
      <c r="DZ77" s="8">
        <v>76</v>
      </c>
      <c r="EA77" s="32" t="s">
        <v>164</v>
      </c>
      <c r="EB77" s="10">
        <v>0</v>
      </c>
    </row>
    <row r="78" spans="9:132">
      <c r="I78" s="8">
        <v>76</v>
      </c>
      <c r="J78" s="32" t="s">
        <v>164</v>
      </c>
      <c r="K78" s="94"/>
      <c r="L78">
        <f t="shared" si="5"/>
        <v>36190</v>
      </c>
      <c r="M78">
        <f>_xlfn.IFNA(VLOOKUP(J78,[1]Sheet1!B:E,4,FALSE),"NOT FOUND")</f>
        <v>37855.17</v>
      </c>
      <c r="N78" t="b">
        <f t="shared" si="6"/>
        <v>0</v>
      </c>
      <c r="Q78" s="28"/>
      <c r="DH78" s="4" t="s">
        <v>165</v>
      </c>
      <c r="DI78" s="4" t="s">
        <v>273</v>
      </c>
      <c r="DZ78" s="8">
        <v>77</v>
      </c>
      <c r="EA78" s="33" t="s">
        <v>46</v>
      </c>
      <c r="EB78" s="10">
        <v>800</v>
      </c>
    </row>
    <row r="79" spans="9:132">
      <c r="I79" s="8">
        <v>77</v>
      </c>
      <c r="J79" s="33" t="s">
        <v>46</v>
      </c>
      <c r="K79" s="92">
        <v>450</v>
      </c>
      <c r="L79">
        <f t="shared" si="5"/>
        <v>450</v>
      </c>
      <c r="M79">
        <f>_xlfn.IFNA(VLOOKUP(J79,[1]Sheet1!B:E,4,FALSE),"NOT FOUND")</f>
        <v>500</v>
      </c>
      <c r="N79" t="b">
        <f t="shared" si="6"/>
        <v>0</v>
      </c>
      <c r="Q79" s="28"/>
      <c r="DH79" s="4" t="s">
        <v>166</v>
      </c>
      <c r="DI79" s="4" t="s">
        <v>273</v>
      </c>
      <c r="DZ79" s="8">
        <v>78</v>
      </c>
      <c r="EA79" s="33" t="s">
        <v>165</v>
      </c>
      <c r="EB79" s="10">
        <v>0</v>
      </c>
    </row>
    <row r="80" spans="9:132">
      <c r="I80" s="8">
        <v>78</v>
      </c>
      <c r="J80" s="33" t="s">
        <v>165</v>
      </c>
      <c r="K80" s="93"/>
      <c r="L80">
        <f t="shared" si="5"/>
        <v>450</v>
      </c>
      <c r="M80">
        <f>_xlfn.IFNA(VLOOKUP(J80,[1]Sheet1!B:E,4,FALSE),"NOT FOUND")</f>
        <v>500</v>
      </c>
      <c r="N80" t="b">
        <f t="shared" si="6"/>
        <v>0</v>
      </c>
      <c r="Q80" s="28"/>
      <c r="DH80" s="4" t="s">
        <v>167</v>
      </c>
      <c r="DI80" s="4" t="s">
        <v>273</v>
      </c>
      <c r="DZ80" s="8">
        <v>79</v>
      </c>
      <c r="EA80" s="33" t="s">
        <v>166</v>
      </c>
      <c r="EB80" s="10">
        <v>0</v>
      </c>
    </row>
    <row r="81" spans="9:132">
      <c r="I81" s="8">
        <v>79</v>
      </c>
      <c r="J81" s="33" t="s">
        <v>166</v>
      </c>
      <c r="K81" s="93"/>
      <c r="L81">
        <f t="shared" si="5"/>
        <v>450</v>
      </c>
      <c r="M81">
        <f>_xlfn.IFNA(VLOOKUP(J81,[1]Sheet1!B:E,4,FALSE),"NOT FOUND")</f>
        <v>500</v>
      </c>
      <c r="N81" t="b">
        <f t="shared" si="6"/>
        <v>0</v>
      </c>
      <c r="Q81" s="28"/>
      <c r="DH81" s="4" t="s">
        <v>50</v>
      </c>
      <c r="DI81" s="4" t="s">
        <v>296</v>
      </c>
      <c r="DZ81" s="8">
        <v>80</v>
      </c>
      <c r="EA81" s="33" t="s">
        <v>167</v>
      </c>
      <c r="EB81" s="10">
        <v>0</v>
      </c>
    </row>
    <row r="82" spans="9:132">
      <c r="I82" s="8">
        <v>80</v>
      </c>
      <c r="J82" s="33" t="s">
        <v>167</v>
      </c>
      <c r="K82" s="94"/>
      <c r="L82">
        <f t="shared" si="5"/>
        <v>450</v>
      </c>
      <c r="M82">
        <f>_xlfn.IFNA(VLOOKUP(J82,[1]Sheet1!B:E,4,FALSE),"NOT FOUND")</f>
        <v>500</v>
      </c>
      <c r="N82" t="b">
        <f t="shared" si="6"/>
        <v>0</v>
      </c>
      <c r="Q82" s="28"/>
      <c r="DH82" s="4" t="s">
        <v>168</v>
      </c>
      <c r="DI82" s="4" t="s">
        <v>296</v>
      </c>
      <c r="DZ82" s="8">
        <v>81</v>
      </c>
      <c r="EA82" s="34" t="s">
        <v>50</v>
      </c>
      <c r="EB82" s="10">
        <v>15000</v>
      </c>
    </row>
    <row r="83" spans="9:132">
      <c r="I83" s="8">
        <v>81</v>
      </c>
      <c r="J83" s="34" t="s">
        <v>50</v>
      </c>
      <c r="K83" s="92">
        <v>15000</v>
      </c>
      <c r="L83">
        <f t="shared" si="5"/>
        <v>15000</v>
      </c>
      <c r="M83">
        <f>_xlfn.IFNA(VLOOKUP(J83,[1]Sheet1!B:E,4,FALSE),"NOT FOUND")</f>
        <v>10000</v>
      </c>
      <c r="N83" t="b">
        <f t="shared" si="6"/>
        <v>0</v>
      </c>
      <c r="Q83" s="28"/>
      <c r="DH83" s="4" t="s">
        <v>169</v>
      </c>
      <c r="DI83" s="4" t="s">
        <v>296</v>
      </c>
      <c r="DZ83" s="8">
        <v>82</v>
      </c>
      <c r="EA83" s="34" t="s">
        <v>168</v>
      </c>
      <c r="EB83" s="10">
        <v>0</v>
      </c>
    </row>
    <row r="84" spans="9:132">
      <c r="I84" s="8">
        <v>82</v>
      </c>
      <c r="J84" s="34" t="s">
        <v>168</v>
      </c>
      <c r="K84" s="93"/>
      <c r="L84">
        <f t="shared" si="5"/>
        <v>15000</v>
      </c>
      <c r="M84">
        <f>_xlfn.IFNA(VLOOKUP(J84,[1]Sheet1!B:E,4,FALSE),"NOT FOUND")</f>
        <v>10000</v>
      </c>
      <c r="N84" t="b">
        <f t="shared" si="6"/>
        <v>0</v>
      </c>
      <c r="Q84" s="28"/>
      <c r="DH84" s="4" t="s">
        <v>170</v>
      </c>
      <c r="DI84" s="4" t="s">
        <v>296</v>
      </c>
      <c r="DZ84" s="8">
        <v>83</v>
      </c>
      <c r="EA84" s="34" t="s">
        <v>169</v>
      </c>
      <c r="EB84" s="10">
        <v>0</v>
      </c>
    </row>
    <row r="85" spans="9:132">
      <c r="I85" s="8">
        <v>83</v>
      </c>
      <c r="J85" s="34" t="s">
        <v>169</v>
      </c>
      <c r="K85" s="93"/>
      <c r="L85">
        <f t="shared" si="5"/>
        <v>15000</v>
      </c>
      <c r="M85">
        <f>_xlfn.IFNA(VLOOKUP(J85,[1]Sheet1!B:E,4,FALSE),"NOT FOUND")</f>
        <v>10000</v>
      </c>
      <c r="N85" t="b">
        <f t="shared" si="6"/>
        <v>0</v>
      </c>
      <c r="Q85" s="28"/>
      <c r="DH85" s="4" t="s">
        <v>54</v>
      </c>
      <c r="DI85" s="4" t="s">
        <v>297</v>
      </c>
      <c r="DZ85" s="8">
        <v>84</v>
      </c>
      <c r="EA85" s="34" t="s">
        <v>170</v>
      </c>
      <c r="EB85" s="10">
        <v>0</v>
      </c>
    </row>
    <row r="86" spans="9:132">
      <c r="I86" s="8">
        <v>84</v>
      </c>
      <c r="J86" s="34" t="s">
        <v>170</v>
      </c>
      <c r="K86" s="94"/>
      <c r="L86">
        <f t="shared" si="5"/>
        <v>15000</v>
      </c>
      <c r="M86">
        <f>_xlfn.IFNA(VLOOKUP(J86,[1]Sheet1!B:E,4,FALSE),"NOT FOUND")</f>
        <v>10000</v>
      </c>
      <c r="N86" t="b">
        <f t="shared" si="6"/>
        <v>0</v>
      </c>
      <c r="Q86" s="28"/>
      <c r="DH86" s="4" t="s">
        <v>171</v>
      </c>
      <c r="DI86" s="4" t="s">
        <v>297</v>
      </c>
      <c r="DZ86" s="8">
        <v>85</v>
      </c>
      <c r="EA86" s="35" t="s">
        <v>54</v>
      </c>
      <c r="EB86" s="10">
        <v>30000</v>
      </c>
    </row>
    <row r="87" spans="9:132">
      <c r="I87" s="8">
        <v>85</v>
      </c>
      <c r="J87" s="35" t="s">
        <v>54</v>
      </c>
      <c r="K87" s="92">
        <v>20000</v>
      </c>
      <c r="L87">
        <f t="shared" si="5"/>
        <v>20000</v>
      </c>
      <c r="M87">
        <f>_xlfn.IFNA(VLOOKUP(J87,[1]Sheet1!B:E,4,FALSE),"NOT FOUND")</f>
        <v>20000</v>
      </c>
      <c r="N87" t="b">
        <f t="shared" si="6"/>
        <v>1</v>
      </c>
      <c r="Q87" s="28"/>
      <c r="DH87" s="4" t="s">
        <v>172</v>
      </c>
      <c r="DI87" s="4" t="s">
        <v>297</v>
      </c>
      <c r="DZ87" s="8">
        <v>86</v>
      </c>
      <c r="EA87" s="35" t="s">
        <v>171</v>
      </c>
      <c r="EB87" s="10">
        <v>0</v>
      </c>
    </row>
    <row r="88" spans="9:132">
      <c r="I88" s="8">
        <v>86</v>
      </c>
      <c r="J88" s="35" t="s">
        <v>171</v>
      </c>
      <c r="K88" s="93"/>
      <c r="L88">
        <f t="shared" si="5"/>
        <v>20000</v>
      </c>
      <c r="M88">
        <f>_xlfn.IFNA(VLOOKUP(J88,[1]Sheet1!B:E,4,FALSE),"NOT FOUND")</f>
        <v>20000</v>
      </c>
      <c r="N88" t="b">
        <f t="shared" si="6"/>
        <v>1</v>
      </c>
      <c r="Q88" s="28"/>
      <c r="DH88" s="4" t="s">
        <v>173</v>
      </c>
      <c r="DI88" s="4" t="s">
        <v>297</v>
      </c>
      <c r="DZ88" s="8">
        <v>87</v>
      </c>
      <c r="EA88" s="35" t="s">
        <v>172</v>
      </c>
      <c r="EB88" s="10">
        <v>0</v>
      </c>
    </row>
    <row r="89" spans="9:132">
      <c r="I89" s="8">
        <v>87</v>
      </c>
      <c r="J89" s="35" t="s">
        <v>172</v>
      </c>
      <c r="K89" s="93"/>
      <c r="L89">
        <f t="shared" si="5"/>
        <v>20000</v>
      </c>
      <c r="M89">
        <f>_xlfn.IFNA(VLOOKUP(J89,[1]Sheet1!B:E,4,FALSE),"NOT FOUND")</f>
        <v>20000</v>
      </c>
      <c r="N89" t="b">
        <f t="shared" si="6"/>
        <v>1</v>
      </c>
      <c r="Q89" s="28"/>
      <c r="DH89" s="4" t="s">
        <v>56</v>
      </c>
      <c r="DI89" s="4" t="s">
        <v>298</v>
      </c>
      <c r="DZ89" s="8">
        <v>88</v>
      </c>
      <c r="EA89" s="35" t="s">
        <v>173</v>
      </c>
      <c r="EB89" s="10">
        <v>0</v>
      </c>
    </row>
    <row r="90" spans="9:132">
      <c r="I90" s="8">
        <v>88</v>
      </c>
      <c r="J90" s="35" t="s">
        <v>173</v>
      </c>
      <c r="K90" s="94"/>
      <c r="L90">
        <f t="shared" si="5"/>
        <v>20000</v>
      </c>
      <c r="M90">
        <f>_xlfn.IFNA(VLOOKUP(J90,[1]Sheet1!B:E,4,FALSE),"NOT FOUND")</f>
        <v>20000</v>
      </c>
      <c r="N90" t="b">
        <f t="shared" si="6"/>
        <v>1</v>
      </c>
      <c r="Q90" s="28"/>
      <c r="DH90" s="4" t="s">
        <v>174</v>
      </c>
      <c r="DI90" s="4" t="s">
        <v>298</v>
      </c>
      <c r="DZ90" s="8">
        <v>89</v>
      </c>
      <c r="EA90" s="36" t="s">
        <v>56</v>
      </c>
      <c r="EB90" s="10">
        <v>3000</v>
      </c>
    </row>
    <row r="91" spans="9:132">
      <c r="I91" s="8">
        <v>89</v>
      </c>
      <c r="J91" s="36" t="s">
        <v>56</v>
      </c>
      <c r="K91" s="92">
        <v>0</v>
      </c>
      <c r="L91">
        <f t="shared" si="5"/>
        <v>0</v>
      </c>
      <c r="M91">
        <f>_xlfn.IFNA(VLOOKUP(J91,[1]Sheet1!B:E,4,FALSE),"NOT FOUND")</f>
        <v>20000</v>
      </c>
      <c r="N91" t="b">
        <f t="shared" si="6"/>
        <v>0</v>
      </c>
      <c r="Q91" s="28"/>
      <c r="DH91" s="4" t="s">
        <v>175</v>
      </c>
      <c r="DI91" s="4" t="s">
        <v>298</v>
      </c>
      <c r="DZ91" s="8">
        <v>90</v>
      </c>
      <c r="EA91" s="36" t="s">
        <v>174</v>
      </c>
      <c r="EB91" s="10">
        <v>0</v>
      </c>
    </row>
    <row r="92" spans="9:132">
      <c r="I92" s="8">
        <v>90</v>
      </c>
      <c r="J92" s="36" t="s">
        <v>174</v>
      </c>
      <c r="K92" s="93"/>
      <c r="L92">
        <f t="shared" si="5"/>
        <v>0</v>
      </c>
      <c r="M92">
        <f>_xlfn.IFNA(VLOOKUP(J92,[1]Sheet1!B:E,4,FALSE),"NOT FOUND")</f>
        <v>20000</v>
      </c>
      <c r="N92" t="b">
        <f t="shared" si="6"/>
        <v>0</v>
      </c>
      <c r="Q92" s="28"/>
      <c r="DH92" s="4" t="s">
        <v>176</v>
      </c>
      <c r="DI92" s="4" t="s">
        <v>298</v>
      </c>
      <c r="DZ92" s="8">
        <v>91</v>
      </c>
      <c r="EA92" s="36" t="s">
        <v>175</v>
      </c>
      <c r="EB92" s="10">
        <v>0</v>
      </c>
    </row>
    <row r="93" spans="9:132">
      <c r="I93" s="8">
        <v>91</v>
      </c>
      <c r="J93" s="36" t="s">
        <v>175</v>
      </c>
      <c r="K93" s="93"/>
      <c r="L93">
        <f t="shared" si="5"/>
        <v>0</v>
      </c>
      <c r="M93">
        <f>_xlfn.IFNA(VLOOKUP(J93,[1]Sheet1!B:E,4,FALSE),"NOT FOUND")</f>
        <v>20000</v>
      </c>
      <c r="N93" t="b">
        <f t="shared" si="6"/>
        <v>0</v>
      </c>
      <c r="Q93" s="28"/>
      <c r="DH93" s="4" t="s">
        <v>59</v>
      </c>
      <c r="DI93" s="4" t="s">
        <v>299</v>
      </c>
      <c r="DZ93" s="8">
        <v>92</v>
      </c>
      <c r="EA93" s="36" t="s">
        <v>176</v>
      </c>
      <c r="EB93" s="10">
        <v>0</v>
      </c>
    </row>
    <row r="94" spans="9:132">
      <c r="I94" s="8">
        <v>92</v>
      </c>
      <c r="J94" s="36" t="s">
        <v>176</v>
      </c>
      <c r="K94" s="94"/>
      <c r="L94">
        <f t="shared" si="5"/>
        <v>0</v>
      </c>
      <c r="M94">
        <f>_xlfn.IFNA(VLOOKUP(J94,[1]Sheet1!B:E,4,FALSE),"NOT FOUND")</f>
        <v>20000</v>
      </c>
      <c r="N94" t="b">
        <f t="shared" si="6"/>
        <v>0</v>
      </c>
      <c r="Q94" s="28"/>
      <c r="DH94" s="4" t="s">
        <v>177</v>
      </c>
      <c r="DI94" s="4" t="s">
        <v>299</v>
      </c>
      <c r="DZ94" s="8">
        <v>93</v>
      </c>
      <c r="EA94" s="32" t="s">
        <v>59</v>
      </c>
      <c r="EB94" s="10">
        <v>11000</v>
      </c>
    </row>
    <row r="95" spans="9:132">
      <c r="I95" s="8">
        <v>93</v>
      </c>
      <c r="J95" s="32" t="s">
        <v>59</v>
      </c>
      <c r="K95" s="92">
        <v>14347.4</v>
      </c>
      <c r="L95">
        <f t="shared" si="5"/>
        <v>14347.4</v>
      </c>
      <c r="M95">
        <f>_xlfn.IFNA(VLOOKUP(J95,[1]Sheet1!B:E,4,FALSE),"NOT FOUND")</f>
        <v>7000</v>
      </c>
      <c r="N95" t="b">
        <f t="shared" si="6"/>
        <v>0</v>
      </c>
      <c r="Q95" s="28"/>
      <c r="DH95" s="4" t="s">
        <v>178</v>
      </c>
      <c r="DI95" s="4" t="s">
        <v>299</v>
      </c>
      <c r="DZ95" s="8">
        <v>94</v>
      </c>
      <c r="EA95" s="32" t="s">
        <v>177</v>
      </c>
      <c r="EB95" s="10">
        <v>0</v>
      </c>
    </row>
    <row r="96" spans="9:132">
      <c r="I96" s="8">
        <v>94</v>
      </c>
      <c r="J96" s="32" t="s">
        <v>177</v>
      </c>
      <c r="K96" s="93"/>
      <c r="L96">
        <f t="shared" si="5"/>
        <v>14347.4</v>
      </c>
      <c r="M96">
        <f>_xlfn.IFNA(VLOOKUP(J96,[1]Sheet1!B:E,4,FALSE),"NOT FOUND")</f>
        <v>7000</v>
      </c>
      <c r="N96" t="b">
        <f t="shared" si="6"/>
        <v>0</v>
      </c>
      <c r="Q96" s="28"/>
      <c r="DH96" s="4" t="s">
        <v>179</v>
      </c>
      <c r="DI96" s="4" t="s">
        <v>299</v>
      </c>
      <c r="DZ96" s="8">
        <v>95</v>
      </c>
      <c r="EA96" s="32" t="s">
        <v>178</v>
      </c>
      <c r="EB96" s="10">
        <v>0</v>
      </c>
    </row>
    <row r="97" spans="9:132">
      <c r="I97" s="8">
        <v>95</v>
      </c>
      <c r="J97" s="32" t="s">
        <v>178</v>
      </c>
      <c r="K97" s="93"/>
      <c r="L97">
        <f t="shared" si="5"/>
        <v>14347.4</v>
      </c>
      <c r="M97">
        <f>_xlfn.IFNA(VLOOKUP(J97,[1]Sheet1!B:E,4,FALSE),"NOT FOUND")</f>
        <v>7000</v>
      </c>
      <c r="N97" t="b">
        <f t="shared" si="6"/>
        <v>0</v>
      </c>
      <c r="Q97" s="28"/>
      <c r="DH97" s="4" t="s">
        <v>62</v>
      </c>
      <c r="DI97" s="4" t="s">
        <v>300</v>
      </c>
      <c r="DZ97" s="8">
        <v>96</v>
      </c>
      <c r="EA97" s="32" t="s">
        <v>179</v>
      </c>
      <c r="EB97" s="10">
        <v>0</v>
      </c>
    </row>
    <row r="98" spans="9:132">
      <c r="I98" s="8">
        <v>96</v>
      </c>
      <c r="J98" s="32" t="s">
        <v>179</v>
      </c>
      <c r="K98" s="94"/>
      <c r="L98">
        <f t="shared" si="5"/>
        <v>14347.4</v>
      </c>
      <c r="M98">
        <f>_xlfn.IFNA(VLOOKUP(J98,[1]Sheet1!B:E,4,FALSE),"NOT FOUND")</f>
        <v>7000</v>
      </c>
      <c r="N98" t="b">
        <f t="shared" si="6"/>
        <v>0</v>
      </c>
      <c r="Q98" s="28"/>
      <c r="DH98" s="4" t="s">
        <v>180</v>
      </c>
      <c r="DI98" s="11" t="s">
        <v>300</v>
      </c>
      <c r="DZ98" s="8">
        <v>97</v>
      </c>
      <c r="EA98" s="37" t="s">
        <v>62</v>
      </c>
      <c r="EB98" s="10">
        <v>2000</v>
      </c>
    </row>
    <row r="99" spans="9:132">
      <c r="I99" s="8">
        <v>97</v>
      </c>
      <c r="J99" s="37" t="s">
        <v>62</v>
      </c>
      <c r="K99" s="92">
        <v>1200</v>
      </c>
      <c r="L99">
        <f t="shared" si="5"/>
        <v>1200</v>
      </c>
      <c r="M99">
        <f>_xlfn.IFNA(VLOOKUP(J99,[1]Sheet1!B:E,4,FALSE),"NOT FOUND")</f>
        <v>2000</v>
      </c>
      <c r="N99" t="b">
        <f t="shared" si="6"/>
        <v>0</v>
      </c>
      <c r="Q99" s="28"/>
      <c r="DH99" s="4" t="s">
        <v>181</v>
      </c>
      <c r="DI99" s="4" t="s">
        <v>300</v>
      </c>
      <c r="DZ99" s="8">
        <v>98</v>
      </c>
      <c r="EA99" s="37" t="s">
        <v>180</v>
      </c>
      <c r="EB99" s="10">
        <v>0</v>
      </c>
    </row>
    <row r="100" spans="9:132">
      <c r="I100" s="8">
        <v>98</v>
      </c>
      <c r="J100" s="37" t="s">
        <v>180</v>
      </c>
      <c r="K100" s="93"/>
      <c r="L100">
        <f t="shared" si="5"/>
        <v>1200</v>
      </c>
      <c r="M100">
        <f>_xlfn.IFNA(VLOOKUP(J100,[1]Sheet1!B:E,4,FALSE),"NOT FOUND")</f>
        <v>2000</v>
      </c>
      <c r="N100" t="b">
        <f t="shared" si="6"/>
        <v>0</v>
      </c>
      <c r="Q100" s="28"/>
      <c r="DH100" s="4" t="s">
        <v>182</v>
      </c>
      <c r="DI100" s="4" t="s">
        <v>300</v>
      </c>
      <c r="DZ100" s="8">
        <v>99</v>
      </c>
      <c r="EA100" s="37" t="s">
        <v>181</v>
      </c>
      <c r="EB100" s="10">
        <v>0</v>
      </c>
    </row>
    <row r="101" spans="9:132">
      <c r="I101" s="8">
        <v>99</v>
      </c>
      <c r="J101" s="37" t="s">
        <v>181</v>
      </c>
      <c r="K101" s="93"/>
      <c r="L101">
        <f t="shared" si="5"/>
        <v>1200</v>
      </c>
      <c r="M101">
        <f>_xlfn.IFNA(VLOOKUP(J101,[1]Sheet1!B:E,4,FALSE),"NOT FOUND")</f>
        <v>2000</v>
      </c>
      <c r="N101" t="b">
        <f t="shared" si="6"/>
        <v>0</v>
      </c>
      <c r="Q101" s="28"/>
      <c r="DH101" s="4" t="s">
        <v>65</v>
      </c>
      <c r="DI101" s="4" t="s">
        <v>274</v>
      </c>
      <c r="DZ101" s="8">
        <v>100</v>
      </c>
      <c r="EA101" s="37" t="s">
        <v>182</v>
      </c>
      <c r="EB101" s="10">
        <v>0</v>
      </c>
    </row>
    <row r="102" spans="9:132">
      <c r="I102" s="8">
        <v>100</v>
      </c>
      <c r="J102" s="37" t="s">
        <v>182</v>
      </c>
      <c r="K102" s="94"/>
      <c r="L102">
        <f t="shared" si="5"/>
        <v>1200</v>
      </c>
      <c r="M102">
        <f>_xlfn.IFNA(VLOOKUP(J102,[1]Sheet1!B:E,4,FALSE),"NOT FOUND")</f>
        <v>2000</v>
      </c>
      <c r="N102" t="b">
        <f t="shared" si="6"/>
        <v>0</v>
      </c>
      <c r="Q102" s="28"/>
      <c r="DH102" s="4" t="s">
        <v>183</v>
      </c>
      <c r="DI102" s="4" t="s">
        <v>274</v>
      </c>
      <c r="DZ102" s="8">
        <v>101</v>
      </c>
      <c r="EA102" s="27" t="s">
        <v>65</v>
      </c>
      <c r="EB102" s="10">
        <v>68000</v>
      </c>
    </row>
    <row r="103" spans="9:132">
      <c r="I103" s="8">
        <v>101</v>
      </c>
      <c r="J103" s="27" t="s">
        <v>65</v>
      </c>
      <c r="K103" s="92">
        <v>65000</v>
      </c>
      <c r="L103">
        <f t="shared" si="5"/>
        <v>65000</v>
      </c>
      <c r="M103">
        <f>_xlfn.IFNA(VLOOKUP(J103,[1]Sheet1!B:E,4,FALSE),"NOT FOUND")</f>
        <v>65254.421499999997</v>
      </c>
      <c r="N103" t="b">
        <f t="shared" si="6"/>
        <v>0</v>
      </c>
      <c r="Q103" s="28"/>
      <c r="DH103" s="4" t="s">
        <v>184</v>
      </c>
      <c r="DI103" s="11" t="s">
        <v>274</v>
      </c>
      <c r="DZ103" s="8">
        <v>102</v>
      </c>
      <c r="EA103" s="27" t="s">
        <v>183</v>
      </c>
      <c r="EB103" s="10">
        <v>0</v>
      </c>
    </row>
    <row r="104" spans="9:132">
      <c r="I104" s="8">
        <v>102</v>
      </c>
      <c r="J104" s="27" t="s">
        <v>183</v>
      </c>
      <c r="K104" s="93"/>
      <c r="L104">
        <f t="shared" si="5"/>
        <v>65000</v>
      </c>
      <c r="M104">
        <f>_xlfn.IFNA(VLOOKUP(J104,[1]Sheet1!B:E,4,FALSE),"NOT FOUND")</f>
        <v>65254.421499999997</v>
      </c>
      <c r="N104" t="b">
        <f t="shared" si="6"/>
        <v>0</v>
      </c>
      <c r="Q104" s="28"/>
      <c r="DH104" s="4" t="s">
        <v>185</v>
      </c>
      <c r="DI104" s="4" t="s">
        <v>274</v>
      </c>
      <c r="DZ104" s="8">
        <v>103</v>
      </c>
      <c r="EA104" s="27" t="s">
        <v>184</v>
      </c>
      <c r="EB104" s="10">
        <v>0</v>
      </c>
    </row>
    <row r="105" spans="9:132">
      <c r="I105" s="8">
        <v>103</v>
      </c>
      <c r="J105" s="27" t="s">
        <v>184</v>
      </c>
      <c r="K105" s="93"/>
      <c r="L105">
        <f t="shared" si="5"/>
        <v>65000</v>
      </c>
      <c r="M105">
        <f>_xlfn.IFNA(VLOOKUP(J105,[1]Sheet1!B:E,4,FALSE),"NOT FOUND")</f>
        <v>65254.421499999997</v>
      </c>
      <c r="N105" t="b">
        <f t="shared" si="6"/>
        <v>0</v>
      </c>
      <c r="Q105" s="28"/>
      <c r="DH105" s="4" t="s">
        <v>68</v>
      </c>
      <c r="DI105" s="4" t="s">
        <v>282</v>
      </c>
      <c r="DZ105" s="8">
        <v>104</v>
      </c>
      <c r="EA105" s="27" t="s">
        <v>185</v>
      </c>
      <c r="EB105" s="10">
        <v>0</v>
      </c>
    </row>
    <row r="106" spans="9:132">
      <c r="I106" s="8">
        <v>104</v>
      </c>
      <c r="J106" s="27" t="s">
        <v>185</v>
      </c>
      <c r="K106" s="94"/>
      <c r="L106">
        <f t="shared" si="5"/>
        <v>65000</v>
      </c>
      <c r="M106">
        <f>_xlfn.IFNA(VLOOKUP(J106,[1]Sheet1!B:E,4,FALSE),"NOT FOUND")</f>
        <v>65254.421499999997</v>
      </c>
      <c r="N106" t="b">
        <f t="shared" si="6"/>
        <v>0</v>
      </c>
      <c r="Q106" s="28"/>
      <c r="DH106" s="4" t="s">
        <v>186</v>
      </c>
      <c r="DI106" s="4" t="s">
        <v>282</v>
      </c>
      <c r="DZ106" s="8">
        <v>105</v>
      </c>
      <c r="EA106" s="38" t="s">
        <v>68</v>
      </c>
      <c r="EB106" s="10">
        <v>0</v>
      </c>
    </row>
    <row r="107" spans="9:132">
      <c r="I107" s="8">
        <v>105</v>
      </c>
      <c r="J107" s="38" t="s">
        <v>68</v>
      </c>
      <c r="K107" s="92">
        <v>0</v>
      </c>
      <c r="L107">
        <f t="shared" si="5"/>
        <v>0</v>
      </c>
      <c r="M107">
        <f>_xlfn.IFNA(VLOOKUP(J107,[1]Sheet1!B:E,4,FALSE),"NOT FOUND")</f>
        <v>2100</v>
      </c>
      <c r="N107" t="b">
        <f t="shared" si="6"/>
        <v>0</v>
      </c>
      <c r="Q107" s="28"/>
      <c r="DH107" s="4" t="s">
        <v>187</v>
      </c>
      <c r="DI107" s="4" t="s">
        <v>282</v>
      </c>
      <c r="DZ107" s="8">
        <v>106</v>
      </c>
      <c r="EA107" s="38" t="s">
        <v>186</v>
      </c>
      <c r="EB107" s="10">
        <v>0</v>
      </c>
    </row>
    <row r="108" spans="9:132">
      <c r="I108" s="8">
        <v>106</v>
      </c>
      <c r="J108" s="38" t="s">
        <v>186</v>
      </c>
      <c r="K108" s="93"/>
      <c r="L108">
        <f t="shared" si="5"/>
        <v>0</v>
      </c>
      <c r="M108">
        <f>_xlfn.IFNA(VLOOKUP(J108,[1]Sheet1!B:E,4,FALSE),"NOT FOUND")</f>
        <v>2100</v>
      </c>
      <c r="N108" t="b">
        <f t="shared" si="6"/>
        <v>0</v>
      </c>
      <c r="Q108" s="28"/>
      <c r="DH108" s="4" t="s">
        <v>188</v>
      </c>
      <c r="DI108" s="4" t="s">
        <v>282</v>
      </c>
      <c r="DZ108" s="8">
        <v>107</v>
      </c>
      <c r="EA108" s="38" t="s">
        <v>187</v>
      </c>
      <c r="EB108" s="10">
        <v>0</v>
      </c>
    </row>
    <row r="109" spans="9:132">
      <c r="I109" s="8">
        <v>107</v>
      </c>
      <c r="J109" s="38" t="s">
        <v>187</v>
      </c>
      <c r="K109" s="93"/>
      <c r="L109">
        <f t="shared" si="5"/>
        <v>0</v>
      </c>
      <c r="M109">
        <f>_xlfn.IFNA(VLOOKUP(J109,[1]Sheet1!B:E,4,FALSE),"NOT FOUND")</f>
        <v>2100</v>
      </c>
      <c r="N109" t="b">
        <f t="shared" si="6"/>
        <v>0</v>
      </c>
      <c r="Q109" s="28"/>
      <c r="DH109" s="4" t="s">
        <v>71</v>
      </c>
      <c r="DI109" s="4" t="s">
        <v>301</v>
      </c>
      <c r="DZ109" s="8">
        <v>108</v>
      </c>
      <c r="EA109" s="38" t="s">
        <v>188</v>
      </c>
      <c r="EB109" s="10">
        <v>0</v>
      </c>
    </row>
    <row r="110" spans="9:132">
      <c r="I110" s="8">
        <v>108</v>
      </c>
      <c r="J110" s="38" t="s">
        <v>188</v>
      </c>
      <c r="K110" s="94"/>
      <c r="L110">
        <f t="shared" si="5"/>
        <v>0</v>
      </c>
      <c r="M110">
        <f>_xlfn.IFNA(VLOOKUP(J110,[1]Sheet1!B:E,4,FALSE),"NOT FOUND")</f>
        <v>2100</v>
      </c>
      <c r="N110" t="b">
        <f t="shared" si="6"/>
        <v>0</v>
      </c>
      <c r="Q110" s="28"/>
      <c r="DH110" s="4" t="s">
        <v>189</v>
      </c>
      <c r="DI110" s="4" t="s">
        <v>301</v>
      </c>
      <c r="DZ110" s="8">
        <v>109</v>
      </c>
      <c r="EA110" s="39" t="s">
        <v>71</v>
      </c>
      <c r="EB110" s="10">
        <v>500</v>
      </c>
    </row>
    <row r="111" spans="9:132">
      <c r="I111" s="8">
        <v>109</v>
      </c>
      <c r="J111" s="39" t="s">
        <v>71</v>
      </c>
      <c r="K111" s="92">
        <v>250</v>
      </c>
      <c r="L111">
        <f t="shared" si="5"/>
        <v>250</v>
      </c>
      <c r="M111">
        <f>_xlfn.IFNA(VLOOKUP(J111,[1]Sheet1!B:E,4,FALSE),"NOT FOUND")</f>
        <v>309.85000000000002</v>
      </c>
      <c r="N111" t="b">
        <f t="shared" si="6"/>
        <v>0</v>
      </c>
      <c r="Q111" s="28"/>
      <c r="DH111" s="4" t="s">
        <v>190</v>
      </c>
      <c r="DI111" s="4" t="s">
        <v>301</v>
      </c>
      <c r="DZ111" s="8">
        <v>110</v>
      </c>
      <c r="EA111" s="39" t="s">
        <v>189</v>
      </c>
      <c r="EB111" s="10">
        <v>0</v>
      </c>
    </row>
    <row r="112" spans="9:132">
      <c r="I112" s="8">
        <v>110</v>
      </c>
      <c r="J112" s="39" t="s">
        <v>189</v>
      </c>
      <c r="K112" s="93"/>
      <c r="L112">
        <f t="shared" si="5"/>
        <v>250</v>
      </c>
      <c r="M112">
        <f>_xlfn.IFNA(VLOOKUP(J112,[1]Sheet1!B:E,4,FALSE),"NOT FOUND")</f>
        <v>309.85000000000002</v>
      </c>
      <c r="N112" t="b">
        <f t="shared" si="6"/>
        <v>0</v>
      </c>
      <c r="Q112" s="28"/>
      <c r="DH112" s="4" t="s">
        <v>191</v>
      </c>
      <c r="DI112" s="4" t="s">
        <v>301</v>
      </c>
      <c r="DZ112" s="8">
        <v>111</v>
      </c>
      <c r="EA112" s="39" t="s">
        <v>190</v>
      </c>
      <c r="EB112" s="10">
        <v>0</v>
      </c>
    </row>
    <row r="113" spans="9:132">
      <c r="I113" s="8">
        <v>111</v>
      </c>
      <c r="J113" s="39" t="s">
        <v>190</v>
      </c>
      <c r="K113" s="93"/>
      <c r="L113">
        <f t="shared" si="5"/>
        <v>250</v>
      </c>
      <c r="M113">
        <f>_xlfn.IFNA(VLOOKUP(J113,[1]Sheet1!B:E,4,FALSE),"NOT FOUND")</f>
        <v>309.85000000000002</v>
      </c>
      <c r="N113" t="b">
        <f t="shared" si="6"/>
        <v>0</v>
      </c>
      <c r="Q113" s="28"/>
      <c r="DH113" s="4" t="s">
        <v>74</v>
      </c>
      <c r="DI113" s="4" t="s">
        <v>302</v>
      </c>
      <c r="DZ113" s="8">
        <v>112</v>
      </c>
      <c r="EA113" s="39" t="s">
        <v>191</v>
      </c>
      <c r="EB113" s="10">
        <v>0</v>
      </c>
    </row>
    <row r="114" spans="9:132">
      <c r="I114" s="8">
        <v>112</v>
      </c>
      <c r="J114" s="39" t="s">
        <v>191</v>
      </c>
      <c r="K114" s="94"/>
      <c r="L114">
        <f t="shared" si="5"/>
        <v>250</v>
      </c>
      <c r="M114">
        <f>_xlfn.IFNA(VLOOKUP(J114,[1]Sheet1!B:E,4,FALSE),"NOT FOUND")</f>
        <v>309.85000000000002</v>
      </c>
      <c r="N114" t="b">
        <f t="shared" si="6"/>
        <v>0</v>
      </c>
      <c r="Q114" s="28"/>
      <c r="DH114" s="4" t="s">
        <v>192</v>
      </c>
      <c r="DI114" s="4" t="s">
        <v>302</v>
      </c>
      <c r="DZ114" s="8">
        <v>113</v>
      </c>
      <c r="EA114" s="40" t="s">
        <v>74</v>
      </c>
      <c r="EB114" s="10">
        <v>1000</v>
      </c>
    </row>
    <row r="115" spans="9:132">
      <c r="I115" s="8">
        <v>113</v>
      </c>
      <c r="J115" s="40" t="s">
        <v>74</v>
      </c>
      <c r="K115" s="92">
        <v>950</v>
      </c>
      <c r="L115">
        <f t="shared" si="5"/>
        <v>950</v>
      </c>
      <c r="M115">
        <f>_xlfn.IFNA(VLOOKUP(J115,[1]Sheet1!B:E,4,FALSE),"NOT FOUND")</f>
        <v>869.23</v>
      </c>
      <c r="N115" t="b">
        <f t="shared" si="6"/>
        <v>0</v>
      </c>
      <c r="Q115" s="28"/>
      <c r="DH115" s="4" t="s">
        <v>193</v>
      </c>
      <c r="DI115" s="4" t="s">
        <v>302</v>
      </c>
      <c r="DZ115" s="8">
        <v>114</v>
      </c>
      <c r="EA115" s="40" t="s">
        <v>192</v>
      </c>
      <c r="EB115" s="10">
        <v>0</v>
      </c>
    </row>
    <row r="116" spans="9:132">
      <c r="I116" s="8">
        <v>114</v>
      </c>
      <c r="J116" s="40" t="s">
        <v>192</v>
      </c>
      <c r="K116" s="93"/>
      <c r="L116">
        <f t="shared" si="5"/>
        <v>950</v>
      </c>
      <c r="M116">
        <f>_xlfn.IFNA(VLOOKUP(J116,[1]Sheet1!B:E,4,FALSE),"NOT FOUND")</f>
        <v>869.23</v>
      </c>
      <c r="N116" t="b">
        <f t="shared" si="6"/>
        <v>0</v>
      </c>
      <c r="Q116" s="28"/>
      <c r="DH116" s="4" t="s">
        <v>194</v>
      </c>
      <c r="DI116" s="4" t="s">
        <v>302</v>
      </c>
      <c r="DZ116" s="8">
        <v>115</v>
      </c>
      <c r="EA116" s="40" t="s">
        <v>193</v>
      </c>
      <c r="EB116" s="10">
        <v>0</v>
      </c>
    </row>
    <row r="117" spans="9:132">
      <c r="I117" s="8">
        <v>115</v>
      </c>
      <c r="J117" s="40" t="s">
        <v>193</v>
      </c>
      <c r="K117" s="93"/>
      <c r="L117">
        <f t="shared" si="5"/>
        <v>950</v>
      </c>
      <c r="M117">
        <f>_xlfn.IFNA(VLOOKUP(J117,[1]Sheet1!B:E,4,FALSE),"NOT FOUND")</f>
        <v>869.23</v>
      </c>
      <c r="N117" t="b">
        <f t="shared" si="6"/>
        <v>0</v>
      </c>
      <c r="Q117" s="28"/>
      <c r="DH117" s="4" t="s">
        <v>77</v>
      </c>
      <c r="DI117" s="4" t="s">
        <v>303</v>
      </c>
      <c r="DZ117" s="8">
        <v>116</v>
      </c>
      <c r="EA117" s="40" t="s">
        <v>194</v>
      </c>
      <c r="EB117" s="10">
        <v>0</v>
      </c>
    </row>
    <row r="118" spans="9:132">
      <c r="I118" s="8">
        <v>116</v>
      </c>
      <c r="J118" s="40" t="s">
        <v>194</v>
      </c>
      <c r="K118" s="94"/>
      <c r="L118">
        <f t="shared" si="5"/>
        <v>950</v>
      </c>
      <c r="M118">
        <f>_xlfn.IFNA(VLOOKUP(J118,[1]Sheet1!B:E,4,FALSE),"NOT FOUND")</f>
        <v>869.23</v>
      </c>
      <c r="N118" t="b">
        <f t="shared" si="6"/>
        <v>0</v>
      </c>
      <c r="Q118" s="28"/>
      <c r="DH118" s="4" t="s">
        <v>195</v>
      </c>
      <c r="DI118" s="4" t="s">
        <v>303</v>
      </c>
      <c r="DZ118" s="8">
        <v>117</v>
      </c>
      <c r="EA118" s="34" t="s">
        <v>77</v>
      </c>
      <c r="EB118" s="10">
        <v>0</v>
      </c>
    </row>
    <row r="119" spans="9:132">
      <c r="I119" s="8">
        <v>117</v>
      </c>
      <c r="J119" s="34" t="s">
        <v>77</v>
      </c>
      <c r="K119" s="92">
        <v>0</v>
      </c>
      <c r="L119">
        <f t="shared" si="5"/>
        <v>0</v>
      </c>
      <c r="M119">
        <f>_xlfn.IFNA(VLOOKUP(J119,[1]Sheet1!B:E,4,FALSE),"NOT FOUND")</f>
        <v>743.73</v>
      </c>
      <c r="N119" t="b">
        <f t="shared" si="6"/>
        <v>0</v>
      </c>
      <c r="Q119" s="28"/>
      <c r="DH119" s="4" t="s">
        <v>196</v>
      </c>
      <c r="DI119" s="4" t="s">
        <v>303</v>
      </c>
      <c r="DZ119" s="8">
        <v>118</v>
      </c>
      <c r="EA119" s="34" t="s">
        <v>195</v>
      </c>
      <c r="EB119" s="10">
        <v>0</v>
      </c>
    </row>
    <row r="120" spans="9:132">
      <c r="I120" s="8">
        <v>118</v>
      </c>
      <c r="J120" s="34" t="s">
        <v>195</v>
      </c>
      <c r="K120" s="93"/>
      <c r="L120">
        <f t="shared" si="5"/>
        <v>0</v>
      </c>
      <c r="M120">
        <f>_xlfn.IFNA(VLOOKUP(J120,[1]Sheet1!B:E,4,FALSE),"NOT FOUND")</f>
        <v>743.73</v>
      </c>
      <c r="N120" t="b">
        <f t="shared" si="6"/>
        <v>0</v>
      </c>
      <c r="Q120" s="28"/>
      <c r="DH120" s="4" t="s">
        <v>197</v>
      </c>
      <c r="DI120" s="4" t="s">
        <v>303</v>
      </c>
      <c r="DZ120" s="8">
        <v>119</v>
      </c>
      <c r="EA120" s="34" t="s">
        <v>196</v>
      </c>
      <c r="EB120" s="10">
        <v>0</v>
      </c>
    </row>
    <row r="121" spans="9:132">
      <c r="I121" s="8">
        <v>119</v>
      </c>
      <c r="J121" s="34" t="s">
        <v>196</v>
      </c>
      <c r="K121" s="93"/>
      <c r="L121">
        <f t="shared" si="5"/>
        <v>0</v>
      </c>
      <c r="M121">
        <f>_xlfn.IFNA(VLOOKUP(J121,[1]Sheet1!B:E,4,FALSE),"NOT FOUND")</f>
        <v>743.73</v>
      </c>
      <c r="N121" t="b">
        <f t="shared" si="6"/>
        <v>0</v>
      </c>
      <c r="Q121" s="28"/>
      <c r="DH121" s="4" t="s">
        <v>79</v>
      </c>
      <c r="DI121" s="4" t="s">
        <v>275</v>
      </c>
      <c r="DZ121" s="8">
        <v>120</v>
      </c>
      <c r="EA121" s="34" t="s">
        <v>197</v>
      </c>
      <c r="EB121" s="10">
        <v>0</v>
      </c>
    </row>
    <row r="122" spans="9:132">
      <c r="I122" s="8">
        <v>120</v>
      </c>
      <c r="J122" s="34" t="s">
        <v>197</v>
      </c>
      <c r="K122" s="94"/>
      <c r="L122">
        <f t="shared" si="5"/>
        <v>0</v>
      </c>
      <c r="M122">
        <f>_xlfn.IFNA(VLOOKUP(J122,[1]Sheet1!B:E,4,FALSE),"NOT FOUND")</f>
        <v>743.73</v>
      </c>
      <c r="N122" t="b">
        <f t="shared" si="6"/>
        <v>0</v>
      </c>
      <c r="Q122" s="28"/>
      <c r="DH122" s="4" t="s">
        <v>198</v>
      </c>
      <c r="DI122" s="4" t="s">
        <v>275</v>
      </c>
      <c r="DZ122" s="8">
        <v>121</v>
      </c>
      <c r="EA122" s="41" t="s">
        <v>79</v>
      </c>
      <c r="EB122" s="10">
        <v>1200</v>
      </c>
    </row>
    <row r="123" spans="9:132">
      <c r="I123" s="8">
        <v>121</v>
      </c>
      <c r="J123" s="41" t="s">
        <v>79</v>
      </c>
      <c r="K123" s="92">
        <v>200</v>
      </c>
      <c r="L123">
        <f t="shared" si="5"/>
        <v>200</v>
      </c>
      <c r="M123">
        <f>_xlfn.IFNA(VLOOKUP(J123,[1]Sheet1!B:E,4,FALSE),"NOT FOUND")</f>
        <v>345.96999999999997</v>
      </c>
      <c r="N123" t="b">
        <f t="shared" si="6"/>
        <v>0</v>
      </c>
      <c r="Q123" s="28"/>
      <c r="DH123" s="4" t="s">
        <v>199</v>
      </c>
      <c r="DI123" s="4" t="s">
        <v>275</v>
      </c>
      <c r="DZ123" s="8">
        <v>122</v>
      </c>
      <c r="EA123" s="41" t="s">
        <v>198</v>
      </c>
      <c r="EB123" s="10">
        <v>0</v>
      </c>
    </row>
    <row r="124" spans="9:132">
      <c r="I124" s="8">
        <v>122</v>
      </c>
      <c r="J124" s="41" t="s">
        <v>198</v>
      </c>
      <c r="K124" s="93"/>
      <c r="L124">
        <f t="shared" si="5"/>
        <v>200</v>
      </c>
      <c r="M124">
        <f>_xlfn.IFNA(VLOOKUP(J124,[1]Sheet1!B:E,4,FALSE),"NOT FOUND")</f>
        <v>345.96999999999997</v>
      </c>
      <c r="N124" t="b">
        <f t="shared" si="6"/>
        <v>0</v>
      </c>
      <c r="Q124" s="28"/>
      <c r="DH124" s="4" t="s">
        <v>200</v>
      </c>
      <c r="DI124" s="4" t="s">
        <v>275</v>
      </c>
      <c r="DZ124" s="8">
        <v>123</v>
      </c>
      <c r="EA124" s="41" t="s">
        <v>199</v>
      </c>
      <c r="EB124" s="10">
        <v>0</v>
      </c>
    </row>
    <row r="125" spans="9:132">
      <c r="I125" s="8">
        <v>123</v>
      </c>
      <c r="J125" s="41" t="s">
        <v>199</v>
      </c>
      <c r="K125" s="93"/>
      <c r="L125">
        <f t="shared" si="5"/>
        <v>200</v>
      </c>
      <c r="M125">
        <f>_xlfn.IFNA(VLOOKUP(J125,[1]Sheet1!B:E,4,FALSE),"NOT FOUND")</f>
        <v>345.96999999999997</v>
      </c>
      <c r="N125" t="b">
        <f t="shared" si="6"/>
        <v>0</v>
      </c>
      <c r="Q125" s="28"/>
      <c r="DH125" s="4" t="s">
        <v>82</v>
      </c>
      <c r="DI125" s="4" t="s">
        <v>276</v>
      </c>
      <c r="DZ125" s="8">
        <v>124</v>
      </c>
      <c r="EA125" s="41" t="s">
        <v>200</v>
      </c>
      <c r="EB125" s="10">
        <v>0</v>
      </c>
    </row>
    <row r="126" spans="9:132">
      <c r="I126" s="8">
        <v>124</v>
      </c>
      <c r="J126" s="41" t="s">
        <v>200</v>
      </c>
      <c r="K126" s="94"/>
      <c r="L126">
        <f t="shared" si="5"/>
        <v>200</v>
      </c>
      <c r="M126">
        <f>_xlfn.IFNA(VLOOKUP(J126,[1]Sheet1!B:E,4,FALSE),"NOT FOUND")</f>
        <v>345.96999999999997</v>
      </c>
      <c r="N126" t="b">
        <f t="shared" si="6"/>
        <v>0</v>
      </c>
      <c r="Q126" s="28"/>
      <c r="DH126" s="4" t="s">
        <v>201</v>
      </c>
      <c r="DI126" s="4" t="s">
        <v>276</v>
      </c>
      <c r="DZ126" s="8">
        <v>125</v>
      </c>
      <c r="EA126" s="42" t="s">
        <v>82</v>
      </c>
      <c r="EB126" s="10">
        <v>5500</v>
      </c>
    </row>
    <row r="127" spans="9:132">
      <c r="I127" s="8">
        <v>125</v>
      </c>
      <c r="J127" s="42" t="s">
        <v>82</v>
      </c>
      <c r="K127" s="92">
        <v>2500</v>
      </c>
      <c r="L127">
        <f t="shared" si="5"/>
        <v>2500</v>
      </c>
      <c r="M127">
        <f>_xlfn.IFNA(VLOOKUP(J127,[1]Sheet1!B:E,4,FALSE),"NOT FOUND")</f>
        <v>3432.3599999999997</v>
      </c>
      <c r="N127" t="b">
        <f t="shared" si="6"/>
        <v>0</v>
      </c>
      <c r="Q127" s="28"/>
      <c r="DH127" s="4" t="s">
        <v>202</v>
      </c>
      <c r="DI127" s="4" t="s">
        <v>276</v>
      </c>
      <c r="DZ127" s="8">
        <v>126</v>
      </c>
      <c r="EA127" s="42" t="s">
        <v>201</v>
      </c>
      <c r="EB127" s="10">
        <v>0</v>
      </c>
    </row>
    <row r="128" spans="9:132">
      <c r="I128" s="8">
        <v>126</v>
      </c>
      <c r="J128" s="42" t="s">
        <v>201</v>
      </c>
      <c r="K128" s="93"/>
      <c r="L128">
        <f t="shared" si="5"/>
        <v>2500</v>
      </c>
      <c r="M128">
        <f>_xlfn.IFNA(VLOOKUP(J128,[1]Sheet1!B:E,4,FALSE),"NOT FOUND")</f>
        <v>3432.3599999999997</v>
      </c>
      <c r="N128" t="b">
        <f t="shared" si="6"/>
        <v>0</v>
      </c>
      <c r="Q128" s="28"/>
      <c r="DH128" s="4" t="s">
        <v>203</v>
      </c>
      <c r="DI128" s="4" t="s">
        <v>276</v>
      </c>
      <c r="DZ128" s="8">
        <v>127</v>
      </c>
      <c r="EA128" s="42" t="s">
        <v>202</v>
      </c>
      <c r="EB128" s="10">
        <v>0</v>
      </c>
    </row>
    <row r="129" spans="9:132">
      <c r="I129" s="8">
        <v>127</v>
      </c>
      <c r="J129" s="42" t="s">
        <v>202</v>
      </c>
      <c r="K129" s="93"/>
      <c r="L129">
        <f t="shared" si="5"/>
        <v>2500</v>
      </c>
      <c r="M129">
        <f>_xlfn.IFNA(VLOOKUP(J129,[1]Sheet1!B:E,4,FALSE),"NOT FOUND")</f>
        <v>3432.3599999999997</v>
      </c>
      <c r="N129" t="b">
        <f t="shared" si="6"/>
        <v>0</v>
      </c>
      <c r="Q129" s="28"/>
      <c r="DH129" s="4" t="s">
        <v>85</v>
      </c>
      <c r="DI129" s="4" t="s">
        <v>277</v>
      </c>
      <c r="DZ129" s="8">
        <v>128</v>
      </c>
      <c r="EA129" s="42" t="s">
        <v>203</v>
      </c>
      <c r="EB129" s="10">
        <v>0</v>
      </c>
    </row>
    <row r="130" spans="9:132">
      <c r="I130" s="8">
        <v>128</v>
      </c>
      <c r="J130" s="42" t="s">
        <v>203</v>
      </c>
      <c r="K130" s="94"/>
      <c r="L130">
        <f t="shared" si="5"/>
        <v>2500</v>
      </c>
      <c r="M130">
        <f>_xlfn.IFNA(VLOOKUP(J130,[1]Sheet1!B:E,4,FALSE),"NOT FOUND")</f>
        <v>3432.3599999999997</v>
      </c>
      <c r="N130" t="b">
        <f t="shared" si="6"/>
        <v>0</v>
      </c>
      <c r="Q130" s="28"/>
      <c r="DH130" s="4" t="s">
        <v>204</v>
      </c>
      <c r="DI130" s="4" t="s">
        <v>277</v>
      </c>
      <c r="DZ130" s="8">
        <v>129</v>
      </c>
      <c r="EA130" s="43" t="s">
        <v>85</v>
      </c>
      <c r="EB130" s="10">
        <v>3000</v>
      </c>
    </row>
    <row r="131" spans="9:132">
      <c r="I131" s="8">
        <v>129</v>
      </c>
      <c r="J131" s="43" t="s">
        <v>85</v>
      </c>
      <c r="K131" s="92">
        <v>200</v>
      </c>
      <c r="L131">
        <f t="shared" si="5"/>
        <v>200</v>
      </c>
      <c r="M131">
        <f>_xlfn.IFNA(VLOOKUP(J131,[1]Sheet1!B:E,4,FALSE),"NOT FOUND")</f>
        <v>1499.6899999999998</v>
      </c>
      <c r="N131" t="b">
        <f t="shared" si="6"/>
        <v>0</v>
      </c>
      <c r="Q131" s="28"/>
      <c r="DH131" s="4" t="s">
        <v>205</v>
      </c>
      <c r="DI131" s="4" t="s">
        <v>277</v>
      </c>
      <c r="DZ131" s="8">
        <v>130</v>
      </c>
      <c r="EA131" s="43" t="s">
        <v>204</v>
      </c>
      <c r="EB131" s="10">
        <v>0</v>
      </c>
    </row>
    <row r="132" spans="9:132">
      <c r="I132" s="8">
        <v>130</v>
      </c>
      <c r="J132" s="43" t="s">
        <v>204</v>
      </c>
      <c r="K132" s="93"/>
      <c r="L132">
        <f t="shared" ref="L132:L195" si="7">IF(K132="",L131,K132)</f>
        <v>200</v>
      </c>
      <c r="M132">
        <f>_xlfn.IFNA(VLOOKUP(J132,[1]Sheet1!B:E,4,FALSE),"NOT FOUND")</f>
        <v>1499.6899999999998</v>
      </c>
      <c r="N132" t="b">
        <f t="shared" ref="N132:N195" si="8">M132=L132</f>
        <v>0</v>
      </c>
      <c r="Q132" s="28"/>
      <c r="DH132" s="4" t="s">
        <v>206</v>
      </c>
      <c r="DI132" s="4" t="s">
        <v>277</v>
      </c>
      <c r="DZ132" s="8">
        <v>131</v>
      </c>
      <c r="EA132" s="43" t="s">
        <v>205</v>
      </c>
      <c r="EB132" s="10">
        <v>0</v>
      </c>
    </row>
    <row r="133" spans="9:132">
      <c r="I133" s="8">
        <v>131</v>
      </c>
      <c r="J133" s="43" t="s">
        <v>205</v>
      </c>
      <c r="K133" s="93"/>
      <c r="L133">
        <f t="shared" si="7"/>
        <v>200</v>
      </c>
      <c r="M133">
        <f>_xlfn.IFNA(VLOOKUP(J133,[1]Sheet1!B:E,4,FALSE),"NOT FOUND")</f>
        <v>1499.6899999999998</v>
      </c>
      <c r="N133" t="b">
        <f t="shared" si="8"/>
        <v>0</v>
      </c>
      <c r="Q133" s="28"/>
      <c r="DH133" s="4" t="s">
        <v>88</v>
      </c>
      <c r="DI133" s="4" t="s">
        <v>304</v>
      </c>
      <c r="DZ133" s="8">
        <v>132</v>
      </c>
      <c r="EA133" s="43" t="s">
        <v>206</v>
      </c>
      <c r="EB133" s="10">
        <v>0</v>
      </c>
    </row>
    <row r="134" spans="9:132">
      <c r="I134" s="8">
        <v>132</v>
      </c>
      <c r="J134" s="43" t="s">
        <v>206</v>
      </c>
      <c r="K134" s="94"/>
      <c r="L134">
        <f t="shared" si="7"/>
        <v>200</v>
      </c>
      <c r="M134">
        <f>_xlfn.IFNA(VLOOKUP(J134,[1]Sheet1!B:E,4,FALSE),"NOT FOUND")</f>
        <v>1499.6899999999998</v>
      </c>
      <c r="N134" t="b">
        <f t="shared" si="8"/>
        <v>0</v>
      </c>
      <c r="Q134" s="28"/>
      <c r="DH134" s="4" t="s">
        <v>207</v>
      </c>
      <c r="DI134" s="4" t="s">
        <v>304</v>
      </c>
      <c r="DZ134" s="8">
        <v>133</v>
      </c>
      <c r="EA134" s="32" t="s">
        <v>88</v>
      </c>
      <c r="EB134" s="10">
        <v>1000</v>
      </c>
    </row>
    <row r="135" spans="9:132">
      <c r="I135" s="8">
        <v>133</v>
      </c>
      <c r="J135" s="32" t="s">
        <v>88</v>
      </c>
      <c r="K135" s="92">
        <v>900</v>
      </c>
      <c r="L135">
        <f t="shared" si="7"/>
        <v>900</v>
      </c>
      <c r="M135">
        <f>_xlfn.IFNA(VLOOKUP(J135,[1]Sheet1!B:E,4,FALSE),"NOT FOUND")</f>
        <v>750</v>
      </c>
      <c r="N135" t="b">
        <f t="shared" si="8"/>
        <v>0</v>
      </c>
      <c r="Q135" s="28"/>
      <c r="DH135" s="4" t="s">
        <v>208</v>
      </c>
      <c r="DI135" s="4" t="s">
        <v>304</v>
      </c>
      <c r="DZ135" s="8">
        <v>134</v>
      </c>
      <c r="EA135" s="32" t="s">
        <v>207</v>
      </c>
      <c r="EB135" s="10">
        <v>0</v>
      </c>
    </row>
    <row r="136" spans="9:132">
      <c r="I136" s="8">
        <v>134</v>
      </c>
      <c r="J136" s="32" t="s">
        <v>207</v>
      </c>
      <c r="K136" s="93"/>
      <c r="L136">
        <f t="shared" si="7"/>
        <v>900</v>
      </c>
      <c r="M136">
        <f>_xlfn.IFNA(VLOOKUP(J136,[1]Sheet1!B:E,4,FALSE),"NOT FOUND")</f>
        <v>750</v>
      </c>
      <c r="N136" t="b">
        <f t="shared" si="8"/>
        <v>0</v>
      </c>
      <c r="Q136" s="28"/>
      <c r="DH136" s="4" t="s">
        <v>209</v>
      </c>
      <c r="DI136" s="4" t="s">
        <v>304</v>
      </c>
      <c r="DZ136" s="8">
        <v>135</v>
      </c>
      <c r="EA136" s="32" t="s">
        <v>208</v>
      </c>
      <c r="EB136" s="10">
        <v>0</v>
      </c>
    </row>
    <row r="137" spans="9:132">
      <c r="I137" s="8">
        <v>135</v>
      </c>
      <c r="J137" s="32" t="s">
        <v>208</v>
      </c>
      <c r="K137" s="93"/>
      <c r="L137">
        <f t="shared" si="7"/>
        <v>900</v>
      </c>
      <c r="M137">
        <f>_xlfn.IFNA(VLOOKUP(J137,[1]Sheet1!B:E,4,FALSE),"NOT FOUND")</f>
        <v>750</v>
      </c>
      <c r="N137" t="b">
        <f t="shared" si="8"/>
        <v>0</v>
      </c>
      <c r="Q137" s="28"/>
      <c r="DH137" s="4" t="s">
        <v>210</v>
      </c>
      <c r="DI137" s="4" t="s">
        <v>305</v>
      </c>
      <c r="DZ137" s="8">
        <v>136</v>
      </c>
      <c r="EA137" s="32" t="s">
        <v>209</v>
      </c>
      <c r="EB137" s="10">
        <v>0</v>
      </c>
    </row>
    <row r="138" spans="9:132">
      <c r="I138" s="8">
        <v>136</v>
      </c>
      <c r="J138" s="32" t="s">
        <v>209</v>
      </c>
      <c r="K138" s="93"/>
      <c r="L138">
        <f t="shared" si="7"/>
        <v>900</v>
      </c>
      <c r="M138">
        <f>_xlfn.IFNA(VLOOKUP(J138,[1]Sheet1!B:E,4,FALSE),"NOT FOUND")</f>
        <v>750</v>
      </c>
      <c r="N138" t="b">
        <f t="shared" si="8"/>
        <v>0</v>
      </c>
      <c r="Q138" s="28"/>
      <c r="DH138" s="4" t="s">
        <v>211</v>
      </c>
      <c r="DI138" s="4" t="s">
        <v>305</v>
      </c>
      <c r="DZ138" s="8">
        <v>137</v>
      </c>
      <c r="EA138" s="32" t="s">
        <v>210</v>
      </c>
      <c r="EB138" s="10">
        <v>0</v>
      </c>
    </row>
    <row r="139" spans="9:132">
      <c r="I139" s="8">
        <v>137</v>
      </c>
      <c r="J139" s="32" t="s">
        <v>210</v>
      </c>
      <c r="K139" s="93"/>
      <c r="L139">
        <f t="shared" si="7"/>
        <v>900</v>
      </c>
      <c r="M139">
        <f>_xlfn.IFNA(VLOOKUP(J139,[1]Sheet1!B:E,4,FALSE),"NOT FOUND")</f>
        <v>750</v>
      </c>
      <c r="N139" t="b">
        <f t="shared" si="8"/>
        <v>0</v>
      </c>
      <c r="Q139" s="28"/>
      <c r="DH139" s="4" t="s">
        <v>212</v>
      </c>
      <c r="DI139" s="4" t="s">
        <v>305</v>
      </c>
      <c r="DZ139" s="8">
        <v>138</v>
      </c>
      <c r="EA139" s="32" t="s">
        <v>211</v>
      </c>
      <c r="EB139" s="10">
        <v>0</v>
      </c>
    </row>
    <row r="140" spans="9:132">
      <c r="I140" s="8">
        <v>138</v>
      </c>
      <c r="J140" s="32" t="s">
        <v>211</v>
      </c>
      <c r="K140" s="93"/>
      <c r="L140">
        <f t="shared" si="7"/>
        <v>900</v>
      </c>
      <c r="M140">
        <f>_xlfn.IFNA(VLOOKUP(J140,[1]Sheet1!B:E,4,FALSE),"NOT FOUND")</f>
        <v>750</v>
      </c>
      <c r="N140" t="b">
        <f t="shared" si="8"/>
        <v>0</v>
      </c>
      <c r="Q140" s="28"/>
      <c r="DH140" s="4" t="s">
        <v>213</v>
      </c>
      <c r="DI140" s="4" t="s">
        <v>305</v>
      </c>
      <c r="DZ140" s="8">
        <v>139</v>
      </c>
      <c r="EA140" s="32" t="s">
        <v>212</v>
      </c>
      <c r="EB140" s="10">
        <v>0</v>
      </c>
    </row>
    <row r="141" spans="9:132">
      <c r="I141" s="8">
        <v>139</v>
      </c>
      <c r="J141" s="32" t="s">
        <v>212</v>
      </c>
      <c r="K141" s="93"/>
      <c r="L141">
        <f t="shared" si="7"/>
        <v>900</v>
      </c>
      <c r="M141">
        <f>_xlfn.IFNA(VLOOKUP(J141,[1]Sheet1!B:E,4,FALSE),"NOT FOUND")</f>
        <v>750</v>
      </c>
      <c r="N141" t="b">
        <f t="shared" si="8"/>
        <v>0</v>
      </c>
      <c r="Q141" s="28"/>
      <c r="DH141" s="4" t="s">
        <v>214</v>
      </c>
      <c r="DI141" s="4" t="s">
        <v>306</v>
      </c>
      <c r="DZ141" s="8">
        <v>140</v>
      </c>
      <c r="EA141" s="32" t="s">
        <v>213</v>
      </c>
      <c r="EB141" s="10">
        <v>0</v>
      </c>
    </row>
    <row r="142" spans="9:132">
      <c r="I142" s="8">
        <v>140</v>
      </c>
      <c r="J142" s="32" t="s">
        <v>213</v>
      </c>
      <c r="K142" s="93"/>
      <c r="L142">
        <f t="shared" si="7"/>
        <v>900</v>
      </c>
      <c r="M142">
        <f>_xlfn.IFNA(VLOOKUP(J142,[1]Sheet1!B:E,4,FALSE),"NOT FOUND")</f>
        <v>750</v>
      </c>
      <c r="N142" t="b">
        <f t="shared" si="8"/>
        <v>0</v>
      </c>
      <c r="Q142" s="28"/>
      <c r="DH142" s="4" t="s">
        <v>215</v>
      </c>
      <c r="DI142" s="4" t="s">
        <v>306</v>
      </c>
      <c r="DZ142" s="8">
        <v>141</v>
      </c>
      <c r="EA142" s="32" t="s">
        <v>214</v>
      </c>
      <c r="EB142" s="10">
        <v>0</v>
      </c>
    </row>
    <row r="143" spans="9:132">
      <c r="I143" s="8">
        <v>141</v>
      </c>
      <c r="J143" s="32" t="s">
        <v>214</v>
      </c>
      <c r="K143" s="93"/>
      <c r="L143">
        <f t="shared" si="7"/>
        <v>900</v>
      </c>
      <c r="M143">
        <f>_xlfn.IFNA(VLOOKUP(J143,[1]Sheet1!B:E,4,FALSE),"NOT FOUND")</f>
        <v>750</v>
      </c>
      <c r="N143" t="b">
        <f t="shared" si="8"/>
        <v>0</v>
      </c>
      <c r="Q143" s="28"/>
      <c r="DH143" s="4" t="s">
        <v>216</v>
      </c>
      <c r="DI143" s="4" t="s">
        <v>306</v>
      </c>
      <c r="DZ143" s="8">
        <v>142</v>
      </c>
      <c r="EA143" s="32" t="s">
        <v>215</v>
      </c>
      <c r="EB143" s="10">
        <v>0</v>
      </c>
    </row>
    <row r="144" spans="9:132">
      <c r="I144" s="8">
        <v>142</v>
      </c>
      <c r="J144" s="32" t="s">
        <v>215</v>
      </c>
      <c r="K144" s="93"/>
      <c r="L144">
        <f t="shared" si="7"/>
        <v>900</v>
      </c>
      <c r="M144">
        <f>_xlfn.IFNA(VLOOKUP(J144,[1]Sheet1!B:E,4,FALSE),"NOT FOUND")</f>
        <v>750</v>
      </c>
      <c r="N144" t="b">
        <f t="shared" si="8"/>
        <v>0</v>
      </c>
      <c r="Q144" s="28"/>
      <c r="DH144" s="4" t="s">
        <v>217</v>
      </c>
      <c r="DI144" s="4" t="s">
        <v>306</v>
      </c>
      <c r="DZ144" s="8">
        <v>143</v>
      </c>
      <c r="EA144" s="32" t="s">
        <v>216</v>
      </c>
      <c r="EB144" s="10">
        <v>0</v>
      </c>
    </row>
    <row r="145" spans="9:132">
      <c r="I145" s="8">
        <v>143</v>
      </c>
      <c r="J145" s="32" t="s">
        <v>216</v>
      </c>
      <c r="K145" s="93"/>
      <c r="L145">
        <f t="shared" si="7"/>
        <v>900</v>
      </c>
      <c r="M145">
        <f>_xlfn.IFNA(VLOOKUP(J145,[1]Sheet1!B:E,4,FALSE),"NOT FOUND")</f>
        <v>750</v>
      </c>
      <c r="N145" t="b">
        <f t="shared" si="8"/>
        <v>0</v>
      </c>
      <c r="Q145" s="28"/>
      <c r="DH145" s="4" t="s">
        <v>91</v>
      </c>
      <c r="DI145" s="4" t="s">
        <v>307</v>
      </c>
      <c r="DZ145" s="8">
        <v>144</v>
      </c>
      <c r="EA145" s="32" t="s">
        <v>217</v>
      </c>
      <c r="EB145" s="10">
        <v>0</v>
      </c>
    </row>
    <row r="146" spans="9:132">
      <c r="I146" s="8">
        <v>144</v>
      </c>
      <c r="J146" s="32" t="s">
        <v>217</v>
      </c>
      <c r="K146" s="94"/>
      <c r="L146">
        <f t="shared" si="7"/>
        <v>900</v>
      </c>
      <c r="M146">
        <f>_xlfn.IFNA(VLOOKUP(J146,[1]Sheet1!B:E,4,FALSE),"NOT FOUND")</f>
        <v>750</v>
      </c>
      <c r="N146" t="b">
        <f t="shared" si="8"/>
        <v>0</v>
      </c>
      <c r="Q146" s="28"/>
      <c r="DH146" s="4" t="s">
        <v>218</v>
      </c>
      <c r="DI146" s="4" t="s">
        <v>307</v>
      </c>
      <c r="DZ146" s="8">
        <v>145</v>
      </c>
      <c r="EA146" s="41" t="s">
        <v>91</v>
      </c>
      <c r="EB146" s="10">
        <v>20000</v>
      </c>
    </row>
    <row r="147" spans="9:132">
      <c r="I147" s="8">
        <v>145</v>
      </c>
      <c r="J147" s="41" t="s">
        <v>91</v>
      </c>
      <c r="K147" s="92">
        <v>16800</v>
      </c>
      <c r="L147">
        <f t="shared" si="7"/>
        <v>16800</v>
      </c>
      <c r="M147">
        <f>_xlfn.IFNA(VLOOKUP(J147,[1]Sheet1!B:E,4,FALSE),"NOT FOUND")</f>
        <v>23465.289999999997</v>
      </c>
      <c r="N147" t="b">
        <f t="shared" si="8"/>
        <v>0</v>
      </c>
      <c r="Q147" s="28"/>
      <c r="DH147" s="4" t="s">
        <v>219</v>
      </c>
      <c r="DI147" s="4" t="s">
        <v>307</v>
      </c>
      <c r="DZ147" s="8">
        <v>146</v>
      </c>
      <c r="EA147" s="41" t="s">
        <v>218</v>
      </c>
      <c r="EB147" s="10">
        <v>0</v>
      </c>
    </row>
    <row r="148" spans="9:132">
      <c r="I148" s="8">
        <v>146</v>
      </c>
      <c r="J148" s="41" t="s">
        <v>218</v>
      </c>
      <c r="K148" s="93"/>
      <c r="L148">
        <f t="shared" si="7"/>
        <v>16800</v>
      </c>
      <c r="M148">
        <f>_xlfn.IFNA(VLOOKUP(J148,[1]Sheet1!B:E,4,FALSE),"NOT FOUND")</f>
        <v>23465.289999999997</v>
      </c>
      <c r="N148" t="b">
        <f t="shared" si="8"/>
        <v>0</v>
      </c>
      <c r="Q148" s="28"/>
      <c r="DH148" s="4" t="s">
        <v>220</v>
      </c>
      <c r="DI148" s="11" t="s">
        <v>307</v>
      </c>
      <c r="DZ148" s="8">
        <v>147</v>
      </c>
      <c r="EA148" s="41" t="s">
        <v>219</v>
      </c>
      <c r="EB148" s="10">
        <v>0</v>
      </c>
    </row>
    <row r="149" spans="9:132">
      <c r="I149" s="8">
        <v>147</v>
      </c>
      <c r="J149" s="41" t="s">
        <v>219</v>
      </c>
      <c r="K149" s="93"/>
      <c r="L149">
        <f t="shared" si="7"/>
        <v>16800</v>
      </c>
      <c r="M149">
        <f>_xlfn.IFNA(VLOOKUP(J149,[1]Sheet1!B:E,4,FALSE),"NOT FOUND")</f>
        <v>23465.289999999997</v>
      </c>
      <c r="N149" t="b">
        <f t="shared" si="8"/>
        <v>0</v>
      </c>
      <c r="Q149" s="28"/>
      <c r="DH149" s="4" t="s">
        <v>94</v>
      </c>
      <c r="DI149" s="4" t="s">
        <v>221</v>
      </c>
      <c r="DZ149" s="8">
        <v>148</v>
      </c>
      <c r="EA149" s="41" t="s">
        <v>220</v>
      </c>
      <c r="EB149" s="10">
        <v>0</v>
      </c>
    </row>
    <row r="150" spans="9:132">
      <c r="I150" s="8">
        <v>148</v>
      </c>
      <c r="J150" s="41" t="s">
        <v>220</v>
      </c>
      <c r="K150" s="94"/>
      <c r="L150">
        <f t="shared" si="7"/>
        <v>16800</v>
      </c>
      <c r="M150">
        <f>_xlfn.IFNA(VLOOKUP(J150,[1]Sheet1!B:E,4,FALSE),"NOT FOUND")</f>
        <v>23465.289999999997</v>
      </c>
      <c r="N150" t="b">
        <f t="shared" si="8"/>
        <v>0</v>
      </c>
      <c r="Q150" s="28"/>
      <c r="DH150" s="4" t="s">
        <v>222</v>
      </c>
      <c r="DI150" s="4" t="s">
        <v>221</v>
      </c>
      <c r="DZ150" s="8">
        <v>149</v>
      </c>
      <c r="EA150" s="44" t="s">
        <v>94</v>
      </c>
      <c r="EB150" s="10">
        <v>3000</v>
      </c>
    </row>
    <row r="151" spans="9:132">
      <c r="I151" s="8">
        <v>149</v>
      </c>
      <c r="J151" s="44" t="s">
        <v>94</v>
      </c>
      <c r="K151" s="92">
        <v>2095</v>
      </c>
      <c r="L151">
        <f t="shared" si="7"/>
        <v>2095</v>
      </c>
      <c r="M151">
        <f>_xlfn.IFNA(VLOOKUP(J151,[1]Sheet1!B:E,4,FALSE),"NOT FOUND")</f>
        <v>2095.96</v>
      </c>
      <c r="N151" t="b">
        <f t="shared" si="8"/>
        <v>0</v>
      </c>
      <c r="Q151" s="28"/>
      <c r="DH151" s="4" t="s">
        <v>223</v>
      </c>
      <c r="DI151" s="4" t="s">
        <v>221</v>
      </c>
      <c r="DZ151" s="8">
        <v>150</v>
      </c>
      <c r="EA151" s="44" t="s">
        <v>222</v>
      </c>
      <c r="EB151" s="10">
        <v>0</v>
      </c>
    </row>
    <row r="152" spans="9:132">
      <c r="I152" s="8">
        <v>150</v>
      </c>
      <c r="J152" s="44" t="s">
        <v>222</v>
      </c>
      <c r="K152" s="93"/>
      <c r="L152">
        <f t="shared" si="7"/>
        <v>2095</v>
      </c>
      <c r="M152">
        <f>_xlfn.IFNA(VLOOKUP(J152,[1]Sheet1!B:E,4,FALSE),"NOT FOUND")</f>
        <v>2095.96</v>
      </c>
      <c r="N152" t="b">
        <f t="shared" si="8"/>
        <v>0</v>
      </c>
      <c r="Q152" s="28"/>
      <c r="DH152" s="4" t="s">
        <v>224</v>
      </c>
      <c r="DI152" s="4" t="s">
        <v>221</v>
      </c>
      <c r="DZ152" s="8">
        <v>151</v>
      </c>
      <c r="EA152" s="44" t="s">
        <v>223</v>
      </c>
      <c r="EB152" s="10">
        <v>0</v>
      </c>
    </row>
    <row r="153" spans="9:132">
      <c r="I153" s="8">
        <v>151</v>
      </c>
      <c r="J153" s="44" t="s">
        <v>223</v>
      </c>
      <c r="K153" s="93"/>
      <c r="L153">
        <f t="shared" si="7"/>
        <v>2095</v>
      </c>
      <c r="M153">
        <f>_xlfn.IFNA(VLOOKUP(J153,[1]Sheet1!B:E,4,FALSE),"NOT FOUND")</f>
        <v>2095.96</v>
      </c>
      <c r="N153" t="b">
        <f t="shared" si="8"/>
        <v>0</v>
      </c>
      <c r="Q153" s="28"/>
      <c r="DH153" s="4" t="s">
        <v>97</v>
      </c>
      <c r="DI153" s="11" t="s">
        <v>308</v>
      </c>
      <c r="DZ153" s="8">
        <v>152</v>
      </c>
      <c r="EA153" s="44" t="s">
        <v>224</v>
      </c>
      <c r="EB153" s="10">
        <v>0</v>
      </c>
    </row>
    <row r="154" spans="9:132">
      <c r="I154" s="8">
        <v>152</v>
      </c>
      <c r="J154" s="44" t="s">
        <v>224</v>
      </c>
      <c r="K154" s="94"/>
      <c r="L154">
        <f t="shared" si="7"/>
        <v>2095</v>
      </c>
      <c r="M154">
        <f>_xlfn.IFNA(VLOOKUP(J154,[1]Sheet1!B:E,4,FALSE),"NOT FOUND")</f>
        <v>2095.96</v>
      </c>
      <c r="N154" t="b">
        <f t="shared" si="8"/>
        <v>0</v>
      </c>
      <c r="Q154" s="28"/>
      <c r="DH154" s="4" t="s">
        <v>225</v>
      </c>
      <c r="DI154" s="4" t="s">
        <v>308</v>
      </c>
      <c r="DZ154" s="8">
        <v>153</v>
      </c>
      <c r="EA154" s="45" t="s">
        <v>97</v>
      </c>
      <c r="EB154" s="10">
        <v>500</v>
      </c>
    </row>
    <row r="155" spans="9:132">
      <c r="I155" s="8">
        <v>153</v>
      </c>
      <c r="J155" s="45" t="s">
        <v>97</v>
      </c>
      <c r="K155" s="92">
        <v>200</v>
      </c>
      <c r="L155">
        <f t="shared" si="7"/>
        <v>200</v>
      </c>
      <c r="M155">
        <f>_xlfn.IFNA(VLOOKUP(J155,[1]Sheet1!B:E,4,FALSE),"NOT FOUND")</f>
        <v>200</v>
      </c>
      <c r="N155" t="b">
        <f t="shared" si="8"/>
        <v>1</v>
      </c>
      <c r="Q155" s="28"/>
      <c r="DH155" s="4" t="s">
        <v>226</v>
      </c>
      <c r="DI155" s="4" t="s">
        <v>308</v>
      </c>
      <c r="DZ155" s="8">
        <v>154</v>
      </c>
      <c r="EA155" s="45" t="s">
        <v>225</v>
      </c>
      <c r="EB155" s="10">
        <v>0</v>
      </c>
    </row>
    <row r="156" spans="9:132">
      <c r="I156" s="8">
        <v>154</v>
      </c>
      <c r="J156" s="45" t="s">
        <v>225</v>
      </c>
      <c r="K156" s="93"/>
      <c r="L156">
        <f t="shared" si="7"/>
        <v>200</v>
      </c>
      <c r="M156">
        <f>_xlfn.IFNA(VLOOKUP(J156,[1]Sheet1!B:E,4,FALSE),"NOT FOUND")</f>
        <v>200</v>
      </c>
      <c r="N156" t="b">
        <f t="shared" si="8"/>
        <v>1</v>
      </c>
      <c r="Q156" s="28"/>
      <c r="DH156" s="4" t="s">
        <v>227</v>
      </c>
      <c r="DI156" s="4" t="s">
        <v>308</v>
      </c>
      <c r="DZ156" s="8">
        <v>155</v>
      </c>
      <c r="EA156" s="45" t="s">
        <v>226</v>
      </c>
      <c r="EB156" s="10">
        <v>0</v>
      </c>
    </row>
    <row r="157" spans="9:132">
      <c r="I157" s="8">
        <v>155</v>
      </c>
      <c r="J157" s="45" t="s">
        <v>226</v>
      </c>
      <c r="K157" s="93"/>
      <c r="L157">
        <f t="shared" si="7"/>
        <v>200</v>
      </c>
      <c r="M157">
        <f>_xlfn.IFNA(VLOOKUP(J157,[1]Sheet1!B:E,4,FALSE),"NOT FOUND")</f>
        <v>200</v>
      </c>
      <c r="N157" t="b">
        <f t="shared" si="8"/>
        <v>1</v>
      </c>
      <c r="Q157" s="28"/>
      <c r="DH157" s="4" t="s">
        <v>100</v>
      </c>
      <c r="DI157" s="4" t="s">
        <v>309</v>
      </c>
      <c r="DZ157" s="8">
        <v>156</v>
      </c>
      <c r="EA157" s="45" t="s">
        <v>227</v>
      </c>
      <c r="EB157" s="10">
        <v>0</v>
      </c>
    </row>
    <row r="158" spans="9:132">
      <c r="I158" s="8">
        <v>156</v>
      </c>
      <c r="J158" s="45" t="s">
        <v>227</v>
      </c>
      <c r="K158" s="94"/>
      <c r="L158">
        <f t="shared" si="7"/>
        <v>200</v>
      </c>
      <c r="M158">
        <f>_xlfn.IFNA(VLOOKUP(J158,[1]Sheet1!B:E,4,FALSE),"NOT FOUND")</f>
        <v>200</v>
      </c>
      <c r="N158" t="b">
        <f t="shared" si="8"/>
        <v>1</v>
      </c>
      <c r="Q158" s="28"/>
      <c r="DH158" s="4" t="s">
        <v>228</v>
      </c>
      <c r="DI158" s="4" t="s">
        <v>309</v>
      </c>
      <c r="DZ158" s="8">
        <v>157</v>
      </c>
      <c r="EA158" s="46" t="s">
        <v>100</v>
      </c>
      <c r="EB158" s="10">
        <v>1800</v>
      </c>
    </row>
    <row r="159" spans="9:132">
      <c r="I159" s="8">
        <v>157</v>
      </c>
      <c r="J159" s="46" t="s">
        <v>100</v>
      </c>
      <c r="K159" s="92">
        <v>1730</v>
      </c>
      <c r="L159">
        <f t="shared" si="7"/>
        <v>1730</v>
      </c>
      <c r="M159">
        <f>_xlfn.IFNA(VLOOKUP(J159,[1]Sheet1!B:E,4,FALSE),"NOT FOUND")</f>
        <v>1682.6100000000001</v>
      </c>
      <c r="N159" t="b">
        <f t="shared" si="8"/>
        <v>0</v>
      </c>
      <c r="Q159" s="28"/>
      <c r="DH159" s="4" t="s">
        <v>229</v>
      </c>
      <c r="DI159" s="4" t="s">
        <v>309</v>
      </c>
      <c r="DZ159" s="8">
        <v>158</v>
      </c>
      <c r="EA159" s="46" t="s">
        <v>228</v>
      </c>
      <c r="EB159" s="10">
        <v>0</v>
      </c>
    </row>
    <row r="160" spans="9:132">
      <c r="I160" s="8">
        <v>158</v>
      </c>
      <c r="J160" s="46" t="s">
        <v>228</v>
      </c>
      <c r="K160" s="93"/>
      <c r="L160">
        <f t="shared" si="7"/>
        <v>1730</v>
      </c>
      <c r="M160">
        <f>_xlfn.IFNA(VLOOKUP(J160,[1]Sheet1!B:E,4,FALSE),"NOT FOUND")</f>
        <v>1682.6100000000001</v>
      </c>
      <c r="N160" t="b">
        <f t="shared" si="8"/>
        <v>0</v>
      </c>
      <c r="Q160" s="28"/>
      <c r="DH160" s="4" t="s">
        <v>230</v>
      </c>
      <c r="DI160" s="4" t="s">
        <v>309</v>
      </c>
      <c r="DZ160" s="8">
        <v>159</v>
      </c>
      <c r="EA160" s="46" t="s">
        <v>229</v>
      </c>
      <c r="EB160" s="10">
        <v>0</v>
      </c>
    </row>
    <row r="161" spans="9:132">
      <c r="I161" s="8">
        <v>159</v>
      </c>
      <c r="J161" s="46" t="s">
        <v>229</v>
      </c>
      <c r="K161" s="93"/>
      <c r="L161">
        <f t="shared" si="7"/>
        <v>1730</v>
      </c>
      <c r="M161">
        <f>_xlfn.IFNA(VLOOKUP(J161,[1]Sheet1!B:E,4,FALSE),"NOT FOUND")</f>
        <v>1682.6100000000001</v>
      </c>
      <c r="N161" t="b">
        <f t="shared" si="8"/>
        <v>0</v>
      </c>
      <c r="Q161" s="28"/>
      <c r="DH161" s="4" t="s">
        <v>102</v>
      </c>
      <c r="DI161" s="4" t="s">
        <v>310</v>
      </c>
      <c r="DZ161" s="8">
        <v>160</v>
      </c>
      <c r="EA161" s="46" t="s">
        <v>230</v>
      </c>
      <c r="EB161" s="10">
        <v>0</v>
      </c>
    </row>
    <row r="162" spans="9:132">
      <c r="I162" s="8">
        <v>160</v>
      </c>
      <c r="J162" s="46" t="s">
        <v>230</v>
      </c>
      <c r="K162" s="94"/>
      <c r="L162">
        <f t="shared" si="7"/>
        <v>1730</v>
      </c>
      <c r="M162">
        <f>_xlfn.IFNA(VLOOKUP(J162,[1]Sheet1!B:E,4,FALSE),"NOT FOUND")</f>
        <v>1682.6100000000001</v>
      </c>
      <c r="N162" t="b">
        <f t="shared" si="8"/>
        <v>0</v>
      </c>
      <c r="Q162" s="28"/>
      <c r="DH162" s="4" t="s">
        <v>231</v>
      </c>
      <c r="DI162" s="4" t="s">
        <v>310</v>
      </c>
      <c r="DZ162" s="8">
        <v>161</v>
      </c>
      <c r="EA162" s="41" t="s">
        <v>102</v>
      </c>
      <c r="EB162" s="10">
        <v>1000</v>
      </c>
    </row>
    <row r="163" spans="9:132">
      <c r="I163" s="8">
        <v>161</v>
      </c>
      <c r="J163" s="41" t="s">
        <v>102</v>
      </c>
      <c r="K163" s="92">
        <v>1020</v>
      </c>
      <c r="L163">
        <f t="shared" si="7"/>
        <v>1020</v>
      </c>
      <c r="M163">
        <f>_xlfn.IFNA(VLOOKUP(J163,[1]Sheet1!B:E,4,FALSE),"NOT FOUND")</f>
        <v>764.4</v>
      </c>
      <c r="N163" t="b">
        <f t="shared" si="8"/>
        <v>0</v>
      </c>
      <c r="Q163" s="28"/>
      <c r="DH163" s="4" t="s">
        <v>232</v>
      </c>
      <c r="DI163" s="4" t="s">
        <v>310</v>
      </c>
      <c r="DZ163" s="8">
        <v>162</v>
      </c>
      <c r="EA163" s="41" t="s">
        <v>231</v>
      </c>
      <c r="EB163" s="10">
        <v>0</v>
      </c>
    </row>
    <row r="164" spans="9:132">
      <c r="I164" s="8">
        <v>162</v>
      </c>
      <c r="J164" s="41" t="s">
        <v>231</v>
      </c>
      <c r="K164" s="93"/>
      <c r="L164">
        <f t="shared" si="7"/>
        <v>1020</v>
      </c>
      <c r="M164">
        <f>_xlfn.IFNA(VLOOKUP(J164,[1]Sheet1!B:E,4,FALSE),"NOT FOUND")</f>
        <v>764.4</v>
      </c>
      <c r="N164" t="b">
        <f t="shared" si="8"/>
        <v>0</v>
      </c>
      <c r="Q164" s="28"/>
      <c r="DH164" s="4" t="s">
        <v>233</v>
      </c>
      <c r="DI164" s="4" t="s">
        <v>310</v>
      </c>
      <c r="DZ164" s="8">
        <v>163</v>
      </c>
      <c r="EA164" s="41" t="s">
        <v>232</v>
      </c>
      <c r="EB164" s="10">
        <v>0</v>
      </c>
    </row>
    <row r="165" spans="9:132">
      <c r="I165" s="8">
        <v>163</v>
      </c>
      <c r="J165" s="41" t="s">
        <v>232</v>
      </c>
      <c r="K165" s="93"/>
      <c r="L165">
        <f t="shared" si="7"/>
        <v>1020</v>
      </c>
      <c r="M165">
        <f>_xlfn.IFNA(VLOOKUP(J165,[1]Sheet1!B:E,4,FALSE),"NOT FOUND")</f>
        <v>764.4</v>
      </c>
      <c r="N165" t="b">
        <f t="shared" si="8"/>
        <v>0</v>
      </c>
      <c r="Q165" s="28"/>
      <c r="DH165" s="4" t="s">
        <v>105</v>
      </c>
      <c r="DI165" s="4" t="s">
        <v>311</v>
      </c>
      <c r="DZ165" s="8">
        <v>164</v>
      </c>
      <c r="EA165" s="41" t="s">
        <v>233</v>
      </c>
      <c r="EB165" s="10">
        <v>0</v>
      </c>
    </row>
    <row r="166" spans="9:132">
      <c r="I166" s="8">
        <v>164</v>
      </c>
      <c r="J166" s="41" t="s">
        <v>233</v>
      </c>
      <c r="K166" s="94"/>
      <c r="L166">
        <f t="shared" si="7"/>
        <v>1020</v>
      </c>
      <c r="M166">
        <f>_xlfn.IFNA(VLOOKUP(J166,[1]Sheet1!B:E,4,FALSE),"NOT FOUND")</f>
        <v>764.4</v>
      </c>
      <c r="N166" t="b">
        <f t="shared" si="8"/>
        <v>0</v>
      </c>
      <c r="Q166" s="28"/>
      <c r="DH166" s="4" t="s">
        <v>234</v>
      </c>
      <c r="DI166" s="4" t="s">
        <v>311</v>
      </c>
      <c r="DZ166" s="8">
        <v>165</v>
      </c>
      <c r="EA166" s="32" t="s">
        <v>105</v>
      </c>
      <c r="EB166" s="10">
        <v>2000</v>
      </c>
    </row>
    <row r="167" spans="9:132">
      <c r="I167" s="8">
        <v>165</v>
      </c>
      <c r="J167" s="32" t="s">
        <v>105</v>
      </c>
      <c r="K167" s="92">
        <v>2000</v>
      </c>
      <c r="L167">
        <f t="shared" si="7"/>
        <v>2000</v>
      </c>
      <c r="M167">
        <f>_xlfn.IFNA(VLOOKUP(J167,[1]Sheet1!B:E,4,FALSE),"NOT FOUND")</f>
        <v>2312.8199999999997</v>
      </c>
      <c r="N167" t="b">
        <f t="shared" si="8"/>
        <v>0</v>
      </c>
      <c r="Q167" s="28"/>
      <c r="DH167" s="4" t="s">
        <v>235</v>
      </c>
      <c r="DI167" s="4" t="s">
        <v>311</v>
      </c>
      <c r="DZ167" s="8">
        <v>166</v>
      </c>
      <c r="EA167" s="32" t="s">
        <v>234</v>
      </c>
      <c r="EB167" s="10">
        <v>0</v>
      </c>
    </row>
    <row r="168" spans="9:132">
      <c r="I168" s="8">
        <v>166</v>
      </c>
      <c r="J168" s="32" t="s">
        <v>234</v>
      </c>
      <c r="K168" s="93"/>
      <c r="L168">
        <f t="shared" si="7"/>
        <v>2000</v>
      </c>
      <c r="M168">
        <f>_xlfn.IFNA(VLOOKUP(J168,[1]Sheet1!B:E,4,FALSE),"NOT FOUND")</f>
        <v>2312.8199999999997</v>
      </c>
      <c r="N168" t="b">
        <f t="shared" si="8"/>
        <v>0</v>
      </c>
      <c r="Q168" s="28"/>
      <c r="DH168" s="4" t="s">
        <v>236</v>
      </c>
      <c r="DI168" s="4" t="s">
        <v>311</v>
      </c>
      <c r="DZ168" s="8">
        <v>167</v>
      </c>
      <c r="EA168" s="32" t="s">
        <v>235</v>
      </c>
      <c r="EB168" s="10">
        <v>0</v>
      </c>
    </row>
    <row r="169" spans="9:132">
      <c r="I169" s="8">
        <v>167</v>
      </c>
      <c r="J169" s="32" t="s">
        <v>235</v>
      </c>
      <c r="K169" s="93"/>
      <c r="L169">
        <f t="shared" si="7"/>
        <v>2000</v>
      </c>
      <c r="M169">
        <f>_xlfn.IFNA(VLOOKUP(J169,[1]Sheet1!B:E,4,FALSE),"NOT FOUND")</f>
        <v>2312.8199999999997</v>
      </c>
      <c r="N169" t="b">
        <f t="shared" si="8"/>
        <v>0</v>
      </c>
      <c r="Q169" s="28"/>
      <c r="DH169" s="4" t="s">
        <v>109</v>
      </c>
      <c r="DI169" s="4" t="s">
        <v>312</v>
      </c>
      <c r="DZ169" s="8">
        <v>168</v>
      </c>
      <c r="EA169" s="32" t="s">
        <v>236</v>
      </c>
      <c r="EB169" s="10">
        <v>0</v>
      </c>
    </row>
    <row r="170" spans="9:132">
      <c r="I170" s="8">
        <v>168</v>
      </c>
      <c r="J170" s="32" t="s">
        <v>236</v>
      </c>
      <c r="K170" s="94"/>
      <c r="L170">
        <f t="shared" si="7"/>
        <v>2000</v>
      </c>
      <c r="M170">
        <f>_xlfn.IFNA(VLOOKUP(J170,[1]Sheet1!B:E,4,FALSE),"NOT FOUND")</f>
        <v>2312.8199999999997</v>
      </c>
      <c r="N170" t="b">
        <f t="shared" si="8"/>
        <v>0</v>
      </c>
      <c r="Q170" s="28"/>
      <c r="DH170" s="4" t="s">
        <v>237</v>
      </c>
      <c r="DI170" s="4" t="s">
        <v>312</v>
      </c>
      <c r="DZ170" s="8">
        <v>169</v>
      </c>
      <c r="EA170" s="29" t="s">
        <v>109</v>
      </c>
      <c r="EB170" s="10">
        <v>2000</v>
      </c>
    </row>
    <row r="171" spans="9:132">
      <c r="I171" s="8">
        <v>169</v>
      </c>
      <c r="J171" s="29" t="s">
        <v>109</v>
      </c>
      <c r="K171" s="92">
        <v>400</v>
      </c>
      <c r="L171">
        <f t="shared" si="7"/>
        <v>400</v>
      </c>
      <c r="M171">
        <f>_xlfn.IFNA(VLOOKUP(J171,[1]Sheet1!B:E,4,FALSE),"NOT FOUND")</f>
        <v>943.01</v>
      </c>
      <c r="N171" t="b">
        <f t="shared" si="8"/>
        <v>0</v>
      </c>
      <c r="Q171" s="28"/>
      <c r="DH171" s="4" t="s">
        <v>238</v>
      </c>
      <c r="DI171" s="4" t="s">
        <v>312</v>
      </c>
      <c r="DZ171" s="8">
        <v>170</v>
      </c>
      <c r="EA171" s="29" t="s">
        <v>237</v>
      </c>
      <c r="EB171" s="10">
        <v>0</v>
      </c>
    </row>
    <row r="172" spans="9:132">
      <c r="I172" s="8">
        <v>170</v>
      </c>
      <c r="J172" s="29" t="s">
        <v>237</v>
      </c>
      <c r="K172" s="93"/>
      <c r="L172">
        <f t="shared" si="7"/>
        <v>400</v>
      </c>
      <c r="M172">
        <f>_xlfn.IFNA(VLOOKUP(J172,[1]Sheet1!B:E,4,FALSE),"NOT FOUND")</f>
        <v>943.01</v>
      </c>
      <c r="N172" t="b">
        <f t="shared" si="8"/>
        <v>0</v>
      </c>
      <c r="Q172" s="28"/>
      <c r="DH172" s="4" t="s">
        <v>239</v>
      </c>
      <c r="DI172" s="4" t="s">
        <v>312</v>
      </c>
      <c r="DZ172" s="8">
        <v>171</v>
      </c>
      <c r="EA172" s="29" t="s">
        <v>238</v>
      </c>
      <c r="EB172" s="10">
        <v>0</v>
      </c>
    </row>
    <row r="173" spans="9:132">
      <c r="I173" s="8">
        <v>171</v>
      </c>
      <c r="J173" s="29" t="s">
        <v>238</v>
      </c>
      <c r="K173" s="93"/>
      <c r="L173">
        <f t="shared" si="7"/>
        <v>400</v>
      </c>
      <c r="M173">
        <f>_xlfn.IFNA(VLOOKUP(J173,[1]Sheet1!B:E,4,FALSE),"NOT FOUND")</f>
        <v>943.01</v>
      </c>
      <c r="N173" t="b">
        <f t="shared" si="8"/>
        <v>0</v>
      </c>
      <c r="Q173" s="28"/>
      <c r="DH173" s="4" t="s">
        <v>113</v>
      </c>
      <c r="DI173" s="4" t="s">
        <v>278</v>
      </c>
      <c r="DZ173" s="8">
        <v>172</v>
      </c>
      <c r="EA173" s="29" t="s">
        <v>239</v>
      </c>
      <c r="EB173" s="10">
        <v>0</v>
      </c>
    </row>
    <row r="174" spans="9:132">
      <c r="I174" s="8">
        <v>172</v>
      </c>
      <c r="J174" s="29" t="s">
        <v>239</v>
      </c>
      <c r="K174" s="94"/>
      <c r="L174">
        <f t="shared" si="7"/>
        <v>400</v>
      </c>
      <c r="M174">
        <f>_xlfn.IFNA(VLOOKUP(J174,[1]Sheet1!B:E,4,FALSE),"NOT FOUND")</f>
        <v>943.01</v>
      </c>
      <c r="N174" t="b">
        <f t="shared" si="8"/>
        <v>0</v>
      </c>
      <c r="Q174" s="28"/>
      <c r="DH174" s="4" t="s">
        <v>240</v>
      </c>
      <c r="DI174" s="4" t="s">
        <v>278</v>
      </c>
      <c r="DZ174" s="8">
        <v>173</v>
      </c>
      <c r="EA174" s="25" t="s">
        <v>113</v>
      </c>
      <c r="EB174" s="10">
        <v>8000</v>
      </c>
    </row>
    <row r="175" spans="9:132">
      <c r="I175" s="8">
        <v>173</v>
      </c>
      <c r="J175" s="25" t="s">
        <v>113</v>
      </c>
      <c r="K175" s="92">
        <v>2500</v>
      </c>
      <c r="L175">
        <f t="shared" si="7"/>
        <v>2500</v>
      </c>
      <c r="M175">
        <f>_xlfn.IFNA(VLOOKUP(J175,[1]Sheet1!B:E,4,FALSE),"NOT FOUND")</f>
        <v>5256.43</v>
      </c>
      <c r="N175" t="b">
        <f t="shared" si="8"/>
        <v>0</v>
      </c>
      <c r="Q175" s="28"/>
      <c r="DH175" s="4" t="s">
        <v>241</v>
      </c>
      <c r="DI175" s="4" t="s">
        <v>278</v>
      </c>
      <c r="DZ175" s="8">
        <v>174</v>
      </c>
      <c r="EA175" s="25" t="s">
        <v>240</v>
      </c>
      <c r="EB175" s="10">
        <v>0</v>
      </c>
    </row>
    <row r="176" spans="9:132">
      <c r="I176" s="8">
        <v>174</v>
      </c>
      <c r="J176" s="25" t="s">
        <v>240</v>
      </c>
      <c r="K176" s="93"/>
      <c r="L176">
        <f t="shared" si="7"/>
        <v>2500</v>
      </c>
      <c r="M176">
        <f>_xlfn.IFNA(VLOOKUP(J176,[1]Sheet1!B:E,4,FALSE),"NOT FOUND")</f>
        <v>5256.43</v>
      </c>
      <c r="N176" t="b">
        <f t="shared" si="8"/>
        <v>0</v>
      </c>
      <c r="Q176" s="28"/>
      <c r="DH176" s="4" t="s">
        <v>242</v>
      </c>
      <c r="DI176" s="4" t="s">
        <v>278</v>
      </c>
      <c r="DZ176" s="8">
        <v>175</v>
      </c>
      <c r="EA176" s="25" t="s">
        <v>241</v>
      </c>
      <c r="EB176" s="10">
        <v>0</v>
      </c>
    </row>
    <row r="177" spans="9:132">
      <c r="I177" s="8">
        <v>175</v>
      </c>
      <c r="J177" s="25" t="s">
        <v>241</v>
      </c>
      <c r="K177" s="93"/>
      <c r="L177">
        <f t="shared" si="7"/>
        <v>2500</v>
      </c>
      <c r="M177">
        <f>_xlfn.IFNA(VLOOKUP(J177,[1]Sheet1!B:E,4,FALSE),"NOT FOUND")</f>
        <v>5256.43</v>
      </c>
      <c r="N177" t="b">
        <f t="shared" si="8"/>
        <v>0</v>
      </c>
      <c r="Q177" s="28"/>
      <c r="DH177" s="4" t="s">
        <v>117</v>
      </c>
      <c r="DI177" s="4" t="s">
        <v>313</v>
      </c>
      <c r="DZ177" s="8">
        <v>176</v>
      </c>
      <c r="EA177" s="25" t="s">
        <v>242</v>
      </c>
      <c r="EB177" s="10">
        <v>0</v>
      </c>
    </row>
    <row r="178" spans="9:132">
      <c r="I178" s="8">
        <v>176</v>
      </c>
      <c r="J178" s="25" t="s">
        <v>242</v>
      </c>
      <c r="K178" s="94"/>
      <c r="L178">
        <f t="shared" si="7"/>
        <v>2500</v>
      </c>
      <c r="M178">
        <f>_xlfn.IFNA(VLOOKUP(J178,[1]Sheet1!B:E,4,FALSE),"NOT FOUND")</f>
        <v>5256.43</v>
      </c>
      <c r="N178" t="b">
        <f t="shared" si="8"/>
        <v>0</v>
      </c>
      <c r="Q178" s="28"/>
      <c r="DH178" s="4" t="s">
        <v>243</v>
      </c>
      <c r="DI178" s="4" t="s">
        <v>313</v>
      </c>
      <c r="DZ178" s="8">
        <v>177</v>
      </c>
      <c r="EA178" s="43" t="s">
        <v>117</v>
      </c>
      <c r="EB178" s="10">
        <v>0</v>
      </c>
    </row>
    <row r="179" spans="9:132">
      <c r="I179" s="8">
        <v>177</v>
      </c>
      <c r="J179" s="43" t="s">
        <v>117</v>
      </c>
      <c r="K179" s="92">
        <v>0</v>
      </c>
      <c r="L179">
        <f t="shared" si="7"/>
        <v>0</v>
      </c>
      <c r="M179">
        <f>_xlfn.IFNA(VLOOKUP(J179,[1]Sheet1!B:E,4,FALSE),"NOT FOUND")</f>
        <v>5256.43</v>
      </c>
      <c r="N179" t="b">
        <f t="shared" si="8"/>
        <v>0</v>
      </c>
      <c r="Q179" s="28"/>
      <c r="DH179" s="4" t="s">
        <v>244</v>
      </c>
      <c r="DI179" s="4" t="s">
        <v>313</v>
      </c>
      <c r="DZ179" s="8">
        <v>178</v>
      </c>
      <c r="EA179" s="43" t="s">
        <v>243</v>
      </c>
      <c r="EB179" s="10">
        <v>0</v>
      </c>
    </row>
    <row r="180" spans="9:132">
      <c r="I180" s="8">
        <v>178</v>
      </c>
      <c r="J180" s="43" t="s">
        <v>243</v>
      </c>
      <c r="K180" s="93"/>
      <c r="L180">
        <f t="shared" si="7"/>
        <v>0</v>
      </c>
      <c r="M180">
        <f>_xlfn.IFNA(VLOOKUP(J180,[1]Sheet1!B:E,4,FALSE),"NOT FOUND")</f>
        <v>5256.43</v>
      </c>
      <c r="N180" t="b">
        <f t="shared" si="8"/>
        <v>0</v>
      </c>
      <c r="Q180" s="28"/>
      <c r="DH180" s="4" t="s">
        <v>245</v>
      </c>
      <c r="DI180" s="4" t="s">
        <v>313</v>
      </c>
      <c r="DZ180" s="8">
        <v>179</v>
      </c>
      <c r="EA180" s="43" t="s">
        <v>244</v>
      </c>
      <c r="EB180" s="10">
        <v>0</v>
      </c>
    </row>
    <row r="181" spans="9:132">
      <c r="I181" s="8">
        <v>179</v>
      </c>
      <c r="J181" s="43" t="s">
        <v>244</v>
      </c>
      <c r="K181" s="93"/>
      <c r="L181">
        <f t="shared" si="7"/>
        <v>0</v>
      </c>
      <c r="M181">
        <f>_xlfn.IFNA(VLOOKUP(J181,[1]Sheet1!B:E,4,FALSE),"NOT FOUND")</f>
        <v>5256.43</v>
      </c>
      <c r="N181" t="b">
        <f t="shared" si="8"/>
        <v>0</v>
      </c>
      <c r="Q181" s="28"/>
      <c r="DH181" s="4" t="s">
        <v>120</v>
      </c>
      <c r="DI181" s="4" t="s">
        <v>314</v>
      </c>
      <c r="DZ181" s="8">
        <v>180</v>
      </c>
      <c r="EA181" s="43" t="s">
        <v>245</v>
      </c>
      <c r="EB181" s="10">
        <v>0</v>
      </c>
    </row>
    <row r="182" spans="9:132">
      <c r="I182" s="8">
        <v>180</v>
      </c>
      <c r="J182" s="43" t="s">
        <v>245</v>
      </c>
      <c r="K182" s="94"/>
      <c r="L182">
        <f t="shared" si="7"/>
        <v>0</v>
      </c>
      <c r="M182">
        <f>_xlfn.IFNA(VLOOKUP(J182,[1]Sheet1!B:E,4,FALSE),"NOT FOUND")</f>
        <v>5256.43</v>
      </c>
      <c r="N182" t="b">
        <f t="shared" si="8"/>
        <v>0</v>
      </c>
      <c r="Q182" s="28"/>
      <c r="DH182" s="4" t="s">
        <v>246</v>
      </c>
      <c r="DI182" s="4" t="s">
        <v>314</v>
      </c>
      <c r="DZ182" s="8">
        <v>181</v>
      </c>
      <c r="EA182" s="25" t="s">
        <v>120</v>
      </c>
      <c r="EB182" s="10">
        <v>0</v>
      </c>
    </row>
    <row r="183" spans="9:132">
      <c r="I183" s="8">
        <v>181</v>
      </c>
      <c r="J183" s="25" t="s">
        <v>120</v>
      </c>
      <c r="K183" s="92">
        <v>0</v>
      </c>
      <c r="L183">
        <f t="shared" si="7"/>
        <v>0</v>
      </c>
      <c r="M183">
        <f>_xlfn.IFNA(VLOOKUP(J183,[1]Sheet1!B:E,4,FALSE),"NOT FOUND")</f>
        <v>5256.43</v>
      </c>
      <c r="N183" t="b">
        <f t="shared" si="8"/>
        <v>0</v>
      </c>
      <c r="Q183" s="28"/>
      <c r="DH183" s="4" t="s">
        <v>247</v>
      </c>
      <c r="DI183" s="4" t="s">
        <v>314</v>
      </c>
      <c r="DZ183" s="8">
        <v>182</v>
      </c>
      <c r="EA183" s="25" t="s">
        <v>246</v>
      </c>
      <c r="EB183" s="10">
        <v>0</v>
      </c>
    </row>
    <row r="184" spans="9:132">
      <c r="I184" s="8">
        <v>182</v>
      </c>
      <c r="J184" s="25" t="s">
        <v>246</v>
      </c>
      <c r="K184" s="93"/>
      <c r="L184">
        <f t="shared" si="7"/>
        <v>0</v>
      </c>
      <c r="M184">
        <f>_xlfn.IFNA(VLOOKUP(J184,[1]Sheet1!B:E,4,FALSE),"NOT FOUND")</f>
        <v>5256.43</v>
      </c>
      <c r="N184" t="b">
        <f t="shared" si="8"/>
        <v>0</v>
      </c>
      <c r="Q184" s="28"/>
      <c r="DH184" s="4" t="s">
        <v>248</v>
      </c>
      <c r="DI184" s="4" t="s">
        <v>314</v>
      </c>
      <c r="DZ184" s="8">
        <v>183</v>
      </c>
      <c r="EA184" s="25" t="s">
        <v>247</v>
      </c>
      <c r="EB184" s="10">
        <v>0</v>
      </c>
    </row>
    <row r="185" spans="9:132">
      <c r="I185" s="8">
        <v>183</v>
      </c>
      <c r="J185" s="25" t="s">
        <v>247</v>
      </c>
      <c r="K185" s="93"/>
      <c r="L185">
        <f t="shared" si="7"/>
        <v>0</v>
      </c>
      <c r="M185">
        <f>_xlfn.IFNA(VLOOKUP(J185,[1]Sheet1!B:E,4,FALSE),"NOT FOUND")</f>
        <v>5256.43</v>
      </c>
      <c r="N185" t="b">
        <f t="shared" si="8"/>
        <v>0</v>
      </c>
      <c r="Q185" s="28"/>
      <c r="DH185" s="4" t="s">
        <v>123</v>
      </c>
      <c r="DI185" s="4" t="s">
        <v>315</v>
      </c>
      <c r="DZ185" s="8">
        <v>184</v>
      </c>
      <c r="EA185" s="25" t="s">
        <v>248</v>
      </c>
      <c r="EB185" s="10">
        <v>0</v>
      </c>
    </row>
    <row r="186" spans="9:132">
      <c r="I186" s="8">
        <v>184</v>
      </c>
      <c r="J186" s="25" t="s">
        <v>248</v>
      </c>
      <c r="K186" s="94"/>
      <c r="L186">
        <f t="shared" si="7"/>
        <v>0</v>
      </c>
      <c r="M186">
        <f>_xlfn.IFNA(VLOOKUP(J186,[1]Sheet1!B:E,4,FALSE),"NOT FOUND")</f>
        <v>5256.43</v>
      </c>
      <c r="N186" t="b">
        <f t="shared" si="8"/>
        <v>0</v>
      </c>
      <c r="Q186" s="28"/>
      <c r="DH186" s="4" t="s">
        <v>249</v>
      </c>
      <c r="DI186" s="4" t="s">
        <v>315</v>
      </c>
      <c r="DZ186" s="8">
        <v>185</v>
      </c>
      <c r="EA186" s="27" t="s">
        <v>123</v>
      </c>
      <c r="EB186" s="10">
        <v>0</v>
      </c>
    </row>
    <row r="187" spans="9:132">
      <c r="I187" s="8">
        <v>185</v>
      </c>
      <c r="J187" s="27" t="s">
        <v>123</v>
      </c>
      <c r="K187" s="92">
        <v>0</v>
      </c>
      <c r="L187">
        <f t="shared" si="7"/>
        <v>0</v>
      </c>
      <c r="M187">
        <f>_xlfn.IFNA(VLOOKUP(J187,[1]Sheet1!B:E,4,FALSE),"NOT FOUND")</f>
        <v>5256.43</v>
      </c>
      <c r="N187" t="b">
        <f t="shared" si="8"/>
        <v>0</v>
      </c>
      <c r="Q187" s="28"/>
      <c r="DH187" s="4" t="s">
        <v>250</v>
      </c>
      <c r="DI187" s="4" t="s">
        <v>315</v>
      </c>
      <c r="DZ187" s="8">
        <v>186</v>
      </c>
      <c r="EA187" s="27" t="s">
        <v>249</v>
      </c>
      <c r="EB187" s="10">
        <v>0</v>
      </c>
    </row>
    <row r="188" spans="9:132">
      <c r="I188" s="8">
        <v>186</v>
      </c>
      <c r="J188" s="27" t="s">
        <v>249</v>
      </c>
      <c r="K188" s="93"/>
      <c r="L188">
        <f t="shared" si="7"/>
        <v>0</v>
      </c>
      <c r="M188">
        <f>_xlfn.IFNA(VLOOKUP(J188,[1]Sheet1!B:E,4,FALSE),"NOT FOUND")</f>
        <v>5256.43</v>
      </c>
      <c r="N188" t="b">
        <f t="shared" si="8"/>
        <v>0</v>
      </c>
      <c r="Q188" s="28"/>
      <c r="DH188" s="4" t="s">
        <v>251</v>
      </c>
      <c r="DI188" s="4" t="s">
        <v>315</v>
      </c>
      <c r="DZ188" s="8">
        <v>187</v>
      </c>
      <c r="EA188" s="27" t="s">
        <v>250</v>
      </c>
      <c r="EB188" s="10">
        <v>0</v>
      </c>
    </row>
    <row r="189" spans="9:132">
      <c r="I189" s="8">
        <v>187</v>
      </c>
      <c r="J189" s="27" t="s">
        <v>250</v>
      </c>
      <c r="K189" s="93"/>
      <c r="L189">
        <f t="shared" si="7"/>
        <v>0</v>
      </c>
      <c r="M189">
        <f>_xlfn.IFNA(VLOOKUP(J189,[1]Sheet1!B:E,4,FALSE),"NOT FOUND")</f>
        <v>5256.43</v>
      </c>
      <c r="N189" t="b">
        <f t="shared" si="8"/>
        <v>0</v>
      </c>
      <c r="Q189" s="28"/>
      <c r="DH189" s="4" t="s">
        <v>126</v>
      </c>
      <c r="DI189" s="4" t="s">
        <v>252</v>
      </c>
      <c r="DZ189" s="8">
        <v>188</v>
      </c>
      <c r="EA189" s="27" t="s">
        <v>251</v>
      </c>
      <c r="EB189" s="10">
        <v>0</v>
      </c>
    </row>
    <row r="190" spans="9:132">
      <c r="I190" s="8">
        <v>188</v>
      </c>
      <c r="J190" s="27" t="s">
        <v>251</v>
      </c>
      <c r="K190" s="94"/>
      <c r="L190">
        <f t="shared" si="7"/>
        <v>0</v>
      </c>
      <c r="M190">
        <f>_xlfn.IFNA(VLOOKUP(J190,[1]Sheet1!B:E,4,FALSE),"NOT FOUND")</f>
        <v>5256.43</v>
      </c>
      <c r="N190" t="b">
        <f t="shared" si="8"/>
        <v>0</v>
      </c>
      <c r="Q190" s="28"/>
      <c r="DH190" s="4" t="s">
        <v>253</v>
      </c>
      <c r="DI190" s="4" t="s">
        <v>252</v>
      </c>
      <c r="DZ190" s="8">
        <v>189</v>
      </c>
      <c r="EA190" s="47" t="s">
        <v>126</v>
      </c>
      <c r="EB190" s="10">
        <v>5000</v>
      </c>
    </row>
    <row r="191" spans="9:132">
      <c r="I191" s="8">
        <v>189</v>
      </c>
      <c r="J191" s="47" t="s">
        <v>126</v>
      </c>
      <c r="K191" s="92">
        <v>5000</v>
      </c>
      <c r="L191">
        <f t="shared" si="7"/>
        <v>5000</v>
      </c>
      <c r="M191">
        <f>_xlfn.IFNA(VLOOKUP(J191,[1]Sheet1!B:E,4,FALSE),"NOT FOUND")</f>
        <v>5000</v>
      </c>
      <c r="N191" t="b">
        <f t="shared" si="8"/>
        <v>1</v>
      </c>
      <c r="Q191" s="28"/>
      <c r="DH191" s="4" t="s">
        <v>254</v>
      </c>
      <c r="DI191" s="4" t="s">
        <v>252</v>
      </c>
      <c r="DZ191" s="8">
        <v>190</v>
      </c>
      <c r="EA191" s="47" t="s">
        <v>253</v>
      </c>
      <c r="EB191" s="10">
        <v>0</v>
      </c>
    </row>
    <row r="192" spans="9:132">
      <c r="I192" s="8">
        <v>190</v>
      </c>
      <c r="J192" s="47" t="s">
        <v>253</v>
      </c>
      <c r="K192" s="93"/>
      <c r="L192">
        <f t="shared" si="7"/>
        <v>5000</v>
      </c>
      <c r="M192">
        <f>_xlfn.IFNA(VLOOKUP(J192,[1]Sheet1!B:E,4,FALSE),"NOT FOUND")</f>
        <v>5000</v>
      </c>
      <c r="N192" t="b">
        <f t="shared" si="8"/>
        <v>1</v>
      </c>
      <c r="Q192" s="28"/>
      <c r="DH192" s="4" t="s">
        <v>255</v>
      </c>
      <c r="DI192" s="4" t="s">
        <v>252</v>
      </c>
      <c r="DZ192" s="8">
        <v>191</v>
      </c>
      <c r="EA192" s="47" t="s">
        <v>254</v>
      </c>
      <c r="EB192" s="10">
        <v>0</v>
      </c>
    </row>
    <row r="193" spans="9:132">
      <c r="I193" s="8">
        <v>191</v>
      </c>
      <c r="J193" s="47" t="s">
        <v>254</v>
      </c>
      <c r="K193" s="93"/>
      <c r="L193">
        <f t="shared" si="7"/>
        <v>5000</v>
      </c>
      <c r="M193">
        <f>_xlfn.IFNA(VLOOKUP(J193,[1]Sheet1!B:E,4,FALSE),"NOT FOUND")</f>
        <v>5000</v>
      </c>
      <c r="N193" t="b">
        <f t="shared" si="8"/>
        <v>1</v>
      </c>
      <c r="Q193" s="28"/>
      <c r="DH193" s="4" t="s">
        <v>129</v>
      </c>
      <c r="DI193" s="4" t="s">
        <v>316</v>
      </c>
      <c r="DZ193" s="8">
        <v>192</v>
      </c>
      <c r="EA193" s="47" t="s">
        <v>255</v>
      </c>
      <c r="EB193" s="10">
        <v>0</v>
      </c>
    </row>
    <row r="194" spans="9:132">
      <c r="I194" s="8">
        <v>192</v>
      </c>
      <c r="J194" s="47" t="s">
        <v>255</v>
      </c>
      <c r="K194" s="94"/>
      <c r="L194">
        <f t="shared" si="7"/>
        <v>5000</v>
      </c>
      <c r="M194">
        <f>_xlfn.IFNA(VLOOKUP(J194,[1]Sheet1!B:E,4,FALSE),"NOT FOUND")</f>
        <v>5000</v>
      </c>
      <c r="N194" t="b">
        <f t="shared" si="8"/>
        <v>1</v>
      </c>
      <c r="Q194" s="28"/>
      <c r="DH194" s="4" t="s">
        <v>256</v>
      </c>
      <c r="DI194" s="4" t="s">
        <v>316</v>
      </c>
      <c r="DZ194" s="8">
        <v>193</v>
      </c>
      <c r="EA194" s="24" t="s">
        <v>129</v>
      </c>
      <c r="EB194" s="10">
        <v>24000</v>
      </c>
    </row>
    <row r="195" spans="9:132">
      <c r="I195" s="55">
        <v>193</v>
      </c>
      <c r="J195" s="57" t="s">
        <v>129</v>
      </c>
      <c r="K195" s="92">
        <v>34000</v>
      </c>
      <c r="L195">
        <f t="shared" si="7"/>
        <v>34000</v>
      </c>
      <c r="M195">
        <f>_xlfn.IFNA(VLOOKUP(J195,[1]Sheet1!B:E,4,FALSE),"NOT FOUND")</f>
        <v>27000</v>
      </c>
      <c r="N195" t="b">
        <f t="shared" si="8"/>
        <v>0</v>
      </c>
      <c r="Q195" s="28"/>
      <c r="DH195" s="4" t="s">
        <v>257</v>
      </c>
      <c r="DI195" s="4" t="s">
        <v>316</v>
      </c>
      <c r="DZ195" s="8">
        <v>194</v>
      </c>
      <c r="EA195" s="24" t="s">
        <v>256</v>
      </c>
      <c r="EB195" s="10">
        <v>0</v>
      </c>
    </row>
    <row r="196" spans="9:132">
      <c r="I196" s="55">
        <v>194</v>
      </c>
      <c r="J196" s="57" t="s">
        <v>256</v>
      </c>
      <c r="K196" s="93"/>
      <c r="L196">
        <f t="shared" ref="L196:L223" si="9">IF(K196="",L195,K196)</f>
        <v>34000</v>
      </c>
      <c r="M196">
        <f>_xlfn.IFNA(VLOOKUP(J196,[1]Sheet1!B:E,4,FALSE),"NOT FOUND")</f>
        <v>27000</v>
      </c>
      <c r="N196" t="b">
        <f t="shared" ref="N196:N223" si="10">M196=L196</f>
        <v>0</v>
      </c>
      <c r="Q196" s="28"/>
      <c r="DH196" s="4" t="s">
        <v>258</v>
      </c>
      <c r="DI196" s="4" t="s">
        <v>316</v>
      </c>
      <c r="DZ196" s="8">
        <v>195</v>
      </c>
      <c r="EA196" s="24" t="s">
        <v>257</v>
      </c>
      <c r="EB196" s="10">
        <v>0</v>
      </c>
    </row>
    <row r="197" spans="9:132">
      <c r="I197" s="55">
        <v>195</v>
      </c>
      <c r="J197" s="57" t="s">
        <v>257</v>
      </c>
      <c r="K197" s="93"/>
      <c r="L197">
        <f t="shared" si="9"/>
        <v>34000</v>
      </c>
      <c r="M197">
        <f>_xlfn.IFNA(VLOOKUP(J197,[1]Sheet1!B:E,4,FALSE),"NOT FOUND")</f>
        <v>27000</v>
      </c>
      <c r="N197" t="b">
        <f t="shared" si="10"/>
        <v>0</v>
      </c>
      <c r="Q197" s="28"/>
      <c r="DH197" s="4" t="s">
        <v>132</v>
      </c>
      <c r="DI197" s="4" t="s">
        <v>279</v>
      </c>
      <c r="DZ197" s="8">
        <v>196</v>
      </c>
      <c r="EA197" s="24" t="s">
        <v>258</v>
      </c>
      <c r="EB197" s="10">
        <v>0</v>
      </c>
    </row>
    <row r="198" spans="9:132">
      <c r="I198" s="55">
        <v>196</v>
      </c>
      <c r="J198" s="57" t="s">
        <v>258</v>
      </c>
      <c r="K198" s="94"/>
      <c r="L198">
        <f t="shared" si="9"/>
        <v>34000</v>
      </c>
      <c r="M198">
        <f>_xlfn.IFNA(VLOOKUP(J198,[1]Sheet1!B:E,4,FALSE),"NOT FOUND")</f>
        <v>27000</v>
      </c>
      <c r="N198" t="b">
        <f t="shared" si="10"/>
        <v>0</v>
      </c>
      <c r="Q198" s="28"/>
      <c r="DH198" s="4" t="s">
        <v>259</v>
      </c>
      <c r="DI198" s="11" t="s">
        <v>279</v>
      </c>
      <c r="DZ198" s="8">
        <v>197</v>
      </c>
      <c r="EA198" s="29" t="s">
        <v>132</v>
      </c>
      <c r="EB198" s="10">
        <v>3000</v>
      </c>
    </row>
    <row r="199" spans="9:132">
      <c r="I199" s="55">
        <v>197</v>
      </c>
      <c r="J199" s="53" t="s">
        <v>132</v>
      </c>
      <c r="K199" s="56">
        <v>3000</v>
      </c>
      <c r="L199">
        <f t="shared" si="9"/>
        <v>3000</v>
      </c>
      <c r="M199">
        <f>_xlfn.IFNA(VLOOKUP(J199,[1]Sheet1!B:E,4,FALSE),"NOT FOUND")</f>
        <v>3000</v>
      </c>
      <c r="N199" t="b">
        <f t="shared" si="10"/>
        <v>1</v>
      </c>
      <c r="Q199" s="28"/>
      <c r="DH199" s="4" t="s">
        <v>260</v>
      </c>
      <c r="DI199" s="4" t="s">
        <v>279</v>
      </c>
      <c r="DZ199" s="8">
        <v>198</v>
      </c>
      <c r="EA199" s="29" t="s">
        <v>259</v>
      </c>
      <c r="EB199" s="10">
        <v>0</v>
      </c>
    </row>
    <row r="200" spans="9:132">
      <c r="I200" s="55">
        <v>198</v>
      </c>
      <c r="J200" s="53" t="s">
        <v>259</v>
      </c>
      <c r="K200" s="56"/>
      <c r="L200">
        <f t="shared" si="9"/>
        <v>3000</v>
      </c>
      <c r="M200">
        <f>_xlfn.IFNA(VLOOKUP(J200,[1]Sheet1!B:E,4,FALSE),"NOT FOUND")</f>
        <v>3000</v>
      </c>
      <c r="N200" t="b">
        <f t="shared" si="10"/>
        <v>1</v>
      </c>
      <c r="Q200" s="28"/>
      <c r="DH200" s="4" t="s">
        <v>261</v>
      </c>
      <c r="DI200" s="4" t="s">
        <v>279</v>
      </c>
      <c r="DZ200" s="8">
        <v>199</v>
      </c>
      <c r="EA200" s="29" t="s">
        <v>260</v>
      </c>
      <c r="EB200" s="10">
        <v>0</v>
      </c>
    </row>
    <row r="201" spans="9:132">
      <c r="I201" s="55">
        <v>199</v>
      </c>
      <c r="J201" s="53" t="s">
        <v>260</v>
      </c>
      <c r="K201" s="56"/>
      <c r="L201">
        <f t="shared" si="9"/>
        <v>3000</v>
      </c>
      <c r="M201">
        <f>_xlfn.IFNA(VLOOKUP(J201,[1]Sheet1!B:E,4,FALSE),"NOT FOUND")</f>
        <v>3000</v>
      </c>
      <c r="N201" t="b">
        <f t="shared" si="10"/>
        <v>1</v>
      </c>
      <c r="Q201" s="28"/>
      <c r="DZ201" s="8">
        <v>200</v>
      </c>
      <c r="EA201" s="29" t="s">
        <v>261</v>
      </c>
      <c r="EB201" s="10">
        <v>0</v>
      </c>
    </row>
    <row r="202" spans="9:132">
      <c r="I202" s="55">
        <v>200</v>
      </c>
      <c r="J202" s="53" t="s">
        <v>261</v>
      </c>
      <c r="K202" s="56"/>
      <c r="L202">
        <f t="shared" si="9"/>
        <v>3000</v>
      </c>
      <c r="M202">
        <f>_xlfn.IFNA(VLOOKUP(J202,[1]Sheet1!B:E,4,FALSE),"NOT FOUND")</f>
        <v>3000</v>
      </c>
      <c r="N202" t="b">
        <f t="shared" si="10"/>
        <v>1</v>
      </c>
      <c r="Q202" s="28"/>
    </row>
    <row r="203" spans="9:132">
      <c r="I203" s="55">
        <v>201</v>
      </c>
      <c r="J203" s="55" t="s">
        <v>317</v>
      </c>
      <c r="K203" s="56">
        <v>21536.61</v>
      </c>
      <c r="L203">
        <f t="shared" si="9"/>
        <v>21536.61</v>
      </c>
      <c r="M203">
        <f>_xlfn.IFNA(VLOOKUP(J203,[1]Sheet1!B:E,4,FALSE),"NOT FOUND")</f>
        <v>21536.61</v>
      </c>
      <c r="N203" t="b">
        <f t="shared" si="10"/>
        <v>1</v>
      </c>
      <c r="Q203" s="28"/>
    </row>
    <row r="204" spans="9:132">
      <c r="I204" s="55">
        <v>202</v>
      </c>
      <c r="J204" s="55" t="s">
        <v>318</v>
      </c>
      <c r="K204" s="56"/>
      <c r="L204">
        <f t="shared" si="9"/>
        <v>21536.61</v>
      </c>
      <c r="M204">
        <f>_xlfn.IFNA(VLOOKUP(J204,[1]Sheet1!B:E,4,FALSE),"NOT FOUND")</f>
        <v>21536.61</v>
      </c>
      <c r="N204" t="b">
        <f t="shared" si="10"/>
        <v>1</v>
      </c>
      <c r="Q204" s="28"/>
    </row>
    <row r="205" spans="9:132">
      <c r="I205" s="55">
        <v>203</v>
      </c>
      <c r="J205" s="55" t="s">
        <v>319</v>
      </c>
      <c r="K205" s="56"/>
      <c r="L205">
        <f t="shared" si="9"/>
        <v>21536.61</v>
      </c>
      <c r="M205">
        <f>_xlfn.IFNA(VLOOKUP(J205,[1]Sheet1!B:E,4,FALSE),"NOT FOUND")</f>
        <v>21536.61</v>
      </c>
      <c r="N205" t="b">
        <f t="shared" si="10"/>
        <v>1</v>
      </c>
      <c r="Q205" s="28"/>
    </row>
    <row r="206" spans="9:132">
      <c r="I206" s="55">
        <v>204</v>
      </c>
      <c r="J206" s="55" t="s">
        <v>320</v>
      </c>
      <c r="K206" s="56"/>
      <c r="L206">
        <f t="shared" si="9"/>
        <v>21536.61</v>
      </c>
      <c r="M206">
        <f>_xlfn.IFNA(VLOOKUP(J206,[1]Sheet1!B:E,4,FALSE),"NOT FOUND")</f>
        <v>21536.61</v>
      </c>
      <c r="N206" t="b">
        <f t="shared" si="10"/>
        <v>1</v>
      </c>
      <c r="Q206" s="28"/>
    </row>
    <row r="207" spans="9:132">
      <c r="I207" s="55">
        <v>205</v>
      </c>
      <c r="J207" s="55" t="s">
        <v>321</v>
      </c>
      <c r="K207" s="56"/>
      <c r="L207">
        <f t="shared" si="9"/>
        <v>21536.61</v>
      </c>
      <c r="M207">
        <f>_xlfn.IFNA(VLOOKUP(J207,[1]Sheet1!B:E,4,FALSE),"NOT FOUND")</f>
        <v>21536.61</v>
      </c>
      <c r="N207" t="b">
        <f t="shared" si="10"/>
        <v>1</v>
      </c>
      <c r="Q207" s="28"/>
    </row>
    <row r="208" spans="9:132">
      <c r="I208" s="55">
        <v>206</v>
      </c>
      <c r="J208" s="55" t="s">
        <v>322</v>
      </c>
      <c r="K208" s="56"/>
      <c r="L208">
        <f t="shared" si="9"/>
        <v>21536.61</v>
      </c>
      <c r="M208">
        <f>_xlfn.IFNA(VLOOKUP(J208,[1]Sheet1!B:E,4,FALSE),"NOT FOUND")</f>
        <v>21536.61</v>
      </c>
      <c r="N208" t="b">
        <f t="shared" si="10"/>
        <v>1</v>
      </c>
    </row>
    <row r="209" spans="9:14">
      <c r="I209" s="55">
        <v>207</v>
      </c>
      <c r="J209" s="55" t="s">
        <v>323</v>
      </c>
      <c r="K209" s="56"/>
      <c r="L209">
        <f t="shared" si="9"/>
        <v>21536.61</v>
      </c>
      <c r="M209">
        <f>_xlfn.IFNA(VLOOKUP(J209,[1]Sheet1!B:E,4,FALSE),"NOT FOUND")</f>
        <v>21536.61</v>
      </c>
      <c r="N209" t="b">
        <f t="shared" si="10"/>
        <v>1</v>
      </c>
    </row>
    <row r="210" spans="9:14">
      <c r="I210" s="55">
        <v>208</v>
      </c>
      <c r="J210" s="55" t="s">
        <v>324</v>
      </c>
      <c r="K210" s="56"/>
      <c r="L210">
        <f t="shared" si="9"/>
        <v>21536.61</v>
      </c>
      <c r="M210">
        <f>_xlfn.IFNA(VLOOKUP(J210,[1]Sheet1!B:E,4,FALSE),"NOT FOUND")</f>
        <v>21536.61</v>
      </c>
      <c r="N210" t="b">
        <f t="shared" si="10"/>
        <v>1</v>
      </c>
    </row>
    <row r="211" spans="9:14">
      <c r="I211" s="55">
        <v>209</v>
      </c>
      <c r="J211" s="55" t="s">
        <v>325</v>
      </c>
      <c r="K211" s="56"/>
      <c r="L211">
        <f t="shared" si="9"/>
        <v>21536.61</v>
      </c>
      <c r="M211">
        <f>_xlfn.IFNA(VLOOKUP(J211,[1]Sheet1!B:E,4,FALSE),"NOT FOUND")</f>
        <v>21536.61</v>
      </c>
      <c r="N211" t="b">
        <f t="shared" si="10"/>
        <v>1</v>
      </c>
    </row>
    <row r="212" spans="9:14">
      <c r="I212" s="55">
        <v>210</v>
      </c>
      <c r="J212" s="55" t="s">
        <v>326</v>
      </c>
      <c r="K212" s="56"/>
      <c r="L212">
        <f t="shared" si="9"/>
        <v>21536.61</v>
      </c>
      <c r="M212">
        <f>_xlfn.IFNA(VLOOKUP(J212,[1]Sheet1!B:E,4,FALSE),"NOT FOUND")</f>
        <v>21536.61</v>
      </c>
      <c r="N212" t="b">
        <f t="shared" si="10"/>
        <v>1</v>
      </c>
    </row>
    <row r="213" spans="9:14">
      <c r="I213" s="55">
        <v>211</v>
      </c>
      <c r="J213" s="55" t="s">
        <v>327</v>
      </c>
      <c r="K213" s="56"/>
      <c r="L213">
        <f t="shared" si="9"/>
        <v>21536.61</v>
      </c>
      <c r="M213">
        <f>_xlfn.IFNA(VLOOKUP(J213,[1]Sheet1!B:E,4,FALSE),"NOT FOUND")</f>
        <v>21536.61</v>
      </c>
      <c r="N213" t="b">
        <f t="shared" si="10"/>
        <v>1</v>
      </c>
    </row>
    <row r="214" spans="9:14">
      <c r="I214" s="55">
        <v>212</v>
      </c>
      <c r="J214" s="55" t="s">
        <v>328</v>
      </c>
      <c r="K214" s="56"/>
      <c r="L214">
        <f t="shared" si="9"/>
        <v>21536.61</v>
      </c>
      <c r="M214">
        <f>_xlfn.IFNA(VLOOKUP(J214,[1]Sheet1!B:E,4,FALSE),"NOT FOUND")</f>
        <v>21536.61</v>
      </c>
      <c r="N214" t="b">
        <f t="shared" si="10"/>
        <v>1</v>
      </c>
    </row>
    <row r="215" spans="9:14">
      <c r="I215" s="55">
        <v>213</v>
      </c>
      <c r="J215" s="55" t="s">
        <v>329</v>
      </c>
      <c r="K215" s="56"/>
      <c r="L215">
        <f t="shared" si="9"/>
        <v>21536.61</v>
      </c>
      <c r="M215">
        <f>_xlfn.IFNA(VLOOKUP(J215,[1]Sheet1!B:E,4,FALSE),"NOT FOUND")</f>
        <v>21536.61</v>
      </c>
      <c r="N215" t="b">
        <f t="shared" si="10"/>
        <v>1</v>
      </c>
    </row>
    <row r="216" spans="9:14">
      <c r="I216" s="55">
        <v>214</v>
      </c>
      <c r="J216" s="55" t="s">
        <v>330</v>
      </c>
      <c r="K216" s="56"/>
      <c r="L216">
        <f t="shared" si="9"/>
        <v>21536.61</v>
      </c>
      <c r="M216">
        <f>_xlfn.IFNA(VLOOKUP(J216,[1]Sheet1!B:E,4,FALSE),"NOT FOUND")</f>
        <v>21536.61</v>
      </c>
      <c r="N216" t="b">
        <f t="shared" si="10"/>
        <v>1</v>
      </c>
    </row>
    <row r="217" spans="9:14">
      <c r="I217" s="55">
        <v>215</v>
      </c>
      <c r="J217" s="55" t="s">
        <v>331</v>
      </c>
      <c r="K217" s="56"/>
      <c r="L217">
        <f t="shared" si="9"/>
        <v>21536.61</v>
      </c>
      <c r="M217">
        <f>_xlfn.IFNA(VLOOKUP(J217,[1]Sheet1!B:E,4,FALSE),"NOT FOUND")</f>
        <v>21536.61</v>
      </c>
      <c r="N217" t="b">
        <f t="shared" si="10"/>
        <v>1</v>
      </c>
    </row>
    <row r="218" spans="9:14">
      <c r="I218" s="55">
        <v>216</v>
      </c>
      <c r="J218" s="55" t="s">
        <v>332</v>
      </c>
      <c r="K218" s="56"/>
      <c r="L218">
        <f t="shared" si="9"/>
        <v>21536.61</v>
      </c>
      <c r="M218">
        <f>_xlfn.IFNA(VLOOKUP(J218,[1]Sheet1!B:E,4,FALSE),"NOT FOUND")</f>
        <v>21536.61</v>
      </c>
      <c r="N218" t="b">
        <f t="shared" si="10"/>
        <v>1</v>
      </c>
    </row>
    <row r="219" spans="9:14">
      <c r="I219" s="55">
        <v>217</v>
      </c>
      <c r="J219" s="55" t="s">
        <v>333</v>
      </c>
      <c r="K219" s="56"/>
      <c r="L219">
        <f t="shared" si="9"/>
        <v>21536.61</v>
      </c>
      <c r="M219">
        <f>_xlfn.IFNA(VLOOKUP(J219,[1]Sheet1!B:E,4,FALSE),"NOT FOUND")</f>
        <v>21536.61</v>
      </c>
      <c r="N219" t="b">
        <f t="shared" si="10"/>
        <v>1</v>
      </c>
    </row>
    <row r="220" spans="9:14">
      <c r="I220" s="55">
        <v>218</v>
      </c>
      <c r="J220" s="55" t="s">
        <v>334</v>
      </c>
      <c r="K220" s="56"/>
      <c r="L220">
        <f t="shared" si="9"/>
        <v>21536.61</v>
      </c>
      <c r="M220">
        <f>_xlfn.IFNA(VLOOKUP(J220,[1]Sheet1!B:E,4,FALSE),"NOT FOUND")</f>
        <v>21536.61</v>
      </c>
      <c r="N220" t="b">
        <f t="shared" si="10"/>
        <v>1</v>
      </c>
    </row>
    <row r="221" spans="9:14">
      <c r="I221" s="55">
        <v>219</v>
      </c>
      <c r="J221" s="55" t="s">
        <v>335</v>
      </c>
      <c r="K221" s="56"/>
      <c r="L221">
        <f t="shared" si="9"/>
        <v>21536.61</v>
      </c>
      <c r="M221">
        <f>_xlfn.IFNA(VLOOKUP(J221,[1]Sheet1!B:E,4,FALSE),"NOT FOUND")</f>
        <v>21536.61</v>
      </c>
      <c r="N221" t="b">
        <f t="shared" si="10"/>
        <v>1</v>
      </c>
    </row>
    <row r="222" spans="9:14">
      <c r="I222" s="55">
        <v>220</v>
      </c>
      <c r="J222" s="55" t="s">
        <v>336</v>
      </c>
      <c r="K222" s="56"/>
      <c r="L222">
        <f t="shared" si="9"/>
        <v>21536.61</v>
      </c>
      <c r="M222">
        <f>_xlfn.IFNA(VLOOKUP(J222,[1]Sheet1!B:E,4,FALSE),"NOT FOUND")</f>
        <v>21536.61</v>
      </c>
      <c r="N222" t="b">
        <f t="shared" si="10"/>
        <v>1</v>
      </c>
    </row>
    <row r="223" spans="9:14">
      <c r="I223" s="55">
        <v>221</v>
      </c>
      <c r="J223" s="55" t="s">
        <v>337</v>
      </c>
      <c r="K223" s="56">
        <v>2403.8200000000002</v>
      </c>
      <c r="L223">
        <f t="shared" si="9"/>
        <v>2403.8200000000002</v>
      </c>
      <c r="M223">
        <f>_xlfn.IFNA(VLOOKUP(J223,[1]Sheet1!B:E,4,FALSE),"NOT FOUND")</f>
        <v>2403.8200000000002</v>
      </c>
      <c r="N223" t="b">
        <f t="shared" si="10"/>
        <v>1</v>
      </c>
    </row>
  </sheetData>
  <autoFilter ref="I2:O223" xr:uid="{AB9F6F50-BF5F-4109-8118-9AEB067B1568}"/>
  <mergeCells count="1">
    <mergeCell ref="AO1:AO4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6F8CF-0742-41AF-A2A2-2A685CD73BC1}">
  <dimension ref="A1:C222"/>
  <sheetViews>
    <sheetView workbookViewId="0">
      <selection activeCell="B6" sqref="B6"/>
    </sheetView>
  </sheetViews>
  <sheetFormatPr defaultRowHeight="15"/>
  <cols>
    <col min="1" max="1" width="11.5703125" bestFit="1" customWidth="1"/>
    <col min="2" max="2" width="10.140625" style="58" bestFit="1" customWidth="1"/>
    <col min="3" max="3" width="10.7109375" style="58" bestFit="1" customWidth="1"/>
  </cols>
  <sheetData>
    <row r="1" spans="1:3">
      <c r="A1" s="86" t="s">
        <v>1</v>
      </c>
      <c r="B1" s="87" t="s">
        <v>339</v>
      </c>
      <c r="C1" s="88" t="s">
        <v>340</v>
      </c>
    </row>
    <row r="2" spans="1:3">
      <c r="A2" s="59" t="s">
        <v>0</v>
      </c>
      <c r="B2" s="89" t="s">
        <v>341</v>
      </c>
      <c r="C2" s="90" t="s">
        <v>342</v>
      </c>
    </row>
    <row r="3" spans="1:3">
      <c r="A3" s="59" t="s">
        <v>3</v>
      </c>
      <c r="B3" s="89" t="s">
        <v>341</v>
      </c>
      <c r="C3" s="90" t="s">
        <v>342</v>
      </c>
    </row>
    <row r="4" spans="1:3">
      <c r="A4" s="59" t="s">
        <v>5</v>
      </c>
      <c r="B4" s="89" t="s">
        <v>341</v>
      </c>
      <c r="C4" s="90" t="s">
        <v>342</v>
      </c>
    </row>
    <row r="5" spans="1:3">
      <c r="A5" s="59" t="s">
        <v>8</v>
      </c>
      <c r="B5" s="89" t="s">
        <v>341</v>
      </c>
      <c r="C5" s="90" t="s">
        <v>342</v>
      </c>
    </row>
    <row r="6" spans="1:3">
      <c r="A6" s="60" t="s">
        <v>7</v>
      </c>
      <c r="B6" s="89" t="s">
        <v>341</v>
      </c>
      <c r="C6" s="90" t="s">
        <v>342</v>
      </c>
    </row>
    <row r="7" spans="1:3">
      <c r="A7" s="60" t="s">
        <v>13</v>
      </c>
      <c r="B7" s="89" t="s">
        <v>341</v>
      </c>
      <c r="C7" s="90" t="s">
        <v>342</v>
      </c>
    </row>
    <row r="8" spans="1:3">
      <c r="A8" s="60" t="s">
        <v>18</v>
      </c>
      <c r="B8" s="89" t="s">
        <v>341</v>
      </c>
      <c r="C8" s="90" t="s">
        <v>342</v>
      </c>
    </row>
    <row r="9" spans="1:3">
      <c r="A9" s="60" t="s">
        <v>23</v>
      </c>
      <c r="B9" s="89" t="s">
        <v>341</v>
      </c>
      <c r="C9" s="90" t="s">
        <v>342</v>
      </c>
    </row>
    <row r="10" spans="1:3">
      <c r="A10" s="61" t="s">
        <v>10</v>
      </c>
      <c r="B10" s="89" t="s">
        <v>341</v>
      </c>
      <c r="C10" s="90" t="s">
        <v>342</v>
      </c>
    </row>
    <row r="11" spans="1:3">
      <c r="A11" s="61" t="s">
        <v>29</v>
      </c>
      <c r="B11" s="89" t="s">
        <v>341</v>
      </c>
      <c r="C11" s="90" t="s">
        <v>342</v>
      </c>
    </row>
    <row r="12" spans="1:3">
      <c r="A12" s="61" t="s">
        <v>33</v>
      </c>
      <c r="B12" s="89" t="s">
        <v>341</v>
      </c>
      <c r="C12" s="90" t="s">
        <v>342</v>
      </c>
    </row>
    <row r="13" spans="1:3">
      <c r="A13" s="61" t="s">
        <v>37</v>
      </c>
      <c r="B13" s="89" t="s">
        <v>341</v>
      </c>
      <c r="C13" s="90" t="s">
        <v>342</v>
      </c>
    </row>
    <row r="14" spans="1:3">
      <c r="A14" s="60" t="s">
        <v>12</v>
      </c>
      <c r="B14" s="89" t="s">
        <v>341</v>
      </c>
      <c r="C14" s="90" t="s">
        <v>342</v>
      </c>
    </row>
    <row r="15" spans="1:3">
      <c r="A15" s="60" t="s">
        <v>44</v>
      </c>
      <c r="B15" s="89" t="s">
        <v>341</v>
      </c>
      <c r="C15" s="90" t="s">
        <v>342</v>
      </c>
    </row>
    <row r="16" spans="1:3">
      <c r="A16" s="60" t="s">
        <v>48</v>
      </c>
      <c r="B16" s="89" t="s">
        <v>341</v>
      </c>
      <c r="C16" s="90" t="s">
        <v>342</v>
      </c>
    </row>
    <row r="17" spans="1:3">
      <c r="A17" s="60" t="s">
        <v>52</v>
      </c>
      <c r="B17" s="89" t="s">
        <v>341</v>
      </c>
      <c r="C17" s="90" t="s">
        <v>342</v>
      </c>
    </row>
    <row r="18" spans="1:3">
      <c r="A18" s="62" t="s">
        <v>16</v>
      </c>
      <c r="B18" s="89" t="s">
        <v>341</v>
      </c>
      <c r="C18" s="90" t="s">
        <v>342</v>
      </c>
    </row>
    <row r="19" spans="1:3">
      <c r="A19" s="62" t="s">
        <v>58</v>
      </c>
      <c r="B19" s="89" t="s">
        <v>341</v>
      </c>
      <c r="C19" s="90" t="s">
        <v>342</v>
      </c>
    </row>
    <row r="20" spans="1:3">
      <c r="A20" s="62" t="s">
        <v>61</v>
      </c>
      <c r="B20" s="89" t="s">
        <v>341</v>
      </c>
      <c r="C20" s="90" t="s">
        <v>342</v>
      </c>
    </row>
    <row r="21" spans="1:3">
      <c r="A21" s="62" t="s">
        <v>64</v>
      </c>
      <c r="B21" s="89" t="s">
        <v>341</v>
      </c>
      <c r="C21" s="90" t="s">
        <v>342</v>
      </c>
    </row>
    <row r="22" spans="1:3">
      <c r="A22" s="62" t="s">
        <v>67</v>
      </c>
      <c r="B22" s="89" t="s">
        <v>341</v>
      </c>
      <c r="C22" s="90" t="s">
        <v>342</v>
      </c>
    </row>
    <row r="23" spans="1:3">
      <c r="A23" s="62" t="s">
        <v>70</v>
      </c>
      <c r="B23" s="89" t="s">
        <v>341</v>
      </c>
      <c r="C23" s="90" t="s">
        <v>342</v>
      </c>
    </row>
    <row r="24" spans="1:3">
      <c r="A24" s="62" t="s">
        <v>73</v>
      </c>
      <c r="B24" s="89" t="s">
        <v>341</v>
      </c>
      <c r="C24" s="90" t="s">
        <v>342</v>
      </c>
    </row>
    <row r="25" spans="1:3">
      <c r="A25" s="62" t="s">
        <v>76</v>
      </c>
      <c r="B25" s="89" t="s">
        <v>341</v>
      </c>
      <c r="C25" s="90" t="s">
        <v>342</v>
      </c>
    </row>
    <row r="26" spans="1:3">
      <c r="A26" s="63" t="s">
        <v>20</v>
      </c>
      <c r="B26" s="89" t="s">
        <v>341</v>
      </c>
      <c r="C26" s="90" t="s">
        <v>342</v>
      </c>
    </row>
    <row r="27" spans="1:3">
      <c r="A27" s="63" t="s">
        <v>81</v>
      </c>
      <c r="B27" s="89" t="s">
        <v>341</v>
      </c>
      <c r="C27" s="90" t="s">
        <v>342</v>
      </c>
    </row>
    <row r="28" spans="1:3">
      <c r="A28" s="63" t="s">
        <v>84</v>
      </c>
      <c r="B28" s="89" t="s">
        <v>341</v>
      </c>
      <c r="C28" s="90" t="s">
        <v>342</v>
      </c>
    </row>
    <row r="29" spans="1:3">
      <c r="A29" s="63" t="s">
        <v>87</v>
      </c>
      <c r="B29" s="89" t="s">
        <v>341</v>
      </c>
      <c r="C29" s="90" t="s">
        <v>342</v>
      </c>
    </row>
    <row r="30" spans="1:3">
      <c r="A30" s="64" t="s">
        <v>24</v>
      </c>
      <c r="B30" s="89" t="s">
        <v>341</v>
      </c>
      <c r="C30" s="90" t="s">
        <v>342</v>
      </c>
    </row>
    <row r="31" spans="1:3">
      <c r="A31" s="64" t="s">
        <v>93</v>
      </c>
      <c r="B31" s="89" t="s">
        <v>341</v>
      </c>
      <c r="C31" s="90" t="s">
        <v>342</v>
      </c>
    </row>
    <row r="32" spans="1:3">
      <c r="A32" s="64" t="s">
        <v>96</v>
      </c>
      <c r="B32" s="89" t="s">
        <v>341</v>
      </c>
      <c r="C32" s="90" t="s">
        <v>342</v>
      </c>
    </row>
    <row r="33" spans="1:3">
      <c r="A33" s="64" t="s">
        <v>99</v>
      </c>
      <c r="B33" s="89" t="s">
        <v>341</v>
      </c>
      <c r="C33" s="90" t="s">
        <v>342</v>
      </c>
    </row>
    <row r="34" spans="1:3">
      <c r="A34" s="65" t="s">
        <v>27</v>
      </c>
      <c r="B34" s="89" t="s">
        <v>341</v>
      </c>
      <c r="C34" s="90" t="s">
        <v>342</v>
      </c>
    </row>
    <row r="35" spans="1:3">
      <c r="A35" s="65" t="s">
        <v>104</v>
      </c>
      <c r="B35" s="89" t="s">
        <v>341</v>
      </c>
      <c r="C35" s="90" t="s">
        <v>342</v>
      </c>
    </row>
    <row r="36" spans="1:3">
      <c r="A36" s="65" t="s">
        <v>107</v>
      </c>
      <c r="B36" s="89" t="s">
        <v>341</v>
      </c>
      <c r="C36" s="90" t="s">
        <v>342</v>
      </c>
    </row>
    <row r="37" spans="1:3">
      <c r="A37" s="65" t="s">
        <v>111</v>
      </c>
      <c r="B37" s="89" t="s">
        <v>341</v>
      </c>
      <c r="C37" s="90" t="s">
        <v>342</v>
      </c>
    </row>
    <row r="38" spans="1:3">
      <c r="A38" s="65" t="s">
        <v>115</v>
      </c>
      <c r="B38" s="89" t="s">
        <v>341</v>
      </c>
      <c r="C38" s="90" t="s">
        <v>342</v>
      </c>
    </row>
    <row r="39" spans="1:3">
      <c r="A39" s="65" t="s">
        <v>119</v>
      </c>
      <c r="B39" s="89" t="s">
        <v>341</v>
      </c>
      <c r="C39" s="90" t="s">
        <v>342</v>
      </c>
    </row>
    <row r="40" spans="1:3">
      <c r="A40" s="65" t="s">
        <v>122</v>
      </c>
      <c r="B40" s="89" t="s">
        <v>341</v>
      </c>
      <c r="C40" s="90" t="s">
        <v>342</v>
      </c>
    </row>
    <row r="41" spans="1:3">
      <c r="A41" s="65" t="s">
        <v>125</v>
      </c>
      <c r="B41" s="89" t="s">
        <v>341</v>
      </c>
      <c r="C41" s="90" t="s">
        <v>342</v>
      </c>
    </row>
    <row r="42" spans="1:3">
      <c r="A42" s="65" t="s">
        <v>128</v>
      </c>
      <c r="B42" s="89" t="s">
        <v>341</v>
      </c>
      <c r="C42" s="90" t="s">
        <v>342</v>
      </c>
    </row>
    <row r="43" spans="1:3">
      <c r="A43" s="65" t="s">
        <v>131</v>
      </c>
      <c r="B43" s="89" t="s">
        <v>341</v>
      </c>
      <c r="C43" s="90" t="s">
        <v>342</v>
      </c>
    </row>
    <row r="44" spans="1:3">
      <c r="A44" s="65" t="s">
        <v>134</v>
      </c>
      <c r="B44" s="89" t="s">
        <v>341</v>
      </c>
      <c r="C44" s="90" t="s">
        <v>342</v>
      </c>
    </row>
    <row r="45" spans="1:3">
      <c r="A45" s="65" t="s">
        <v>135</v>
      </c>
      <c r="B45" s="89" t="s">
        <v>341</v>
      </c>
      <c r="C45" s="90" t="s">
        <v>342</v>
      </c>
    </row>
    <row r="46" spans="1:3">
      <c r="A46" s="65" t="s">
        <v>136</v>
      </c>
      <c r="B46" s="89" t="s">
        <v>341</v>
      </c>
      <c r="C46" s="90" t="s">
        <v>342</v>
      </c>
    </row>
    <row r="47" spans="1:3">
      <c r="A47" s="65" t="s">
        <v>137</v>
      </c>
      <c r="B47" s="89" t="s">
        <v>341</v>
      </c>
      <c r="C47" s="90" t="s">
        <v>342</v>
      </c>
    </row>
    <row r="48" spans="1:3">
      <c r="A48" s="65" t="s">
        <v>138</v>
      </c>
      <c r="B48" s="89" t="s">
        <v>341</v>
      </c>
      <c r="C48" s="90" t="s">
        <v>342</v>
      </c>
    </row>
    <row r="49" spans="1:3">
      <c r="A49" s="65" t="s">
        <v>139</v>
      </c>
      <c r="B49" s="89" t="s">
        <v>341</v>
      </c>
      <c r="C49" s="90" t="s">
        <v>342</v>
      </c>
    </row>
    <row r="50" spans="1:3">
      <c r="A50" s="65" t="s">
        <v>140</v>
      </c>
      <c r="B50" s="89" t="s">
        <v>341</v>
      </c>
      <c r="C50" s="90" t="s">
        <v>342</v>
      </c>
    </row>
    <row r="51" spans="1:3">
      <c r="A51" s="65" t="s">
        <v>141</v>
      </c>
      <c r="B51" s="89" t="s">
        <v>341</v>
      </c>
      <c r="C51" s="90" t="s">
        <v>342</v>
      </c>
    </row>
    <row r="52" spans="1:3">
      <c r="A52" s="65" t="s">
        <v>142</v>
      </c>
      <c r="B52" s="89" t="s">
        <v>341</v>
      </c>
      <c r="C52" s="90" t="s">
        <v>342</v>
      </c>
    </row>
    <row r="53" spans="1:3">
      <c r="A53" s="65" t="s">
        <v>143</v>
      </c>
      <c r="B53" s="89" t="s">
        <v>341</v>
      </c>
      <c r="C53" s="90" t="s">
        <v>342</v>
      </c>
    </row>
    <row r="54" spans="1:3">
      <c r="A54" s="65" t="s">
        <v>144</v>
      </c>
      <c r="B54" s="89" t="s">
        <v>341</v>
      </c>
      <c r="C54" s="90" t="s">
        <v>342</v>
      </c>
    </row>
    <row r="55" spans="1:3">
      <c r="A55" s="65" t="s">
        <v>145</v>
      </c>
      <c r="B55" s="89" t="s">
        <v>341</v>
      </c>
      <c r="C55" s="90" t="s">
        <v>342</v>
      </c>
    </row>
    <row r="56" spans="1:3">
      <c r="A56" s="65" t="s">
        <v>146</v>
      </c>
      <c r="B56" s="89" t="s">
        <v>341</v>
      </c>
      <c r="C56" s="90" t="s">
        <v>342</v>
      </c>
    </row>
    <row r="57" spans="1:3">
      <c r="A57" s="65" t="s">
        <v>147</v>
      </c>
      <c r="B57" s="89" t="s">
        <v>341</v>
      </c>
      <c r="C57" s="90" t="s">
        <v>342</v>
      </c>
    </row>
    <row r="58" spans="1:3">
      <c r="A58" s="65" t="s">
        <v>148</v>
      </c>
      <c r="B58" s="89" t="s">
        <v>341</v>
      </c>
      <c r="C58" s="90" t="s">
        <v>342</v>
      </c>
    </row>
    <row r="59" spans="1:3">
      <c r="A59" s="65" t="s">
        <v>149</v>
      </c>
      <c r="B59" s="89" t="s">
        <v>341</v>
      </c>
      <c r="C59" s="90" t="s">
        <v>342</v>
      </c>
    </row>
    <row r="60" spans="1:3">
      <c r="A60" s="65" t="s">
        <v>150</v>
      </c>
      <c r="B60" s="89" t="s">
        <v>341</v>
      </c>
      <c r="C60" s="90" t="s">
        <v>342</v>
      </c>
    </row>
    <row r="61" spans="1:3">
      <c r="A61" s="65" t="s">
        <v>151</v>
      </c>
      <c r="B61" s="89" t="s">
        <v>341</v>
      </c>
      <c r="C61" s="90" t="s">
        <v>342</v>
      </c>
    </row>
    <row r="62" spans="1:3">
      <c r="A62" s="66" t="s">
        <v>31</v>
      </c>
      <c r="B62" s="89" t="s">
        <v>341</v>
      </c>
      <c r="C62" s="90" t="s">
        <v>342</v>
      </c>
    </row>
    <row r="63" spans="1:3">
      <c r="A63" s="66" t="s">
        <v>152</v>
      </c>
      <c r="B63" s="89" t="s">
        <v>341</v>
      </c>
      <c r="C63" s="90" t="s">
        <v>342</v>
      </c>
    </row>
    <row r="64" spans="1:3">
      <c r="A64" s="66" t="s">
        <v>153</v>
      </c>
      <c r="B64" s="89" t="s">
        <v>341</v>
      </c>
      <c r="C64" s="90" t="s">
        <v>342</v>
      </c>
    </row>
    <row r="65" spans="1:3">
      <c r="A65" s="66" t="s">
        <v>154</v>
      </c>
      <c r="B65" s="89" t="s">
        <v>341</v>
      </c>
      <c r="C65" s="90" t="s">
        <v>342</v>
      </c>
    </row>
    <row r="66" spans="1:3">
      <c r="A66" s="67" t="s">
        <v>35</v>
      </c>
      <c r="B66" s="89" t="s">
        <v>341</v>
      </c>
      <c r="C66" s="90" t="s">
        <v>342</v>
      </c>
    </row>
    <row r="67" spans="1:3">
      <c r="A67" s="67" t="s">
        <v>155</v>
      </c>
      <c r="B67" s="89" t="s">
        <v>341</v>
      </c>
      <c r="C67" s="90" t="s">
        <v>342</v>
      </c>
    </row>
    <row r="68" spans="1:3">
      <c r="A68" s="67" t="s">
        <v>156</v>
      </c>
      <c r="B68" s="89" t="s">
        <v>341</v>
      </c>
      <c r="C68" s="90" t="s">
        <v>342</v>
      </c>
    </row>
    <row r="69" spans="1:3">
      <c r="A69" s="67" t="s">
        <v>157</v>
      </c>
      <c r="B69" s="89" t="s">
        <v>341</v>
      </c>
      <c r="C69" s="90" t="s">
        <v>342</v>
      </c>
    </row>
    <row r="70" spans="1:3">
      <c r="A70" s="68" t="s">
        <v>39</v>
      </c>
      <c r="B70" s="89" t="s">
        <v>341</v>
      </c>
      <c r="C70" s="90" t="s">
        <v>342</v>
      </c>
    </row>
    <row r="71" spans="1:3">
      <c r="A71" s="68" t="s">
        <v>159</v>
      </c>
      <c r="B71" s="89" t="s">
        <v>341</v>
      </c>
      <c r="C71" s="90" t="s">
        <v>342</v>
      </c>
    </row>
    <row r="72" spans="1:3">
      <c r="A72" s="68" t="s">
        <v>160</v>
      </c>
      <c r="B72" s="89" t="s">
        <v>341</v>
      </c>
      <c r="C72" s="90" t="s">
        <v>342</v>
      </c>
    </row>
    <row r="73" spans="1:3">
      <c r="A73" s="68" t="s">
        <v>161</v>
      </c>
      <c r="B73" s="89" t="s">
        <v>341</v>
      </c>
      <c r="C73" s="90" t="s">
        <v>342</v>
      </c>
    </row>
    <row r="74" spans="1:3">
      <c r="A74" s="69" t="s">
        <v>42</v>
      </c>
      <c r="B74" s="89" t="s">
        <v>341</v>
      </c>
      <c r="C74" s="90" t="s">
        <v>342</v>
      </c>
    </row>
    <row r="75" spans="1:3">
      <c r="A75" s="69" t="s">
        <v>162</v>
      </c>
      <c r="B75" s="89" t="s">
        <v>341</v>
      </c>
      <c r="C75" s="90" t="s">
        <v>342</v>
      </c>
    </row>
    <row r="76" spans="1:3">
      <c r="A76" s="69" t="s">
        <v>163</v>
      </c>
      <c r="B76" s="89" t="s">
        <v>341</v>
      </c>
      <c r="C76" s="90" t="s">
        <v>342</v>
      </c>
    </row>
    <row r="77" spans="1:3">
      <c r="A77" s="69" t="s">
        <v>164</v>
      </c>
      <c r="B77" s="89" t="s">
        <v>341</v>
      </c>
      <c r="C77" s="90" t="s">
        <v>342</v>
      </c>
    </row>
    <row r="78" spans="1:3">
      <c r="A78" s="70" t="s">
        <v>46</v>
      </c>
      <c r="B78" s="89" t="s">
        <v>341</v>
      </c>
      <c r="C78" s="90" t="s">
        <v>342</v>
      </c>
    </row>
    <row r="79" spans="1:3">
      <c r="A79" s="70" t="s">
        <v>165</v>
      </c>
      <c r="B79" s="89" t="s">
        <v>341</v>
      </c>
      <c r="C79" s="90" t="s">
        <v>342</v>
      </c>
    </row>
    <row r="80" spans="1:3">
      <c r="A80" s="70" t="s">
        <v>166</v>
      </c>
      <c r="B80" s="89" t="s">
        <v>341</v>
      </c>
      <c r="C80" s="90" t="s">
        <v>342</v>
      </c>
    </row>
    <row r="81" spans="1:3">
      <c r="A81" s="70" t="s">
        <v>167</v>
      </c>
      <c r="B81" s="89" t="s">
        <v>341</v>
      </c>
      <c r="C81" s="90" t="s">
        <v>342</v>
      </c>
    </row>
    <row r="82" spans="1:3">
      <c r="A82" s="71" t="s">
        <v>50</v>
      </c>
      <c r="B82" s="89" t="s">
        <v>341</v>
      </c>
      <c r="C82" s="90" t="s">
        <v>342</v>
      </c>
    </row>
    <row r="83" spans="1:3">
      <c r="A83" s="71" t="s">
        <v>168</v>
      </c>
      <c r="B83" s="89" t="s">
        <v>341</v>
      </c>
      <c r="C83" s="90" t="s">
        <v>342</v>
      </c>
    </row>
    <row r="84" spans="1:3">
      <c r="A84" s="71" t="s">
        <v>169</v>
      </c>
      <c r="B84" s="89" t="s">
        <v>341</v>
      </c>
      <c r="C84" s="90" t="s">
        <v>342</v>
      </c>
    </row>
    <row r="85" spans="1:3">
      <c r="A85" s="71" t="s">
        <v>170</v>
      </c>
      <c r="B85" s="89" t="s">
        <v>341</v>
      </c>
      <c r="C85" s="90" t="s">
        <v>342</v>
      </c>
    </row>
    <row r="86" spans="1:3">
      <c r="A86" s="72" t="s">
        <v>54</v>
      </c>
      <c r="B86" s="89" t="s">
        <v>341</v>
      </c>
      <c r="C86" s="90" t="s">
        <v>342</v>
      </c>
    </row>
    <row r="87" spans="1:3">
      <c r="A87" s="72" t="s">
        <v>171</v>
      </c>
      <c r="B87" s="89" t="s">
        <v>341</v>
      </c>
      <c r="C87" s="90" t="s">
        <v>342</v>
      </c>
    </row>
    <row r="88" spans="1:3">
      <c r="A88" s="72" t="s">
        <v>172</v>
      </c>
      <c r="B88" s="89" t="s">
        <v>341</v>
      </c>
      <c r="C88" s="90" t="s">
        <v>342</v>
      </c>
    </row>
    <row r="89" spans="1:3">
      <c r="A89" s="72" t="s">
        <v>173</v>
      </c>
      <c r="B89" s="89" t="s">
        <v>341</v>
      </c>
      <c r="C89" s="90" t="s">
        <v>342</v>
      </c>
    </row>
    <row r="90" spans="1:3">
      <c r="A90" s="73" t="s">
        <v>56</v>
      </c>
      <c r="B90" s="89" t="s">
        <v>341</v>
      </c>
      <c r="C90" s="90" t="s">
        <v>342</v>
      </c>
    </row>
    <row r="91" spans="1:3">
      <c r="A91" s="73" t="s">
        <v>174</v>
      </c>
      <c r="B91" s="89" t="s">
        <v>341</v>
      </c>
      <c r="C91" s="90" t="s">
        <v>342</v>
      </c>
    </row>
    <row r="92" spans="1:3">
      <c r="A92" s="73" t="s">
        <v>175</v>
      </c>
      <c r="B92" s="89" t="s">
        <v>341</v>
      </c>
      <c r="C92" s="90" t="s">
        <v>342</v>
      </c>
    </row>
    <row r="93" spans="1:3">
      <c r="A93" s="73" t="s">
        <v>176</v>
      </c>
      <c r="B93" s="89" t="s">
        <v>341</v>
      </c>
      <c r="C93" s="90" t="s">
        <v>342</v>
      </c>
    </row>
    <row r="94" spans="1:3">
      <c r="A94" s="69" t="s">
        <v>59</v>
      </c>
      <c r="B94" s="89" t="s">
        <v>341</v>
      </c>
      <c r="C94" s="90" t="s">
        <v>342</v>
      </c>
    </row>
    <row r="95" spans="1:3">
      <c r="A95" s="69" t="s">
        <v>177</v>
      </c>
      <c r="B95" s="89" t="s">
        <v>341</v>
      </c>
      <c r="C95" s="90" t="s">
        <v>342</v>
      </c>
    </row>
    <row r="96" spans="1:3">
      <c r="A96" s="69" t="s">
        <v>178</v>
      </c>
      <c r="B96" s="89" t="s">
        <v>341</v>
      </c>
      <c r="C96" s="90" t="s">
        <v>342</v>
      </c>
    </row>
    <row r="97" spans="1:3">
      <c r="A97" s="69" t="s">
        <v>179</v>
      </c>
      <c r="B97" s="89" t="s">
        <v>341</v>
      </c>
      <c r="C97" s="90" t="s">
        <v>342</v>
      </c>
    </row>
    <row r="98" spans="1:3">
      <c r="A98" s="74" t="s">
        <v>62</v>
      </c>
      <c r="B98" s="89" t="s">
        <v>341</v>
      </c>
      <c r="C98" s="90" t="s">
        <v>342</v>
      </c>
    </row>
    <row r="99" spans="1:3">
      <c r="A99" s="74" t="s">
        <v>180</v>
      </c>
      <c r="B99" s="89" t="s">
        <v>341</v>
      </c>
      <c r="C99" s="90" t="s">
        <v>342</v>
      </c>
    </row>
    <row r="100" spans="1:3">
      <c r="A100" s="74" t="s">
        <v>181</v>
      </c>
      <c r="B100" s="89" t="s">
        <v>341</v>
      </c>
      <c r="C100" s="90" t="s">
        <v>342</v>
      </c>
    </row>
    <row r="101" spans="1:3">
      <c r="A101" s="74" t="s">
        <v>182</v>
      </c>
      <c r="B101" s="89" t="s">
        <v>341</v>
      </c>
      <c r="C101" s="90" t="s">
        <v>342</v>
      </c>
    </row>
    <row r="102" spans="1:3">
      <c r="A102" s="65" t="s">
        <v>65</v>
      </c>
      <c r="B102" s="89" t="s">
        <v>341</v>
      </c>
      <c r="C102" s="90" t="s">
        <v>342</v>
      </c>
    </row>
    <row r="103" spans="1:3">
      <c r="A103" s="65" t="s">
        <v>183</v>
      </c>
      <c r="B103" s="89" t="s">
        <v>341</v>
      </c>
      <c r="C103" s="90" t="s">
        <v>342</v>
      </c>
    </row>
    <row r="104" spans="1:3">
      <c r="A104" s="65" t="s">
        <v>184</v>
      </c>
      <c r="B104" s="89" t="s">
        <v>341</v>
      </c>
      <c r="C104" s="90" t="s">
        <v>342</v>
      </c>
    </row>
    <row r="105" spans="1:3">
      <c r="A105" s="65" t="s">
        <v>185</v>
      </c>
      <c r="B105" s="89" t="s">
        <v>341</v>
      </c>
      <c r="C105" s="90" t="s">
        <v>342</v>
      </c>
    </row>
    <row r="106" spans="1:3">
      <c r="A106" s="75" t="s">
        <v>68</v>
      </c>
      <c r="B106" s="89" t="s">
        <v>341</v>
      </c>
      <c r="C106" s="90" t="s">
        <v>342</v>
      </c>
    </row>
    <row r="107" spans="1:3">
      <c r="A107" s="75" t="s">
        <v>186</v>
      </c>
      <c r="B107" s="89" t="s">
        <v>341</v>
      </c>
      <c r="C107" s="90" t="s">
        <v>342</v>
      </c>
    </row>
    <row r="108" spans="1:3">
      <c r="A108" s="75" t="s">
        <v>187</v>
      </c>
      <c r="B108" s="89" t="s">
        <v>341</v>
      </c>
      <c r="C108" s="90" t="s">
        <v>342</v>
      </c>
    </row>
    <row r="109" spans="1:3">
      <c r="A109" s="75" t="s">
        <v>188</v>
      </c>
      <c r="B109" s="89" t="s">
        <v>341</v>
      </c>
      <c r="C109" s="90" t="s">
        <v>342</v>
      </c>
    </row>
    <row r="110" spans="1:3">
      <c r="A110" s="76" t="s">
        <v>71</v>
      </c>
      <c r="B110" s="89" t="s">
        <v>341</v>
      </c>
      <c r="C110" s="90" t="s">
        <v>342</v>
      </c>
    </row>
    <row r="111" spans="1:3">
      <c r="A111" s="76" t="s">
        <v>189</v>
      </c>
      <c r="B111" s="89" t="s">
        <v>341</v>
      </c>
      <c r="C111" s="90" t="s">
        <v>342</v>
      </c>
    </row>
    <row r="112" spans="1:3">
      <c r="A112" s="76" t="s">
        <v>190</v>
      </c>
      <c r="B112" s="89" t="s">
        <v>341</v>
      </c>
      <c r="C112" s="90" t="s">
        <v>342</v>
      </c>
    </row>
    <row r="113" spans="1:3">
      <c r="A113" s="76" t="s">
        <v>191</v>
      </c>
      <c r="B113" s="89" t="s">
        <v>341</v>
      </c>
      <c r="C113" s="90" t="s">
        <v>342</v>
      </c>
    </row>
    <row r="114" spans="1:3">
      <c r="A114" s="77" t="s">
        <v>74</v>
      </c>
      <c r="B114" s="89" t="s">
        <v>341</v>
      </c>
      <c r="C114" s="90" t="s">
        <v>342</v>
      </c>
    </row>
    <row r="115" spans="1:3">
      <c r="A115" s="77" t="s">
        <v>192</v>
      </c>
      <c r="B115" s="89" t="s">
        <v>341</v>
      </c>
      <c r="C115" s="90" t="s">
        <v>342</v>
      </c>
    </row>
    <row r="116" spans="1:3">
      <c r="A116" s="77" t="s">
        <v>193</v>
      </c>
      <c r="B116" s="89" t="s">
        <v>341</v>
      </c>
      <c r="C116" s="90" t="s">
        <v>342</v>
      </c>
    </row>
    <row r="117" spans="1:3">
      <c r="A117" s="77" t="s">
        <v>194</v>
      </c>
      <c r="B117" s="89" t="s">
        <v>341</v>
      </c>
      <c r="C117" s="90" t="s">
        <v>342</v>
      </c>
    </row>
    <row r="118" spans="1:3">
      <c r="A118" s="71" t="s">
        <v>77</v>
      </c>
      <c r="B118" s="89" t="s">
        <v>341</v>
      </c>
      <c r="C118" s="90" t="s">
        <v>342</v>
      </c>
    </row>
    <row r="119" spans="1:3">
      <c r="A119" s="71" t="s">
        <v>195</v>
      </c>
      <c r="B119" s="89" t="s">
        <v>341</v>
      </c>
      <c r="C119" s="90" t="s">
        <v>342</v>
      </c>
    </row>
    <row r="120" spans="1:3">
      <c r="A120" s="71" t="s">
        <v>196</v>
      </c>
      <c r="B120" s="89" t="s">
        <v>341</v>
      </c>
      <c r="C120" s="90" t="s">
        <v>342</v>
      </c>
    </row>
    <row r="121" spans="1:3">
      <c r="A121" s="71" t="s">
        <v>197</v>
      </c>
      <c r="B121" s="89" t="s">
        <v>341</v>
      </c>
      <c r="C121" s="90" t="s">
        <v>342</v>
      </c>
    </row>
    <row r="122" spans="1:3">
      <c r="A122" s="78" t="s">
        <v>79</v>
      </c>
      <c r="B122" s="89" t="s">
        <v>341</v>
      </c>
      <c r="C122" s="90" t="s">
        <v>342</v>
      </c>
    </row>
    <row r="123" spans="1:3">
      <c r="A123" s="78" t="s">
        <v>198</v>
      </c>
      <c r="B123" s="89" t="s">
        <v>341</v>
      </c>
      <c r="C123" s="90" t="s">
        <v>342</v>
      </c>
    </row>
    <row r="124" spans="1:3">
      <c r="A124" s="78" t="s">
        <v>199</v>
      </c>
      <c r="B124" s="89" t="s">
        <v>341</v>
      </c>
      <c r="C124" s="90" t="s">
        <v>342</v>
      </c>
    </row>
    <row r="125" spans="1:3">
      <c r="A125" s="78" t="s">
        <v>200</v>
      </c>
      <c r="B125" s="89" t="s">
        <v>341</v>
      </c>
      <c r="C125" s="90" t="s">
        <v>342</v>
      </c>
    </row>
    <row r="126" spans="1:3">
      <c r="A126" s="79" t="s">
        <v>82</v>
      </c>
      <c r="B126" s="89" t="s">
        <v>341</v>
      </c>
      <c r="C126" s="90" t="s">
        <v>342</v>
      </c>
    </row>
    <row r="127" spans="1:3">
      <c r="A127" s="79" t="s">
        <v>201</v>
      </c>
      <c r="B127" s="89" t="s">
        <v>341</v>
      </c>
      <c r="C127" s="90" t="s">
        <v>342</v>
      </c>
    </row>
    <row r="128" spans="1:3">
      <c r="A128" s="79" t="s">
        <v>202</v>
      </c>
      <c r="B128" s="89" t="s">
        <v>341</v>
      </c>
      <c r="C128" s="90" t="s">
        <v>342</v>
      </c>
    </row>
    <row r="129" spans="1:3">
      <c r="A129" s="79" t="s">
        <v>203</v>
      </c>
      <c r="B129" s="89" t="s">
        <v>341</v>
      </c>
      <c r="C129" s="90" t="s">
        <v>342</v>
      </c>
    </row>
    <row r="130" spans="1:3">
      <c r="A130" s="80" t="s">
        <v>85</v>
      </c>
      <c r="B130" s="89" t="s">
        <v>341</v>
      </c>
      <c r="C130" s="90" t="s">
        <v>342</v>
      </c>
    </row>
    <row r="131" spans="1:3">
      <c r="A131" s="80" t="s">
        <v>204</v>
      </c>
      <c r="B131" s="89" t="s">
        <v>341</v>
      </c>
      <c r="C131" s="90" t="s">
        <v>342</v>
      </c>
    </row>
    <row r="132" spans="1:3">
      <c r="A132" s="80" t="s">
        <v>205</v>
      </c>
      <c r="B132" s="89" t="s">
        <v>341</v>
      </c>
      <c r="C132" s="90" t="s">
        <v>342</v>
      </c>
    </row>
    <row r="133" spans="1:3">
      <c r="A133" s="80" t="s">
        <v>206</v>
      </c>
      <c r="B133" s="89" t="s">
        <v>341</v>
      </c>
      <c r="C133" s="90" t="s">
        <v>342</v>
      </c>
    </row>
    <row r="134" spans="1:3">
      <c r="A134" s="69" t="s">
        <v>88</v>
      </c>
      <c r="B134" s="89" t="s">
        <v>341</v>
      </c>
      <c r="C134" s="90" t="s">
        <v>342</v>
      </c>
    </row>
    <row r="135" spans="1:3">
      <c r="A135" s="69" t="s">
        <v>207</v>
      </c>
      <c r="B135" s="89" t="s">
        <v>341</v>
      </c>
      <c r="C135" s="90" t="s">
        <v>342</v>
      </c>
    </row>
    <row r="136" spans="1:3">
      <c r="A136" s="69" t="s">
        <v>208</v>
      </c>
      <c r="B136" s="89" t="s">
        <v>341</v>
      </c>
      <c r="C136" s="90" t="s">
        <v>342</v>
      </c>
    </row>
    <row r="137" spans="1:3">
      <c r="A137" s="69" t="s">
        <v>209</v>
      </c>
      <c r="B137" s="89" t="s">
        <v>341</v>
      </c>
      <c r="C137" s="90" t="s">
        <v>342</v>
      </c>
    </row>
    <row r="138" spans="1:3">
      <c r="A138" s="69" t="s">
        <v>210</v>
      </c>
      <c r="B138" s="89" t="s">
        <v>341</v>
      </c>
      <c r="C138" s="90" t="s">
        <v>342</v>
      </c>
    </row>
    <row r="139" spans="1:3">
      <c r="A139" s="69" t="s">
        <v>211</v>
      </c>
      <c r="B139" s="89" t="s">
        <v>341</v>
      </c>
      <c r="C139" s="90" t="s">
        <v>342</v>
      </c>
    </row>
    <row r="140" spans="1:3">
      <c r="A140" s="69" t="s">
        <v>212</v>
      </c>
      <c r="B140" s="89" t="s">
        <v>341</v>
      </c>
      <c r="C140" s="90" t="s">
        <v>342</v>
      </c>
    </row>
    <row r="141" spans="1:3">
      <c r="A141" s="69" t="s">
        <v>213</v>
      </c>
      <c r="B141" s="89" t="s">
        <v>341</v>
      </c>
      <c r="C141" s="90" t="s">
        <v>342</v>
      </c>
    </row>
    <row r="142" spans="1:3">
      <c r="A142" s="69" t="s">
        <v>214</v>
      </c>
      <c r="B142" s="89" t="s">
        <v>341</v>
      </c>
      <c r="C142" s="90" t="s">
        <v>342</v>
      </c>
    </row>
    <row r="143" spans="1:3">
      <c r="A143" s="69" t="s">
        <v>215</v>
      </c>
      <c r="B143" s="89" t="s">
        <v>341</v>
      </c>
      <c r="C143" s="90" t="s">
        <v>342</v>
      </c>
    </row>
    <row r="144" spans="1:3">
      <c r="A144" s="69" t="s">
        <v>216</v>
      </c>
      <c r="B144" s="89" t="s">
        <v>341</v>
      </c>
      <c r="C144" s="90" t="s">
        <v>342</v>
      </c>
    </row>
    <row r="145" spans="1:3">
      <c r="A145" s="69" t="s">
        <v>217</v>
      </c>
      <c r="B145" s="89" t="s">
        <v>341</v>
      </c>
      <c r="C145" s="90" t="s">
        <v>342</v>
      </c>
    </row>
    <row r="146" spans="1:3">
      <c r="A146" s="78" t="s">
        <v>91</v>
      </c>
      <c r="B146" s="89" t="s">
        <v>341</v>
      </c>
      <c r="C146" s="90" t="s">
        <v>342</v>
      </c>
    </row>
    <row r="147" spans="1:3">
      <c r="A147" s="78" t="s">
        <v>218</v>
      </c>
      <c r="B147" s="89" t="s">
        <v>341</v>
      </c>
      <c r="C147" s="90" t="s">
        <v>342</v>
      </c>
    </row>
    <row r="148" spans="1:3">
      <c r="A148" s="78" t="s">
        <v>219</v>
      </c>
      <c r="B148" s="89" t="s">
        <v>341</v>
      </c>
      <c r="C148" s="90" t="s">
        <v>342</v>
      </c>
    </row>
    <row r="149" spans="1:3">
      <c r="A149" s="78" t="s">
        <v>220</v>
      </c>
      <c r="B149" s="89" t="s">
        <v>341</v>
      </c>
      <c r="C149" s="90" t="s">
        <v>342</v>
      </c>
    </row>
    <row r="150" spans="1:3">
      <c r="A150" s="81" t="s">
        <v>94</v>
      </c>
      <c r="B150" s="89" t="s">
        <v>341</v>
      </c>
      <c r="C150" s="90" t="s">
        <v>342</v>
      </c>
    </row>
    <row r="151" spans="1:3">
      <c r="A151" s="81" t="s">
        <v>222</v>
      </c>
      <c r="B151" s="89" t="s">
        <v>341</v>
      </c>
      <c r="C151" s="90" t="s">
        <v>342</v>
      </c>
    </row>
    <row r="152" spans="1:3">
      <c r="A152" s="81" t="s">
        <v>223</v>
      </c>
      <c r="B152" s="89" t="s">
        <v>341</v>
      </c>
      <c r="C152" s="90" t="s">
        <v>342</v>
      </c>
    </row>
    <row r="153" spans="1:3">
      <c r="A153" s="81" t="s">
        <v>224</v>
      </c>
      <c r="B153" s="89" t="s">
        <v>341</v>
      </c>
      <c r="C153" s="90" t="s">
        <v>342</v>
      </c>
    </row>
    <row r="154" spans="1:3">
      <c r="A154" s="82" t="s">
        <v>97</v>
      </c>
      <c r="B154" s="89" t="s">
        <v>341</v>
      </c>
      <c r="C154" s="90" t="s">
        <v>342</v>
      </c>
    </row>
    <row r="155" spans="1:3">
      <c r="A155" s="82" t="s">
        <v>225</v>
      </c>
      <c r="B155" s="89" t="s">
        <v>341</v>
      </c>
      <c r="C155" s="90" t="s">
        <v>342</v>
      </c>
    </row>
    <row r="156" spans="1:3">
      <c r="A156" s="82" t="s">
        <v>226</v>
      </c>
      <c r="B156" s="89" t="s">
        <v>341</v>
      </c>
      <c r="C156" s="90" t="s">
        <v>342</v>
      </c>
    </row>
    <row r="157" spans="1:3">
      <c r="A157" s="82" t="s">
        <v>227</v>
      </c>
      <c r="B157" s="89" t="s">
        <v>341</v>
      </c>
      <c r="C157" s="90" t="s">
        <v>342</v>
      </c>
    </row>
    <row r="158" spans="1:3">
      <c r="A158" s="83" t="s">
        <v>100</v>
      </c>
      <c r="B158" s="89" t="s">
        <v>341</v>
      </c>
      <c r="C158" s="90" t="s">
        <v>342</v>
      </c>
    </row>
    <row r="159" spans="1:3">
      <c r="A159" s="83" t="s">
        <v>228</v>
      </c>
      <c r="B159" s="89" t="s">
        <v>341</v>
      </c>
      <c r="C159" s="90" t="s">
        <v>342</v>
      </c>
    </row>
    <row r="160" spans="1:3">
      <c r="A160" s="83" t="s">
        <v>229</v>
      </c>
      <c r="B160" s="89" t="s">
        <v>341</v>
      </c>
      <c r="C160" s="90" t="s">
        <v>342</v>
      </c>
    </row>
    <row r="161" spans="1:3">
      <c r="A161" s="83" t="s">
        <v>230</v>
      </c>
      <c r="B161" s="89" t="s">
        <v>341</v>
      </c>
      <c r="C161" s="90" t="s">
        <v>342</v>
      </c>
    </row>
    <row r="162" spans="1:3">
      <c r="A162" s="78" t="s">
        <v>102</v>
      </c>
      <c r="B162" s="89" t="s">
        <v>341</v>
      </c>
      <c r="C162" s="90" t="s">
        <v>342</v>
      </c>
    </row>
    <row r="163" spans="1:3">
      <c r="A163" s="78" t="s">
        <v>231</v>
      </c>
      <c r="B163" s="89" t="s">
        <v>341</v>
      </c>
      <c r="C163" s="90" t="s">
        <v>342</v>
      </c>
    </row>
    <row r="164" spans="1:3">
      <c r="A164" s="78" t="s">
        <v>232</v>
      </c>
      <c r="B164" s="89" t="s">
        <v>341</v>
      </c>
      <c r="C164" s="90" t="s">
        <v>342</v>
      </c>
    </row>
    <row r="165" spans="1:3">
      <c r="A165" s="78" t="s">
        <v>233</v>
      </c>
      <c r="B165" s="89" t="s">
        <v>341</v>
      </c>
      <c r="C165" s="90" t="s">
        <v>342</v>
      </c>
    </row>
    <row r="166" spans="1:3">
      <c r="A166" s="69" t="s">
        <v>105</v>
      </c>
      <c r="B166" s="89" t="s">
        <v>341</v>
      </c>
      <c r="C166" s="90" t="s">
        <v>342</v>
      </c>
    </row>
    <row r="167" spans="1:3">
      <c r="A167" s="69" t="s">
        <v>234</v>
      </c>
      <c r="B167" s="89" t="s">
        <v>341</v>
      </c>
      <c r="C167" s="90" t="s">
        <v>342</v>
      </c>
    </row>
    <row r="168" spans="1:3">
      <c r="A168" s="69" t="s">
        <v>235</v>
      </c>
      <c r="B168" s="89" t="s">
        <v>341</v>
      </c>
      <c r="C168" s="90" t="s">
        <v>342</v>
      </c>
    </row>
    <row r="169" spans="1:3">
      <c r="A169" s="69" t="s">
        <v>236</v>
      </c>
      <c r="B169" s="89" t="s">
        <v>341</v>
      </c>
      <c r="C169" s="90" t="s">
        <v>342</v>
      </c>
    </row>
    <row r="170" spans="1:3">
      <c r="A170" s="66" t="s">
        <v>109</v>
      </c>
      <c r="B170" s="89" t="s">
        <v>341</v>
      </c>
      <c r="C170" s="90" t="s">
        <v>342</v>
      </c>
    </row>
    <row r="171" spans="1:3">
      <c r="A171" s="66" t="s">
        <v>237</v>
      </c>
      <c r="B171" s="89" t="s">
        <v>341</v>
      </c>
      <c r="C171" s="90" t="s">
        <v>342</v>
      </c>
    </row>
    <row r="172" spans="1:3">
      <c r="A172" s="66" t="s">
        <v>238</v>
      </c>
      <c r="B172" s="89" t="s">
        <v>341</v>
      </c>
      <c r="C172" s="90" t="s">
        <v>342</v>
      </c>
    </row>
    <row r="173" spans="1:3">
      <c r="A173" s="66" t="s">
        <v>239</v>
      </c>
      <c r="B173" s="89" t="s">
        <v>341</v>
      </c>
      <c r="C173" s="90" t="s">
        <v>342</v>
      </c>
    </row>
    <row r="174" spans="1:3">
      <c r="A174" s="63" t="s">
        <v>113</v>
      </c>
      <c r="B174" s="89" t="s">
        <v>341</v>
      </c>
      <c r="C174" s="90" t="s">
        <v>342</v>
      </c>
    </row>
    <row r="175" spans="1:3">
      <c r="A175" s="63" t="s">
        <v>240</v>
      </c>
      <c r="B175" s="89" t="s">
        <v>341</v>
      </c>
      <c r="C175" s="90" t="s">
        <v>342</v>
      </c>
    </row>
    <row r="176" spans="1:3">
      <c r="A176" s="63" t="s">
        <v>241</v>
      </c>
      <c r="B176" s="89" t="s">
        <v>341</v>
      </c>
      <c r="C176" s="90" t="s">
        <v>342</v>
      </c>
    </row>
    <row r="177" spans="1:3">
      <c r="A177" s="63" t="s">
        <v>242</v>
      </c>
      <c r="B177" s="89" t="s">
        <v>341</v>
      </c>
      <c r="C177" s="90" t="s">
        <v>342</v>
      </c>
    </row>
    <row r="178" spans="1:3">
      <c r="A178" s="80" t="s">
        <v>117</v>
      </c>
      <c r="B178" s="89" t="s">
        <v>341</v>
      </c>
      <c r="C178" s="90" t="s">
        <v>342</v>
      </c>
    </row>
    <row r="179" spans="1:3">
      <c r="A179" s="80" t="s">
        <v>243</v>
      </c>
      <c r="B179" s="89" t="s">
        <v>341</v>
      </c>
      <c r="C179" s="90" t="s">
        <v>342</v>
      </c>
    </row>
    <row r="180" spans="1:3">
      <c r="A180" s="80" t="s">
        <v>244</v>
      </c>
      <c r="B180" s="89" t="s">
        <v>341</v>
      </c>
      <c r="C180" s="90" t="s">
        <v>342</v>
      </c>
    </row>
    <row r="181" spans="1:3">
      <c r="A181" s="80" t="s">
        <v>245</v>
      </c>
      <c r="B181" s="89" t="s">
        <v>341</v>
      </c>
      <c r="C181" s="90" t="s">
        <v>342</v>
      </c>
    </row>
    <row r="182" spans="1:3">
      <c r="A182" s="63" t="s">
        <v>120</v>
      </c>
      <c r="B182" s="89" t="s">
        <v>341</v>
      </c>
      <c r="C182" s="90" t="s">
        <v>342</v>
      </c>
    </row>
    <row r="183" spans="1:3">
      <c r="A183" s="63" t="s">
        <v>246</v>
      </c>
      <c r="B183" s="89" t="s">
        <v>341</v>
      </c>
      <c r="C183" s="90" t="s">
        <v>342</v>
      </c>
    </row>
    <row r="184" spans="1:3">
      <c r="A184" s="63" t="s">
        <v>247</v>
      </c>
      <c r="B184" s="89" t="s">
        <v>341</v>
      </c>
      <c r="C184" s="90" t="s">
        <v>342</v>
      </c>
    </row>
    <row r="185" spans="1:3">
      <c r="A185" s="63" t="s">
        <v>248</v>
      </c>
      <c r="B185" s="89" t="s">
        <v>341</v>
      </c>
      <c r="C185" s="90" t="s">
        <v>342</v>
      </c>
    </row>
    <row r="186" spans="1:3">
      <c r="A186" s="65" t="s">
        <v>123</v>
      </c>
      <c r="B186" s="89" t="s">
        <v>341</v>
      </c>
      <c r="C186" s="90" t="s">
        <v>342</v>
      </c>
    </row>
    <row r="187" spans="1:3">
      <c r="A187" s="65" t="s">
        <v>249</v>
      </c>
      <c r="B187" s="89" t="s">
        <v>341</v>
      </c>
      <c r="C187" s="90" t="s">
        <v>342</v>
      </c>
    </row>
    <row r="188" spans="1:3">
      <c r="A188" s="65" t="s">
        <v>250</v>
      </c>
      <c r="B188" s="89" t="s">
        <v>341</v>
      </c>
      <c r="C188" s="90" t="s">
        <v>342</v>
      </c>
    </row>
    <row r="189" spans="1:3">
      <c r="A189" s="65" t="s">
        <v>251</v>
      </c>
      <c r="B189" s="89" t="s">
        <v>341</v>
      </c>
      <c r="C189" s="90" t="s">
        <v>342</v>
      </c>
    </row>
    <row r="190" spans="1:3">
      <c r="A190" s="84" t="s">
        <v>126</v>
      </c>
      <c r="B190" s="89" t="s">
        <v>341</v>
      </c>
      <c r="C190" s="90" t="s">
        <v>342</v>
      </c>
    </row>
    <row r="191" spans="1:3">
      <c r="A191" s="84" t="s">
        <v>253</v>
      </c>
      <c r="B191" s="89" t="s">
        <v>341</v>
      </c>
      <c r="C191" s="90" t="s">
        <v>342</v>
      </c>
    </row>
    <row r="192" spans="1:3">
      <c r="A192" s="84" t="s">
        <v>254</v>
      </c>
      <c r="B192" s="89" t="s">
        <v>341</v>
      </c>
      <c r="C192" s="90" t="s">
        <v>342</v>
      </c>
    </row>
    <row r="193" spans="1:3">
      <c r="A193" s="84" t="s">
        <v>255</v>
      </c>
      <c r="B193" s="89" t="s">
        <v>341</v>
      </c>
      <c r="C193" s="90" t="s">
        <v>342</v>
      </c>
    </row>
    <row r="194" spans="1:3">
      <c r="A194" s="62" t="s">
        <v>129</v>
      </c>
      <c r="B194" s="89" t="s">
        <v>341</v>
      </c>
      <c r="C194" s="90" t="s">
        <v>342</v>
      </c>
    </row>
    <row r="195" spans="1:3">
      <c r="A195" s="62" t="s">
        <v>256</v>
      </c>
      <c r="B195" s="89" t="s">
        <v>341</v>
      </c>
      <c r="C195" s="90" t="s">
        <v>342</v>
      </c>
    </row>
    <row r="196" spans="1:3">
      <c r="A196" s="62" t="s">
        <v>257</v>
      </c>
      <c r="B196" s="89" t="s">
        <v>341</v>
      </c>
      <c r="C196" s="90" t="s">
        <v>342</v>
      </c>
    </row>
    <row r="197" spans="1:3">
      <c r="A197" s="62" t="s">
        <v>258</v>
      </c>
      <c r="B197" s="89" t="s">
        <v>341</v>
      </c>
      <c r="C197" s="90" t="s">
        <v>342</v>
      </c>
    </row>
    <row r="198" spans="1:3">
      <c r="A198" s="66" t="s">
        <v>132</v>
      </c>
      <c r="B198" s="89" t="s">
        <v>341</v>
      </c>
      <c r="C198" s="90" t="s">
        <v>342</v>
      </c>
    </row>
    <row r="199" spans="1:3">
      <c r="A199" s="66" t="s">
        <v>259</v>
      </c>
      <c r="B199" s="89" t="s">
        <v>341</v>
      </c>
      <c r="C199" s="90" t="s">
        <v>342</v>
      </c>
    </row>
    <row r="200" spans="1:3">
      <c r="A200" s="66" t="s">
        <v>260</v>
      </c>
      <c r="B200" s="89" t="s">
        <v>341</v>
      </c>
      <c r="C200" s="90" t="s">
        <v>342</v>
      </c>
    </row>
    <row r="201" spans="1:3">
      <c r="A201" s="66" t="s">
        <v>261</v>
      </c>
      <c r="B201" s="89" t="s">
        <v>341</v>
      </c>
      <c r="C201" s="90" t="s">
        <v>342</v>
      </c>
    </row>
    <row r="202" spans="1:3">
      <c r="A202" s="85" t="s">
        <v>317</v>
      </c>
      <c r="B202" s="89" t="s">
        <v>341</v>
      </c>
      <c r="C202" s="90" t="s">
        <v>342</v>
      </c>
    </row>
    <row r="203" spans="1:3">
      <c r="A203" s="85" t="s">
        <v>318</v>
      </c>
      <c r="B203" s="89" t="s">
        <v>341</v>
      </c>
      <c r="C203" s="90" t="s">
        <v>342</v>
      </c>
    </row>
    <row r="204" spans="1:3">
      <c r="A204" s="85" t="s">
        <v>319</v>
      </c>
      <c r="B204" s="89" t="s">
        <v>341</v>
      </c>
      <c r="C204" s="90" t="s">
        <v>342</v>
      </c>
    </row>
    <row r="205" spans="1:3">
      <c r="A205" s="85" t="s">
        <v>320</v>
      </c>
      <c r="B205" s="89" t="s">
        <v>341</v>
      </c>
      <c r="C205" s="90" t="s">
        <v>342</v>
      </c>
    </row>
    <row r="206" spans="1:3">
      <c r="A206" s="85" t="s">
        <v>321</v>
      </c>
      <c r="B206" s="89" t="s">
        <v>341</v>
      </c>
      <c r="C206" s="90" t="s">
        <v>342</v>
      </c>
    </row>
    <row r="207" spans="1:3">
      <c r="A207" s="85" t="s">
        <v>322</v>
      </c>
      <c r="B207" s="89" t="s">
        <v>341</v>
      </c>
      <c r="C207" s="90" t="s">
        <v>342</v>
      </c>
    </row>
    <row r="208" spans="1:3">
      <c r="A208" s="85" t="s">
        <v>323</v>
      </c>
      <c r="B208" s="89" t="s">
        <v>341</v>
      </c>
      <c r="C208" s="90" t="s">
        <v>342</v>
      </c>
    </row>
    <row r="209" spans="1:3">
      <c r="A209" s="85" t="s">
        <v>324</v>
      </c>
      <c r="B209" s="89" t="s">
        <v>341</v>
      </c>
      <c r="C209" s="90" t="s">
        <v>342</v>
      </c>
    </row>
    <row r="210" spans="1:3">
      <c r="A210" s="85" t="s">
        <v>325</v>
      </c>
      <c r="B210" s="89" t="s">
        <v>341</v>
      </c>
      <c r="C210" s="90" t="s">
        <v>342</v>
      </c>
    </row>
    <row r="211" spans="1:3">
      <c r="A211" s="85" t="s">
        <v>326</v>
      </c>
      <c r="B211" s="89" t="s">
        <v>341</v>
      </c>
      <c r="C211" s="90" t="s">
        <v>342</v>
      </c>
    </row>
    <row r="212" spans="1:3">
      <c r="A212" s="85" t="s">
        <v>327</v>
      </c>
      <c r="B212" s="89" t="s">
        <v>341</v>
      </c>
      <c r="C212" s="90" t="s">
        <v>342</v>
      </c>
    </row>
    <row r="213" spans="1:3">
      <c r="A213" s="85" t="s">
        <v>328</v>
      </c>
      <c r="B213" s="89" t="s">
        <v>341</v>
      </c>
      <c r="C213" s="90" t="s">
        <v>342</v>
      </c>
    </row>
    <row r="214" spans="1:3">
      <c r="A214" s="85" t="s">
        <v>329</v>
      </c>
      <c r="B214" s="89" t="s">
        <v>341</v>
      </c>
      <c r="C214" s="90" t="s">
        <v>342</v>
      </c>
    </row>
    <row r="215" spans="1:3">
      <c r="A215" s="85" t="s">
        <v>330</v>
      </c>
      <c r="B215" s="89" t="s">
        <v>341</v>
      </c>
      <c r="C215" s="90" t="s">
        <v>342</v>
      </c>
    </row>
    <row r="216" spans="1:3">
      <c r="A216" s="85" t="s">
        <v>331</v>
      </c>
      <c r="B216" s="89" t="s">
        <v>341</v>
      </c>
      <c r="C216" s="90" t="s">
        <v>342</v>
      </c>
    </row>
    <row r="217" spans="1:3">
      <c r="A217" s="85" t="s">
        <v>332</v>
      </c>
      <c r="B217" s="89" t="s">
        <v>341</v>
      </c>
      <c r="C217" s="90" t="s">
        <v>342</v>
      </c>
    </row>
    <row r="218" spans="1:3">
      <c r="A218" s="85" t="s">
        <v>333</v>
      </c>
      <c r="B218" s="89" t="s">
        <v>341</v>
      </c>
      <c r="C218" s="90" t="s">
        <v>342</v>
      </c>
    </row>
    <row r="219" spans="1:3">
      <c r="A219" s="85" t="s">
        <v>334</v>
      </c>
      <c r="B219" s="89" t="s">
        <v>341</v>
      </c>
      <c r="C219" s="90" t="s">
        <v>342</v>
      </c>
    </row>
    <row r="220" spans="1:3">
      <c r="A220" s="85" t="s">
        <v>335</v>
      </c>
      <c r="B220" s="89" t="s">
        <v>341</v>
      </c>
      <c r="C220" s="90" t="s">
        <v>342</v>
      </c>
    </row>
    <row r="221" spans="1:3">
      <c r="A221" s="85" t="s">
        <v>336</v>
      </c>
      <c r="B221" s="89" t="s">
        <v>341</v>
      </c>
      <c r="C221" s="90" t="s">
        <v>342</v>
      </c>
    </row>
    <row r="222" spans="1:3">
      <c r="A222" s="85" t="s">
        <v>337</v>
      </c>
      <c r="B222" s="89" t="s">
        <v>341</v>
      </c>
      <c r="C222" s="90" t="s">
        <v>342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PETUNJUK</vt:lpstr>
      <vt:lpstr>INPUT RPA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 hari</dc:creator>
  <cp:lastModifiedBy>hadi</cp:lastModifiedBy>
  <dcterms:created xsi:type="dcterms:W3CDTF">2022-08-31T02:37:20Z</dcterms:created>
  <dcterms:modified xsi:type="dcterms:W3CDTF">2024-01-31T09:21:09Z</dcterms:modified>
</cp:coreProperties>
</file>