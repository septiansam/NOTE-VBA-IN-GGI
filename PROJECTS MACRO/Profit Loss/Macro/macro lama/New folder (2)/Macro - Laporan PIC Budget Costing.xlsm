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bookViews>
    <workbookView xWindow="0" yWindow="0" windowWidth="10320" windowHeight="7485" activeTab="6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</sheets>
  <functionGroups builtInGroupCount="18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Production_Cost!$A$4:$K$142</definedName>
    <definedName name="_xlnm._FilterDatabase" localSheetId="8" hidden="1">Ref_ProdCost!$A$1:$B$134</definedName>
    <definedName name="_xlnm._FilterDatabase" localSheetId="1" hidden="1">'Ref1'!$A$1:$Z$13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AB5" i="133"/>
  <c r="AB6" i="133"/>
  <c r="AA5" i="133"/>
  <c r="AA6" i="133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3" i="133" l="1"/>
  <c r="A1" i="133"/>
  <c r="A3" i="1" l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6" i="108"/>
  <c r="E136" i="108"/>
  <c r="D136" i="108"/>
  <c r="C136" i="108"/>
  <c r="B136" i="108"/>
  <c r="H135" i="108"/>
  <c r="I135" i="108" s="1"/>
  <c r="H134" i="108"/>
  <c r="H133" i="108"/>
  <c r="H132" i="108"/>
  <c r="I132" i="108" s="1"/>
  <c r="H131" i="108"/>
  <c r="I131" i="108" s="1"/>
  <c r="H130" i="108"/>
  <c r="I130" i="108" s="1"/>
  <c r="H129" i="108"/>
  <c r="I129" i="108" s="1"/>
  <c r="H128" i="108"/>
  <c r="H127" i="108"/>
  <c r="I127" i="108" s="1"/>
  <c r="H126" i="108"/>
  <c r="H125" i="108"/>
  <c r="I125" i="108" s="1"/>
  <c r="H124" i="108"/>
  <c r="I124" i="108" s="1"/>
  <c r="H123" i="108"/>
  <c r="I123" i="108" s="1"/>
  <c r="H122" i="108"/>
  <c r="I122" i="108" s="1"/>
  <c r="H121" i="108"/>
  <c r="I121" i="108" s="1"/>
  <c r="H120" i="108"/>
  <c r="H119" i="108"/>
  <c r="I119" i="108" s="1"/>
  <c r="H118" i="108"/>
  <c r="I118" i="108" s="1"/>
  <c r="I117" i="108"/>
  <c r="I116" i="108"/>
  <c r="F115" i="108"/>
  <c r="E115" i="108"/>
  <c r="D115" i="108"/>
  <c r="C115" i="108"/>
  <c r="B115" i="108"/>
  <c r="H114" i="108"/>
  <c r="I114" i="108" s="1"/>
  <c r="H113" i="108"/>
  <c r="I113" i="108" s="1"/>
  <c r="H112" i="108"/>
  <c r="H111" i="108"/>
  <c r="I111" i="108" s="1"/>
  <c r="H110" i="108"/>
  <c r="I110" i="108" s="1"/>
  <c r="H109" i="108"/>
  <c r="I109" i="108" s="1"/>
  <c r="H108" i="108"/>
  <c r="I108" i="108" s="1"/>
  <c r="H107" i="108"/>
  <c r="H106" i="108"/>
  <c r="I106" i="108" s="1"/>
  <c r="H105" i="108"/>
  <c r="H104" i="108"/>
  <c r="H103" i="108"/>
  <c r="I103" i="108" s="1"/>
  <c r="I102" i="108"/>
  <c r="I101" i="108"/>
  <c r="I100" i="108"/>
  <c r="F98" i="108"/>
  <c r="E98" i="108"/>
  <c r="D98" i="108"/>
  <c r="C98" i="108"/>
  <c r="B98" i="108"/>
  <c r="H97" i="108"/>
  <c r="I97" i="108" s="1"/>
  <c r="H96" i="108"/>
  <c r="I96" i="108" s="1"/>
  <c r="H95" i="108"/>
  <c r="H94" i="108"/>
  <c r="I94" i="108" s="1"/>
  <c r="H93" i="108"/>
  <c r="I93" i="108" s="1"/>
  <c r="H92" i="108"/>
  <c r="H91" i="108"/>
  <c r="I91" i="108" s="1"/>
  <c r="H90" i="108"/>
  <c r="I90" i="108" s="1"/>
  <c r="H89" i="108"/>
  <c r="I89" i="108" s="1"/>
  <c r="H88" i="108"/>
  <c r="I88" i="108" s="1"/>
  <c r="H87" i="108"/>
  <c r="H86" i="108"/>
  <c r="I86" i="108" s="1"/>
  <c r="H85" i="108"/>
  <c r="H84" i="108"/>
  <c r="H83" i="108"/>
  <c r="I83" i="108" s="1"/>
  <c r="H82" i="108"/>
  <c r="I82" i="108" s="1"/>
  <c r="H81" i="108"/>
  <c r="I81" i="108" s="1"/>
  <c r="H80" i="108"/>
  <c r="I80" i="108" s="1"/>
  <c r="H79" i="108"/>
  <c r="H78" i="108"/>
  <c r="I78" i="108" s="1"/>
  <c r="H77" i="108"/>
  <c r="H76" i="108"/>
  <c r="H75" i="108"/>
  <c r="I75" i="108" s="1"/>
  <c r="H74" i="108"/>
  <c r="I74" i="108" s="1"/>
  <c r="H73" i="108"/>
  <c r="I73" i="108" s="1"/>
  <c r="H72" i="108"/>
  <c r="I72" i="108" s="1"/>
  <c r="H70" i="108"/>
  <c r="I70" i="108" s="1"/>
  <c r="H69" i="108"/>
  <c r="I69" i="108" s="1"/>
  <c r="H68" i="108"/>
  <c r="I68" i="108" s="1"/>
  <c r="H67" i="108"/>
  <c r="I67" i="108" s="1"/>
  <c r="H66" i="108"/>
  <c r="I66" i="108" s="1"/>
  <c r="H65" i="108"/>
  <c r="I65" i="108" s="1"/>
  <c r="H64" i="108"/>
  <c r="I64" i="108" s="1"/>
  <c r="H63" i="108"/>
  <c r="I62" i="108"/>
  <c r="I61" i="108"/>
  <c r="I60" i="108"/>
  <c r="F59" i="108"/>
  <c r="E59" i="108"/>
  <c r="D59" i="108"/>
  <c r="C59" i="108"/>
  <c r="B59" i="108"/>
  <c r="H58" i="108"/>
  <c r="I58" i="108" s="1"/>
  <c r="H57" i="108"/>
  <c r="H56" i="108"/>
  <c r="I56" i="108" s="1"/>
  <c r="H55" i="108"/>
  <c r="I55" i="108" s="1"/>
  <c r="H54" i="108"/>
  <c r="H53" i="108"/>
  <c r="I53" i="108" s="1"/>
  <c r="H52" i="108"/>
  <c r="H51" i="108"/>
  <c r="I51" i="108" s="1"/>
  <c r="H50" i="108"/>
  <c r="I50" i="108" s="1"/>
  <c r="H49" i="108"/>
  <c r="H48" i="108"/>
  <c r="I48" i="108" s="1"/>
  <c r="H47" i="108"/>
  <c r="I47" i="108" s="1"/>
  <c r="H46" i="108"/>
  <c r="I46" i="108" s="1"/>
  <c r="I45" i="108"/>
  <c r="I44" i="108"/>
  <c r="I43" i="108"/>
  <c r="I42" i="108"/>
  <c r="I40" i="108"/>
  <c r="B38" i="108"/>
  <c r="H37" i="108"/>
  <c r="I37" i="108" s="1"/>
  <c r="H36" i="108"/>
  <c r="I36" i="108" s="1"/>
  <c r="H35" i="108"/>
  <c r="I35" i="108" s="1"/>
  <c r="H34" i="108"/>
  <c r="I34" i="108" s="1"/>
  <c r="H33" i="108"/>
  <c r="I33" i="108" s="1"/>
  <c r="H32" i="108"/>
  <c r="I32" i="108" s="1"/>
  <c r="H31" i="108"/>
  <c r="I31" i="108" s="1"/>
  <c r="H30" i="108"/>
  <c r="H28" i="108"/>
  <c r="I28" i="108" s="1"/>
  <c r="H27" i="108"/>
  <c r="I27" i="108" s="1"/>
  <c r="I26" i="108"/>
  <c r="I25" i="108"/>
  <c r="F24" i="108"/>
  <c r="E24" i="108"/>
  <c r="D24" i="108"/>
  <c r="C24" i="108"/>
  <c r="B24" i="108"/>
  <c r="H23" i="108"/>
  <c r="H22" i="108"/>
  <c r="I22" i="108" s="1"/>
  <c r="H21" i="108"/>
  <c r="H20" i="108"/>
  <c r="I20" i="108" s="1"/>
  <c r="H19" i="108"/>
  <c r="I19" i="108" s="1"/>
  <c r="H18" i="108"/>
  <c r="H17" i="108"/>
  <c r="I17" i="108" s="1"/>
  <c r="H16" i="108"/>
  <c r="F10" i="108"/>
  <c r="E10" i="108"/>
  <c r="D10" i="108"/>
  <c r="C10" i="108"/>
  <c r="H9" i="108"/>
  <c r="H8" i="108"/>
  <c r="H7" i="108"/>
  <c r="H29" i="108" l="1"/>
  <c r="I29" i="108" s="1"/>
  <c r="D38" i="108"/>
  <c r="F38" i="108"/>
  <c r="E38" i="108"/>
  <c r="H10" i="108"/>
  <c r="G103" i="108" s="1"/>
  <c r="I54" i="108"/>
  <c r="I92" i="108"/>
  <c r="I112" i="108"/>
  <c r="I49" i="108"/>
  <c r="H98" i="108"/>
  <c r="I126" i="108"/>
  <c r="H136" i="108"/>
  <c r="I136" i="108" s="1"/>
  <c r="I23" i="108"/>
  <c r="H24" i="108"/>
  <c r="I24" i="108" s="1"/>
  <c r="E14" i="108"/>
  <c r="H59" i="108"/>
  <c r="I59" i="108" s="1"/>
  <c r="I84" i="108"/>
  <c r="E99" i="108"/>
  <c r="I104" i="108"/>
  <c r="I18" i="108"/>
  <c r="I77" i="108"/>
  <c r="F14" i="108"/>
  <c r="F99" i="108"/>
  <c r="B137" i="108"/>
  <c r="I133" i="108"/>
  <c r="E137" i="108"/>
  <c r="I57" i="108"/>
  <c r="I85" i="108"/>
  <c r="I105" i="108"/>
  <c r="H115" i="108"/>
  <c r="I115" i="108" s="1"/>
  <c r="F137" i="108"/>
  <c r="D14" i="108"/>
  <c r="D99" i="108"/>
  <c r="I76" i="108"/>
  <c r="D137" i="108"/>
  <c r="I134" i="108"/>
  <c r="B99" i="108"/>
  <c r="B39" i="108"/>
  <c r="I21" i="108"/>
  <c r="I30" i="108"/>
  <c r="C38" i="108"/>
  <c r="I52" i="108"/>
  <c r="I63" i="108"/>
  <c r="I71" i="108"/>
  <c r="I79" i="108"/>
  <c r="I87" i="108"/>
  <c r="I95" i="108"/>
  <c r="C99" i="108"/>
  <c r="I107" i="108"/>
  <c r="I120" i="108"/>
  <c r="I128" i="108"/>
  <c r="C137" i="108"/>
  <c r="D39" i="108" l="1"/>
  <c r="D41" i="108" s="1"/>
  <c r="G17" i="108"/>
  <c r="G10" i="108"/>
  <c r="G36" i="108"/>
  <c r="G76" i="108"/>
  <c r="G65" i="108"/>
  <c r="G46" i="108"/>
  <c r="G119" i="108"/>
  <c r="G108" i="108"/>
  <c r="G74" i="108"/>
  <c r="G19" i="108"/>
  <c r="G58" i="108"/>
  <c r="G69" i="108"/>
  <c r="G85" i="108"/>
  <c r="G34" i="108"/>
  <c r="G127" i="108"/>
  <c r="G98" i="108"/>
  <c r="G132" i="108"/>
  <c r="G75" i="108"/>
  <c r="G106" i="108"/>
  <c r="G88" i="108"/>
  <c r="G47" i="108"/>
  <c r="G8" i="108"/>
  <c r="G35" i="108"/>
  <c r="G37" i="108"/>
  <c r="G126" i="108"/>
  <c r="G122" i="108"/>
  <c r="G86" i="108"/>
  <c r="G72" i="108"/>
  <c r="G82" i="108"/>
  <c r="G91" i="108"/>
  <c r="G29" i="108"/>
  <c r="G128" i="108"/>
  <c r="G121" i="108"/>
  <c r="G31" i="108"/>
  <c r="G67" i="108"/>
  <c r="G131" i="108"/>
  <c r="G89" i="108"/>
  <c r="G51" i="108"/>
  <c r="G55" i="108"/>
  <c r="G81" i="108"/>
  <c r="G20" i="108"/>
  <c r="G27" i="108"/>
  <c r="G125" i="108"/>
  <c r="I98" i="108"/>
  <c r="G109" i="108"/>
  <c r="G83" i="108"/>
  <c r="G78" i="108"/>
  <c r="G9" i="108"/>
  <c r="G64" i="108"/>
  <c r="G123" i="108"/>
  <c r="G24" i="108"/>
  <c r="G79" i="108"/>
  <c r="G115" i="108"/>
  <c r="F39" i="108"/>
  <c r="G104" i="108"/>
  <c r="G113" i="108"/>
  <c r="G97" i="108"/>
  <c r="G135" i="108"/>
  <c r="G70" i="108"/>
  <c r="G129" i="108"/>
  <c r="G53" i="108"/>
  <c r="G90" i="108"/>
  <c r="G59" i="108"/>
  <c r="G50" i="108"/>
  <c r="G21" i="108"/>
  <c r="G105" i="108"/>
  <c r="G84" i="108"/>
  <c r="G93" i="108"/>
  <c r="G92" i="108"/>
  <c r="G111" i="108"/>
  <c r="G73" i="108"/>
  <c r="G114" i="108"/>
  <c r="G48" i="108"/>
  <c r="G96" i="108"/>
  <c r="G22" i="108"/>
  <c r="G110" i="108"/>
  <c r="G63" i="108"/>
  <c r="G68" i="108"/>
  <c r="G95" i="108"/>
  <c r="G133" i="108"/>
  <c r="G77" i="108"/>
  <c r="G28" i="108"/>
  <c r="G54" i="108"/>
  <c r="G130" i="108"/>
  <c r="G124" i="108"/>
  <c r="G94" i="108"/>
  <c r="G56" i="108"/>
  <c r="G80" i="108"/>
  <c r="G66" i="108"/>
  <c r="G120" i="108"/>
  <c r="G134" i="108"/>
  <c r="G52" i="108"/>
  <c r="G57" i="108"/>
  <c r="G118" i="108"/>
  <c r="G7" i="108"/>
  <c r="G18" i="108"/>
  <c r="E39" i="108"/>
  <c r="G23" i="108"/>
  <c r="G107" i="108"/>
  <c r="G49" i="108"/>
  <c r="G30" i="108"/>
  <c r="G33" i="108"/>
  <c r="G32" i="108"/>
  <c r="G87" i="108"/>
  <c r="G112" i="108"/>
  <c r="H13" i="108"/>
  <c r="H14" i="108" s="1"/>
  <c r="C14" i="108"/>
  <c r="G136" i="108"/>
  <c r="H137" i="108"/>
  <c r="I137" i="108" s="1"/>
  <c r="H38" i="108"/>
  <c r="I38" i="108" s="1"/>
  <c r="H99" i="108"/>
  <c r="G99" i="108" s="1"/>
  <c r="C39" i="108"/>
  <c r="F41" i="108" l="1"/>
  <c r="D139" i="108"/>
  <c r="D140" i="108" s="1"/>
  <c r="F139" i="108"/>
  <c r="E139" i="108"/>
  <c r="E41" i="108"/>
  <c r="G13" i="108"/>
  <c r="G137" i="108"/>
  <c r="I99" i="108"/>
  <c r="G38" i="108"/>
  <c r="C139" i="108"/>
  <c r="H39" i="108"/>
  <c r="C41" i="108"/>
  <c r="G14" i="108"/>
  <c r="E140" i="108" l="1"/>
  <c r="F140" i="108"/>
  <c r="C140" i="108"/>
  <c r="H41" i="108"/>
  <c r="G41" i="108" s="1"/>
  <c r="I39" i="108"/>
  <c r="G39" i="108"/>
  <c r="H139" i="108"/>
  <c r="G139" i="108" l="1"/>
  <c r="H140" i="108"/>
  <c r="H3" i="108" l="1"/>
  <c r="G140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K62" i="107" s="1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J59" i="107"/>
  <c r="N6" i="1"/>
  <c r="N162" i="1"/>
  <c r="N59" i="107"/>
  <c r="L59" i="107"/>
  <c r="H37" i="107"/>
  <c r="B13" i="108" s="1"/>
  <c r="B14" i="108" s="1"/>
  <c r="B139" i="108" s="1"/>
  <c r="H58" i="107"/>
  <c r="H18" i="107"/>
  <c r="G58" i="107"/>
  <c r="G59" i="107" s="1"/>
  <c r="K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J21" i="1"/>
  <c r="M21" i="1" s="1"/>
  <c r="J20" i="1"/>
  <c r="M20" i="1" s="1"/>
  <c r="J31" i="1"/>
  <c r="J32" i="1"/>
  <c r="M32" i="1" s="1"/>
  <c r="J30" i="1"/>
  <c r="J33" i="1"/>
  <c r="J26" i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J13" i="1"/>
  <c r="M13" i="1" s="1"/>
  <c r="H59" i="107"/>
  <c r="B140" i="108"/>
  <c r="I139" i="108"/>
  <c r="B41" i="108"/>
  <c r="I41" i="108" s="1"/>
  <c r="M154" i="1"/>
  <c r="M94" i="1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87" i="1"/>
  <c r="M57" i="1"/>
  <c r="M51" i="1"/>
  <c r="M34" i="1"/>
  <c r="M23" i="1"/>
  <c r="M17" i="1"/>
  <c r="M11" i="1"/>
  <c r="K6" i="16"/>
  <c r="M110" i="1"/>
  <c r="M98" i="1"/>
  <c r="M80" i="1"/>
  <c r="M33" i="1"/>
  <c r="M22" i="1"/>
  <c r="M157" i="1"/>
  <c r="M145" i="1"/>
  <c r="M139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101" i="1"/>
  <c r="M35" i="1"/>
  <c r="M30" i="1"/>
  <c r="M25" i="1"/>
  <c r="M19" i="1"/>
  <c r="K5" i="16"/>
  <c r="K8" i="16"/>
  <c r="M100" i="1"/>
  <c r="M88" i="1"/>
  <c r="A1" i="1"/>
  <c r="B3" i="108" l="1"/>
  <c r="I140" i="108"/>
  <c r="O6" i="1"/>
  <c r="AA6" i="1" s="1"/>
  <c r="AC6" i="1" s="1"/>
  <c r="O57" i="1"/>
  <c r="AA57" i="1" s="1"/>
  <c r="AC57" i="1" s="1"/>
  <c r="O153" i="1"/>
  <c r="AA153" i="1" s="1"/>
  <c r="AC153" i="1" s="1"/>
  <c r="O107" i="1"/>
  <c r="AA107" i="1" s="1"/>
  <c r="AC107" i="1" s="1"/>
  <c r="O40" i="1"/>
  <c r="AA40" i="1" s="1"/>
  <c r="AC40" i="1" s="1"/>
  <c r="O131" i="1"/>
  <c r="AA131" i="1" s="1"/>
  <c r="AC131" i="1" s="1"/>
  <c r="O35" i="1"/>
  <c r="AA35" i="1" s="1"/>
  <c r="AC35" i="1" s="1"/>
  <c r="O9" i="1"/>
  <c r="AA9" i="1" s="1"/>
  <c r="AC9" i="1" s="1"/>
  <c r="O152" i="1"/>
  <c r="AA152" i="1" s="1"/>
  <c r="AC152" i="1" s="1"/>
  <c r="O45" i="1"/>
  <c r="AA45" i="1" s="1"/>
  <c r="AC45" i="1" s="1"/>
  <c r="O135" i="1"/>
  <c r="AA135" i="1" s="1"/>
  <c r="AC135" i="1" s="1"/>
  <c r="O160" i="1"/>
  <c r="AA160" i="1" s="1"/>
  <c r="AC160" i="1" s="1"/>
  <c r="O29" i="1"/>
  <c r="AA29" i="1" s="1"/>
  <c r="AC29" i="1" s="1"/>
  <c r="O101" i="1"/>
  <c r="AA101" i="1" s="1"/>
  <c r="AC101" i="1" s="1"/>
  <c r="O30" i="1"/>
  <c r="AA30" i="1" s="1"/>
  <c r="AC30" i="1" s="1"/>
  <c r="O77" i="1"/>
  <c r="AA77" i="1" s="1"/>
  <c r="AC77" i="1" s="1"/>
  <c r="O20" i="1"/>
  <c r="AA20" i="1" s="1"/>
  <c r="AC20" i="1" s="1"/>
  <c r="O72" i="1"/>
  <c r="AA72" i="1" s="1"/>
  <c r="AC72" i="1" s="1"/>
  <c r="O138" i="1"/>
  <c r="AA138" i="1" s="1"/>
  <c r="AC138" i="1" s="1"/>
  <c r="O50" i="1"/>
  <c r="AA50" i="1" s="1"/>
  <c r="AC50" i="1" s="1"/>
  <c r="O98" i="1"/>
  <c r="AA98" i="1" s="1"/>
  <c r="AC98" i="1" s="1"/>
  <c r="O146" i="1"/>
  <c r="AA146" i="1" s="1"/>
  <c r="AC146" i="1" s="1"/>
  <c r="O105" i="1"/>
  <c r="AA105" i="1" s="1"/>
  <c r="AC105" i="1" s="1"/>
  <c r="O82" i="1"/>
  <c r="AA82" i="1" s="1"/>
  <c r="AC82" i="1" s="1"/>
  <c r="O120" i="1"/>
  <c r="AA120" i="1" s="1"/>
  <c r="AC120" i="1" s="1"/>
  <c r="O15" i="1"/>
  <c r="AA15" i="1" s="1"/>
  <c r="AC15" i="1" s="1"/>
  <c r="O37" i="1"/>
  <c r="AA37" i="1" s="1"/>
  <c r="AC37" i="1" s="1"/>
  <c r="O79" i="1"/>
  <c r="AA79" i="1" s="1"/>
  <c r="AC79" i="1" s="1"/>
  <c r="O104" i="1"/>
  <c r="AA104" i="1" s="1"/>
  <c r="AC104" i="1" s="1"/>
  <c r="O61" i="1"/>
  <c r="AA61" i="1" s="1"/>
  <c r="AC61" i="1" s="1"/>
  <c r="O63" i="1"/>
  <c r="AA63" i="1" s="1"/>
  <c r="AC63" i="1" s="1"/>
  <c r="O52" i="1"/>
  <c r="AA52" i="1" s="1"/>
  <c r="AC52" i="1" s="1"/>
  <c r="O125" i="1"/>
  <c r="AA125" i="1" s="1"/>
  <c r="AC125" i="1" s="1"/>
  <c r="O58" i="1"/>
  <c r="AA58" i="1" s="1"/>
  <c r="AC58" i="1" s="1"/>
  <c r="O155" i="1"/>
  <c r="AA155" i="1" s="1"/>
  <c r="AC155" i="1" s="1"/>
  <c r="O41" i="1"/>
  <c r="AA41" i="1" s="1"/>
  <c r="AC41" i="1" s="1"/>
  <c r="O95" i="1"/>
  <c r="AA95" i="1" s="1"/>
  <c r="AC95" i="1" s="1"/>
  <c r="O36" i="1"/>
  <c r="AA36" i="1" s="1"/>
  <c r="AC36" i="1" s="1"/>
  <c r="O84" i="1"/>
  <c r="AA84" i="1" s="1"/>
  <c r="AC84" i="1" s="1"/>
  <c r="O16" i="1"/>
  <c r="AA16" i="1" s="1"/>
  <c r="AC16" i="1" s="1"/>
  <c r="O62" i="1"/>
  <c r="AA62" i="1" s="1"/>
  <c r="AC62" i="1" s="1"/>
  <c r="O110" i="1"/>
  <c r="AA110" i="1" s="1"/>
  <c r="AC110" i="1" s="1"/>
  <c r="O158" i="1"/>
  <c r="AA158" i="1" s="1"/>
  <c r="AC158" i="1" s="1"/>
  <c r="O129" i="1"/>
  <c r="AA129" i="1" s="1"/>
  <c r="AC129" i="1" s="1"/>
  <c r="O112" i="1"/>
  <c r="AA112" i="1" s="1"/>
  <c r="AC112" i="1" s="1"/>
  <c r="O49" i="1"/>
  <c r="AA49" i="1" s="1"/>
  <c r="AC49" i="1" s="1"/>
  <c r="O109" i="1"/>
  <c r="AA109" i="1" s="1"/>
  <c r="AC109" i="1" s="1"/>
  <c r="O133" i="1"/>
  <c r="AA133" i="1" s="1"/>
  <c r="AC133" i="1" s="1"/>
  <c r="O7" i="1"/>
  <c r="AA7" i="1" s="1"/>
  <c r="AC7" i="1" s="1"/>
  <c r="O31" i="1"/>
  <c r="AA31" i="1" s="1"/>
  <c r="AC31" i="1" s="1"/>
  <c r="O150" i="1"/>
  <c r="AA150" i="1" s="1"/>
  <c r="AC150" i="1" s="1"/>
  <c r="O75" i="1"/>
  <c r="AA75" i="1" s="1"/>
  <c r="AC75" i="1" s="1"/>
  <c r="O70" i="1"/>
  <c r="AA70" i="1" s="1"/>
  <c r="AC70" i="1" s="1"/>
  <c r="O149" i="1"/>
  <c r="AA149" i="1" s="1"/>
  <c r="AC149" i="1" s="1"/>
  <c r="O76" i="1"/>
  <c r="AA76" i="1" s="1"/>
  <c r="AC76" i="1" s="1"/>
  <c r="O132" i="1"/>
  <c r="AA132" i="1" s="1"/>
  <c r="AC132" i="1" s="1"/>
  <c r="O47" i="1"/>
  <c r="AA47" i="1" s="1"/>
  <c r="AC47" i="1" s="1"/>
  <c r="O113" i="1"/>
  <c r="AA113" i="1" s="1"/>
  <c r="AC113" i="1" s="1"/>
  <c r="O42" i="1"/>
  <c r="AA42" i="1" s="1"/>
  <c r="AC42" i="1" s="1"/>
  <c r="O90" i="1"/>
  <c r="AA90" i="1" s="1"/>
  <c r="AC90" i="1" s="1"/>
  <c r="O22" i="1"/>
  <c r="AA22" i="1" s="1"/>
  <c r="AC22" i="1" s="1"/>
  <c r="O68" i="1"/>
  <c r="AA68" i="1" s="1"/>
  <c r="AC68" i="1" s="1"/>
  <c r="O116" i="1"/>
  <c r="AA116" i="1" s="1"/>
  <c r="AC116" i="1" s="1"/>
  <c r="O39" i="1"/>
  <c r="AA39" i="1" s="1"/>
  <c r="AC39" i="1" s="1"/>
  <c r="O141" i="1"/>
  <c r="AA141" i="1" s="1"/>
  <c r="AC141" i="1" s="1"/>
  <c r="O130" i="1"/>
  <c r="AA130" i="1" s="1"/>
  <c r="AC130" i="1" s="1"/>
  <c r="O55" i="1"/>
  <c r="AA55" i="1" s="1"/>
  <c r="AC55" i="1" s="1"/>
  <c r="O157" i="1"/>
  <c r="AA157" i="1" s="1"/>
  <c r="AC157" i="1" s="1"/>
  <c r="O127" i="1"/>
  <c r="AA127" i="1" s="1"/>
  <c r="AC127" i="1" s="1"/>
  <c r="O8" i="1"/>
  <c r="AA8" i="1" s="1"/>
  <c r="AC8" i="1" s="1"/>
  <c r="O83" i="1"/>
  <c r="AA83" i="1" s="1"/>
  <c r="AC83" i="1" s="1"/>
  <c r="O117" i="1"/>
  <c r="AA117" i="1" s="1"/>
  <c r="AC117" i="1" s="1"/>
  <c r="O17" i="1"/>
  <c r="AA17" i="1" s="1"/>
  <c r="AC17" i="1" s="1"/>
  <c r="O87" i="1"/>
  <c r="AA87" i="1" s="1"/>
  <c r="AC87" i="1" s="1"/>
  <c r="O88" i="1"/>
  <c r="AA88" i="1" s="1"/>
  <c r="AC88" i="1" s="1"/>
  <c r="O126" i="1"/>
  <c r="AA126" i="1" s="1"/>
  <c r="AC126" i="1" s="1"/>
  <c r="O100" i="1"/>
  <c r="AA100" i="1" s="1"/>
  <c r="AC100" i="1" s="1"/>
  <c r="O156" i="1"/>
  <c r="AA156" i="1" s="1"/>
  <c r="AC156" i="1" s="1"/>
  <c r="O53" i="1"/>
  <c r="AA53" i="1" s="1"/>
  <c r="AC53" i="1" s="1"/>
  <c r="O137" i="1"/>
  <c r="AA137" i="1" s="1"/>
  <c r="AC137" i="1" s="1"/>
  <c r="O48" i="1"/>
  <c r="AA48" i="1" s="1"/>
  <c r="AC48" i="1" s="1"/>
  <c r="O96" i="1"/>
  <c r="AA96" i="1" s="1"/>
  <c r="AC96" i="1" s="1"/>
  <c r="O27" i="1"/>
  <c r="AA27" i="1" s="1"/>
  <c r="AC27" i="1" s="1"/>
  <c r="O74" i="1"/>
  <c r="AA74" i="1" s="1"/>
  <c r="AC74" i="1" s="1"/>
  <c r="O122" i="1"/>
  <c r="AA122" i="1" s="1"/>
  <c r="AC122" i="1" s="1"/>
  <c r="O51" i="1"/>
  <c r="AA51" i="1" s="1"/>
  <c r="AC51" i="1" s="1"/>
  <c r="O147" i="1"/>
  <c r="AA147" i="1" s="1"/>
  <c r="AC147" i="1" s="1"/>
  <c r="O148" i="1"/>
  <c r="AA148" i="1" s="1"/>
  <c r="AC148" i="1" s="1"/>
  <c r="O103" i="1"/>
  <c r="AA103" i="1" s="1"/>
  <c r="AC103" i="1" s="1"/>
  <c r="O67" i="1"/>
  <c r="AA67" i="1" s="1"/>
  <c r="AC67" i="1" s="1"/>
  <c r="O43" i="1"/>
  <c r="AA43" i="1" s="1"/>
  <c r="AC43" i="1" s="1"/>
  <c r="O56" i="1"/>
  <c r="AA56" i="1" s="1"/>
  <c r="AC56" i="1" s="1"/>
  <c r="O91" i="1"/>
  <c r="AA91" i="1" s="1"/>
  <c r="AC91" i="1" s="1"/>
  <c r="O23" i="1"/>
  <c r="AA23" i="1" s="1"/>
  <c r="AC23" i="1" s="1"/>
  <c r="O99" i="1"/>
  <c r="AA99" i="1" s="1"/>
  <c r="AC99" i="1" s="1"/>
  <c r="O106" i="1"/>
  <c r="AA106" i="1" s="1"/>
  <c r="AC106" i="1" s="1"/>
  <c r="O12" i="1"/>
  <c r="AA12" i="1" s="1"/>
  <c r="AC12" i="1" s="1"/>
  <c r="O118" i="1"/>
  <c r="AA118" i="1" s="1"/>
  <c r="AC118" i="1" s="1"/>
  <c r="O13" i="1"/>
  <c r="AA13" i="1" s="1"/>
  <c r="AC13" i="1" s="1"/>
  <c r="O59" i="1"/>
  <c r="AA59" i="1" s="1"/>
  <c r="AC59" i="1" s="1"/>
  <c r="O161" i="1"/>
  <c r="AA161" i="1" s="1"/>
  <c r="AC161" i="1" s="1"/>
  <c r="O54" i="1"/>
  <c r="AA54" i="1" s="1"/>
  <c r="AC54" i="1" s="1"/>
  <c r="O102" i="1"/>
  <c r="AA102" i="1" s="1"/>
  <c r="AC102" i="1" s="1"/>
  <c r="O33" i="1"/>
  <c r="AA33" i="1" s="1"/>
  <c r="AC33" i="1" s="1"/>
  <c r="O80" i="1"/>
  <c r="AA80" i="1" s="1"/>
  <c r="AC80" i="1" s="1"/>
  <c r="O128" i="1"/>
  <c r="AA128" i="1" s="1"/>
  <c r="AC128" i="1" s="1"/>
  <c r="O69" i="1"/>
  <c r="AA69" i="1" s="1"/>
  <c r="AC69" i="1" s="1"/>
  <c r="O159" i="1"/>
  <c r="AA159" i="1" s="1"/>
  <c r="AC159" i="1" s="1"/>
  <c r="O89" i="1"/>
  <c r="AA89" i="1" s="1"/>
  <c r="AC89" i="1" s="1"/>
  <c r="O151" i="1"/>
  <c r="AA151" i="1" s="1"/>
  <c r="AC151" i="1" s="1"/>
  <c r="O73" i="1"/>
  <c r="AA73" i="1" s="1"/>
  <c r="AC73" i="1" s="1"/>
  <c r="O139" i="1"/>
  <c r="AA139" i="1" s="1"/>
  <c r="AC139" i="1" s="1"/>
  <c r="O85" i="1"/>
  <c r="AA85" i="1" s="1"/>
  <c r="AC85" i="1" s="1"/>
  <c r="O162" i="1"/>
  <c r="AA162" i="1" s="1"/>
  <c r="AC162" i="1" s="1"/>
  <c r="O97" i="1"/>
  <c r="AA97" i="1" s="1"/>
  <c r="AC97" i="1" s="1"/>
  <c r="O28" i="1"/>
  <c r="AA28" i="1" s="1"/>
  <c r="AC28" i="1" s="1"/>
  <c r="O111" i="1"/>
  <c r="AA111" i="1" s="1"/>
  <c r="AC111" i="1" s="1"/>
  <c r="O124" i="1"/>
  <c r="AA124" i="1" s="1"/>
  <c r="AC124" i="1" s="1"/>
  <c r="O18" i="1"/>
  <c r="AA18" i="1" s="1"/>
  <c r="AC18" i="1" s="1"/>
  <c r="O136" i="1"/>
  <c r="AA136" i="1" s="1"/>
  <c r="AC136" i="1" s="1"/>
  <c r="O19" i="1"/>
  <c r="AA19" i="1" s="1"/>
  <c r="AC19" i="1" s="1"/>
  <c r="O65" i="1"/>
  <c r="AA65" i="1" s="1"/>
  <c r="AC65" i="1" s="1"/>
  <c r="O144" i="1"/>
  <c r="AA144" i="1" s="1"/>
  <c r="AC144" i="1" s="1"/>
  <c r="O60" i="1"/>
  <c r="AA60" i="1" s="1"/>
  <c r="AC60" i="1" s="1"/>
  <c r="O108" i="1"/>
  <c r="AA108" i="1" s="1"/>
  <c r="AC108" i="1" s="1"/>
  <c r="O38" i="1"/>
  <c r="AA38" i="1" s="1"/>
  <c r="AC38" i="1" s="1"/>
  <c r="O86" i="1"/>
  <c r="AA86" i="1" s="1"/>
  <c r="AC86" i="1" s="1"/>
  <c r="O134" i="1"/>
  <c r="AA134" i="1" s="1"/>
  <c r="AC134" i="1" s="1"/>
  <c r="O81" i="1"/>
  <c r="AA81" i="1" s="1"/>
  <c r="AC81" i="1" s="1"/>
  <c r="O46" i="1"/>
  <c r="AA46" i="1" s="1"/>
  <c r="AC46" i="1" s="1"/>
  <c r="O119" i="1"/>
  <c r="AA119" i="1" s="1"/>
  <c r="AC119" i="1" s="1"/>
  <c r="O115" i="1"/>
  <c r="AA115" i="1" s="1"/>
  <c r="AC115" i="1" s="1"/>
  <c r="O21" i="1"/>
  <c r="AA21" i="1" s="1"/>
  <c r="AC21" i="1" s="1"/>
  <c r="O32" i="1"/>
  <c r="AA32" i="1" s="1"/>
  <c r="AC32" i="1" s="1"/>
  <c r="O11" i="1"/>
  <c r="AA11" i="1" s="1"/>
  <c r="AC11" i="1" s="1"/>
  <c r="O78" i="1"/>
  <c r="AA78" i="1" s="1"/>
  <c r="AC78" i="1" s="1"/>
  <c r="O94" i="1"/>
  <c r="AA94" i="1" s="1"/>
  <c r="AC94" i="1" s="1"/>
  <c r="O34" i="1"/>
  <c r="AA34" i="1" s="1"/>
  <c r="AC34" i="1" s="1"/>
  <c r="O123" i="1"/>
  <c r="AA123" i="1" s="1"/>
  <c r="AC123" i="1" s="1"/>
  <c r="O142" i="1"/>
  <c r="AA142" i="1" s="1"/>
  <c r="AC142" i="1" s="1"/>
  <c r="O24" i="1"/>
  <c r="AA24" i="1" s="1"/>
  <c r="AC24" i="1" s="1"/>
  <c r="O154" i="1"/>
  <c r="AA154" i="1" s="1"/>
  <c r="AC154" i="1" s="1"/>
  <c r="O25" i="1"/>
  <c r="AA25" i="1" s="1"/>
  <c r="AC25" i="1" s="1"/>
  <c r="O71" i="1"/>
  <c r="AA71" i="1" s="1"/>
  <c r="AC71" i="1" s="1"/>
  <c r="O14" i="1"/>
  <c r="AA14" i="1" s="1"/>
  <c r="AC14" i="1" s="1"/>
  <c r="O66" i="1"/>
  <c r="AA66" i="1" s="1"/>
  <c r="AC66" i="1" s="1"/>
  <c r="O114" i="1"/>
  <c r="AA114" i="1" s="1"/>
  <c r="AC114" i="1" s="1"/>
  <c r="O44" i="1"/>
  <c r="AA44" i="1" s="1"/>
  <c r="AC44" i="1" s="1"/>
  <c r="O92" i="1"/>
  <c r="AA92" i="1" s="1"/>
  <c r="AC92" i="1" s="1"/>
  <c r="O140" i="1"/>
  <c r="AA140" i="1" s="1"/>
  <c r="AC140" i="1" s="1"/>
  <c r="O93" i="1"/>
  <c r="AA93" i="1" s="1"/>
  <c r="AC93" i="1" s="1"/>
  <c r="O64" i="1"/>
  <c r="AA64" i="1" s="1"/>
  <c r="AC64" i="1" s="1"/>
  <c r="O143" i="1"/>
  <c r="AA143" i="1" s="1"/>
  <c r="AC143" i="1" s="1"/>
  <c r="O121" i="1"/>
  <c r="AA121" i="1" s="1"/>
  <c r="AC121" i="1" s="1"/>
  <c r="O26" i="1"/>
  <c r="AA26" i="1" s="1"/>
  <c r="AC26" i="1" s="1"/>
  <c r="O145" i="1"/>
  <c r="AA145" i="1" s="1"/>
  <c r="AC145" i="1" s="1"/>
  <c r="O10" i="1"/>
  <c r="AA10" i="1" s="1"/>
  <c r="AC10" i="1" s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>
  <authors>
    <author>hadi</author>
  </authors>
  <commentList>
    <comment ref="J11" authorId="0" shapeId="0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>
  <authors>
    <author>hadi</author>
  </authors>
  <commentList>
    <comment ref="U6" authorId="0" shapeId="0">
      <text>
        <r>
          <rPr>
            <sz val="9"/>
            <color indexed="81"/>
            <rFont val="Tahoma"/>
            <family val="2"/>
          </rPr>
          <t>REMARK UPDATE
Previous: 
New: A1</t>
        </r>
      </text>
    </comment>
  </commentList>
</comments>
</file>

<file path=xl/comments3.xml><?xml version="1.0" encoding="utf-8"?>
<comments xmlns="http://schemas.openxmlformats.org/spreadsheetml/2006/main">
  <authors>
    <author>ssilalahi</author>
  </authors>
  <commentList>
    <comment ref="A66" authorId="0" shapeId="0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<sst xmlns="http://schemas.openxmlformats.org/spreadsheetml/2006/main" count="2575" uniqueCount="733">
  <si>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</si>
  <si>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</si>
  <si>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</si>
  <si>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</si>
  <si>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</si>
  <si>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</si>
  <si>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</si>
  <si>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</si>
  <si>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</si>
  <si>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</si>
  <si>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</si>
  <si>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</si>
  <si>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</si>
  <si>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</si>
  <si>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</si>
  <si>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</si>
  <si>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</si>
  <si>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</si>
  <si>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</si>
  <si>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</si>
  <si>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</si>
  <si>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</si>
  <si>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</si>
  <si>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</si>
  <si>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</si>
  <si>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</si>
  <si>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</si>
  <si>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</si>
  <si>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</si>
  <si>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</si>
  <si>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</si>
  <si>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</si>
  <si>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</si>
  <si>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</si>
  <si>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</si>
  <si>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</si>
  <si>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</si>
  <si>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</si>
  <si>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</si>
  <si>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</si>
  <si>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</si>
  <si>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</si>
  <si>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</si>
  <si>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</si>
  <si>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</si>
  <si>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</si>
  <si>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</si>
  <si>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</si>
  <si>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</si>
  <si>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</si>
  <si>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</si>
  <si>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</si>
  <si>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</si>
  <si>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</si>
  <si>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</si>
  <si>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</si>
  <si>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</si>
  <si>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</si>
  <si>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</si>
  <si>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</si>
  <si>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</si>
  <si>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</si>
  <si>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</si>
  <si>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</si>
  <si>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</si>
  <si>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</si>
  <si>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</si>
  <si>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</si>
  <si>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</si>
  <si>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</si>
  <si>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</si>
  <si>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</si>
  <si>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</si>
  <si>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</si>
  <si>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</si>
  <si>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</si>
  <si>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</si>
  <si>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</si>
  <si>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</si>
  <si>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</si>
  <si>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</si>
  <si>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</si>
  <si>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</si>
  <si>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</si>
  <si>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</si>
  <si>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</si>
  <si>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</si>
  <si>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</si>
  <si>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</si>
  <si>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</si>
  <si>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</si>
  <si>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</si>
  <si>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</si>
  <si>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</si>
  <si>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</si>
  <si>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</si>
  <si>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</si>
  <si>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</si>
  <si>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</si>
  <si>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</si>
  <si>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</si>
  <si>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</si>
  <si>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</si>
  <si>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</si>
  <si>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</si>
  <si>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</si>
  <si>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</si>
  <si>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</si>
  <si>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</si>
  <si>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</si>
  <si>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</si>
  <si>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</si>
  <si>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</si>
  <si>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</si>
  <si>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</si>
  <si>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</si>
  <si>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</si>
  <si>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</si>
  <si>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</si>
  <si>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</si>
  <si>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</si>
  <si>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</si>
  <si>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</si>
  <si>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</si>
  <si>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</si>
  <si>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</si>
  <si>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</si>
  <si>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</si>
  <si>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</si>
  <si>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</si>
  <si>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</si>
  <si>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</si>
  <si>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</si>
  <si>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</si>
  <si>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</si>
  <si>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</si>
  <si>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</si>
  <si>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</si>
  <si>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</si>
  <si>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</si>
  <si>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</si>
  <si>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</si>
  <si>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</si>
  <si>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</si>
  <si>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</si>
  <si>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</si>
  <si>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</si>
  <si>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</si>
  <si>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</si>
  <si>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</si>
  <si>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</si>
  <si>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</si>
  <si>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</si>
  <si>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</si>
  <si>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</si>
  <si>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</si>
  <si>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</si>
  <si>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</si>
  <si>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</si>
  <si>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</si>
  <si>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</si>
  <si>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</si>
  <si>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</si>
  <si>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</si>
  <si>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</si>
  <si>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</si>
  <si>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</si>
  <si>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</si>
  <si>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</si>
  <si>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</si>
  <si>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</si>
  <si>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</si>
  <si>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</si>
  <si>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</si>
  <si>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</si>
  <si>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</si>
  <si>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</si>
  <si>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</si>
  <si>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</si>
  <si>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</si>
  <si>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</si>
  <si>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</si>
  <si>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</si>
  <si>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</si>
  <si>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</si>
  <si>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</si>
  <si>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</si>
  <si>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</si>
  <si>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</si>
  <si>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</si>
  <si>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</si>
  <si>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</si>
  <si>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</si>
  <si>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</si>
  <si>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</si>
  <si>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</si>
  <si>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</si>
  <si>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</si>
  <si>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</si>
  <si>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</si>
  <si>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</si>
  <si>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</si>
  <si>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</si>
  <si>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</si>
  <si>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</si>
  <si>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</si>
  <si>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</si>
  <si>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</si>
  <si>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</si>
  <si>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</si>
  <si>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</si>
  <si>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</si>
  <si>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</si>
  <si>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</si>
  <si>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</si>
  <si>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</si>
  <si>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</si>
  <si>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</si>
  <si>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</si>
  <si>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</si>
  <si>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</si>
  <si>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</si>
  <si>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</si>
  <si>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</si>
  <si>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</si>
  <si>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</si>
  <si>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</si>
  <si>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</si>
  <si>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</si>
  <si>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</si>
  <si>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</si>
  <si>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</si>
  <si>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</si>
  <si>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</si>
  <si>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</si>
  <si>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</si>
  <si>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</si>
  <si>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</si>
  <si>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</si>
  <si>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</si>
  <si>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</si>
  <si>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</si>
  <si>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</si>
  <si>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</si>
  <si>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</si>
  <si>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</si>
  <si>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</si>
  <si>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</si>
  <si>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</si>
  <si>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</si>
  <si>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</si>
  <si>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</si>
  <si>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</si>
  <si>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</si>
  <si>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</si>
  <si>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</si>
  <si>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</si>
  <si>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</si>
  <si>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</si>
  <si>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</si>
  <si>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</si>
  <si>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</si>
  <si>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</si>
  <si>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</si>
  <si>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</si>
  <si>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</si>
  <si>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</si>
  <si>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</si>
  <si>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</si>
  <si>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</si>
  <si>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</si>
  <si>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</si>
  <si>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</si>
  <si>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</si>
  <si>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</si>
  <si>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</si>
  <si>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</si>
  <si>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</si>
  <si>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</si>
  <si>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</si>
  <si>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</si>
  <si>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</si>
  <si>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</si>
  <si>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</si>
  <si>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</si>
  <si>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</si>
  <si>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</si>
  <si>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</si>
  <si>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</si>
  <si>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</si>
  <si>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</si>
  <si>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</si>
  <si>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</si>
  <si>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</si>
  <si>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</si>
  <si>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</si>
  <si>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</si>
  <si>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</si>
  <si>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</si>
  <si>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</si>
  <si>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</si>
  <si>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</si>
  <si>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</si>
  <si>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</si>
  <si>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</si>
  <si>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</si>
  <si>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</si>
  <si>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</si>
  <si>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</si>
  <si>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</si>
  <si>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</si>
  <si>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</si>
  <si>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</si>
  <si>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</si>
  <si>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</si>
  <si>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</si>
  <si>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</si>
  <si>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</si>
  <si>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</si>
  <si>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</si>
  <si>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</si>
  <si>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</si>
  <si>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</si>
  <si>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</si>
  <si>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</si>
  <si>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</si>
  <si>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</si>
  <si>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</si>
  <si>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</si>
  <si>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</si>
  <si>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</si>
  <si>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</si>
  <si>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</si>
  <si>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</si>
  <si>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</si>
  <si>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</si>
  <si>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</si>
  <si>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</si>
  <si>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</si>
  <si>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</si>
  <si>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</si>
  <si>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</si>
  <si>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</si>
  <si>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</si>
  <si>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</si>
  <si>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</si>
  <si>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</si>
  <si>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</si>
  <si>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</si>
  <si>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</si>
  <si>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</si>
  <si>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</si>
  <si>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</si>
  <si>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</si>
  <si>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</si>
  <si>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</si>
  <si>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</si>
  <si>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</si>
  <si>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</si>
  <si>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</si>
  <si>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</si>
  <si>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</si>
  <si>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</si>
  <si>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</si>
  <si>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</si>
  <si>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</si>
  <si>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</si>
  <si>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</si>
  <si>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</si>
  <si>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</si>
  <si>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</si>
  <si>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</si>
  <si>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</si>
  <si>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</si>
  <si>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</si>
  <si>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</si>
  <si>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</si>
  <si>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</si>
  <si>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</si>
  <si>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</si>
  <si>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</si>
  <si>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</si>
  <si>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</si>
  <si>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</si>
  <si>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</si>
  <si>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</si>
  <si>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</si>
  <si>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</si>
  <si>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</si>
  <si>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</si>
  <si>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</si>
  <si>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</si>
  <si>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</si>
  <si>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</si>
  <si>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</si>
  <si>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</si>
  <si>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</si>
  <si>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</si>
  <si>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</si>
  <si>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</si>
  <si>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</si>
  <si>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</si>
  <si>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</si>
  <si>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</si>
  <si>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</si>
  <si>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</si>
  <si>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</si>
  <si>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</si>
  <si>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</si>
  <si>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</si>
  <si>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</si>
  <si>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</si>
  <si>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</si>
  <si>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</si>
  <si>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</si>
  <si>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</si>
  <si>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</si>
  <si>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</si>
  <si>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</si>
  <si>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</si>
  <si>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</si>
  <si>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</si>
  <si>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</si>
  <si>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</si>
  <si>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</si>
  <si>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</si>
  <si>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</si>
  <si>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</si>
  <si>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</si>
  <si>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</si>
  <si>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</si>
  <si>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</si>
  <si>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</si>
  <si>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</si>
  <si>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</si>
  <si>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</si>
  <si>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</si>
  <si>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</si>
  <si>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</si>
  <si>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</si>
  <si>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</si>
  <si>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</si>
  <si>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</si>
  <si>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</si>
  <si>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</si>
  <si>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</si>
  <si>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</si>
  <si>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</si>
  <si>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</si>
  <si>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</si>
  <si>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</si>
  <si>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</si>
  <si>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</si>
  <si>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</si>
  <si>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</si>
  <si>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</si>
  <si>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</si>
  <si>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</si>
  <si>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</si>
  <si>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</si>
  <si>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</si>
  <si>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</si>
  <si>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</si>
  <si>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</si>
  <si>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</si>
  <si>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</si>
  <si>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</si>
  <si>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</si>
  <si>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</si>
  <si>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</si>
  <si>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</si>
  <si>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</si>
  <si>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</si>
  <si>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</si>
  <si>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</si>
  <si>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</si>
  <si>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</si>
  <si>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</si>
  <si>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</si>
  <si>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</si>
  <si>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</si>
  <si>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</si>
  <si>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</si>
  <si>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</si>
  <si>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</si>
  <si>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</si>
  <si>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</si>
  <si>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</si>
  <si>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</si>
  <si>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</si>
  <si>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</si>
  <si>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</si>
  <si>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</si>
  <si>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</si>
  <si>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</si>
  <si>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</si>
  <si>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</si>
  <si>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</si>
  <si>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</si>
  <si>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</si>
  <si>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</si>
  <si>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</si>
  <si>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</si>
  <si>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</si>
  <si>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</si>
  <si>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</si>
  <si>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</si>
  <si>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</si>
  <si>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</si>
  <si>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</si>
  <si>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</si>
  <si>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</si>
  <si>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</si>
  <si>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</si>
  <si>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</si>
  <si>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</si>
  <si>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</si>
  <si>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</si>
  <si>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</si>
  <si>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</si>
  <si>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</si>
  <si>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</si>
  <si>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</si>
  <si>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</si>
  <si>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</si>
  <si>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</si>
  <si>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</si>
  <si>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</si>
  <si>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</si>
  <si>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</si>
  <si>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</si>
  <si>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</si>
  <si>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</si>
  <si>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</si>
  <si>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</si>
  <si>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</si>
  <si>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</si>
  <si>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</si>
  <si>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</si>
  <si>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</si>
  <si>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</si>
  <si>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</si>
  <si>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</si>
  <si>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</si>
  <si>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OVER</t>
  </si>
  <si>
    <t>A1</t>
  </si>
  <si>
    <t>A2</t>
  </si>
  <si>
    <t>A3</t>
  </si>
  <si>
    <t>A4</t>
  </si>
  <si>
    <t>A5</t>
  </si>
  <si>
    <t>A6</t>
  </si>
  <si>
    <t>A7</t>
  </si>
  <si>
    <t>A MID</t>
  </si>
  <si>
    <t>A LAST</t>
  </si>
  <si>
    <t>W1</t>
  </si>
  <si>
    <t>W2</t>
  </si>
  <si>
    <t>W3</t>
  </si>
  <si>
    <t>W MID</t>
  </si>
  <si>
    <t>W LAST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</si>
  <si>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</si>
  <si>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</si>
  <si>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</si>
  <si>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</si>
  <si>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</si>
  <si>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</si>
  <si>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</si>
  <si>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</si>
  <si>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</si>
  <si>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\\10.8.0.35\rpa$\RPA Excel Template\Accounting Finance\Santy\Profit Loss\07-02-2024\Macro\WO BUDGETING</t>
  </si>
  <si>
    <t>BRANCH UNIT</t>
  </si>
  <si>
    <t>Asep Ridwan SubianaEXPEDITION/SEA FREIGHTBiaya EksporCLNHeni1</t>
  </si>
  <si>
    <t>Asep Ridwan SubianaEXPEDITION/SEA FREIGHTBiaya EksporMAJA-2Farida1</t>
  </si>
  <si>
    <t>Asep Ridwan SubianaINSURANCE EXPENSESJaminan kontrak kerja makloonCLNNunung1</t>
  </si>
  <si>
    <t>Asep Ridwan SubianaINSURANCE EXPENSESJaminan kontrak kerja makloonMAJA-2Yanto1</t>
  </si>
  <si>
    <t>Asep Ridwan SubianaOTHER PRODUCTION COSTImportCLNSeli3</t>
  </si>
  <si>
    <t>Asep Ridwan SubianaOTHER PRODUCTION COSTImportMAJA-1Irna3</t>
  </si>
  <si>
    <t>Asep Ridwan SubianaOTHER PRODUCTION COSTImportMAJA-2Irna3</t>
  </si>
  <si>
    <t>Asep Ridwan SubianaPEMAKAIAN GENERAL MATERIALissue nashua, double tape, karton tebal,numbering, kertas gelar, tinta numbering, kertas marker.CLNIka1</t>
  </si>
  <si>
    <t>Asep Ridwan SubianaPEMAKAIAN GENERAL MATERIALissue nashua, double tape, karton tebal,numbering, kertas gelar, tinta numbering, kertas marker.MAJA-1Sri K1</t>
  </si>
  <si>
    <t>Asep Ridwan SubianaPEMAKAIAN GENERAL MATERIALissue nashua, double tape, karton tebal,numbering, kertas gelar, tinta numbering, kertas marker.MAJA-2Sri K1</t>
  </si>
  <si>
    <t>Asep Ridwan SubianaPEMAKAIAN PACKINGLakban &amp; accessories packing utk produksiCLNIka1</t>
  </si>
  <si>
    <t>Asep Ridwan SubianaTRUCKING EXPENSESBiaya truking utk pengiriman barangCLNHilman1</t>
  </si>
  <si>
    <t>Asep Ridwan SubianaTRUCKING EXPENSESBiaya truking utk pengiriman barangMAJA-1Hilman1</t>
  </si>
  <si>
    <t>Asep Ridwan SubianaTRUCKING EXPENSESBiaya truking utk pengiriman barangMAJA-2Hilman1</t>
  </si>
  <si>
    <t>ChoerumanVENDOR EXPENSESBiaya Makloon CLNSagaf 2</t>
  </si>
  <si>
    <t>ChoerumanVENDOR EXPENSESBiaya Makloon MAJA-1Sagaf 2</t>
  </si>
  <si>
    <t>ChoerumanVENDOR EXPENSESBiaya Makloon MAJA-2Dede2</t>
  </si>
  <si>
    <t>ChoerumanVENDOR EXPENSESBiaya MaterialCLNIrwan2</t>
  </si>
  <si>
    <t>ChoerumanVENDOR EXPENSESBiaya Makloon MAJA-1Sri B2</t>
  </si>
  <si>
    <t>ChoerumanVENDOR EXPENSESBiaya Makloon MAJA-2Irwan2</t>
  </si>
  <si>
    <t>FirawatyFABRIC TESTED CHARGESGarment TestCLNDiana5</t>
  </si>
  <si>
    <t>FirawatyFABRIC TESTED CHARGESGarment TestCLNEka5</t>
  </si>
  <si>
    <t>FirawatyFABRIC TESTED CHARGESGarment TestCLNSuwartini5</t>
  </si>
  <si>
    <t>FirawatyFABRIC TESTED CHARGESGarment TestCLNSynta5</t>
  </si>
  <si>
    <t>FirawatySALES COMMISSIONKomisi untuk AgentCLNSynta2</t>
  </si>
  <si>
    <t>FirawatySAMPLE EXPENSESPengeluaran Material SampleCLNDiana6</t>
  </si>
  <si>
    <t>FirawatySAMPLE EXPENSESPengeluaran Material SampleCLNEka6</t>
  </si>
  <si>
    <t>FirawatySAMPLE EXPENSESPengeluaran Material SampleCLNSuwartini6</t>
  </si>
  <si>
    <t>FirawatySAMPLE EXPENSESPengeluaran Material SampleCLNSynta6</t>
  </si>
  <si>
    <t>FungfungFABRIC TESTED CHARGESGarment TestCLNYuli5</t>
  </si>
  <si>
    <t>FungfungSALES COMMISSIONKomisi untuk AgentCLNSary2</t>
  </si>
  <si>
    <t>FungfungSAMPLE EXPENSESPengeluaran Material SampleCLNSary6</t>
  </si>
  <si>
    <t>FungfungSAMPLE EXPENSESPengeluaran Material SampleCLNMery6</t>
  </si>
  <si>
    <t>Owi WijayaAIR FREIGHTBiaya Ekspor By AirCLNNunung1</t>
  </si>
  <si>
    <t>Owi WijayaBUSINESS TRIP EXPENSESAkomodasi dari tugas luarCLNTita1</t>
  </si>
  <si>
    <t>Owi WijayaCONTRIBUTION COSTSumbanganCLNRini1</t>
  </si>
  <si>
    <t>Owi WijayaCONTRIBUTION COSTSumbanganMAJA-2Rini1</t>
  </si>
  <si>
    <t>Owi WijayaELECTRICITYBiaya Listrik PLNCLNRini1</t>
  </si>
  <si>
    <t>Owi WijayaENTERTAINMENTBiaya jamuan makan/HadiahCLNRini1</t>
  </si>
  <si>
    <t>Owi WijayaFACTORY SUPPLIES EXPENSEKebutuhan Produksi (KABEL, SEWA MESIN, AMPLAS, BATTERY CHARGER, PILOX, CIPUT)CLNWenti1</t>
  </si>
  <si>
    <t>Owi WijayaFARE ALLOWANCETunjangan makan StaffCLNRini2</t>
  </si>
  <si>
    <t>Owi WijayaFARE ALLOWANCETunjangan makan produksiCLNRini2</t>
  </si>
  <si>
    <t>Owi WijayaFREIGHT INBiaya sewa mobilCLNRini1</t>
  </si>
  <si>
    <t>Owi WijayaFREIGHT INBiaya sewa mobilMAJA-2Rini1</t>
  </si>
  <si>
    <t>Owi WijayaFUEL FOR MOTOR VEHICLEBahan bakar untuk kendaraanCLNRini1</t>
  </si>
  <si>
    <t>Owi WijayaFUEL FOR MOTOR VEHICLEBahan bakar untuk kendaraanMAJA-1Rini1</t>
  </si>
  <si>
    <t>Owi WijayaFUEL FOR MOTOR VEHICLEBahan bakar untuk kendaraanMAJA-2Rini1</t>
  </si>
  <si>
    <t>Owi WijayaINSURANCEEXP.OFBUILD.&amp;Asuransi ASWATACLNRini1</t>
  </si>
  <si>
    <t>Owi WijayaINSURANCEEXP.OFBUILD.&amp;Asuransi ASWATAMAJA-2Rini1</t>
  </si>
  <si>
    <t>Owi WijayaINTERNET EXPENSESBiaya InternetCLNRini1</t>
  </si>
  <si>
    <t>Owi WijayaINTERNET EXPENSESBiaya InternetMAJA-2Rini1</t>
  </si>
  <si>
    <t>Owi WijayaJAMSOSTEKBiaya BPJS Tenaga KerjaCLNSiska1</t>
  </si>
  <si>
    <t>Owi WijayaLABOR COSTUpah ProduksiCLNAti1</t>
  </si>
  <si>
    <t>Owi WijayaLEGAL EXPENSESBiaya dokumen legal &amp; materaiCLNRini1</t>
  </si>
  <si>
    <t>Owi WijayaLEGAL EXPENSESBiaya dokumen legal &amp; materaiKALIBENDARini1</t>
  </si>
  <si>
    <t>Owi WijayaLEGAL EXPENSESBiaya dokumen legal &amp; materaiMAJA-1Rini1</t>
  </si>
  <si>
    <t>Owi WijayaLEGAL EXPENSESBiaya dokumen legal &amp; materaiMAJA-2Rini1</t>
  </si>
  <si>
    <t>Owi WijayaMAINT.&amp;REP.BUILDINGpemeliharaan gedungCLNRini1</t>
  </si>
  <si>
    <t>Owi WijayaMAINT.&amp;REP.ELECTRICITYpemeliharaan instalasi listrikCLNWenti1</t>
  </si>
  <si>
    <t>Owi WijayaMAINT.&amp;REP.GEN&amp;BOILERPemeliharaan GeneratorCLNWenti1</t>
  </si>
  <si>
    <t>Owi WijayaMAINT.&amp;REP.MACHINERIEpemeliharaan mesinCLNWenti1</t>
  </si>
  <si>
    <t>Owi WijayaMAINT.&amp;REP.MOTORVEHICLEpemeliharaan kendaraanCLNWenti1</t>
  </si>
  <si>
    <t>Owi WijayaMAINT.&amp;REP.MOTORVEHICLEpemeliharaan kendaraanMAJA-1Rini1</t>
  </si>
  <si>
    <t>Owi WijayaMAINT.&amp;REP.MOTORVEHICLEpemeliharaan kendaraanMAJA-2Rini1</t>
  </si>
  <si>
    <t>Owi WijayaMAINT.&amp;REP.PLANTEQUIpemeliharaan peralatan produksiCLNWenti1</t>
  </si>
  <si>
    <t>Owi WijayaMAINT.&amp;REP.WATERINSTL.pemeliharaan instalasi airCLNWenti1</t>
  </si>
  <si>
    <t>Owi WijayaMAINT.OFFICEEQUIP.Pemeliharaan perlengkapan OfficeCLNRini1</t>
  </si>
  <si>
    <t>Owi WijayaMAINT.OFFICEEQUIP.Pemeliharaan perlengkapan OfficeKALIBENDARini1</t>
  </si>
  <si>
    <t>Owi WijayaMAINT.OFFICEEQUIP.Pemeliharaan perlengkapan OfficeMAJA-1Rini1</t>
  </si>
  <si>
    <t>Owi WijayaMAINT.OFFICEEQUIP.Pemeliharaan perlengkapan OfficeMAJA-2Rini1</t>
  </si>
  <si>
    <t>Owi WijayaMEDICAL ALLOWANCEBPJS kesehatan ProduksiCLNRini1</t>
  </si>
  <si>
    <t>Owi WijayaOFFICE SUPPLIES EXPENSESPerlengkapan office (Tinta refil, sewa mesin fotocopy, ATK, spanduk, Aqua, uji lingkungan)CLNRizal1</t>
  </si>
  <si>
    <t>Owi WijayaOFFICE SUPPLIES EXPENSESPerlengkapan office (Tinta refil, sewa mesin fotocopy, ATK, spanduk, Aqua, uji lingkungan)KALIBENDARizal1</t>
  </si>
  <si>
    <t>Owi WijayaOFFICE SUPPLIES EXPENSESPerlengkapan office (Tinta refil, sewa mesin fotocopy, ATK, spanduk, Aqua, uji lingkungan)MAJA-1Rizal1</t>
  </si>
  <si>
    <t>Owi WijayaOFFICE SUPPLIES EXPENSESPerlengkapan office (Tinta refil, sewa mesin fotocopy, ATK, spanduk, Aqua, uji lingkungan)MAJA-2Rizal1</t>
  </si>
  <si>
    <t>Owi WijayaOTHER PRODUCTION COSTSecurityKALIBENDARini1</t>
  </si>
  <si>
    <t>Owi WijayaPEMAKAIAN SPARE PARTissue jarum , baud, dllCLNWenti1</t>
  </si>
  <si>
    <t>Owi WijayaPMKN FUEL &amp; LUBRICANTissue solarCLNWenti1</t>
  </si>
  <si>
    <t>Owi WijayaRENT EXPENSESBiaya SewaCLNRini1</t>
  </si>
  <si>
    <t>Owi WijayaRENT EXPENSES BUILDINGSewa Kontrakan ClnCLNRini1</t>
  </si>
  <si>
    <t>Owi WijayaRENT EXPENSES LANDSewa tanah ClnCLNRini1</t>
  </si>
  <si>
    <t>Owi WijayaTELEPHONE EXPENSESbiaya TelkomCLNRini1</t>
  </si>
  <si>
    <t>Owi WijayaTRAINING BY EMPLOYEEBiaya pelatihanCLNRini1</t>
  </si>
  <si>
    <t>Owi WijayaWATERTagihan Pajak Air TanahCLNRini1</t>
  </si>
  <si>
    <t>Owi WijayaOTHER PRODUCTION COSTDokter&amp; ObatCLNRini3</t>
  </si>
  <si>
    <t>Owi WijayaOTHER PRODUCTION COSTSecurityCLNRini3</t>
  </si>
  <si>
    <t>Owi WijayaOTHER PRODUCTION COSTSecurityMAJA-1Rini3</t>
  </si>
  <si>
    <t>Owi WijayaOTHER PRODUCTION COSTSecurityMAJA-2Rini3</t>
  </si>
  <si>
    <t>Wawan IskandarJAMSOSTEKBiaya BPJS Tenaga KerjaKALIBENDASiska1</t>
  </si>
  <si>
    <t>Wawan IskandarMAINT.&amp;REP.BUILDINGpemeliharaan gedungKALIBENDARini1</t>
  </si>
  <si>
    <t>Wawan IskandarMEDICAL ALLOWANCEBPJS kesehatan ProduksiKALIBENDASiska1</t>
  </si>
  <si>
    <t>Wawan IskandarRENT EXPENSESBiaya SewaKALIBENDARini1</t>
  </si>
  <si>
    <t>Wawan IskandarRENT EXPENSES BUILDINGSewa Kontrakan/pabrk banjarnegaraKALIBENDARini1</t>
  </si>
  <si>
    <t>Wawan IskandarTELEPHONE EXPENSESbiaya TelkomKALIBENDARini1</t>
  </si>
  <si>
    <t>Wawan IskandarWATERTagihan Pajak Air TanahKALIBENDARini1</t>
  </si>
  <si>
    <t>Wawan IskandarFACTORY SUPPLIES EXPENSEKebutuhan Produksi (KABEL, SEWA MESIN, AMPLAS, BATTERY CHARGER, PILOX, CIPUT)KALIBENDAAlivia1</t>
  </si>
  <si>
    <t>Wawan IskandarMAINT.&amp;REP.ELECTRICITYpemeliharaan instalasi listrikKALIBENDAAlivia1</t>
  </si>
  <si>
    <t>Wawan IskandarMAINT.&amp;REP.GEN&amp;BOILERPemeliharaan GeneratorKALIBENDAAlivia1</t>
  </si>
  <si>
    <t>Wawan IskandarMAINT.&amp;REP.MACHINERIEpemeliharaan mesinKALIBENDAAlivia1</t>
  </si>
  <si>
    <t>Wawan IskandarMAINT.&amp;REP.MOTORVEHICLEpemeliharaan kendaraanKALIBENDAAlivia1</t>
  </si>
  <si>
    <t>Wawan IskandarMAINT.&amp;REP.PLANTEQUIpemeliharaan peralatan produksiKALIBENDAAlivia1</t>
  </si>
  <si>
    <t>Wawan IskandarMAINT.&amp;REP.WATERINSTL.pemeliharaan instalasi airKALIBENDAAlivia1</t>
  </si>
  <si>
    <t>Wawan IskandarPEMAKAIAN SPARE PARTissue jarum , baud, dllKALIBENDAAlivia1</t>
  </si>
  <si>
    <t>Wawan IskandarBUSINESS TRIP EXPENSESAkomodasi dari tugas luarKALIBENDAWawan1</t>
  </si>
  <si>
    <t>Wawan IskandarELECTRICITYBiaya Listrik PLNKALIBENDARini1</t>
  </si>
  <si>
    <t>Wawan IskandarFUEL FOR MOTOR VEHICLEBahan bakar untuk kendaraanKALIBENDARini1</t>
  </si>
  <si>
    <t>Wawan IskandarLABOR COSTUpah ProduksiKALIBENDAParsikin1</t>
  </si>
  <si>
    <t>Wawan IskandarOFFICER SALARIESUpah StaffKALIBENDACeria1</t>
  </si>
  <si>
    <t>Wawan IskandarPEMAKAIAN GENERAL MATERIALissue nashua, double tape, karton tebal,numbering, kertas gelar, tinta numbering, kertas marker.KALIBENDARisa1</t>
  </si>
  <si>
    <t>Wawan IskandarVENDOR EXPENSESBiaya Makloon CHWGalang1</t>
  </si>
  <si>
    <t>Tony TejaENTERTAINMENTBiaya jamuan makan/HadiahMAJA-1Tita1</t>
  </si>
  <si>
    <t>Tony TejaJAMSOSTEKBiaya BPJS Tenaga KerjaMAJA-1Siska1</t>
  </si>
  <si>
    <t>Tony TejaMAINT.&amp;REP.BUILDINGpemeliharaan gedungMAJA-1Rini1</t>
  </si>
  <si>
    <t>Tony TejaMAINT.&amp;REP.WATERINSTL.pemeliharaan instalasi airMAJA-1Rini1</t>
  </si>
  <si>
    <t>Tony TejaMEDICAL ALLOWANCEBPJS kesehatan ProduksiMAJA-1Siska1</t>
  </si>
  <si>
    <t>Tony TejaRENT EXPENSES BUILDINGSewa Kontrakan/pabrk banjarnegaraMAJA-1Rini1</t>
  </si>
  <si>
    <t>Tony TejaOTHER PRODUCTION COSTBiaya dokter &amp; ObatMAJA-1Rini3</t>
  </si>
  <si>
    <t>Tony TejaBUSINESS TRIP EXPENSESAkomodasi dari tugas luarMAJA-1Tita1</t>
  </si>
  <si>
    <t>Tony TejaELECTRICITYBiaya Listrik PLNMAJA-1Rini1</t>
  </si>
  <si>
    <t>Tony TejaFACTORY SUPPLIES EXPENSEKebutuhan Produksi (KABEL, SEWA MESIN, AMPLAS, BATTERY CHARGER, PILOX, CIPUT)MAJA-1Mutia1</t>
  </si>
  <si>
    <t>Tony TejaFARE ALLOWANCETunjangan makan produksiMAJA-1Rini1</t>
  </si>
  <si>
    <t>Tony TejaLABOR COSTUpah ProduksiMAJA-1Kiki1</t>
  </si>
  <si>
    <t>Tony TejaMAINT.&amp;REP.ELECTRICITYpemeliharaan instalasi listrikMAJA-1Mutia1</t>
  </si>
  <si>
    <t>Tony TejaMAINT.&amp;REP.GEN&amp;BOILERPemeliharaan GeneratorMAJA-1Mutia1</t>
  </si>
  <si>
    <t>Tony TejaMAINT.&amp;REP.MACHINERIEpemeliharaan mesinMAJA-1Mutia1</t>
  </si>
  <si>
    <t>Tony TejaMAINT.&amp;REP.PLANTEQUIpemeliharaan peralatan produksiMAJA-1Mutia1</t>
  </si>
  <si>
    <t>Tony TejaOFFICER SALARIESUpah StaffMAJA-1Ceria1</t>
  </si>
  <si>
    <t>Tony TejaPEMAKAIAN SPARE PARTissue jarum , baud, dllMAJA-1Mutia1</t>
  </si>
  <si>
    <t>Tony TejaENTERTAINMENTBiaya jamuan makan/HadiahMAJA-2Tita1</t>
  </si>
  <si>
    <t>Tony TejaJAMSOSTEKBiaya BPJS Tenaga KerjaMAJA-2Siska1</t>
  </si>
  <si>
    <t>Tony TejaMAINT.&amp;REP.BUILDINGpemeliharaan gedungMAJA-2Rini1</t>
  </si>
  <si>
    <t>Tony TejaMAINT.&amp;REP.WATERINSTL.pemeliharaan instalasi airMAJA-2Rini1</t>
  </si>
  <si>
    <t>Tony TejaMEDICAL ALLOWANCEBPJS kesehatan ProduksiMAJA-2Siska1</t>
  </si>
  <si>
    <t>Tony TejaRENT EXPENSES BUILDINGSewa KontrakanMAJA-2Rini1</t>
  </si>
  <si>
    <t>Tony TejaOTHER PRODUCTION COSTBiaya dokter &amp; ObatMAJA-2Rini3</t>
  </si>
  <si>
    <t>Tony TejaAIR FREIGHTBiaya Ekspor By AirMAJA-2Rudiyanto1</t>
  </si>
  <si>
    <t>Tony TejaBUSINESS TRIP EXPENSESAkomodasi dari tugas luarMAJA-2Tita1</t>
  </si>
  <si>
    <t>Tony TejaELECTRICITYBiaya Listrik PLNMAJA-2Rini1</t>
  </si>
  <si>
    <t>Tony TejaFACTORY SUPPLIES EXPENSEKebutuhan Produksi (KABEL, SEWA MESIN, AMPLAS, BATTERY CHARGER, PILOX, CIPUT)MAJA-2Imas1</t>
  </si>
  <si>
    <t>Tony TejaFARE ALLOWANCETunjangan makan produksiMAJA-2Rini1</t>
  </si>
  <si>
    <t>Tony TejaLABOR COSTUpah ProduksiMAJA-2Rudiyanto1</t>
  </si>
  <si>
    <t>Tony TejaMAINT.&amp;REP.ELECTRICITYpemeliharaan instalasi listrikMAJA-2Imas1</t>
  </si>
  <si>
    <t>Tony TejaMAINT.&amp;REP.GEN&amp;BOILERPemeliharaan GeneratorMAJA-2Imas1</t>
  </si>
  <si>
    <t>Tony TejaMAINT.&amp;REP.MACHINERIEpemeliharaan mesinMAJA-2Imas1</t>
  </si>
  <si>
    <t>Tony TejaMAINT.&amp;REP.PLANTEQUIpemeliharaan peralatan produksiMAJA-2Imas1</t>
  </si>
  <si>
    <t>Tony TejaPEMAKAIAN SPARE PARTissue jarum , baud, dllMAJA-2Imas1</t>
  </si>
  <si>
    <t>Tony TejaPMKN FUEL &amp; LUBRICANTissue solarMAJA-2Imas1</t>
  </si>
  <si>
    <t>Santy SilalahiACCOUNTING&amp;TAX ADVISORY EXP.Biaya jasa Akuntan publik, aktuaria, konsultan pajak.CLNRini1</t>
  </si>
  <si>
    <t>Santy SilalahiBANK CHARGESBiaya Bank ChargesCLNTita1</t>
  </si>
  <si>
    <t>Santy SilalahiINTEREST EXP OF DOMESTICBiaya bunga PinjamanCLNIsma1</t>
  </si>
  <si>
    <t>Santy SilalahiPREMIUM COSTiuran keanggotaan CLNTita1</t>
  </si>
  <si>
    <t>Santy SilalahiTAXESBiaya Pajak yg tidak bisa di restitusi (ppn sewa mesin foto copy, ppn security/yg td berhubungan dg produksi), bea Masuk.CLNDini1</t>
  </si>
  <si>
    <t>Santy SilalahiTAXESBiaya Pajak yg tidak bisa di restitusi (ppn sewa mesin foto copy, ppn security/yg td berhubungan dg produksi), bea Masuk.KALIBENDADini1</t>
  </si>
  <si>
    <t>Santy SilalahiTAXESBiaya Pajak yg tidak bisa di restitusi (ppn sewa mesin foto copy, ppn security/yg td berhubungan dg produksi), bea Masuk.MAJA-1Dini1</t>
  </si>
  <si>
    <t>Santy SilalahiTAXESBiaya Pajak yg tidak bisa di restitusi (ppn sewa mesin foto copy, ppn security/yg td berhubungan dg produksi), bea Masuk.MAJA-2Dini1</t>
  </si>
  <si>
    <t>Santy SilalahiOFFICER SALARIESUpah StaffCLNCeria1</t>
  </si>
  <si>
    <t>Santy SilalahiOFFICER SALARIESUpah StaffMAJA-2Ceria1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</si>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</sst>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sz val="72"/>
      <color theme="0" tint="-4.9989318521683403E-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sz val="11"/>
      <color rgb="FFFF0000"/>
      <name val="Verdana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23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2" borderId="0" xfId="3" applyFill="1"/>
    <xf numFmtId="0" fontId="9" fillId="10" borderId="0" xfId="3" applyFill="1"/>
    <xf numFmtId="0" fontId="29" fillId="11" borderId="1" xfId="0" applyFont="1" applyFill="1" applyBorder="1" applyAlignment="1">
      <alignment horizontal="center" vertical="center"/>
    </xf>
    <xf numFmtId="10" fontId="29" fillId="11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2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31" fillId="12" borderId="0" xfId="0" applyFont="1" applyFill="1"/>
    <xf numFmtId="10" fontId="31" fillId="12" borderId="0" xfId="2" applyNumberFormat="1" applyFont="1" applyFill="1" applyAlignment="1">
      <alignment horizontal="center"/>
    </xf>
    <xf numFmtId="0" fontId="31" fillId="10" borderId="0" xfId="0" applyFont="1" applyFill="1"/>
    <xf numFmtId="43" fontId="31" fillId="0" borderId="0" xfId="1" applyFont="1" applyAlignment="1">
      <alignment horizontal="center"/>
    </xf>
    <xf numFmtId="0" fontId="32" fillId="10" borderId="0" xfId="0" applyFont="1" applyFill="1" applyAlignment="1">
      <alignment horizontal="center"/>
    </xf>
    <xf numFmtId="43" fontId="32" fillId="10" borderId="0" xfId="1" applyFont="1" applyFill="1" applyAlignment="1">
      <alignment horizontal="center"/>
    </xf>
    <xf numFmtId="10" fontId="32" fillId="10" borderId="0" xfId="2" applyNumberFormat="1" applyFont="1" applyFill="1" applyAlignment="1">
      <alignment horizontal="center"/>
    </xf>
    <xf numFmtId="0" fontId="32" fillId="10" borderId="0" xfId="0" applyFont="1" applyFill="1"/>
    <xf numFmtId="0" fontId="33" fillId="0" borderId="0" xfId="0" applyFont="1"/>
    <xf numFmtId="43" fontId="34" fillId="10" borderId="0" xfId="1" applyFont="1" applyFill="1" applyAlignment="1">
      <alignment horizontal="center"/>
    </xf>
    <xf numFmtId="0" fontId="32" fillId="10" borderId="0" xfId="0" applyFont="1" applyFill="1" applyAlignment="1">
      <alignment horizontal="left"/>
    </xf>
    <xf numFmtId="0" fontId="29" fillId="11" borderId="1" xfId="0" applyFont="1" applyFill="1" applyBorder="1" applyAlignment="1">
      <alignment horizontal="left" vertical="center"/>
    </xf>
    <xf numFmtId="0" fontId="31" fillId="12" borderId="0" xfId="0" applyFont="1" applyFill="1" applyAlignment="1">
      <alignment horizontal="left"/>
    </xf>
    <xf numFmtId="0" fontId="31" fillId="10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43" fontId="29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10" borderId="0" xfId="0" applyFont="1" applyFill="1"/>
    <xf numFmtId="43" fontId="39" fillId="10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10" borderId="0" xfId="0" applyNumberFormat="1" applyFont="1" applyFill="1" applyAlignment="1">
      <alignment horizontal="center" vertical="center"/>
    </xf>
    <xf numFmtId="43" fontId="39" fillId="8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2" borderId="0" xfId="0" applyFont="1" applyFill="1"/>
    <xf numFmtId="43" fontId="39" fillId="12" borderId="0" xfId="1" applyFont="1" applyFill="1" applyBorder="1"/>
    <xf numFmtId="10" fontId="36" fillId="12" borderId="0" xfId="0" applyNumberFormat="1" applyFont="1" applyFill="1" applyAlignment="1">
      <alignment horizontal="center" vertical="center"/>
    </xf>
    <xf numFmtId="9" fontId="36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0" fontId="43" fillId="15" borderId="0" xfId="0" applyFont="1" applyFill="1"/>
    <xf numFmtId="43" fontId="43" fillId="15" borderId="0" xfId="1" applyFont="1" applyFill="1" applyBorder="1"/>
    <xf numFmtId="0" fontId="43" fillId="16" borderId="0" xfId="0" applyFont="1" applyFill="1"/>
    <xf numFmtId="43" fontId="43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10" borderId="0" xfId="0" applyNumberFormat="1" applyFont="1" applyFill="1" applyAlignment="1">
      <alignment horizontal="center"/>
    </xf>
    <xf numFmtId="10" fontId="39" fillId="12" borderId="0" xfId="0" applyNumberFormat="1" applyFont="1" applyFill="1" applyAlignment="1">
      <alignment horizontal="center"/>
    </xf>
    <xf numFmtId="0" fontId="43" fillId="15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6" borderId="0" xfId="0" applyFont="1" applyFill="1" applyAlignment="1">
      <alignment horizontal="center"/>
    </xf>
    <xf numFmtId="0" fontId="44" fillId="15" borderId="10" xfId="0" applyFont="1" applyFill="1" applyBorder="1" applyAlignment="1">
      <alignment horizontal="center" vertical="center"/>
    </xf>
    <xf numFmtId="9" fontId="44" fillId="15" borderId="10" xfId="2" applyFont="1" applyFill="1" applyBorder="1" applyAlignment="1">
      <alignment horizontal="center" vertical="center"/>
    </xf>
    <xf numFmtId="43" fontId="44" fillId="15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2" borderId="0" xfId="0" applyFont="1" applyFill="1" applyAlignment="1">
      <alignment vertical="center"/>
    </xf>
    <xf numFmtId="43" fontId="44" fillId="16" borderId="10" xfId="1" applyFont="1" applyFill="1" applyBorder="1" applyAlignment="1">
      <alignment horizontal="center"/>
    </xf>
    <xf numFmtId="43" fontId="5" fillId="16" borderId="10" xfId="1" applyFont="1" applyFill="1" applyBorder="1" applyAlignment="1">
      <alignment horizontal="center"/>
    </xf>
    <xf numFmtId="3" fontId="46" fillId="12" borderId="16" xfId="5" applyNumberFormat="1" applyFont="1" applyFill="1" applyBorder="1"/>
    <xf numFmtId="0" fontId="49" fillId="15" borderId="0" xfId="5" applyFont="1" applyFill="1" applyAlignment="1">
      <alignment horizontal="center" vertical="center"/>
    </xf>
    <xf numFmtId="10" fontId="49" fillId="15" borderId="0" xfId="5" applyNumberFormat="1" applyFont="1" applyFill="1" applyAlignment="1">
      <alignment horizontal="center" vertical="center"/>
    </xf>
    <xf numFmtId="0" fontId="29" fillId="9" borderId="0" xfId="5" applyFont="1" applyFill="1" applyAlignment="1">
      <alignment horizontal="center"/>
    </xf>
    <xf numFmtId="4" fontId="29" fillId="9" borderId="0" xfId="5" applyNumberFormat="1" applyFont="1" applyFill="1" applyAlignment="1">
      <alignment horizontal="right"/>
    </xf>
    <xf numFmtId="10" fontId="50" fillId="9" borderId="0" xfId="5" applyNumberFormat="1" applyFont="1" applyFill="1" applyAlignment="1">
      <alignment horizontal="right"/>
    </xf>
    <xf numFmtId="0" fontId="29" fillId="15" borderId="0" xfId="5" applyFont="1" applyFill="1" applyAlignment="1">
      <alignment horizontal="center"/>
    </xf>
    <xf numFmtId="4" fontId="29" fillId="15" borderId="0" xfId="5" applyNumberFormat="1" applyFont="1" applyFill="1" applyAlignment="1">
      <alignment horizontal="right"/>
    </xf>
    <xf numFmtId="10" fontId="50" fillId="15" borderId="0" xfId="5" applyNumberFormat="1" applyFont="1" applyFill="1" applyAlignment="1">
      <alignment horizontal="right"/>
    </xf>
    <xf numFmtId="4" fontId="49" fillId="15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7" borderId="21" xfId="0" applyNumberFormat="1" applyFont="1" applyFill="1" applyBorder="1"/>
    <xf numFmtId="10" fontId="52" fillId="7" borderId="21" xfId="5" applyNumberFormat="1" applyFont="1" applyFill="1" applyBorder="1" applyAlignment="1">
      <alignment horizontal="righ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7" borderId="21" xfId="5" applyNumberFormat="1" applyFont="1" applyFill="1" applyBorder="1" applyAlignment="1">
      <alignment horizontal="righ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2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10" borderId="0" xfId="2" applyNumberFormat="1" applyFont="1" applyFill="1" applyAlignment="1">
      <alignment horizontal="center"/>
    </xf>
    <xf numFmtId="0" fontId="29" fillId="11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10" borderId="0" xfId="2" applyFont="1" applyFill="1" applyAlignment="1">
      <alignment horizontal="center"/>
    </xf>
    <xf numFmtId="9" fontId="31" fillId="12" borderId="0" xfId="2" applyFont="1" applyFill="1" applyAlignment="1">
      <alignment horizontal="center"/>
    </xf>
    <xf numFmtId="9" fontId="59" fillId="10" borderId="0" xfId="2" applyFont="1" applyFill="1" applyAlignment="1">
      <alignment horizontal="center"/>
    </xf>
    <xf numFmtId="9" fontId="31" fillId="10" borderId="0" xfId="2" applyFont="1" applyFill="1" applyAlignment="1">
      <alignment horizontal="center"/>
    </xf>
    <xf numFmtId="9" fontId="39" fillId="10" borderId="0" xfId="2" applyFont="1" applyFill="1" applyBorder="1" applyAlignment="1">
      <alignment horizontal="center"/>
    </xf>
    <xf numFmtId="9" fontId="39" fillId="12" borderId="0" xfId="2" applyFont="1" applyFill="1" applyBorder="1" applyAlignment="1">
      <alignment horizontal="center"/>
    </xf>
    <xf numFmtId="0" fontId="2" fillId="12" borderId="0" xfId="0" applyFont="1" applyFill="1"/>
    <xf numFmtId="0" fontId="33" fillId="12" borderId="0" xfId="0" applyFont="1" applyFill="1"/>
    <xf numFmtId="0" fontId="3" fillId="12" borderId="0" xfId="0" applyFont="1" applyFill="1" applyAlignment="1">
      <alignment vertical="center"/>
    </xf>
    <xf numFmtId="0" fontId="61" fillId="10" borderId="0" xfId="0" applyFont="1" applyFill="1" applyAlignment="1">
      <alignment horizontal="left"/>
    </xf>
    <xf numFmtId="164" fontId="31" fillId="12" borderId="0" xfId="1" applyNumberFormat="1" applyFont="1" applyFill="1" applyAlignment="1">
      <alignment horizontal="center"/>
    </xf>
    <xf numFmtId="164" fontId="31" fillId="10" borderId="0" xfId="1" applyNumberFormat="1" applyFont="1" applyFill="1" applyAlignment="1">
      <alignment horizontal="center"/>
    </xf>
    <xf numFmtId="0" fontId="28" fillId="9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10" borderId="0" xfId="0" applyFont="1" applyFill="1"/>
    <xf numFmtId="0" fontId="64" fillId="11" borderId="1" xfId="0" applyFont="1" applyFill="1" applyBorder="1" applyAlignment="1">
      <alignment horizontal="left" vertical="center"/>
    </xf>
    <xf numFmtId="43" fontId="29" fillId="11" borderId="1" xfId="1" applyFont="1" applyFill="1" applyBorder="1" applyAlignment="1">
      <alignment horizontal="center" vertical="center"/>
    </xf>
    <xf numFmtId="0" fontId="65" fillId="9" borderId="0" xfId="0" applyFont="1" applyFill="1" applyAlignment="1">
      <alignment vertical="top"/>
    </xf>
    <xf numFmtId="43" fontId="2" fillId="12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7" borderId="0" xfId="0" applyFont="1" applyFill="1"/>
    <xf numFmtId="2" fontId="2" fillId="0" borderId="0" xfId="0" applyNumberFormat="1" applyFont="1"/>
    <xf numFmtId="164" fontId="32" fillId="10" borderId="0" xfId="1" applyNumberFormat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43" fontId="66" fillId="0" borderId="0" xfId="1" applyFont="1" applyFill="1" applyAlignment="1">
      <alignment horizontal="center"/>
    </xf>
    <xf numFmtId="164" fontId="66" fillId="0" borderId="0" xfId="1" applyNumberFormat="1" applyFont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66" fillId="0" borderId="0" xfId="1" applyNumberFormat="1" applyFont="1" applyFill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7" fillId="10" borderId="0" xfId="1" applyFont="1" applyFill="1" applyAlignment="1">
      <alignment horizontal="center"/>
    </xf>
    <xf numFmtId="0" fontId="61" fillId="10" borderId="0" xfId="1" applyNumberFormat="1" applyFont="1" applyFill="1" applyAlignment="1">
      <alignment horizontal="center"/>
    </xf>
    <xf numFmtId="0" fontId="68" fillId="11" borderId="1" xfId="0" applyFont="1" applyFill="1" applyBorder="1" applyAlignment="1">
      <alignment horizontal="center" vertical="center"/>
    </xf>
    <xf numFmtId="10" fontId="31" fillId="10" borderId="0" xfId="2" applyNumberFormat="1" applyFont="1" applyFill="1" applyAlignment="1">
      <alignment horizontal="center"/>
    </xf>
    <xf numFmtId="43" fontId="29" fillId="11" borderId="1" xfId="1" applyFont="1" applyFill="1" applyBorder="1" applyAlignment="1">
      <alignment horizontal="left" vertic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2" fillId="3" borderId="6" xfId="0" applyFont="1" applyFill="1" applyBorder="1" applyAlignment="1">
      <alignment horizontal="center" vertical="center"/>
    </xf>
    <xf numFmtId="0" fontId="62" fillId="3" borderId="0" xfId="0" applyFont="1" applyFill="1" applyAlignment="1">
      <alignment horizontal="center" vertical="center"/>
    </xf>
    <xf numFmtId="0" fontId="62" fillId="3" borderId="7" xfId="0" applyFont="1" applyFill="1" applyBorder="1" applyAlignment="1">
      <alignment horizontal="center" vertical="center"/>
    </xf>
    <xf numFmtId="0" fontId="62" fillId="3" borderId="8" xfId="0" applyFont="1" applyFill="1" applyBorder="1" applyAlignment="1">
      <alignment horizontal="center" vertical="center"/>
    </xf>
    <xf numFmtId="0" fontId="62" fillId="3" borderId="2" xfId="0" applyFont="1" applyFill="1" applyBorder="1" applyAlignment="1">
      <alignment horizontal="center" vertical="center"/>
    </xf>
    <xf numFmtId="0" fontId="62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6" borderId="13" xfId="0" applyFont="1" applyFill="1" applyBorder="1" applyAlignment="1">
      <alignment horizontal="center"/>
    </xf>
    <xf numFmtId="0" fontId="44" fillId="16" borderId="14" xfId="0" applyFont="1" applyFill="1" applyBorder="1" applyAlignment="1">
      <alignment horizontal="center"/>
    </xf>
    <xf numFmtId="0" fontId="40" fillId="9" borderId="13" xfId="0" applyFont="1" applyFill="1" applyBorder="1" applyAlignment="1">
      <alignment horizontal="center" vertical="center"/>
    </xf>
    <xf numFmtId="0" fontId="40" fillId="9" borderId="15" xfId="0" applyFont="1" applyFill="1" applyBorder="1" applyAlignment="1">
      <alignment horizontal="center" vertical="center"/>
    </xf>
    <xf numFmtId="0" fontId="40" fillId="9" borderId="14" xfId="0" applyFont="1" applyFill="1" applyBorder="1" applyAlignment="1">
      <alignment horizontal="center" vertical="center"/>
    </xf>
    <xf numFmtId="0" fontId="40" fillId="9" borderId="6" xfId="0" applyFont="1" applyFill="1" applyBorder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0" fontId="65" fillId="9" borderId="0" xfId="0" applyFont="1" applyFill="1" applyAlignment="1">
      <alignment horizontal="left" vertical="top"/>
    </xf>
    <xf numFmtId="0" fontId="60" fillId="13" borderId="1" xfId="0" applyFont="1" applyFill="1" applyBorder="1" applyAlignment="1">
      <alignment horizontal="center" vertical="center"/>
    </xf>
    <xf numFmtId="0" fontId="42" fillId="9" borderId="0" xfId="0" applyFont="1" applyFill="1" applyAlignment="1">
      <alignment horizontal="left" vertical="top"/>
    </xf>
    <xf numFmtId="0" fontId="35" fillId="9" borderId="0" xfId="0" applyFont="1" applyFill="1" applyAlignment="1">
      <alignment horizontal="center"/>
    </xf>
    <xf numFmtId="0" fontId="60" fillId="14" borderId="1" xfId="0" applyFont="1" applyFill="1" applyBorder="1" applyAlignment="1">
      <alignment horizontal="center" vertical="center"/>
    </xf>
    <xf numFmtId="0" fontId="45" fillId="9" borderId="0" xfId="4" applyFont="1" applyFill="1" applyAlignment="1">
      <alignment horizontal="left"/>
    </xf>
    <xf numFmtId="0" fontId="41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2" borderId="0" xfId="5" applyFont="1" applyFill="1" applyAlignment="1">
      <alignment horizontal="center"/>
    </xf>
    <xf numFmtId="0" fontId="39" fillId="10" borderId="0" xfId="1" applyNumberFormat="1" applyFont="1" applyFill="1" applyBorder="1"/>
    <xf numFmtId="0" fontId="39" fillId="12" borderId="0" xfId="1" applyNumberFormat="1" applyFont="1" applyFill="1" applyBorder="1"/>
  </cellXfs>
  <cellStyles count="9">
    <cellStyle name="Comma" xfId="1" builtinId="3"/>
    <cellStyle name="Hyperlink" xfId="3" builtinId="8"/>
    <cellStyle name="Normal" xfId="0" builtinId="0"/>
    <cellStyle name="Normal 14" xfId="8"/>
    <cellStyle name="Normal 21" xfId="6"/>
    <cellStyle name="Normal 25 6 4 5 4 7" xfId="7"/>
    <cellStyle name="Normal 3 2" xfId="4"/>
    <cellStyle name="Normal_COSTU-05" xfId="5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F9297"/>
      <color rgb="FF346265"/>
      <color rgb="FFFFFFFF"/>
      <color rgb="FFE4F0F1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819978</xdr:colOff>
      <xdr:row>0</xdr:row>
      <xdr:rowOff>122581</xdr:rowOff>
    </xdr:from>
    <xdr:to>
      <xdr:col>4</xdr:col>
      <xdr:colOff>2317473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601403" y="122581"/>
          <a:ext cx="1497495" cy="518493"/>
          <a:chOff x="-5218043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26759</xdr:colOff>
      <xdr:row>17</xdr:row>
      <xdr:rowOff>51288</xdr:rowOff>
    </xdr:from>
    <xdr:to>
      <xdr:col>5</xdr:col>
      <xdr:colOff>95250</xdr:colOff>
      <xdr:row>17</xdr:row>
      <xdr:rowOff>190499</xdr:rowOff>
    </xdr:to>
    <xdr:sp macro="[0]!BUTTON_OpenFile_RemarkHistory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353682" y="3377711"/>
          <a:ext cx="68491" cy="139211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lt1"/>
              </a:solidFill>
            </a:rPr>
            <a:t>o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2175428</xdr:colOff>
      <xdr:row>0</xdr:row>
      <xdr:rowOff>122582</xdr:rowOff>
    </xdr:from>
    <xdr:to>
      <xdr:col>5</xdr:col>
      <xdr:colOff>45554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1128" y="122582"/>
          <a:ext cx="1499151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2324100</xdr:colOff>
          <xdr:row>1</xdr:row>
          <xdr:rowOff>38100</xdr:rowOff>
        </xdr:from>
        <xdr:to>
          <xdr:col>4</xdr:col>
          <xdr:colOff>3676650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../Tarikan%20JD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../07-02-2024/NEW%20of%20Data%20PIC%20Budget%20Th%202024-3.xlsx" TargetMode="External"/><Relationship Id="rId16" Type="http://schemas.openxmlformats.org/officeDocument/2006/relationships/image" Target="../media/image5.emf"/><Relationship Id="rId1" Type="http://schemas.openxmlformats.org/officeDocument/2006/relationships/hyperlink" Target="../Untuk%20Di%20Share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hyperlink" Target="../07-02-2024/Macro/WO%20BUDGETING" TargetMode="Externa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Tarikan%20JDE/1201.710200.xlsx" TargetMode="External"/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47" Type="http://schemas.openxmlformats.org/officeDocument/2006/relationships/hyperlink" Target="../Tarikan%20JDE/1204.808100.xlsx" TargetMode="External"/><Relationship Id="rId63" Type="http://schemas.openxmlformats.org/officeDocument/2006/relationships/hyperlink" Target="../Tarikan%20JDE/1205.630760.xlsx" TargetMode="External"/><Relationship Id="rId68" Type="http://schemas.openxmlformats.org/officeDocument/2006/relationships/hyperlink" Target="../Tarikan%20JDE/1206.810110.xlsx" TargetMode="External"/><Relationship Id="rId84" Type="http://schemas.openxmlformats.org/officeDocument/2006/relationships/hyperlink" Target="../Tarikan%20JDE/1201.63045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38" Type="http://schemas.openxmlformats.org/officeDocument/2006/relationships/hyperlink" Target="../Tarikan%20JDE/1204.63040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37" Type="http://schemas.openxmlformats.org/officeDocument/2006/relationships/hyperlink" Target="../Tarikan%20JDE/1204.807100.xlsx" TargetMode="External"/><Relationship Id="rId53" Type="http://schemas.openxmlformats.org/officeDocument/2006/relationships/hyperlink" Target="../Tarikan%20JDE/1201.630110.xlsx" TargetMode="External"/><Relationship Id="rId58" Type="http://schemas.openxmlformats.org/officeDocument/2006/relationships/hyperlink" Target="../Tarikan%20JDE/1201.630710.xlsx" TargetMode="External"/><Relationship Id="rId74" Type="http://schemas.openxmlformats.org/officeDocument/2006/relationships/hyperlink" Target="../Tarikan%20JDE/1205.81613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28" Type="http://schemas.openxmlformats.org/officeDocument/2006/relationships/hyperlink" Target="../Tarikan%20JDE/1205.631110.xlsx" TargetMode="External"/><Relationship Id="rId144" Type="http://schemas.openxmlformats.org/officeDocument/2006/relationships/hyperlink" Target="../Tarikan%20JDE/1204.63072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0" Type="http://schemas.openxmlformats.org/officeDocument/2006/relationships/hyperlink" Target="../Tarikan%20JDE/1206.63071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27" Type="http://schemas.openxmlformats.org/officeDocument/2006/relationships/hyperlink" Target="../Tarikan%20JDE/1201.710200.xlsx" TargetMode="External"/><Relationship Id="rId43" Type="http://schemas.openxmlformats.org/officeDocument/2006/relationships/hyperlink" Target="../Tarikan%20JDE/1201.630530.xlsx" TargetMode="External"/><Relationship Id="rId48" Type="http://schemas.openxmlformats.org/officeDocument/2006/relationships/hyperlink" Target="../Tarikan%20JDE/1201.630900.xlsx" TargetMode="External"/><Relationship Id="rId64" Type="http://schemas.openxmlformats.org/officeDocument/2006/relationships/hyperlink" Target="../Tarikan%20JDE/1204.63076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18" Type="http://schemas.openxmlformats.org/officeDocument/2006/relationships/hyperlink" Target="../Tarikan%20JDE/1205.812100.xlsx" TargetMode="External"/><Relationship Id="rId134" Type="http://schemas.openxmlformats.org/officeDocument/2006/relationships/hyperlink" Target="../Tarikan%20JDE/1204.81511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54" Type="http://schemas.openxmlformats.org/officeDocument/2006/relationships/hyperlink" Target="../Tarikan%20JDE/1201.809100.xlsx" TargetMode="External"/><Relationship Id="rId62" Type="http://schemas.openxmlformats.org/officeDocument/2006/relationships/hyperlink" Target="../Tarikan%20JDE/1201.63076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53" Type="http://schemas.openxmlformats.org/officeDocument/2006/relationships/hyperlink" Target="../Tarikan%20JDE/1206.9207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15" Type="http://schemas.openxmlformats.org/officeDocument/2006/relationships/hyperlink" Target="../Tarikan%20JDE/1201.6306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36" Type="http://schemas.openxmlformats.org/officeDocument/2006/relationships/hyperlink" Target="../Tarikan%20JDE/1201.807100.xlsx" TargetMode="External"/><Relationship Id="rId49" Type="http://schemas.openxmlformats.org/officeDocument/2006/relationships/hyperlink" Target="../Tarikan%20JDE/1204.6309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44" Type="http://schemas.openxmlformats.org/officeDocument/2006/relationships/hyperlink" Target="../Tarikan%20JDE/1204.630530.xlsx" TargetMode="External"/><Relationship Id="rId52" Type="http://schemas.openxmlformats.org/officeDocument/2006/relationships/hyperlink" Target="../Tarikan%20JDE/1201.80116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Home">
    <tabColor rgb="FF00B0F0"/>
  </sheetPr>
  <dimension ref="A1:F34"/>
  <sheetViews>
    <sheetView showGridLines="0" zoomScaleNormal="100" workbookViewId="0">
      <selection activeCell="B6" sqref="B6:F6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</cols>
  <sheetData>
    <row r="1" spans="1:6" ht="12" customHeight="1">
      <c r="C1" s="189" t="s">
        <v>315</v>
      </c>
      <c r="D1" s="189"/>
      <c r="E1" s="189"/>
      <c r="F1" s="2"/>
    </row>
    <row r="2" spans="1:6" ht="33" customHeight="1">
      <c r="C2" s="198" t="s">
        <v>325</v>
      </c>
      <c r="D2" s="199"/>
      <c r="E2" s="200"/>
      <c r="F2" s="12" t="s">
        <v>209</v>
      </c>
    </row>
    <row r="3" spans="1:6" ht="12" customHeight="1">
      <c r="C3" s="201"/>
      <c r="D3" s="202"/>
      <c r="E3" s="203"/>
      <c r="F3" s="12"/>
    </row>
    <row r="4" spans="1:6" ht="12" customHeight="1">
      <c r="C4" s="201"/>
      <c r="D4" s="202"/>
      <c r="E4" s="203"/>
      <c r="F4" s="12"/>
    </row>
    <row r="5" spans="1:6" ht="12" customHeight="1">
      <c r="B5" s="162"/>
      <c r="C5" s="201"/>
      <c r="D5" s="202"/>
      <c r="E5" s="203"/>
      <c r="F5" s="161"/>
    </row>
    <row r="6" spans="1:6" ht="5.25" customHeight="1">
      <c r="B6" s="190"/>
      <c r="C6" s="190"/>
      <c r="D6" s="190"/>
      <c r="E6" s="190"/>
      <c r="F6" s="190"/>
    </row>
    <row r="7" spans="1:6" ht="18" customHeight="1">
      <c r="B7" s="159"/>
      <c r="C7" s="192" t="s">
        <v>530</v>
      </c>
      <c r="D7" s="193"/>
      <c r="E7" s="194"/>
      <c r="F7" s="160"/>
    </row>
    <row r="8" spans="1:6" ht="12" customHeight="1">
      <c r="C8" s="192"/>
      <c r="D8" s="193"/>
      <c r="E8" s="194"/>
      <c r="F8" s="12"/>
    </row>
    <row r="9" spans="1:6" ht="6.75" customHeight="1">
      <c r="A9" s="190"/>
      <c r="B9" s="190"/>
      <c r="C9" s="195"/>
      <c r="D9" s="196"/>
      <c r="E9" s="197"/>
      <c r="F9" s="12"/>
    </row>
    <row r="10" spans="1:6" ht="18" customHeight="1">
      <c r="A10" s="190"/>
      <c r="B10" s="190"/>
      <c r="C10" s="191" t="s">
        <v>316</v>
      </c>
      <c r="D10" s="191"/>
      <c r="E10" s="191"/>
      <c r="F10" s="12"/>
    </row>
    <row r="11" spans="1:6" ht="15.75">
      <c r="C11" s="7" t="s">
        <v>317</v>
      </c>
      <c r="D11" s="8"/>
      <c r="E11" s="5" t="s">
        <v>318</v>
      </c>
      <c r="F11" s="12"/>
    </row>
    <row r="12" spans="1:6">
      <c r="C12" s="188" t="s">
        <v>534</v>
      </c>
      <c r="D12" s="188"/>
      <c r="E12" s="6" t="s">
        <v>359</v>
      </c>
      <c r="F12" s="12" t="s">
        <v>209</v>
      </c>
    </row>
    <row r="13" spans="1:6">
      <c r="C13" s="11" t="s">
        <v>533</v>
      </c>
      <c r="D13" s="11"/>
      <c r="E13" s="6" t="s">
        <v>326</v>
      </c>
      <c r="F13" s="12" t="s">
        <v>209</v>
      </c>
    </row>
    <row r="14" spans="1:6">
      <c r="C14" s="188" t="s">
        <v>531</v>
      </c>
      <c r="D14" s="188"/>
      <c r="E14" s="15" t="s">
        <v>346</v>
      </c>
      <c r="F14" s="12" t="s">
        <v>209</v>
      </c>
    </row>
    <row r="15" spans="1:6">
      <c r="C15" s="11" t="s">
        <v>532</v>
      </c>
      <c r="D15" s="11"/>
      <c r="E15" s="15" t="s">
        <v>347</v>
      </c>
      <c r="F15" s="12" t="s">
        <v>209</v>
      </c>
    </row>
    <row r="16" spans="1:6">
      <c r="C16" s="11" t="s">
        <v>535</v>
      </c>
      <c r="D16" s="11"/>
      <c r="E16" s="17" t="s">
        <v>358</v>
      </c>
      <c r="F16" s="12" t="s">
        <v>209</v>
      </c>
    </row>
    <row r="17" spans="3:6">
      <c r="C17" s="11" t="s">
        <v>536</v>
      </c>
      <c r="D17" s="11"/>
      <c r="E17" s="17" t="s">
        <v>568</v>
      </c>
      <c r="F17" s="12" t="s">
        <v>209</v>
      </c>
    </row>
    <row r="18" spans="3:6">
      <c r="C18" s="11"/>
      <c r="D18" s="11"/>
      <c r="E18" s="163"/>
      <c r="F18" s="12" t="s">
        <v>209</v>
      </c>
    </row>
    <row r="19" spans="3:6">
      <c r="C19" s="11"/>
      <c r="D19" s="11"/>
      <c r="E19" s="163"/>
      <c r="F19" s="12"/>
    </row>
    <row r="20" spans="3:6" ht="1.5" customHeight="1">
      <c r="C20" s="187"/>
      <c r="D20" s="187"/>
      <c r="E20" s="187"/>
      <c r="F20" s="12"/>
    </row>
    <row r="21" spans="3:6">
      <c r="F21" s="12"/>
    </row>
    <row r="22" spans="3:6">
      <c r="F22" s="12"/>
    </row>
    <row r="23" spans="3:6">
      <c r="F23" s="12"/>
    </row>
    <row r="24" spans="3:6">
      <c r="F24" s="12"/>
    </row>
    <row r="25" spans="3:6">
      <c r="F25" s="12"/>
    </row>
    <row r="26" spans="3:6">
      <c r="F26" s="12"/>
    </row>
    <row r="27" spans="3:6">
      <c r="F27" s="12"/>
    </row>
    <row r="28" spans="3:6">
      <c r="F28" s="12"/>
    </row>
    <row r="29" spans="3:6">
      <c r="F29" s="12"/>
    </row>
    <row r="30" spans="3:6">
      <c r="F30" s="12"/>
    </row>
    <row r="31" spans="3:6">
      <c r="F31" s="12"/>
    </row>
    <row r="32" spans="3:6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/>
    <hyperlink ref="E13" r:id="rId2"/>
    <hyperlink ref="E12" r:id="rId3"/>
    <hyperlink ref="E17" r:id="rId4"/>
  </hyperlinks>
  <pageMargins left="0.7" right="0.7" top="0.75" bottom="0.75" header="0.3" footer="0.3"/>
  <drawing r:id="rId5"/>
  <legacyDrawing r:id="rId6"/>
  <controls>
    <mc:AlternateContent xmlns:mc="http://schemas.openxmlformats.org/markup-compatibility/2006">
      <mc:Choice Requires="x14">
        <control shapeId="9230" r:id="rId7" name="btn_ShareDataCosting">
          <controlPr defaultSize="0" autoLine="0" autoPict="0" r:id="rId8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7" name="btn_ShareDataCosting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9" name="btn_UpdateDataAccount"/>
      </mc:Fallback>
    </mc:AlternateContent>
    <mc:AlternateContent xmlns:mc="http://schemas.openxmlformats.org/markup-compatibility/2006">
      <mc:Choice Requires="x14">
        <control shapeId="9218" r:id="rId11" name="btn_Execute">
          <controlPr defaultSize="0" autoLine="0" r:id="rId12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1" name="btn_Execute"/>
      </mc:Fallback>
    </mc:AlternateContent>
    <mc:AlternateContent xmlns:mc="http://schemas.openxmlformats.org/markup-compatibility/2006">
      <mc:Choice Requires="x14">
        <control shapeId="9225" r:id="rId13" name="btn_RPA_AccLedger">
          <controlPr defaultSize="0" autoLine="0" autoPict="0" r:id="rId14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3" name="btn_RPA_AccLedger"/>
      </mc:Fallback>
    </mc:AlternateContent>
    <mc:AlternateContent xmlns:mc="http://schemas.openxmlformats.org/markup-compatibility/2006">
      <mc:Choice Requires="x14">
        <control shapeId="9226" r:id="rId15" name="btn_UpdateRemark">
          <controlPr defaultSize="0" autoLine="0" r:id="rId16">
            <anchor moveWithCells="1">
              <from>
                <xdr:col>4</xdr:col>
                <xdr:colOff>962025</xdr:colOff>
                <xdr:row>1</xdr:row>
                <xdr:rowOff>47625</xdr:rowOff>
              </from>
              <to>
                <xdr:col>4</xdr:col>
                <xdr:colOff>2162175</xdr:colOff>
                <xdr:row>1</xdr:row>
                <xdr:rowOff>381000</xdr:rowOff>
              </to>
            </anchor>
          </controlPr>
        </control>
      </mc:Choice>
      <mc:Fallback>
        <control shapeId="9226" r:id="rId15" name="btn_UpdateRemark"/>
      </mc:Fallback>
    </mc:AlternateContent>
    <mc:AlternateContent xmlns:mc="http://schemas.openxmlformats.org/markup-compatibility/2006">
      <mc:Choice Requires="x14">
        <control shapeId="9228" r:id="rId17" name="btn_ActualCost">
          <controlPr defaultSize="0" autoLine="0" r:id="rId18">
            <anchor moveWithCells="1">
              <from>
                <xdr:col>4</xdr:col>
                <xdr:colOff>2324100</xdr:colOff>
                <xdr:row>1</xdr:row>
                <xdr:rowOff>38100</xdr:rowOff>
              </from>
              <to>
                <xdr:col>4</xdr:col>
                <xdr:colOff>3676650</xdr:colOff>
                <xdr:row>1</xdr:row>
                <xdr:rowOff>371475</xdr:rowOff>
              </to>
            </anchor>
          </controlPr>
        </control>
      </mc:Choice>
      <mc:Fallback>
        <control shapeId="9228" r:id="rId17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81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81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L21"/>
  <sheetViews>
    <sheetView workbookViewId="0">
      <selection activeCell="C19" sqref="C19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06" t="s">
        <v>323</v>
      </c>
      <c r="B1" s="207"/>
      <c r="C1" s="208"/>
      <c r="D1" s="83"/>
      <c r="E1" s="83"/>
      <c r="F1" s="83"/>
      <c r="G1" s="209" t="s">
        <v>345</v>
      </c>
      <c r="H1" s="210"/>
      <c r="I1" s="210"/>
      <c r="J1" s="210"/>
      <c r="K1" s="210"/>
    </row>
    <row r="2" spans="1:12" s="95" customFormat="1" ht="21" customHeight="1">
      <c r="A2" s="92" t="s">
        <v>0</v>
      </c>
      <c r="B2" s="93" t="s">
        <v>321</v>
      </c>
      <c r="C2" s="94" t="s">
        <v>170</v>
      </c>
      <c r="D2" s="99"/>
      <c r="E2" s="99"/>
      <c r="F2" s="99"/>
      <c r="G2" s="92" t="s">
        <v>320</v>
      </c>
      <c r="H2" s="93" t="s">
        <v>321</v>
      </c>
      <c r="I2" s="94" t="s">
        <v>170</v>
      </c>
      <c r="J2" s="94" t="s">
        <v>327</v>
      </c>
      <c r="K2" s="94" t="s">
        <v>190</v>
      </c>
    </row>
    <row r="3" spans="1:12">
      <c r="A3" s="63" t="s">
        <v>9</v>
      </c>
      <c r="B3" s="96">
        <v>8.1590977598792011E-2</v>
      </c>
      <c r="C3" s="97">
        <f>SUMIF('All Costing'!$A$6:$A$1048576,RESUME!A3,'All Costing'!$G$6:$H$1048576)</f>
        <v>67897.759999999995</v>
      </c>
      <c r="D3" s="82"/>
      <c r="E3" s="82"/>
      <c r="F3" s="82"/>
      <c r="G3" s="63" t="s">
        <v>9</v>
      </c>
      <c r="H3" s="98">
        <f t="shared" ref="H3:H10" si="0">I3/$I$11</f>
        <v>8.1590977598792011E-2</v>
      </c>
      <c r="I3" s="97">
        <f>SUMIF('All Costing'!$A$6:$A$1048576,RESUME!G3,'All Costing'!$G$6:$H$1048576)</f>
        <v>67897.759999999995</v>
      </c>
      <c r="J3" s="97">
        <f>SUMIF('All Costing'!$A$6:$A$1048576,RESUME!G3,'All Costing'!$H$6:$H$1048576)</f>
        <v>49040.840000000033</v>
      </c>
      <c r="K3" s="97">
        <f t="shared" ref="K3:K10" si="1">I3-J3</f>
        <v>18856.919999999962</v>
      </c>
    </row>
    <row r="4" spans="1:12">
      <c r="A4" s="63" t="s">
        <v>35</v>
      </c>
      <c r="B4" s="96">
        <v>0.27755070800026532</v>
      </c>
      <c r="C4" s="97">
        <f>SUMIF('All Costing'!$A$6:$A$1048576,RESUME!A4,'All Costing'!$G$6:$H$1048576)</f>
        <v>230970.03999999998</v>
      </c>
      <c r="D4" s="82"/>
      <c r="E4" s="82"/>
      <c r="F4" s="82"/>
      <c r="G4" s="63" t="s">
        <v>35</v>
      </c>
      <c r="H4" s="98">
        <f t="shared" si="0"/>
        <v>0.27755070800026532</v>
      </c>
      <c r="I4" s="97">
        <f>SUMIF('All Costing'!$A$6:$A$1048576,RESUME!G4,'All Costing'!$G$6:$H$1048576)</f>
        <v>230970.03999999998</v>
      </c>
      <c r="J4" s="97">
        <f>SUMIF('All Costing'!$A$6:$A$1048576,RESUME!G4,'All Costing'!$H$6:$H$1048576)</f>
        <v>12242.990000000002</v>
      </c>
      <c r="K4" s="97">
        <f t="shared" si="1"/>
        <v>218727.05</v>
      </c>
    </row>
    <row r="5" spans="1:12">
      <c r="A5" s="63" t="s">
        <v>43</v>
      </c>
      <c r="B5" s="96">
        <v>1.0214229594462793E-2</v>
      </c>
      <c r="C5" s="97">
        <f>SUMIF('All Costing'!$A$6:$A$1048576,RESUME!A5,'All Costing'!$G$6:$H$1048576)</f>
        <v>8500</v>
      </c>
      <c r="D5" s="82"/>
      <c r="E5" s="82"/>
      <c r="F5" s="82"/>
      <c r="G5" s="63" t="s">
        <v>43</v>
      </c>
      <c r="H5" s="98">
        <f t="shared" si="0"/>
        <v>1.0214229594462793E-2</v>
      </c>
      <c r="I5" s="97">
        <f>SUMIF('All Costing'!$A$6:$A$1048576,RESUME!G5,'All Costing'!$G$6:$H$1048576)</f>
        <v>8500</v>
      </c>
      <c r="J5" s="97">
        <f>SUMIF('All Costing'!$A$6:$A$1048576,RESUME!G5,'All Costing'!$H$6:$H$1048576)</f>
        <v>386.13</v>
      </c>
      <c r="K5" s="97">
        <f t="shared" si="1"/>
        <v>8113.87</v>
      </c>
    </row>
    <row r="6" spans="1:12">
      <c r="A6" s="63" t="s">
        <v>311</v>
      </c>
      <c r="B6" s="96">
        <v>1.2016740699367992E-3</v>
      </c>
      <c r="C6" s="97">
        <f>SUMIF('All Costing'!$A$6:$A$1048576,RESUME!A6,'All Costing'!$G$6:$H$1048576)</f>
        <v>1000</v>
      </c>
      <c r="D6" s="82"/>
      <c r="E6" s="82"/>
      <c r="F6" s="82"/>
      <c r="G6" s="63" t="s">
        <v>311</v>
      </c>
      <c r="H6" s="98">
        <f t="shared" si="0"/>
        <v>1.2016740699367992E-3</v>
      </c>
      <c r="I6" s="97">
        <f>SUMIF('All Costing'!$A$6:$A$1048576,RESUME!G6,'All Costing'!$G$6:$H$1048576)</f>
        <v>1000</v>
      </c>
      <c r="J6" s="97">
        <f>SUMIF('All Costing'!$A$6:$A$1048576,RESUME!G6,'All Costing'!$H$6:$H$1048576)</f>
        <v>2723.49</v>
      </c>
      <c r="K6" s="97">
        <f t="shared" si="1"/>
        <v>-1723.4899999999998</v>
      </c>
    </row>
    <row r="7" spans="1:12">
      <c r="A7" s="63" t="s">
        <v>65</v>
      </c>
      <c r="B7" s="96">
        <v>0.1047205357286401</v>
      </c>
      <c r="C7" s="97">
        <f>SUMIF('All Costing'!$A$6:$A$1048576,RESUME!A7,'All Costing'!$G$6:$H$1048576)</f>
        <v>87145.539999999964</v>
      </c>
      <c r="D7" s="82"/>
      <c r="E7" s="82"/>
      <c r="F7" s="82"/>
      <c r="G7" s="63" t="s">
        <v>65</v>
      </c>
      <c r="H7" s="98">
        <f t="shared" si="0"/>
        <v>0.1047205357286401</v>
      </c>
      <c r="I7" s="97">
        <f>SUMIF('All Costing'!$A$6:$A$1048576,RESUME!G7,'All Costing'!$G$6:$H$1048576)</f>
        <v>87145.539999999964</v>
      </c>
      <c r="J7" s="97">
        <f>SUMIF('All Costing'!$A$6:$A$1048576,RESUME!G7,'All Costing'!$H$6:$H$1048576)</f>
        <v>32771.61</v>
      </c>
      <c r="K7" s="97">
        <f t="shared" si="1"/>
        <v>54373.929999999964</v>
      </c>
    </row>
    <row r="8" spans="1:12">
      <c r="A8" s="63" t="s">
        <v>139</v>
      </c>
      <c r="B8" s="96">
        <v>0.12076439185780972</v>
      </c>
      <c r="C8" s="97">
        <f>SUMIF('All Costing'!$A$6:$A$1048576,RESUME!A8,'All Costing'!$G$6:$H$1048576)</f>
        <v>100496.79432973135</v>
      </c>
      <c r="D8" s="82"/>
      <c r="E8" s="82"/>
      <c r="F8" s="82"/>
      <c r="G8" s="63" t="s">
        <v>139</v>
      </c>
      <c r="H8" s="98">
        <f t="shared" si="0"/>
        <v>0.12076439185780972</v>
      </c>
      <c r="I8" s="97">
        <f>SUMIF('All Costing'!$A$6:$A$1048576,RESUME!G8,'All Costing'!$G$6:$H$1048576)</f>
        <v>100496.79432973135</v>
      </c>
      <c r="J8" s="97">
        <f>SUMIF('All Costing'!$A$6:$A$1048576,RESUME!G8,'All Costing'!$H$6:$H$1048576)</f>
        <v>15400.28</v>
      </c>
      <c r="K8" s="97">
        <f t="shared" si="1"/>
        <v>85096.514329731348</v>
      </c>
    </row>
    <row r="9" spans="1:12">
      <c r="A9" s="63" t="s">
        <v>171</v>
      </c>
      <c r="B9" s="96">
        <v>0.14255002855513671</v>
      </c>
      <c r="C9" s="97">
        <f>SUMIFS('All Costing'!$G$6:$G$1048576,'All Costing'!$D$6:$D$1048576,"MAJA-1",'All Costing'!$A$6:$A$1048576,"Tony Teja")</f>
        <v>118626.19999999998</v>
      </c>
      <c r="D9" s="82"/>
      <c r="E9" s="82"/>
      <c r="F9" s="82"/>
      <c r="G9" s="63" t="s">
        <v>322</v>
      </c>
      <c r="H9" s="98">
        <f t="shared" si="0"/>
        <v>0.29780020186995526</v>
      </c>
      <c r="I9" s="97">
        <f>SUMIF('All Costing'!$A$6:$A$1048576,RESUME!G9,'All Costing'!$G$6:$H$1048576)</f>
        <v>247821.11000000002</v>
      </c>
      <c r="J9" s="97">
        <f>SUMIF('All Costing'!$A$6:$A$1048576,RESUME!G9,'All Costing'!$H$6:$H$1048576)</f>
        <v>38261.370000000003</v>
      </c>
      <c r="K9" s="97">
        <f t="shared" si="1"/>
        <v>209559.74000000002</v>
      </c>
      <c r="L9" s="13"/>
    </row>
    <row r="10" spans="1:12">
      <c r="A10" s="63" t="s">
        <v>155</v>
      </c>
      <c r="B10" s="96">
        <v>0.1552501733148185</v>
      </c>
      <c r="C10" s="97">
        <f>SUMIFS('All Costing'!$G$6:$G$1048576,'All Costing'!$D$6:$D$1048576,"MAJA-2",'All Costing'!$A$6:$A$1048576,"Tony Teja")</f>
        <v>129194.91000000002</v>
      </c>
      <c r="D10" s="82"/>
      <c r="E10" s="82"/>
      <c r="F10" s="82"/>
      <c r="G10" s="63" t="s">
        <v>157</v>
      </c>
      <c r="H10" s="98">
        <f t="shared" si="0"/>
        <v>0.10615728128013797</v>
      </c>
      <c r="I10" s="97">
        <f>SUMIF('All Costing'!$A$6:$A$1048576,RESUME!G10,'All Costing'!$G$6:$H$1048576)</f>
        <v>88341.16</v>
      </c>
      <c r="J10" s="97">
        <f>SUMIF('All Costing'!$A$6:$A$1048576,RESUME!G10,'All Costing'!$H$6:$H$1048576)</f>
        <v>6677.2400000000007</v>
      </c>
      <c r="K10" s="97">
        <f t="shared" si="1"/>
        <v>81663.92</v>
      </c>
    </row>
    <row r="11" spans="1:12">
      <c r="A11" s="63" t="s">
        <v>322</v>
      </c>
      <c r="B11" s="96">
        <v>0.29780020186995526</v>
      </c>
      <c r="C11" s="97">
        <f>SUMIF('All Costing'!$A$6:$A$1048576,RESUME!A11,'All Costing'!$G$6:$H$1048576)</f>
        <v>247821.11000000002</v>
      </c>
      <c r="D11" s="82"/>
      <c r="E11" s="82"/>
      <c r="F11" s="82"/>
      <c r="G11" s="204" t="s">
        <v>34</v>
      </c>
      <c r="H11" s="205"/>
      <c r="I11" s="100">
        <f>SUM(I3:I10)</f>
        <v>832172.40432973136</v>
      </c>
      <c r="J11" s="100">
        <f>SUM(J3:J10)</f>
        <v>157503.95000000001</v>
      </c>
      <c r="K11" s="100"/>
    </row>
    <row r="12" spans="1:12">
      <c r="A12" s="63" t="s">
        <v>157</v>
      </c>
      <c r="B12" s="96">
        <v>0.10615728128013797</v>
      </c>
      <c r="C12" s="97">
        <f>SUMIF('All Costing'!$A$6:$A$1048576,RESUME!A12,'All Costing'!$G$6:$H$1048576)</f>
        <v>88341.16</v>
      </c>
      <c r="D12" s="82"/>
      <c r="E12" s="82"/>
      <c r="F12" s="82"/>
      <c r="H12" s="16"/>
      <c r="I12"/>
      <c r="J12"/>
      <c r="K12"/>
    </row>
    <row r="13" spans="1:12">
      <c r="A13" s="204" t="s">
        <v>34</v>
      </c>
      <c r="B13" s="205"/>
      <c r="C13" s="101"/>
      <c r="D13" s="82"/>
      <c r="E13" s="82"/>
      <c r="F13" s="82"/>
      <c r="H13" s="16"/>
      <c r="I13"/>
      <c r="J13"/>
      <c r="K13"/>
    </row>
    <row r="14" spans="1:12">
      <c r="D14" s="82"/>
      <c r="E14" s="82"/>
      <c r="F14" s="82"/>
      <c r="H14" s="16"/>
      <c r="I14"/>
      <c r="J14"/>
      <c r="K14"/>
    </row>
    <row r="15" spans="1:12">
      <c r="D15" s="82"/>
      <c r="E15" s="82"/>
      <c r="F15" s="82"/>
      <c r="H15" s="16"/>
      <c r="I15"/>
      <c r="J15"/>
      <c r="K15"/>
    </row>
    <row r="16" spans="1:12">
      <c r="D16" s="82"/>
      <c r="E16" s="82"/>
      <c r="F16" s="82"/>
      <c r="H16" s="16"/>
      <c r="I16"/>
      <c r="J16"/>
      <c r="K16"/>
    </row>
    <row r="17" spans="4:9">
      <c r="D17" s="82"/>
      <c r="E17" s="82"/>
      <c r="F17" s="82"/>
      <c r="H17" s="16"/>
      <c r="I17"/>
    </row>
    <row r="18" spans="4:9">
      <c r="D18" s="82"/>
      <c r="E18" s="82"/>
      <c r="F18" s="82"/>
    </row>
    <row r="19" spans="4:9">
      <c r="D19" s="82"/>
      <c r="E19" s="82"/>
      <c r="F19" s="82"/>
    </row>
    <row r="20" spans="4:9">
      <c r="D20" s="82"/>
      <c r="E20" s="82"/>
      <c r="F20" s="82"/>
    </row>
    <row r="21" spans="4:9">
      <c r="D21" s="82"/>
      <c r="E21" s="82"/>
      <c r="F21" s="82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C162"/>
  <sheetViews>
    <sheetView zoomScale="70" zoomScaleNormal="70" workbookViewId="0">
      <pane xSplit="2" ySplit="5" topLeftCell="C75" activePane="bottomRight" state="frozen"/>
      <selection pane="topRight" activeCell="C1" sqref="C1"/>
      <selection pane="bottomLeft" activeCell="A6" sqref="A6"/>
      <selection pane="bottomRight" activeCell="C106" sqref="C106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.85546875" style="55" customWidth="1"/>
    <col min="4" max="4" width="19.85546875" style="38" customWidth="1"/>
    <col min="5" max="5" width="17.42578125" style="38" customWidth="1"/>
    <col min="6" max="6" width="36.85546875" style="38" customWidth="1"/>
    <col min="7" max="7" width="20.7109375" style="44" customWidth="1"/>
    <col min="8" max="8" width="22.7109375" style="44" customWidth="1"/>
    <col min="9" max="9" width="19" style="44" customWidth="1"/>
    <col min="10" max="10" width="16.28515625" style="37" customWidth="1"/>
    <col min="11" max="11" width="24.28515625" style="145" customWidth="1"/>
    <col min="12" max="12" width="21.28515625" style="145" customWidth="1"/>
    <col min="13" max="13" width="26.28515625" style="145" bestFit="1" customWidth="1"/>
    <col min="14" max="14" width="23.42578125" style="36" customWidth="1"/>
    <col min="15" max="15" width="27.28515625" style="38" customWidth="1"/>
    <col min="16" max="16" width="19.28515625" style="38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30.57031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9" ht="35.25" customHeight="1">
      <c r="A1" s="167" t="str">
        <f ca="1">"MONTHLY BUDGET TH "&amp;YEAR(TODAY())</f>
        <v>MONTHLY BUDGET TH 2024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58"/>
      <c r="O1" s="158"/>
      <c r="P1" s="167"/>
      <c r="Q1" s="167"/>
      <c r="R1" s="152"/>
    </row>
    <row r="2" spans="1:29" ht="15.75" customHeight="1">
      <c r="A2" s="167"/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58"/>
      <c r="O2" s="158"/>
      <c r="P2" s="167"/>
      <c r="Q2" s="167"/>
      <c r="R2" s="152"/>
    </row>
    <row r="3" spans="1:29" s="49" customFormat="1" ht="17.25" customHeight="1">
      <c r="A3" s="155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43"/>
      <c r="M3" s="143"/>
      <c r="N3" s="48"/>
      <c r="O3" s="45"/>
      <c r="P3" s="45"/>
      <c r="Q3" s="51"/>
      <c r="R3" s="153"/>
    </row>
    <row r="4" spans="1:29" s="49" customFormat="1" ht="16.5" customHeight="1">
      <c r="A4" s="51"/>
      <c r="B4" s="51"/>
      <c r="C4" s="51"/>
      <c r="D4" s="45"/>
      <c r="E4" s="45"/>
      <c r="F4" s="45"/>
      <c r="G4" s="182"/>
      <c r="H4" s="183"/>
      <c r="I4" s="50"/>
      <c r="J4" s="47"/>
      <c r="K4" s="148">
        <v>0.8</v>
      </c>
      <c r="L4" s="148">
        <v>1</v>
      </c>
      <c r="M4" s="146"/>
      <c r="N4" s="48"/>
      <c r="O4" s="45"/>
      <c r="P4" s="45"/>
      <c r="Q4" s="45"/>
      <c r="R4" s="153"/>
    </row>
    <row r="5" spans="1:29" s="35" customFormat="1" ht="28.5" customHeight="1">
      <c r="A5" s="52" t="s">
        <v>172</v>
      </c>
      <c r="B5" s="165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86" t="s">
        <v>524</v>
      </c>
      <c r="H5" s="166" t="s">
        <v>6</v>
      </c>
      <c r="I5" s="166" t="s">
        <v>190</v>
      </c>
      <c r="J5" s="33" t="s">
        <v>7</v>
      </c>
      <c r="K5" s="33" t="s">
        <v>526</v>
      </c>
      <c r="L5" s="144" t="s">
        <v>527</v>
      </c>
      <c r="M5" s="144" t="s">
        <v>8</v>
      </c>
      <c r="N5" s="34" t="s">
        <v>173</v>
      </c>
      <c r="O5" s="142" t="s">
        <v>314</v>
      </c>
      <c r="P5" s="33" t="s">
        <v>328</v>
      </c>
      <c r="Q5" s="33" t="s">
        <v>528</v>
      </c>
      <c r="R5" s="154"/>
    </row>
    <row r="6" spans="1:29" hidden="1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6">
        <v>10000</v>
      </c>
      <c r="H6" s="156">
        <v>15169.11</v>
      </c>
      <c r="I6" s="156">
        <f t="shared" ref="I6:I69" si="0">G6-H6</f>
        <v>-5169.1100000000006</v>
      </c>
      <c r="J6" s="42">
        <f>IFERROR(G6/VLOOKUP(A6,RESUME!$G$3:$I$10,3,FALSE),0)</f>
        <v>0.14728026373771388</v>
      </c>
      <c r="K6" s="156">
        <f>G6*$K$4</f>
        <v>8000</v>
      </c>
      <c r="L6" s="156">
        <f>G6*$L$4</f>
        <v>10000</v>
      </c>
      <c r="M6" s="147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52" t="s">
        <v>545</v>
      </c>
      <c r="R6" s="168"/>
      <c r="AA6" s="171" t="str">
        <f>A6&amp;B6&amp;C6&amp;D6&amp;E6&amp;O6</f>
        <v>Asep Ridwan SubianaEXPEDITION/SEA FREIGHTBiaya EksporCLNHeni1</v>
      </c>
      <c r="AB6" s="1" t="s">
        <v>570</v>
      </c>
      <c r="AC6" s="1" t="b">
        <f>AB6=AA6</f>
        <v>1</v>
      </c>
    </row>
    <row r="7" spans="1:29" hidden="1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7">
        <v>10000</v>
      </c>
      <c r="H7" s="157">
        <v>7555.56</v>
      </c>
      <c r="I7" s="157">
        <f t="shared" si="0"/>
        <v>2444.4399999999996</v>
      </c>
      <c r="J7" s="185">
        <f>IFERROR(G7/VLOOKUP(A7,RESUME!$G$3:$I$10,3,FALSE),0)</f>
        <v>0.14728026373771388</v>
      </c>
      <c r="K7" s="157">
        <f t="shared" ref="K7:K70" si="3">G7*$K$4</f>
        <v>8000</v>
      </c>
      <c r="L7" s="157">
        <f t="shared" ref="L7:L70" si="4">G7*$L$4</f>
        <v>10000</v>
      </c>
      <c r="M7" s="149">
        <f t="shared" ref="M7:M69" si="5">IF(L7=0,0,IF(H7&gt;L7,0,L7/IF(H7&gt;=K7,H7,K7)*J7))</f>
        <v>0.18410032967214235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OK</v>
      </c>
      <c r="Q7" s="164" t="s">
        <v>546</v>
      </c>
      <c r="R7" s="168"/>
      <c r="AA7" s="171" t="str">
        <f t="shared" ref="AA7:AA70" si="6">A7&amp;B7&amp;C7&amp;D7&amp;E7&amp;O7</f>
        <v>Asep Ridwan SubianaEXPEDITION/SEA FREIGHTBiaya EksporMAJA-2Farida1</v>
      </c>
      <c r="AB7" s="1" t="s">
        <v>571</v>
      </c>
      <c r="AC7" s="1" t="b">
        <f t="shared" ref="AC7:AC70" si="7">AB7=AA7</f>
        <v>1</v>
      </c>
    </row>
    <row r="8" spans="1:29" hidden="1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6">
        <v>1987.05</v>
      </c>
      <c r="H8" s="156">
        <v>2284</v>
      </c>
      <c r="I8" s="156">
        <f t="shared" si="0"/>
        <v>-296.95000000000005</v>
      </c>
      <c r="J8" s="42">
        <f>IFERROR(G8/VLOOKUP(A8,RESUME!$G$3:$I$10,3,FALSE),0)</f>
        <v>2.9265324806002437E-2</v>
      </c>
      <c r="K8" s="156">
        <f t="shared" si="3"/>
        <v>1589.64</v>
      </c>
      <c r="L8" s="156">
        <f t="shared" si="4"/>
        <v>1987.05</v>
      </c>
      <c r="M8" s="147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52" t="s">
        <v>547</v>
      </c>
      <c r="R8" s="168"/>
      <c r="AA8" s="171" t="str">
        <f t="shared" si="6"/>
        <v>Asep Ridwan SubianaINSURANCE EXPENSESJaminan kontrak kerja makloonCLNNunung1</v>
      </c>
      <c r="AB8" s="1" t="s">
        <v>572</v>
      </c>
      <c r="AC8" s="1" t="b">
        <f t="shared" si="7"/>
        <v>1</v>
      </c>
    </row>
    <row r="9" spans="1:29" hidden="1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7">
        <v>326</v>
      </c>
      <c r="H9" s="157">
        <v>394.88</v>
      </c>
      <c r="I9" s="157">
        <f t="shared" si="0"/>
        <v>-68.88</v>
      </c>
      <c r="J9" s="185">
        <f>IFERROR(G9/VLOOKUP(A9,RESUME!$G$3:$I$10,3,FALSE),0)</f>
        <v>4.8013365978494729E-3</v>
      </c>
      <c r="K9" s="157">
        <f t="shared" si="3"/>
        <v>260.8</v>
      </c>
      <c r="L9" s="157">
        <f t="shared" si="4"/>
        <v>326</v>
      </c>
      <c r="M9" s="149">
        <f t="shared" si="5"/>
        <v>0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4" t="s">
        <v>529</v>
      </c>
      <c r="R9" s="168"/>
      <c r="AA9" s="171" t="str">
        <f t="shared" si="6"/>
        <v>Asep Ridwan SubianaINSURANCE EXPENSESJaminan kontrak kerja makloonMAJA-2Yanto1</v>
      </c>
      <c r="AB9" s="1" t="s">
        <v>573</v>
      </c>
      <c r="AC9" s="1" t="b">
        <f t="shared" si="7"/>
        <v>1</v>
      </c>
    </row>
    <row r="10" spans="1:29" hidden="1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6">
        <v>15015.099999999999</v>
      </c>
      <c r="H10" s="156">
        <v>5880.0999999999985</v>
      </c>
      <c r="I10" s="156">
        <f t="shared" si="0"/>
        <v>9135</v>
      </c>
      <c r="J10" s="42">
        <f>IFERROR(G10/VLOOKUP(A10,RESUME!$G$3:$I$10,3,FALSE),0)</f>
        <v>0.22114278880481478</v>
      </c>
      <c r="K10" s="156">
        <f t="shared" si="3"/>
        <v>12012.08</v>
      </c>
      <c r="L10" s="156">
        <f t="shared" si="4"/>
        <v>15015.099999999999</v>
      </c>
      <c r="M10" s="147">
        <f t="shared" si="5"/>
        <v>0.27642848600601844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52" t="s">
        <v>529</v>
      </c>
      <c r="R10" s="168"/>
      <c r="AA10" s="171" t="str">
        <f t="shared" si="6"/>
        <v>Asep Ridwan SubianaOTHER PRODUCTION COSTImportCLNSeli3</v>
      </c>
      <c r="AB10" s="1" t="s">
        <v>574</v>
      </c>
      <c r="AC10" s="1" t="b">
        <f t="shared" si="7"/>
        <v>1</v>
      </c>
    </row>
    <row r="11" spans="1:29" hidden="1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7">
        <v>26.7199999999998</v>
      </c>
      <c r="H11" s="157">
        <v>706.3</v>
      </c>
      <c r="I11" s="157">
        <f t="shared" si="0"/>
        <v>-679.58000000000015</v>
      </c>
      <c r="J11" s="185">
        <f>IFERROR(G11/VLOOKUP(A11,RESUME!$G$3:$I$10,3,FALSE),0)</f>
        <v>3.9353286470716859E-4</v>
      </c>
      <c r="K11" s="157">
        <f t="shared" si="3"/>
        <v>21.375999999999841</v>
      </c>
      <c r="L11" s="157">
        <f t="shared" si="4"/>
        <v>26.7199999999998</v>
      </c>
      <c r="M11" s="149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4" t="s">
        <v>548</v>
      </c>
      <c r="R11" s="168"/>
      <c r="AA11" s="171" t="str">
        <f t="shared" si="6"/>
        <v>Asep Ridwan SubianaOTHER PRODUCTION COSTImportMAJA-1Irna3</v>
      </c>
      <c r="AB11" s="1" t="s">
        <v>575</v>
      </c>
      <c r="AC11" s="1" t="b">
        <f t="shared" si="7"/>
        <v>1</v>
      </c>
    </row>
    <row r="12" spans="1:29" hidden="1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6">
        <v>15124.89</v>
      </c>
      <c r="H12" s="156">
        <v>5170.79000000003</v>
      </c>
      <c r="I12" s="156">
        <f t="shared" si="0"/>
        <v>9954.0999999999694</v>
      </c>
      <c r="J12" s="42">
        <f>IFERROR(G12/VLOOKUP(A12,RESUME!$G$3:$I$10,3,FALSE),0)</f>
        <v>0.22275977882039114</v>
      </c>
      <c r="K12" s="156">
        <f t="shared" si="3"/>
        <v>12099.912</v>
      </c>
      <c r="L12" s="156">
        <f t="shared" si="4"/>
        <v>15124.89</v>
      </c>
      <c r="M12" s="147">
        <f t="shared" si="5"/>
        <v>0.27844972352548891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52" t="s">
        <v>529</v>
      </c>
      <c r="R12" s="168"/>
      <c r="AA12" s="171" t="str">
        <f t="shared" si="6"/>
        <v>Asep Ridwan SubianaOTHER PRODUCTION COSTImportMAJA-2Irna3</v>
      </c>
      <c r="AB12" s="1" t="s">
        <v>576</v>
      </c>
      <c r="AC12" s="1" t="b">
        <f t="shared" si="7"/>
        <v>1</v>
      </c>
    </row>
    <row r="13" spans="1:29" hidden="1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7">
        <v>639</v>
      </c>
      <c r="H13" s="157">
        <v>513.23</v>
      </c>
      <c r="I13" s="157">
        <f t="shared" si="0"/>
        <v>125.76999999999998</v>
      </c>
      <c r="J13" s="185">
        <f>IFERROR(G13/VLOOKUP(A13,RESUME!$G$3:$I$10,3,FALSE),0)</f>
        <v>9.4112088528399175E-3</v>
      </c>
      <c r="K13" s="157">
        <f t="shared" si="3"/>
        <v>511.20000000000005</v>
      </c>
      <c r="L13" s="157">
        <f t="shared" si="4"/>
        <v>639</v>
      </c>
      <c r="M13" s="149">
        <f t="shared" si="5"/>
        <v>1.1717480382995358E-2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4" t="s">
        <v>529</v>
      </c>
      <c r="R13" s="168"/>
      <c r="AA13" s="171" t="str">
        <f t="shared" si="6"/>
        <v>Asep Ridwan SubianaPEMAKAIAN GENERAL MATERIALissue nashua, double tape, karton tebal,numbering, kertas gelar, tinta numbering, kertas marker.CLNIka1</v>
      </c>
      <c r="AB13" s="1" t="s">
        <v>577</v>
      </c>
      <c r="AC13" s="1" t="b">
        <f t="shared" si="7"/>
        <v>1</v>
      </c>
    </row>
    <row r="14" spans="1:29" hidden="1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6">
        <v>1265</v>
      </c>
      <c r="H14" s="156">
        <v>839.63</v>
      </c>
      <c r="I14" s="156">
        <f t="shared" si="0"/>
        <v>425.37</v>
      </c>
      <c r="J14" s="42">
        <f>IFERROR(G14/VLOOKUP(A14,RESUME!$G$3:$I$10,3,FALSE),0)</f>
        <v>1.8630953362820807E-2</v>
      </c>
      <c r="K14" s="156">
        <f t="shared" si="3"/>
        <v>1012</v>
      </c>
      <c r="L14" s="156">
        <f t="shared" si="4"/>
        <v>1265</v>
      </c>
      <c r="M14" s="147">
        <f t="shared" si="5"/>
        <v>2.3288691703526009E-2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52" t="s">
        <v>529</v>
      </c>
      <c r="R14" s="168"/>
      <c r="AA14" s="171" t="str">
        <f t="shared" si="6"/>
        <v>Asep Ridwan SubianaPEMAKAIAN GENERAL MATERIALissue nashua, double tape, karton tebal,numbering, kertas gelar, tinta numbering, kertas marker.MAJA-1Sri K1</v>
      </c>
      <c r="AB14" s="1" t="s">
        <v>578</v>
      </c>
      <c r="AC14" s="1" t="b">
        <f t="shared" si="7"/>
        <v>1</v>
      </c>
    </row>
    <row r="15" spans="1:29" hidden="1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7">
        <v>2489</v>
      </c>
      <c r="H15" s="157">
        <v>457.93</v>
      </c>
      <c r="I15" s="157">
        <f t="shared" si="0"/>
        <v>2031.07</v>
      </c>
      <c r="J15" s="185">
        <f>IFERROR(G15/VLOOKUP(A15,RESUME!$G$3:$I$10,3,FALSE),0)</f>
        <v>3.6658057644316989E-2</v>
      </c>
      <c r="K15" s="157">
        <f t="shared" si="3"/>
        <v>1991.2</v>
      </c>
      <c r="L15" s="157">
        <f t="shared" si="4"/>
        <v>2489</v>
      </c>
      <c r="M15" s="149">
        <f t="shared" si="5"/>
        <v>4.5822572055396235E-2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4" t="s">
        <v>529</v>
      </c>
      <c r="R15" s="168"/>
      <c r="AA15" s="171" t="str">
        <f t="shared" si="6"/>
        <v>Asep Ridwan SubianaPEMAKAIAN GENERAL MATERIALissue nashua, double tape, karton tebal,numbering, kertas gelar, tinta numbering, kertas marker.MAJA-2Sri K1</v>
      </c>
      <c r="AB15" s="1" t="s">
        <v>579</v>
      </c>
      <c r="AC15" s="1" t="b">
        <f t="shared" si="7"/>
        <v>1</v>
      </c>
    </row>
    <row r="16" spans="1:29" hidden="1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6">
        <v>1025</v>
      </c>
      <c r="H16" s="156">
        <v>29</v>
      </c>
      <c r="I16" s="156">
        <f t="shared" si="0"/>
        <v>996</v>
      </c>
      <c r="J16" s="42">
        <f>IFERROR(G16/VLOOKUP(A16,RESUME!$G$3:$I$10,3,FALSE),0)</f>
        <v>1.5096227033115674E-2</v>
      </c>
      <c r="K16" s="156">
        <f t="shared" si="3"/>
        <v>820</v>
      </c>
      <c r="L16" s="156">
        <f t="shared" si="4"/>
        <v>1025</v>
      </c>
      <c r="M16" s="147">
        <f t="shared" si="5"/>
        <v>1.887028379139459E-2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52" t="s">
        <v>529</v>
      </c>
      <c r="R16" s="168"/>
      <c r="AA16" s="171" t="str">
        <f t="shared" si="6"/>
        <v>Asep Ridwan SubianaPEMAKAIAN PACKINGLakban &amp; accessories packing utk produksiCLNIka1</v>
      </c>
      <c r="AB16" s="1" t="s">
        <v>580</v>
      </c>
      <c r="AC16" s="1" t="b">
        <f t="shared" si="7"/>
        <v>1</v>
      </c>
    </row>
    <row r="17" spans="1:29" hidden="1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7">
        <v>8000</v>
      </c>
      <c r="H17" s="157">
        <v>7427.99</v>
      </c>
      <c r="I17" s="157">
        <f t="shared" si="0"/>
        <v>572.01000000000022</v>
      </c>
      <c r="J17" s="185">
        <f>IFERROR(G17/VLOOKUP(A17,RESUME!$G$3:$I$10,3,FALSE),0)</f>
        <v>0.11782421099017111</v>
      </c>
      <c r="K17" s="157">
        <f t="shared" si="3"/>
        <v>6400</v>
      </c>
      <c r="L17" s="157">
        <f t="shared" si="4"/>
        <v>8000</v>
      </c>
      <c r="M17" s="149">
        <f t="shared" si="5"/>
        <v>0.12689754400872497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OK</v>
      </c>
      <c r="Q17" s="164" t="s">
        <v>549</v>
      </c>
      <c r="R17" s="168"/>
      <c r="AA17" s="171" t="str">
        <f t="shared" si="6"/>
        <v>Asep Ridwan SubianaTRUCKING EXPENSESBiaya truking utk pengiriman barangCLNHilman1</v>
      </c>
      <c r="AB17" s="1" t="s">
        <v>581</v>
      </c>
      <c r="AC17" s="1" t="b">
        <f t="shared" si="7"/>
        <v>1</v>
      </c>
    </row>
    <row r="18" spans="1:29" hidden="1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6">
        <v>1000</v>
      </c>
      <c r="H18" s="156">
        <v>2612.3200000000002</v>
      </c>
      <c r="I18" s="156">
        <f t="shared" si="0"/>
        <v>-1612.3200000000002</v>
      </c>
      <c r="J18" s="42">
        <f>IFERROR(G18/VLOOKUP(A18,RESUME!$G$3:$I$10,3,FALSE),0)</f>
        <v>1.4728026373771389E-2</v>
      </c>
      <c r="K18" s="156">
        <f t="shared" si="3"/>
        <v>800</v>
      </c>
      <c r="L18" s="156">
        <f t="shared" si="4"/>
        <v>1000</v>
      </c>
      <c r="M18" s="147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52" t="s">
        <v>550</v>
      </c>
      <c r="R18" s="168"/>
      <c r="AA18" s="171" t="str">
        <f t="shared" si="6"/>
        <v>Asep Ridwan SubianaTRUCKING EXPENSESBiaya truking utk pengiriman barangMAJA-1Hilman1</v>
      </c>
      <c r="AB18" s="1" t="s">
        <v>582</v>
      </c>
      <c r="AC18" s="1" t="b">
        <f t="shared" si="7"/>
        <v>1</v>
      </c>
    </row>
    <row r="19" spans="1:29" hidden="1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7">
        <v>1000</v>
      </c>
      <c r="H19" s="157"/>
      <c r="I19" s="157">
        <f t="shared" si="0"/>
        <v>1000</v>
      </c>
      <c r="J19" s="185">
        <f>IFERROR(G19/VLOOKUP(A19,RESUME!$G$3:$I$10,3,FALSE),0)</f>
        <v>1.4728026373771389E-2</v>
      </c>
      <c r="K19" s="157">
        <f t="shared" si="3"/>
        <v>800</v>
      </c>
      <c r="L19" s="157">
        <f t="shared" si="4"/>
        <v>1000</v>
      </c>
      <c r="M19" s="149">
        <f t="shared" si="5"/>
        <v>1.8410032967214236E-2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OK</v>
      </c>
      <c r="Q19" s="164" t="s">
        <v>551</v>
      </c>
      <c r="R19" s="168"/>
      <c r="AA19" s="171" t="str">
        <f t="shared" si="6"/>
        <v>Asep Ridwan SubianaTRUCKING EXPENSESBiaya truking utk pengiriman barangMAJA-2Hilman1</v>
      </c>
      <c r="AB19" s="1" t="s">
        <v>583</v>
      </c>
      <c r="AC19" s="1" t="b">
        <f t="shared" si="7"/>
        <v>1</v>
      </c>
    </row>
    <row r="20" spans="1:29" hidden="1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6">
        <v>151561</v>
      </c>
      <c r="H20" s="156"/>
      <c r="I20" s="156">
        <f t="shared" si="0"/>
        <v>151561</v>
      </c>
      <c r="J20" s="42">
        <f>IFERROR(G20/VLOOKUP(A20,RESUME!$G$3:$I$10,3,FALSE),0)</f>
        <v>0.65619333139484248</v>
      </c>
      <c r="K20" s="156">
        <f t="shared" si="3"/>
        <v>121248.8</v>
      </c>
      <c r="L20" s="156">
        <f t="shared" si="4"/>
        <v>151561</v>
      </c>
      <c r="M20" s="147">
        <f t="shared" si="5"/>
        <v>0.82024166424355305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OK</v>
      </c>
      <c r="Q20" s="152" t="s">
        <v>529</v>
      </c>
      <c r="R20" s="168"/>
      <c r="AA20" s="171" t="str">
        <f t="shared" si="6"/>
        <v>ChoerumanVENDOR EXPENSESBiaya Makloon CLNSagaf 2</v>
      </c>
      <c r="AB20" s="1" t="s">
        <v>584</v>
      </c>
      <c r="AC20" s="1" t="b">
        <f t="shared" si="7"/>
        <v>1</v>
      </c>
    </row>
    <row r="21" spans="1:29" hidden="1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7">
        <v>26883.15</v>
      </c>
      <c r="H21" s="157"/>
      <c r="I21" s="157">
        <f t="shared" si="0"/>
        <v>26883.15</v>
      </c>
      <c r="J21" s="185">
        <f>IFERROR(G21/VLOOKUP(A21,RESUME!$G$3:$I$10,3,FALSE),0)</f>
        <v>0.11639236846475848</v>
      </c>
      <c r="K21" s="157">
        <f t="shared" si="3"/>
        <v>21506.520000000004</v>
      </c>
      <c r="L21" s="157">
        <f t="shared" si="4"/>
        <v>26883.15</v>
      </c>
      <c r="M21" s="149">
        <f t="shared" si="5"/>
        <v>0.14549046058094808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OK</v>
      </c>
      <c r="Q21" s="164" t="s">
        <v>529</v>
      </c>
      <c r="R21" s="168"/>
      <c r="AA21" s="171" t="str">
        <f t="shared" si="6"/>
        <v>ChoerumanVENDOR EXPENSESBiaya Makloon MAJA-1Sagaf 2</v>
      </c>
      <c r="AB21" s="1" t="s">
        <v>585</v>
      </c>
      <c r="AC21" s="1" t="b">
        <f t="shared" si="7"/>
        <v>1</v>
      </c>
    </row>
    <row r="22" spans="1:29" hidden="1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6">
        <v>32525.89</v>
      </c>
      <c r="H22" s="156"/>
      <c r="I22" s="156">
        <f t="shared" si="0"/>
        <v>32525.89</v>
      </c>
      <c r="J22" s="42">
        <f>IFERROR(G22/VLOOKUP(A22,RESUME!$G$3:$I$10,3,FALSE),0)</f>
        <v>0.14082298292886819</v>
      </c>
      <c r="K22" s="156">
        <f t="shared" si="3"/>
        <v>26020.712</v>
      </c>
      <c r="L22" s="156">
        <f t="shared" si="4"/>
        <v>32525.89</v>
      </c>
      <c r="M22" s="147">
        <f t="shared" si="5"/>
        <v>0.17602872866108524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OK</v>
      </c>
      <c r="Q22" s="152" t="s">
        <v>529</v>
      </c>
      <c r="R22" s="168"/>
      <c r="AA22" s="171" t="str">
        <f t="shared" si="6"/>
        <v>ChoerumanVENDOR EXPENSESBiaya Makloon MAJA-2Dede2</v>
      </c>
      <c r="AB22" s="1" t="s">
        <v>586</v>
      </c>
      <c r="AC22" s="1" t="b">
        <f t="shared" si="7"/>
        <v>1</v>
      </c>
    </row>
    <row r="23" spans="1:29" hidden="1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7">
        <v>5000</v>
      </c>
      <c r="H23" s="157">
        <v>846.54</v>
      </c>
      <c r="I23" s="157">
        <f t="shared" si="0"/>
        <v>4153.46</v>
      </c>
      <c r="J23" s="185">
        <f>IFERROR(G23/VLOOKUP(A23,RESUME!$G$3:$I$10,3,FALSE),0)</f>
        <v>2.1647829302882747E-2</v>
      </c>
      <c r="K23" s="157">
        <f t="shared" si="3"/>
        <v>4000</v>
      </c>
      <c r="L23" s="157">
        <f t="shared" si="4"/>
        <v>5000</v>
      </c>
      <c r="M23" s="149">
        <f t="shared" si="5"/>
        <v>2.7059786628603436E-2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OK</v>
      </c>
      <c r="Q23" s="164" t="s">
        <v>529</v>
      </c>
      <c r="R23" s="168"/>
      <c r="AA23" s="171" t="str">
        <f t="shared" si="6"/>
        <v>ChoerumanVENDOR EXPENSESBiaya MaterialCLNIrwan2</v>
      </c>
      <c r="AB23" s="1" t="s">
        <v>587</v>
      </c>
      <c r="AC23" s="1" t="b">
        <f t="shared" si="7"/>
        <v>1</v>
      </c>
    </row>
    <row r="24" spans="1:29" hidden="1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6">
        <v>7500</v>
      </c>
      <c r="H24" s="156">
        <v>11331.25</v>
      </c>
      <c r="I24" s="156">
        <f t="shared" si="0"/>
        <v>-3831.25</v>
      </c>
      <c r="J24" s="42">
        <f>IFERROR(G24/VLOOKUP(A24,RESUME!$G$3:$I$10,3,FALSE),0)</f>
        <v>3.2471743954324124E-2</v>
      </c>
      <c r="K24" s="156">
        <f t="shared" si="3"/>
        <v>6000</v>
      </c>
      <c r="L24" s="156">
        <f t="shared" si="4"/>
        <v>7500</v>
      </c>
      <c r="M24" s="147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52" t="s">
        <v>529</v>
      </c>
      <c r="R24" s="168"/>
      <c r="AA24" s="171" t="str">
        <f t="shared" si="6"/>
        <v>ChoerumanVENDOR EXPENSESBiaya Makloon MAJA-1Sri B2</v>
      </c>
      <c r="AB24" s="1" t="s">
        <v>588</v>
      </c>
      <c r="AC24" s="1" t="b">
        <f t="shared" si="7"/>
        <v>1</v>
      </c>
    </row>
    <row r="25" spans="1:29" hidden="1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7">
        <v>7500</v>
      </c>
      <c r="H25" s="157">
        <v>65.2</v>
      </c>
      <c r="I25" s="157">
        <f t="shared" si="0"/>
        <v>7434.8</v>
      </c>
      <c r="J25" s="185">
        <f>IFERROR(G25/VLOOKUP(A25,RESUME!$G$3:$I$10,3,FALSE),0)</f>
        <v>3.2471743954324124E-2</v>
      </c>
      <c r="K25" s="157">
        <f t="shared" si="3"/>
        <v>6000</v>
      </c>
      <c r="L25" s="157">
        <f t="shared" si="4"/>
        <v>7500</v>
      </c>
      <c r="M25" s="149">
        <f t="shared" si="5"/>
        <v>4.0589679942905153E-2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OK</v>
      </c>
      <c r="Q25" s="164" t="s">
        <v>529</v>
      </c>
      <c r="R25" s="168"/>
      <c r="AA25" s="171" t="str">
        <f t="shared" si="6"/>
        <v>ChoerumanVENDOR EXPENSESBiaya Makloon MAJA-2Irwan2</v>
      </c>
      <c r="AB25" s="1" t="s">
        <v>589</v>
      </c>
      <c r="AC25" s="1" t="b">
        <f t="shared" si="7"/>
        <v>1</v>
      </c>
    </row>
    <row r="26" spans="1:29" hidden="1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6">
        <v>450</v>
      </c>
      <c r="H26" s="156"/>
      <c r="I26" s="156">
        <f t="shared" si="0"/>
        <v>450</v>
      </c>
      <c r="J26" s="42">
        <f>IFERROR(G26/VLOOKUP(A26,RESUME!$G$3:$I$10,3,FALSE),0)</f>
        <v>5.2941176470588235E-2</v>
      </c>
      <c r="K26" s="156">
        <f t="shared" si="3"/>
        <v>360</v>
      </c>
      <c r="L26" s="156">
        <f t="shared" si="4"/>
        <v>450</v>
      </c>
      <c r="M26" s="147">
        <f t="shared" si="5"/>
        <v>6.6176470588235295E-2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OK</v>
      </c>
      <c r="Q26" s="152" t="s">
        <v>529</v>
      </c>
      <c r="R26" s="168"/>
      <c r="AA26" s="171" t="str">
        <f t="shared" si="6"/>
        <v>FirawatyFABRIC TESTED CHARGESGarment TestCLNDiana5</v>
      </c>
      <c r="AB26" s="1" t="s">
        <v>590</v>
      </c>
      <c r="AC26" s="1" t="b">
        <f t="shared" si="7"/>
        <v>1</v>
      </c>
    </row>
    <row r="27" spans="1:29" hidden="1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7">
        <v>450</v>
      </c>
      <c r="H27" s="157"/>
      <c r="I27" s="157">
        <f t="shared" si="0"/>
        <v>450</v>
      </c>
      <c r="J27" s="185">
        <f>IFERROR(G27/VLOOKUP(A27,RESUME!$G$3:$I$10,3,FALSE),0)</f>
        <v>5.2941176470588235E-2</v>
      </c>
      <c r="K27" s="157">
        <f t="shared" si="3"/>
        <v>360</v>
      </c>
      <c r="L27" s="157">
        <f t="shared" si="4"/>
        <v>450</v>
      </c>
      <c r="M27" s="149">
        <f t="shared" si="5"/>
        <v>6.6176470588235295E-2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OK</v>
      </c>
      <c r="Q27" s="164" t="s">
        <v>529</v>
      </c>
      <c r="R27" s="168"/>
      <c r="AA27" s="171" t="str">
        <f t="shared" si="6"/>
        <v>FirawatyFABRIC TESTED CHARGESGarment TestCLNEka5</v>
      </c>
      <c r="AB27" s="1" t="s">
        <v>591</v>
      </c>
      <c r="AC27" s="1" t="b">
        <f t="shared" si="7"/>
        <v>1</v>
      </c>
    </row>
    <row r="28" spans="1:29" hidden="1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6">
        <v>450</v>
      </c>
      <c r="H28" s="156"/>
      <c r="I28" s="156">
        <f t="shared" si="0"/>
        <v>450</v>
      </c>
      <c r="J28" s="42">
        <f>IFERROR(G28/VLOOKUP(A28,RESUME!$G$3:$I$10,3,FALSE),0)</f>
        <v>5.2941176470588235E-2</v>
      </c>
      <c r="K28" s="156">
        <f t="shared" si="3"/>
        <v>360</v>
      </c>
      <c r="L28" s="156">
        <f t="shared" si="4"/>
        <v>450</v>
      </c>
      <c r="M28" s="147">
        <f t="shared" si="5"/>
        <v>6.6176470588235295E-2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OK</v>
      </c>
      <c r="Q28" s="152" t="s">
        <v>529</v>
      </c>
      <c r="R28" s="168"/>
      <c r="AA28" s="171" t="str">
        <f t="shared" si="6"/>
        <v>FirawatyFABRIC TESTED CHARGESGarment TestCLNSuwartini5</v>
      </c>
      <c r="AB28" s="1" t="s">
        <v>592</v>
      </c>
      <c r="AC28" s="1" t="b">
        <f t="shared" si="7"/>
        <v>1</v>
      </c>
    </row>
    <row r="29" spans="1:29" hidden="1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7">
        <v>450</v>
      </c>
      <c r="H29" s="157"/>
      <c r="I29" s="157">
        <f t="shared" si="0"/>
        <v>450</v>
      </c>
      <c r="J29" s="185">
        <f>IFERROR(G29/VLOOKUP(A29,RESUME!$G$3:$I$10,3,FALSE),0)</f>
        <v>5.2941176470588235E-2</v>
      </c>
      <c r="K29" s="157">
        <f t="shared" si="3"/>
        <v>360</v>
      </c>
      <c r="L29" s="157">
        <f t="shared" si="4"/>
        <v>450</v>
      </c>
      <c r="M29" s="149">
        <f t="shared" si="5"/>
        <v>6.6176470588235295E-2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OK</v>
      </c>
      <c r="Q29" s="164" t="s">
        <v>529</v>
      </c>
      <c r="R29" s="168"/>
      <c r="AA29" s="171" t="str">
        <f t="shared" si="6"/>
        <v>FirawatyFABRIC TESTED CHARGESGarment TestCLNSynta5</v>
      </c>
      <c r="AB29" s="1" t="s">
        <v>593</v>
      </c>
      <c r="AC29" s="1" t="b">
        <f t="shared" si="7"/>
        <v>1</v>
      </c>
    </row>
    <row r="30" spans="1:29" hidden="1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6">
        <v>6300</v>
      </c>
      <c r="H30" s="156"/>
      <c r="I30" s="156">
        <f t="shared" si="0"/>
        <v>6300</v>
      </c>
      <c r="J30" s="42">
        <f>IFERROR(G30/VLOOKUP(A30,RESUME!$G$3:$I$10,3,FALSE),0)</f>
        <v>0.74117647058823533</v>
      </c>
      <c r="K30" s="156">
        <f t="shared" si="3"/>
        <v>5040</v>
      </c>
      <c r="L30" s="156">
        <f t="shared" si="4"/>
        <v>6300</v>
      </c>
      <c r="M30" s="147">
        <f t="shared" si="5"/>
        <v>0.92647058823529416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OK</v>
      </c>
      <c r="Q30" s="152" t="s">
        <v>529</v>
      </c>
      <c r="R30" s="168"/>
      <c r="AA30" s="171" t="str">
        <f t="shared" si="6"/>
        <v>FirawatySALES COMMISSIONKomisi untuk AgentCLNSynta2</v>
      </c>
      <c r="AB30" s="1" t="s">
        <v>594</v>
      </c>
      <c r="AC30" s="1" t="b">
        <f t="shared" si="7"/>
        <v>1</v>
      </c>
    </row>
    <row r="31" spans="1:29" hidden="1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7">
        <v>100</v>
      </c>
      <c r="H31" s="157">
        <v>357.33</v>
      </c>
      <c r="I31" s="157">
        <f t="shared" si="0"/>
        <v>-257.33</v>
      </c>
      <c r="J31" s="185">
        <f>IFERROR(G31/VLOOKUP(A31,RESUME!$G$3:$I$10,3,FALSE),0)</f>
        <v>1.1764705882352941E-2</v>
      </c>
      <c r="K31" s="157">
        <f t="shared" si="3"/>
        <v>80</v>
      </c>
      <c r="L31" s="157">
        <f t="shared" si="4"/>
        <v>100</v>
      </c>
      <c r="M31" s="149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164" t="s">
        <v>529</v>
      </c>
      <c r="R31" s="168"/>
      <c r="AA31" s="171" t="str">
        <f t="shared" si="6"/>
        <v>FirawatySAMPLE EXPENSESPengeluaran Material SampleCLNDiana6</v>
      </c>
      <c r="AB31" s="1" t="s">
        <v>595</v>
      </c>
      <c r="AC31" s="1" t="b">
        <f t="shared" si="7"/>
        <v>1</v>
      </c>
    </row>
    <row r="32" spans="1:29" hidden="1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6">
        <v>100</v>
      </c>
      <c r="H32" s="156">
        <v>28.8</v>
      </c>
      <c r="I32" s="156">
        <f t="shared" si="0"/>
        <v>71.2</v>
      </c>
      <c r="J32" s="42">
        <f>IFERROR(G32/VLOOKUP(A32,RESUME!$G$3:$I$10,3,FALSE),0)</f>
        <v>1.1764705882352941E-2</v>
      </c>
      <c r="K32" s="156">
        <f t="shared" si="3"/>
        <v>80</v>
      </c>
      <c r="L32" s="156">
        <f t="shared" si="4"/>
        <v>100</v>
      </c>
      <c r="M32" s="147">
        <f t="shared" si="5"/>
        <v>1.4705882352941176E-2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OK</v>
      </c>
      <c r="Q32" s="152" t="s">
        <v>529</v>
      </c>
      <c r="R32" s="168"/>
      <c r="AA32" s="171" t="str">
        <f t="shared" si="6"/>
        <v>FirawatySAMPLE EXPENSESPengeluaran Material SampleCLNEka6</v>
      </c>
      <c r="AB32" s="1" t="s">
        <v>596</v>
      </c>
      <c r="AC32" s="1" t="b">
        <f t="shared" si="7"/>
        <v>1</v>
      </c>
    </row>
    <row r="33" spans="1:29" hidden="1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7">
        <v>100</v>
      </c>
      <c r="H33" s="157"/>
      <c r="I33" s="157">
        <f t="shared" si="0"/>
        <v>100</v>
      </c>
      <c r="J33" s="185">
        <f>IFERROR(G33/VLOOKUP(A33,RESUME!$G$3:$I$10,3,FALSE),0)</f>
        <v>1.1764705882352941E-2</v>
      </c>
      <c r="K33" s="157">
        <f t="shared" si="3"/>
        <v>80</v>
      </c>
      <c r="L33" s="157">
        <f t="shared" si="4"/>
        <v>100</v>
      </c>
      <c r="M33" s="149">
        <f t="shared" si="5"/>
        <v>1.4705882352941176E-2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OK</v>
      </c>
      <c r="Q33" s="164" t="s">
        <v>529</v>
      </c>
      <c r="R33" s="168"/>
      <c r="AA33" s="171" t="str">
        <f t="shared" si="6"/>
        <v>FirawatySAMPLE EXPENSESPengeluaran Material SampleCLNSuwartini6</v>
      </c>
      <c r="AB33" s="1" t="s">
        <v>597</v>
      </c>
      <c r="AC33" s="1" t="b">
        <f t="shared" si="7"/>
        <v>1</v>
      </c>
    </row>
    <row r="34" spans="1:29" hidden="1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6">
        <v>100</v>
      </c>
      <c r="H34" s="156"/>
      <c r="I34" s="156">
        <f t="shared" si="0"/>
        <v>100</v>
      </c>
      <c r="J34" s="42">
        <f>IFERROR(G34/VLOOKUP(A34,RESUME!$G$3:$I$10,3,FALSE),0)</f>
        <v>1.1764705882352941E-2</v>
      </c>
      <c r="K34" s="156">
        <f t="shared" si="3"/>
        <v>80</v>
      </c>
      <c r="L34" s="156">
        <f t="shared" si="4"/>
        <v>100</v>
      </c>
      <c r="M34" s="147">
        <f t="shared" si="5"/>
        <v>1.4705882352941176E-2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OK</v>
      </c>
      <c r="Q34" s="152" t="s">
        <v>529</v>
      </c>
      <c r="R34" s="168"/>
      <c r="AA34" s="171" t="str">
        <f t="shared" si="6"/>
        <v>FirawatySAMPLE EXPENSESPengeluaran Material SampleCLNSynta6</v>
      </c>
      <c r="AB34" s="1" t="s">
        <v>598</v>
      </c>
      <c r="AC34" s="1" t="b">
        <f t="shared" si="7"/>
        <v>1</v>
      </c>
    </row>
    <row r="35" spans="1:29" hidden="1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7">
        <v>200</v>
      </c>
      <c r="H35" s="157">
        <v>632.79</v>
      </c>
      <c r="I35" s="157">
        <f t="shared" si="0"/>
        <v>-432.78999999999996</v>
      </c>
      <c r="J35" s="185">
        <f>IFERROR(G35/VLOOKUP(A35,RESUME!$G$3:$I$10,3,FALSE),0)</f>
        <v>0.2</v>
      </c>
      <c r="K35" s="157">
        <f t="shared" si="3"/>
        <v>160</v>
      </c>
      <c r="L35" s="157">
        <f t="shared" si="4"/>
        <v>200</v>
      </c>
      <c r="M35" s="149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4" t="s">
        <v>529</v>
      </c>
      <c r="R35" s="168"/>
      <c r="AA35" s="171" t="str">
        <f t="shared" si="6"/>
        <v>FungfungFABRIC TESTED CHARGESGarment TestCLNYuli5</v>
      </c>
      <c r="AB35" s="1" t="s">
        <v>599</v>
      </c>
      <c r="AC35" s="1" t="b">
        <f t="shared" si="7"/>
        <v>1</v>
      </c>
    </row>
    <row r="36" spans="1:29" hidden="1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6">
        <v>700</v>
      </c>
      <c r="H36" s="156">
        <v>2090.6999999999998</v>
      </c>
      <c r="I36" s="156">
        <f t="shared" si="0"/>
        <v>-1390.6999999999998</v>
      </c>
      <c r="J36" s="42">
        <f>IFERROR(G36/VLOOKUP(A36,RESUME!$G$3:$I$10,3,FALSE),0)</f>
        <v>0.7</v>
      </c>
      <c r="K36" s="156">
        <f t="shared" si="3"/>
        <v>560</v>
      </c>
      <c r="L36" s="156">
        <f t="shared" si="4"/>
        <v>700</v>
      </c>
      <c r="M36" s="147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52" t="s">
        <v>529</v>
      </c>
      <c r="R36" s="168"/>
      <c r="AA36" s="171" t="str">
        <f t="shared" si="6"/>
        <v>FungfungSALES COMMISSIONKomisi untuk AgentCLNSary2</v>
      </c>
      <c r="AB36" s="1" t="s">
        <v>600</v>
      </c>
      <c r="AC36" s="1" t="b">
        <f t="shared" si="7"/>
        <v>1</v>
      </c>
    </row>
    <row r="37" spans="1:29" hidden="1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7">
        <v>50</v>
      </c>
      <c r="H37" s="157"/>
      <c r="I37" s="157">
        <f t="shared" si="0"/>
        <v>50</v>
      </c>
      <c r="J37" s="185">
        <f>IFERROR(G37/VLOOKUP(A37,RESUME!$G$3:$I$10,3,FALSE),0)</f>
        <v>0.05</v>
      </c>
      <c r="K37" s="157">
        <f t="shared" si="3"/>
        <v>40</v>
      </c>
      <c r="L37" s="157">
        <f t="shared" si="4"/>
        <v>50</v>
      </c>
      <c r="M37" s="149">
        <f t="shared" si="5"/>
        <v>6.25E-2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OK</v>
      </c>
      <c r="Q37" s="164" t="s">
        <v>529</v>
      </c>
      <c r="R37" s="168"/>
      <c r="AA37" s="171" t="str">
        <f t="shared" si="6"/>
        <v>FungfungSAMPLE EXPENSESPengeluaran Material SampleCLNSary6</v>
      </c>
      <c r="AB37" s="1" t="s">
        <v>601</v>
      </c>
      <c r="AC37" s="1" t="b">
        <f t="shared" si="7"/>
        <v>1</v>
      </c>
    </row>
    <row r="38" spans="1:29" hidden="1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6">
        <v>50</v>
      </c>
      <c r="H38" s="156"/>
      <c r="I38" s="156">
        <f t="shared" si="0"/>
        <v>50</v>
      </c>
      <c r="J38" s="42">
        <f>IFERROR(G38/VLOOKUP(A38,RESUME!$G$3:$I$10,3,FALSE),0)</f>
        <v>0.05</v>
      </c>
      <c r="K38" s="156">
        <f t="shared" si="3"/>
        <v>40</v>
      </c>
      <c r="L38" s="156">
        <f t="shared" si="4"/>
        <v>50</v>
      </c>
      <c r="M38" s="147">
        <f t="shared" si="5"/>
        <v>6.25E-2</v>
      </c>
      <c r="N38" s="41" t="str">
        <f>_xlfn.IFNA(VLOOKUP(A38&amp;"-"&amp;B38&amp;"-"&amp;D38,Ref_Account!$A:$F,6,FALSE),"ACCOUNT TIDAK DITEMUKAN")</f>
        <v>1201.710200</v>
      </c>
      <c r="O38" s="39">
        <f t="shared" ref="O38:O69" si="8">IF(N38="ACCOUNT TIDAK DITEMUKAN","9999",COUNTIF($N$6:$N$164,N38))</f>
        <v>6</v>
      </c>
      <c r="P38" s="39" t="str">
        <f t="shared" si="2"/>
        <v>OK</v>
      </c>
      <c r="Q38" s="152" t="s">
        <v>529</v>
      </c>
      <c r="R38" s="168"/>
      <c r="AA38" s="171" t="str">
        <f t="shared" si="6"/>
        <v>FungfungSAMPLE EXPENSESPengeluaran Material SampleCLNMery6</v>
      </c>
      <c r="AB38" s="1" t="s">
        <v>602</v>
      </c>
      <c r="AC38" s="1" t="b">
        <f t="shared" si="7"/>
        <v>1</v>
      </c>
    </row>
    <row r="39" spans="1:29" hidden="1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7"/>
      <c r="H39" s="157">
        <v>165.91</v>
      </c>
      <c r="I39" s="157">
        <f t="shared" si="0"/>
        <v>-165.91</v>
      </c>
      <c r="J39" s="185">
        <f>IFERROR(G39/VLOOKUP(A39,RESUME!$G$3:$I$10,3,FALSE),0)</f>
        <v>0</v>
      </c>
      <c r="K39" s="157">
        <f t="shared" si="3"/>
        <v>0</v>
      </c>
      <c r="L39" s="157">
        <f t="shared" si="4"/>
        <v>0</v>
      </c>
      <c r="M39" s="149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8"/>
        <v>1</v>
      </c>
      <c r="P39" s="40" t="str">
        <f t="shared" si="2"/>
        <v>OVER</v>
      </c>
      <c r="Q39" s="164" t="s">
        <v>545</v>
      </c>
      <c r="R39" s="168"/>
      <c r="AA39" s="171" t="str">
        <f t="shared" si="6"/>
        <v>Owi WijayaAIR FREIGHTBiaya Ekspor By AirCLNNunung1</v>
      </c>
      <c r="AB39" s="1" t="s">
        <v>603</v>
      </c>
      <c r="AC39" s="1" t="b">
        <f t="shared" si="7"/>
        <v>1</v>
      </c>
    </row>
    <row r="40" spans="1:29" hidden="1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6">
        <v>4917.96</v>
      </c>
      <c r="H40" s="156">
        <v>2781.48</v>
      </c>
      <c r="I40" s="156">
        <f t="shared" si="0"/>
        <v>2136.48</v>
      </c>
      <c r="J40" s="42">
        <f>IFERROR(G40/VLOOKUP(A40,RESUME!$G$3:$I$10,3,FALSE),0)</f>
        <v>5.6433869134324049E-2</v>
      </c>
      <c r="K40" s="156">
        <f t="shared" si="3"/>
        <v>3934.3680000000004</v>
      </c>
      <c r="L40" s="156">
        <f t="shared" si="4"/>
        <v>4917.96</v>
      </c>
      <c r="M40" s="147">
        <f t="shared" si="5"/>
        <v>7.0542336417905055E-2</v>
      </c>
      <c r="N40" s="41" t="str">
        <f>_xlfn.IFNA(VLOOKUP(A40&amp;"-"&amp;B40&amp;"-"&amp;D40,Ref_Account!$A:$F,6,FALSE),"ACCOUNT TIDAK DITEMUKAN")</f>
        <v>1201.812100</v>
      </c>
      <c r="O40" s="39">
        <f t="shared" si="8"/>
        <v>1</v>
      </c>
      <c r="P40" s="39" t="str">
        <f t="shared" si="2"/>
        <v>OK</v>
      </c>
      <c r="Q40" s="152" t="s">
        <v>529</v>
      </c>
      <c r="R40" s="168"/>
      <c r="AA40" s="171" t="str">
        <f t="shared" si="6"/>
        <v>Owi WijayaBUSINESS TRIP EXPENSESAkomodasi dari tugas luarCLNTita1</v>
      </c>
      <c r="AB40" s="1" t="s">
        <v>604</v>
      </c>
      <c r="AC40" s="1" t="b">
        <f t="shared" si="7"/>
        <v>1</v>
      </c>
    </row>
    <row r="41" spans="1:29" hidden="1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7">
        <v>281</v>
      </c>
      <c r="H41" s="157">
        <v>158.19999999999999</v>
      </c>
      <c r="I41" s="157">
        <f t="shared" si="0"/>
        <v>122.80000000000001</v>
      </c>
      <c r="J41" s="185">
        <f>IFERROR(G41/VLOOKUP(A41,RESUME!$G$3:$I$10,3,FALSE),0)</f>
        <v>3.2244908919033619E-3</v>
      </c>
      <c r="K41" s="157">
        <f t="shared" si="3"/>
        <v>224.8</v>
      </c>
      <c r="L41" s="157">
        <f t="shared" si="4"/>
        <v>281</v>
      </c>
      <c r="M41" s="149">
        <f t="shared" si="5"/>
        <v>4.030613614879202E-3</v>
      </c>
      <c r="N41" s="43" t="str">
        <f>_xlfn.IFNA(VLOOKUP(A41&amp;"-"&amp;B41&amp;"-"&amp;D41,Ref_Account!$A:$F,6,FALSE),"ACCOUNT TIDAK DITEMUKAN")</f>
        <v>1201.807100</v>
      </c>
      <c r="O41" s="40">
        <f t="shared" si="8"/>
        <v>1</v>
      </c>
      <c r="P41" s="40" t="str">
        <f t="shared" si="2"/>
        <v>OK</v>
      </c>
      <c r="Q41" s="164" t="s">
        <v>529</v>
      </c>
      <c r="R41" s="168"/>
      <c r="AA41" s="171" t="str">
        <f t="shared" si="6"/>
        <v>Owi WijayaCONTRIBUTION COSTSumbanganCLNRini1</v>
      </c>
      <c r="AB41" s="1" t="s">
        <v>605</v>
      </c>
      <c r="AC41" s="1" t="b">
        <f t="shared" si="7"/>
        <v>1</v>
      </c>
    </row>
    <row r="42" spans="1:29" hidden="1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6">
        <v>64.58</v>
      </c>
      <c r="H42" s="156">
        <v>63.28</v>
      </c>
      <c r="I42" s="156">
        <f t="shared" si="0"/>
        <v>1.2999999999999972</v>
      </c>
      <c r="J42" s="42">
        <f>IFERROR(G42/VLOOKUP(A42,RESUME!$G$3:$I$10,3,FALSE),0)</f>
        <v>7.4105915231003239E-4</v>
      </c>
      <c r="K42" s="156">
        <f t="shared" si="3"/>
        <v>51.664000000000001</v>
      </c>
      <c r="L42" s="156">
        <f t="shared" si="4"/>
        <v>64.58</v>
      </c>
      <c r="M42" s="147">
        <f t="shared" si="5"/>
        <v>7.5628318672853808E-4</v>
      </c>
      <c r="N42" s="41" t="str">
        <f>_xlfn.IFNA(VLOOKUP(A42&amp;"-"&amp;B42&amp;"-"&amp;D42,Ref_Account!$A:$F,6,FALSE),"ACCOUNT TIDAK DITEMUKAN")</f>
        <v>1204.807100</v>
      </c>
      <c r="O42" s="39">
        <f t="shared" si="8"/>
        <v>1</v>
      </c>
      <c r="P42" s="39" t="str">
        <f t="shared" si="2"/>
        <v>OK</v>
      </c>
      <c r="Q42" s="152" t="s">
        <v>529</v>
      </c>
      <c r="R42" s="168"/>
      <c r="AA42" s="171" t="str">
        <f t="shared" si="6"/>
        <v>Owi WijayaCONTRIBUTION COSTSumbanganMAJA-2Rini1</v>
      </c>
      <c r="AB42" s="1" t="s">
        <v>606</v>
      </c>
      <c r="AC42" s="1" t="b">
        <f t="shared" si="7"/>
        <v>1</v>
      </c>
    </row>
    <row r="43" spans="1:29" hidden="1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7">
        <v>2027.63</v>
      </c>
      <c r="H43" s="157">
        <v>1863.9</v>
      </c>
      <c r="I43" s="157">
        <f t="shared" si="0"/>
        <v>163.73000000000002</v>
      </c>
      <c r="J43" s="185">
        <f>IFERROR(G43/VLOOKUP(A43,RESUME!$G$3:$I$10,3,FALSE),0)</f>
        <v>2.3267168922242044E-2</v>
      </c>
      <c r="K43" s="157">
        <f t="shared" si="3"/>
        <v>1622.1040000000003</v>
      </c>
      <c r="L43" s="157">
        <f t="shared" si="4"/>
        <v>2027.63</v>
      </c>
      <c r="M43" s="149">
        <f t="shared" si="5"/>
        <v>2.5311019755247403E-2</v>
      </c>
      <c r="N43" s="43" t="str">
        <f>_xlfn.IFNA(VLOOKUP(A43&amp;"-"&amp;B43&amp;"-"&amp;D43,Ref_Account!$A:$F,6,FALSE),"ACCOUNT TIDAK DITEMUKAN")</f>
        <v>1201.630400</v>
      </c>
      <c r="O43" s="40">
        <f t="shared" si="8"/>
        <v>1</v>
      </c>
      <c r="P43" s="40" t="str">
        <f t="shared" si="2"/>
        <v>OK</v>
      </c>
      <c r="Q43" s="164" t="s">
        <v>529</v>
      </c>
      <c r="R43" s="168"/>
      <c r="AA43" s="171" t="str">
        <f t="shared" si="6"/>
        <v>Owi WijayaELECTRICITYBiaya Listrik PLNCLNRini1</v>
      </c>
      <c r="AB43" s="1" t="s">
        <v>607</v>
      </c>
      <c r="AC43" s="1" t="b">
        <f t="shared" si="7"/>
        <v>1</v>
      </c>
    </row>
    <row r="44" spans="1:29" hidden="1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6">
        <v>1453.67</v>
      </c>
      <c r="H44" s="156">
        <v>922.87</v>
      </c>
      <c r="I44" s="156">
        <f t="shared" si="0"/>
        <v>530.80000000000007</v>
      </c>
      <c r="J44" s="42">
        <f>IFERROR(G44/VLOOKUP(A44,RESUME!$G$3:$I$10,3,FALSE),0)</f>
        <v>1.6680945462039718E-2</v>
      </c>
      <c r="K44" s="156">
        <f t="shared" si="3"/>
        <v>1162.9360000000001</v>
      </c>
      <c r="L44" s="156">
        <f t="shared" si="4"/>
        <v>1453.67</v>
      </c>
      <c r="M44" s="147">
        <f t="shared" si="5"/>
        <v>2.0851181827549647E-2</v>
      </c>
      <c r="N44" s="41" t="str">
        <f>_xlfn.IFNA(VLOOKUP(A44&amp;"-"&amp;B44&amp;"-"&amp;D44,Ref_Account!$A:$F,6,FALSE),"ACCOUNT TIDAK DITEMUKAN")</f>
        <v>1201.813100</v>
      </c>
      <c r="O44" s="39">
        <f t="shared" si="8"/>
        <v>1</v>
      </c>
      <c r="P44" s="39" t="str">
        <f t="shared" si="2"/>
        <v>OK</v>
      </c>
      <c r="Q44" s="152" t="s">
        <v>529</v>
      </c>
      <c r="R44" s="168"/>
      <c r="AA44" s="171" t="str">
        <f t="shared" si="6"/>
        <v>Owi WijayaENTERTAINMENTBiaya jamuan makan/HadiahCLNRini1</v>
      </c>
      <c r="AB44" s="1" t="s">
        <v>608</v>
      </c>
      <c r="AC44" s="1" t="b">
        <f t="shared" si="7"/>
        <v>1</v>
      </c>
    </row>
    <row r="45" spans="1:29" hidden="1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7">
        <v>531</v>
      </c>
      <c r="H45" s="157">
        <v>156.87</v>
      </c>
      <c r="I45" s="157">
        <f t="shared" si="0"/>
        <v>374.13</v>
      </c>
      <c r="J45" s="185">
        <f>IFERROR(G45/VLOOKUP(A45,RESUME!$G$3:$I$10,3,FALSE),0)</f>
        <v>6.0932550306074208E-3</v>
      </c>
      <c r="K45" s="157">
        <f t="shared" si="3"/>
        <v>424.8</v>
      </c>
      <c r="L45" s="157">
        <f t="shared" si="4"/>
        <v>531</v>
      </c>
      <c r="M45" s="149">
        <f t="shared" si="5"/>
        <v>7.6165687882592762E-3</v>
      </c>
      <c r="N45" s="43" t="str">
        <f>_xlfn.IFNA(VLOOKUP(A45&amp;"-"&amp;B45&amp;"-"&amp;D45,Ref_Account!$A:$F,6,FALSE),"ACCOUNT TIDAK DITEMUKAN")</f>
        <v>1201.630300</v>
      </c>
      <c r="O45" s="40">
        <f t="shared" si="8"/>
        <v>1</v>
      </c>
      <c r="P45" s="40" t="str">
        <f t="shared" si="2"/>
        <v>OK</v>
      </c>
      <c r="Q45" s="164" t="s">
        <v>529</v>
      </c>
      <c r="R45" s="168"/>
      <c r="AA45" s="171" t="str">
        <f t="shared" si="6"/>
        <v>Owi WijayaFACTORY SUPPLIES EXPENSEKebutuhan Produksi (KABEL, SEWA MESIN, AMPLAS, BATTERY CHARGER, PILOX, CIPUT)CLNWenti1</v>
      </c>
      <c r="AB45" s="1" t="s">
        <v>609</v>
      </c>
      <c r="AC45" s="1" t="b">
        <f t="shared" si="7"/>
        <v>1</v>
      </c>
    </row>
    <row r="46" spans="1:29" hidden="1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6">
        <v>2429</v>
      </c>
      <c r="H46" s="156">
        <v>91.44</v>
      </c>
      <c r="I46" s="156">
        <f t="shared" si="0"/>
        <v>2337.56</v>
      </c>
      <c r="J46" s="42">
        <f>IFERROR(G46/VLOOKUP(A46,RESUME!$G$3:$I$10,3,FALSE),0)</f>
        <v>2.7872912371648635E-2</v>
      </c>
      <c r="K46" s="156">
        <f t="shared" si="3"/>
        <v>1943.2</v>
      </c>
      <c r="L46" s="156">
        <f t="shared" si="4"/>
        <v>2429</v>
      </c>
      <c r="M46" s="147">
        <f t="shared" si="5"/>
        <v>3.4841140464560792E-2</v>
      </c>
      <c r="N46" s="41" t="str">
        <f>_xlfn.IFNA(VLOOKUP(A46&amp;"-"&amp;B46&amp;"-"&amp;D46,Ref_Account!$A:$F,6,FALSE),"ACCOUNT TIDAK DITEMUKAN")</f>
        <v>1201.630200</v>
      </c>
      <c r="O46" s="39">
        <f t="shared" si="8"/>
        <v>2</v>
      </c>
      <c r="P46" s="39" t="str">
        <f t="shared" si="2"/>
        <v>OK</v>
      </c>
      <c r="Q46" s="152" t="s">
        <v>529</v>
      </c>
      <c r="R46" s="168"/>
      <c r="AA46" s="171" t="str">
        <f t="shared" si="6"/>
        <v>Owi WijayaFARE ALLOWANCETunjangan makan StaffCLNRini2</v>
      </c>
      <c r="AB46" s="1" t="s">
        <v>610</v>
      </c>
      <c r="AC46" s="1" t="b">
        <f t="shared" si="7"/>
        <v>1</v>
      </c>
    </row>
    <row r="47" spans="1:29" hidden="1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7">
        <v>200</v>
      </c>
      <c r="H47" s="157">
        <v>70.88</v>
      </c>
      <c r="I47" s="157">
        <f t="shared" si="0"/>
        <v>129.12</v>
      </c>
      <c r="J47" s="185">
        <f>IFERROR(G47/VLOOKUP(A47,RESUME!$G$3:$I$10,3,FALSE),0)</f>
        <v>2.2950113109632469E-3</v>
      </c>
      <c r="K47" s="157">
        <f t="shared" si="3"/>
        <v>160</v>
      </c>
      <c r="L47" s="157">
        <f t="shared" si="4"/>
        <v>200</v>
      </c>
      <c r="M47" s="149">
        <f t="shared" si="5"/>
        <v>2.8687641387040589E-3</v>
      </c>
      <c r="N47" s="43" t="str">
        <f>_xlfn.IFNA(VLOOKUP(A47&amp;"-"&amp;B47&amp;"-"&amp;D47,Ref_Account!$A:$F,6,FALSE),"ACCOUNT TIDAK DITEMUKAN")</f>
        <v>1201.630200</v>
      </c>
      <c r="O47" s="40">
        <f t="shared" si="8"/>
        <v>2</v>
      </c>
      <c r="P47" s="40" t="str">
        <f t="shared" si="2"/>
        <v>OK</v>
      </c>
      <c r="Q47" s="164" t="s">
        <v>529</v>
      </c>
      <c r="R47" s="168"/>
      <c r="AA47" s="171" t="str">
        <f t="shared" si="6"/>
        <v>Owi WijayaFARE ALLOWANCETunjangan makan produksiCLNRini2</v>
      </c>
      <c r="AB47" s="1" t="s">
        <v>611</v>
      </c>
      <c r="AC47" s="1" t="b">
        <f t="shared" si="7"/>
        <v>1</v>
      </c>
    </row>
    <row r="48" spans="1:29" hidden="1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6">
        <v>3004.76</v>
      </c>
      <c r="H48" s="156">
        <v>8323.4</v>
      </c>
      <c r="I48" s="156">
        <f t="shared" si="0"/>
        <v>-5318.6399999999994</v>
      </c>
      <c r="J48" s="42">
        <f>IFERROR(G48/VLOOKUP(A48,RESUME!$G$3:$I$10,3,FALSE),0)</f>
        <v>3.4479790933649633E-2</v>
      </c>
      <c r="K48" s="156">
        <f t="shared" si="3"/>
        <v>2403.8080000000004</v>
      </c>
      <c r="L48" s="156">
        <f t="shared" si="4"/>
        <v>3004.76</v>
      </c>
      <c r="M48" s="147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8"/>
        <v>1</v>
      </c>
      <c r="P48" s="39" t="str">
        <f t="shared" si="2"/>
        <v>OVER</v>
      </c>
      <c r="Q48" s="152" t="s">
        <v>529</v>
      </c>
      <c r="R48" s="168"/>
      <c r="AA48" s="171" t="str">
        <f t="shared" si="6"/>
        <v>Owi WijayaFREIGHT INBiaya sewa mobilCLNRini1</v>
      </c>
      <c r="AB48" s="1" t="s">
        <v>612</v>
      </c>
      <c r="AC48" s="1" t="b">
        <f t="shared" si="7"/>
        <v>1</v>
      </c>
    </row>
    <row r="49" spans="1:29" hidden="1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7">
        <v>1543.55</v>
      </c>
      <c r="H49" s="157"/>
      <c r="I49" s="157">
        <f t="shared" si="0"/>
        <v>1543.55</v>
      </c>
      <c r="J49" s="185">
        <f>IFERROR(G49/VLOOKUP(A49,RESUME!$G$3:$I$10,3,FALSE),0)</f>
        <v>1.7712323545186599E-2</v>
      </c>
      <c r="K49" s="157">
        <f t="shared" si="3"/>
        <v>1234.8400000000001</v>
      </c>
      <c r="L49" s="157">
        <f t="shared" si="4"/>
        <v>1543.55</v>
      </c>
      <c r="M49" s="149">
        <f t="shared" si="5"/>
        <v>2.2140404431483244E-2</v>
      </c>
      <c r="N49" s="43" t="str">
        <f>_xlfn.IFNA(VLOOKUP(A49&amp;"-"&amp;B49&amp;"-"&amp;D49,Ref_Account!$A:$F,6,FALSE),"ACCOUNT TIDAK DITEMUKAN")</f>
        <v>1204.630530</v>
      </c>
      <c r="O49" s="40">
        <f t="shared" si="8"/>
        <v>1</v>
      </c>
      <c r="P49" s="40" t="str">
        <f t="shared" si="2"/>
        <v>OK</v>
      </c>
      <c r="Q49" s="164" t="s">
        <v>529</v>
      </c>
      <c r="R49" s="168"/>
      <c r="AA49" s="171" t="str">
        <f t="shared" si="6"/>
        <v>Owi WijayaFREIGHT INBiaya sewa mobilMAJA-2Rini1</v>
      </c>
      <c r="AB49" s="1" t="s">
        <v>613</v>
      </c>
      <c r="AC49" s="1" t="b">
        <f t="shared" si="7"/>
        <v>1</v>
      </c>
    </row>
    <row r="50" spans="1:29" hidden="1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6">
        <v>938.47</v>
      </c>
      <c r="H50" s="156">
        <v>634.54999999999995</v>
      </c>
      <c r="I50" s="156">
        <f t="shared" si="0"/>
        <v>303.92000000000007</v>
      </c>
      <c r="J50" s="42">
        <f>IFERROR(G50/VLOOKUP(A50,RESUME!$G$3:$I$10,3,FALSE),0)</f>
        <v>1.0768996324998392E-2</v>
      </c>
      <c r="K50" s="156">
        <f t="shared" si="3"/>
        <v>750.77600000000007</v>
      </c>
      <c r="L50" s="156">
        <f t="shared" si="4"/>
        <v>938.47</v>
      </c>
      <c r="M50" s="147">
        <f t="shared" si="5"/>
        <v>1.346124540624799E-2</v>
      </c>
      <c r="N50" s="41" t="str">
        <f>_xlfn.IFNA(VLOOKUP(A50&amp;"-"&amp;B50&amp;"-"&amp;D50,Ref_Account!$A:$F,6,FALSE),"ACCOUNT TIDAK DITEMUKAN")</f>
        <v>1201.808100</v>
      </c>
      <c r="O50" s="39">
        <f t="shared" si="8"/>
        <v>1</v>
      </c>
      <c r="P50" s="39" t="str">
        <f t="shared" si="2"/>
        <v>OK</v>
      </c>
      <c r="Q50" s="152" t="s">
        <v>529</v>
      </c>
      <c r="R50" s="168"/>
      <c r="AA50" s="171" t="str">
        <f t="shared" si="6"/>
        <v>Owi WijayaFUEL FOR MOTOR VEHICLEBahan bakar untuk kendaraanCLNRini1</v>
      </c>
      <c r="AB50" s="1" t="s">
        <v>614</v>
      </c>
      <c r="AC50" s="1" t="b">
        <f t="shared" si="7"/>
        <v>1</v>
      </c>
    </row>
    <row r="51" spans="1:29" hidden="1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7">
        <v>175.55</v>
      </c>
      <c r="H51" s="157"/>
      <c r="I51" s="157">
        <f t="shared" si="0"/>
        <v>175.55</v>
      </c>
      <c r="J51" s="185">
        <f>IFERROR(G51/VLOOKUP(A51,RESUME!$G$3:$I$10,3,FALSE),0)</f>
        <v>2.0144461781979902E-3</v>
      </c>
      <c r="K51" s="157">
        <f t="shared" si="3"/>
        <v>140.44000000000003</v>
      </c>
      <c r="L51" s="157">
        <f t="shared" si="4"/>
        <v>175.55</v>
      </c>
      <c r="M51" s="149">
        <f t="shared" si="5"/>
        <v>2.5180577227474875E-3</v>
      </c>
      <c r="N51" s="43" t="str">
        <f>_xlfn.IFNA(VLOOKUP(A51&amp;"-"&amp;B51&amp;"-"&amp;D51,Ref_Account!$A:$F,6,FALSE),"ACCOUNT TIDAK DITEMUKAN")</f>
        <v>1205.808100</v>
      </c>
      <c r="O51" s="40">
        <f t="shared" si="8"/>
        <v>1</v>
      </c>
      <c r="P51" s="40" t="str">
        <f t="shared" si="2"/>
        <v>OK</v>
      </c>
      <c r="Q51" s="164" t="s">
        <v>529</v>
      </c>
      <c r="R51" s="168"/>
      <c r="AA51" s="171" t="str">
        <f t="shared" si="6"/>
        <v>Owi WijayaFUEL FOR MOTOR VEHICLEBahan bakar untuk kendaraanMAJA-1Rini1</v>
      </c>
      <c r="AB51" s="1" t="s">
        <v>615</v>
      </c>
      <c r="AC51" s="1" t="b">
        <f t="shared" si="7"/>
        <v>1</v>
      </c>
    </row>
    <row r="52" spans="1:29" hidden="1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6">
        <v>2294.39</v>
      </c>
      <c r="H52" s="156">
        <v>1371.93</v>
      </c>
      <c r="I52" s="156">
        <f t="shared" si="0"/>
        <v>922.45999999999981</v>
      </c>
      <c r="J52" s="42">
        <f>IFERROR(G52/VLOOKUP(A52,RESUME!$G$3:$I$10,3,FALSE),0)</f>
        <v>2.632825500880482E-2</v>
      </c>
      <c r="K52" s="156">
        <f t="shared" si="3"/>
        <v>1835.5119999999999</v>
      </c>
      <c r="L52" s="156">
        <f t="shared" si="4"/>
        <v>2294.39</v>
      </c>
      <c r="M52" s="147">
        <f t="shared" si="5"/>
        <v>3.2910318761006023E-2</v>
      </c>
      <c r="N52" s="41" t="str">
        <f>_xlfn.IFNA(VLOOKUP(A52&amp;"-"&amp;B52&amp;"-"&amp;D52,Ref_Account!$A:$F,6,FALSE),"ACCOUNT TIDAK DITEMUKAN")</f>
        <v>1204.808100</v>
      </c>
      <c r="O52" s="39">
        <f t="shared" si="8"/>
        <v>1</v>
      </c>
      <c r="P52" s="39" t="str">
        <f t="shared" si="2"/>
        <v>OK</v>
      </c>
      <c r="Q52" s="152" t="s">
        <v>529</v>
      </c>
      <c r="R52" s="168"/>
      <c r="AA52" s="171" t="str">
        <f t="shared" si="6"/>
        <v>Owi WijayaFUEL FOR MOTOR VEHICLEBahan bakar untuk kendaraanMAJA-2Rini1</v>
      </c>
      <c r="AB52" s="1" t="s">
        <v>616</v>
      </c>
      <c r="AC52" s="1" t="b">
        <f t="shared" si="7"/>
        <v>1</v>
      </c>
    </row>
    <row r="53" spans="1:29" hidden="1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7">
        <v>1987.05</v>
      </c>
      <c r="H53" s="157"/>
      <c r="I53" s="157">
        <f t="shared" si="0"/>
        <v>1987.05</v>
      </c>
      <c r="J53" s="185">
        <f>IFERROR(G53/VLOOKUP(A53,RESUME!$G$3:$I$10,3,FALSE),0)</f>
        <v>2.2801511127247598E-2</v>
      </c>
      <c r="K53" s="157">
        <f t="shared" si="3"/>
        <v>1589.64</v>
      </c>
      <c r="L53" s="157">
        <f t="shared" si="4"/>
        <v>1987.05</v>
      </c>
      <c r="M53" s="149">
        <f t="shared" si="5"/>
        <v>2.8501888909059497E-2</v>
      </c>
      <c r="N53" s="43" t="str">
        <f>_xlfn.IFNA(VLOOKUP(A53&amp;"-"&amp;B53&amp;"-"&amp;D53,Ref_Account!$A:$F,6,FALSE),"ACCOUNT TIDAK DITEMUKAN")</f>
        <v>1201.630900</v>
      </c>
      <c r="O53" s="40">
        <f t="shared" si="8"/>
        <v>1</v>
      </c>
      <c r="P53" s="40" t="str">
        <f t="shared" si="2"/>
        <v>OK</v>
      </c>
      <c r="Q53" s="164" t="s">
        <v>529</v>
      </c>
      <c r="R53" s="168"/>
      <c r="AA53" s="171" t="str">
        <f t="shared" si="6"/>
        <v>Owi WijayaINSURANCEEXP.OFBUILD.&amp;Asuransi ASWATACLNRini1</v>
      </c>
      <c r="AB53" s="1" t="s">
        <v>617</v>
      </c>
      <c r="AC53" s="1" t="b">
        <f t="shared" si="7"/>
        <v>1</v>
      </c>
    </row>
    <row r="54" spans="1:29" hidden="1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6">
        <v>1692.67</v>
      </c>
      <c r="H54" s="156"/>
      <c r="I54" s="156">
        <f t="shared" si="0"/>
        <v>1692.67</v>
      </c>
      <c r="J54" s="42">
        <f>IFERROR(G54/VLOOKUP(A54,RESUME!$G$3:$I$10,3,FALSE),0)</f>
        <v>1.9423483978640799E-2</v>
      </c>
      <c r="K54" s="156">
        <f t="shared" si="3"/>
        <v>1354.1360000000002</v>
      </c>
      <c r="L54" s="156">
        <f t="shared" si="4"/>
        <v>1692.67</v>
      </c>
      <c r="M54" s="147">
        <f t="shared" si="5"/>
        <v>2.4279354973300995E-2</v>
      </c>
      <c r="N54" s="41" t="str">
        <f>_xlfn.IFNA(VLOOKUP(A54&amp;"-"&amp;B54&amp;"-"&amp;D54,Ref_Account!$A:$F,6,FALSE),"ACCOUNT TIDAK DITEMUKAN")</f>
        <v>1204.630900</v>
      </c>
      <c r="O54" s="39">
        <f t="shared" si="8"/>
        <v>1</v>
      </c>
      <c r="P54" s="39" t="str">
        <f t="shared" si="2"/>
        <v>OK</v>
      </c>
      <c r="Q54" s="152" t="s">
        <v>529</v>
      </c>
      <c r="R54" s="168"/>
      <c r="AA54" s="171" t="str">
        <f t="shared" si="6"/>
        <v>Owi WijayaINSURANCEEXP.OFBUILD.&amp;Asuransi ASWATAMAJA-2Rini1</v>
      </c>
      <c r="AB54" s="1" t="s">
        <v>618</v>
      </c>
      <c r="AC54" s="1" t="b">
        <f t="shared" si="7"/>
        <v>1</v>
      </c>
    </row>
    <row r="55" spans="1:29" hidden="1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7">
        <v>569</v>
      </c>
      <c r="H55" s="157">
        <v>460.21</v>
      </c>
      <c r="I55" s="157">
        <f t="shared" si="0"/>
        <v>108.79000000000002</v>
      </c>
      <c r="J55" s="185">
        <f>IFERROR(G55/VLOOKUP(A55,RESUME!$G$3:$I$10,3,FALSE),0)</f>
        <v>6.5293071796904377E-3</v>
      </c>
      <c r="K55" s="157">
        <f t="shared" si="3"/>
        <v>455.20000000000005</v>
      </c>
      <c r="L55" s="157">
        <f t="shared" si="4"/>
        <v>569</v>
      </c>
      <c r="M55" s="149">
        <f t="shared" si="5"/>
        <v>8.0727836971031912E-3</v>
      </c>
      <c r="N55" s="43" t="str">
        <f>_xlfn.IFNA(VLOOKUP(A55&amp;"-"&amp;B55&amp;"-"&amp;D55,Ref_Account!$A:$F,6,FALSE),"ACCOUNT TIDAK DITEMUKAN")</f>
        <v>1201.802140</v>
      </c>
      <c r="O55" s="40">
        <f t="shared" si="8"/>
        <v>1</v>
      </c>
      <c r="P55" s="40" t="str">
        <f t="shared" si="2"/>
        <v>OK</v>
      </c>
      <c r="Q55" s="164" t="s">
        <v>529</v>
      </c>
      <c r="R55" s="168"/>
      <c r="AA55" s="171" t="str">
        <f t="shared" si="6"/>
        <v>Owi WijayaINTERNET EXPENSESBiaya InternetCLNRini1</v>
      </c>
      <c r="AB55" s="1" t="s">
        <v>619</v>
      </c>
      <c r="AC55" s="1" t="b">
        <f t="shared" si="7"/>
        <v>1</v>
      </c>
    </row>
    <row r="56" spans="1:29" hidden="1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6">
        <v>300</v>
      </c>
      <c r="H56" s="156"/>
      <c r="I56" s="156">
        <f t="shared" si="0"/>
        <v>300</v>
      </c>
      <c r="J56" s="42">
        <f>IFERROR(G56/VLOOKUP(A56,RESUME!$G$3:$I$10,3,FALSE),0)</f>
        <v>3.4425169664448704E-3</v>
      </c>
      <c r="K56" s="156">
        <f t="shared" si="3"/>
        <v>240</v>
      </c>
      <c r="L56" s="156">
        <f t="shared" si="4"/>
        <v>300</v>
      </c>
      <c r="M56" s="147">
        <f t="shared" si="5"/>
        <v>4.3031462080560879E-3</v>
      </c>
      <c r="N56" s="41" t="str">
        <f>_xlfn.IFNA(VLOOKUP(A56&amp;"-"&amp;B56&amp;"-"&amp;D56,Ref_Account!$A:$F,6,FALSE),"ACCOUNT TIDAK DITEMUKAN")</f>
        <v>1204.802140</v>
      </c>
      <c r="O56" s="39">
        <f t="shared" si="8"/>
        <v>1</v>
      </c>
      <c r="P56" s="39" t="str">
        <f t="shared" si="2"/>
        <v>OK</v>
      </c>
      <c r="Q56" s="152" t="s">
        <v>529</v>
      </c>
      <c r="R56" s="168"/>
      <c r="AA56" s="171" t="str">
        <f t="shared" si="6"/>
        <v>Owi WijayaINTERNET EXPENSESBiaya InternetMAJA-2Rini1</v>
      </c>
      <c r="AB56" s="1" t="s">
        <v>620</v>
      </c>
      <c r="AC56" s="1" t="b">
        <f t="shared" si="7"/>
        <v>1</v>
      </c>
    </row>
    <row r="57" spans="1:29" hidden="1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7">
        <v>2288.86</v>
      </c>
      <c r="H57" s="157"/>
      <c r="I57" s="157">
        <f t="shared" si="0"/>
        <v>2288.86</v>
      </c>
      <c r="J57" s="185">
        <f>IFERROR(G57/VLOOKUP(A57,RESUME!$G$3:$I$10,3,FALSE),0)</f>
        <v>2.6264797946056691E-2</v>
      </c>
      <c r="K57" s="157">
        <f t="shared" si="3"/>
        <v>1831.0880000000002</v>
      </c>
      <c r="L57" s="157">
        <f t="shared" si="4"/>
        <v>2288.86</v>
      </c>
      <c r="M57" s="149">
        <f t="shared" si="5"/>
        <v>3.2830997432570862E-2</v>
      </c>
      <c r="N57" s="43" t="str">
        <f>_xlfn.IFNA(VLOOKUP(A57&amp;"-"&amp;B57&amp;"-"&amp;D57,Ref_Account!$A:$F,6,FALSE),"ACCOUNT TIDAK DITEMUKAN")</f>
        <v>1201.801160</v>
      </c>
      <c r="O57" s="40">
        <f t="shared" si="8"/>
        <v>1</v>
      </c>
      <c r="P57" s="40" t="str">
        <f t="shared" si="2"/>
        <v>OK</v>
      </c>
      <c r="Q57" s="164" t="s">
        <v>529</v>
      </c>
      <c r="R57" s="168"/>
      <c r="AA57" s="171" t="str">
        <f t="shared" si="6"/>
        <v>Owi WijayaJAMSOSTEKBiaya BPJS Tenaga KerjaCLNSiska1</v>
      </c>
      <c r="AB57" s="1" t="s">
        <v>621</v>
      </c>
      <c r="AC57" s="1" t="b">
        <f t="shared" si="7"/>
        <v>1</v>
      </c>
    </row>
    <row r="58" spans="1:29" hidden="1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6">
        <v>36500.160000000003</v>
      </c>
      <c r="H58" s="156">
        <v>122.79</v>
      </c>
      <c r="I58" s="156">
        <f t="shared" si="0"/>
        <v>36377.370000000003</v>
      </c>
      <c r="J58" s="42">
        <f>IFERROR(G58/VLOOKUP(A58,RESUME!$G$3:$I$10,3,FALSE),0)</f>
        <v>0.4188414002598414</v>
      </c>
      <c r="K58" s="156">
        <f t="shared" si="3"/>
        <v>29200.128000000004</v>
      </c>
      <c r="L58" s="156">
        <f t="shared" si="4"/>
        <v>36500.160000000003</v>
      </c>
      <c r="M58" s="147">
        <f t="shared" si="5"/>
        <v>0.52355175032480172</v>
      </c>
      <c r="N58" s="41" t="str">
        <f>_xlfn.IFNA(VLOOKUP(A58&amp;"-"&amp;B58&amp;"-"&amp;D58,Ref_Account!$A:$F,6,FALSE),"ACCOUNT TIDAK DITEMUKAN")</f>
        <v>1201.630110</v>
      </c>
      <c r="O58" s="39">
        <f t="shared" si="8"/>
        <v>1</v>
      </c>
      <c r="P58" s="39" t="str">
        <f t="shared" si="2"/>
        <v>OK</v>
      </c>
      <c r="Q58" s="152" t="s">
        <v>529</v>
      </c>
      <c r="R58" s="168"/>
      <c r="AA58" s="171" t="str">
        <f t="shared" si="6"/>
        <v>Owi WijayaLABOR COSTUpah ProduksiCLNAti1</v>
      </c>
      <c r="AB58" s="1" t="s">
        <v>622</v>
      </c>
      <c r="AC58" s="1" t="b">
        <f t="shared" si="7"/>
        <v>1</v>
      </c>
    </row>
    <row r="59" spans="1:29" hidden="1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7">
        <v>1440.17</v>
      </c>
      <c r="H59" s="157">
        <v>0.63</v>
      </c>
      <c r="I59" s="157">
        <f t="shared" si="0"/>
        <v>1439.54</v>
      </c>
      <c r="J59" s="185">
        <f>IFERROR(G59/VLOOKUP(A59,RESUME!$G$3:$I$10,3,FALSE),0)</f>
        <v>1.6526032198549697E-2</v>
      </c>
      <c r="K59" s="157">
        <f t="shared" si="3"/>
        <v>1152.1360000000002</v>
      </c>
      <c r="L59" s="157">
        <f t="shared" si="4"/>
        <v>1440.17</v>
      </c>
      <c r="M59" s="149">
        <f t="shared" si="5"/>
        <v>2.0657540248187119E-2</v>
      </c>
      <c r="N59" s="43" t="str">
        <f>_xlfn.IFNA(VLOOKUP(A59&amp;"-"&amp;B59&amp;"-"&amp;D59,Ref_Account!$A:$F,6,FALSE),"ACCOUNT TIDAK DITEMUKAN")</f>
        <v>1201.809100</v>
      </c>
      <c r="O59" s="40">
        <f t="shared" si="8"/>
        <v>1</v>
      </c>
      <c r="P59" s="40" t="str">
        <f t="shared" si="2"/>
        <v>OK</v>
      </c>
      <c r="Q59" s="164" t="s">
        <v>529</v>
      </c>
      <c r="R59" s="168"/>
      <c r="AA59" s="171" t="str">
        <f t="shared" si="6"/>
        <v>Owi WijayaLEGAL EXPENSESBiaya dokumen legal &amp; materaiCLNRini1</v>
      </c>
      <c r="AB59" s="1" t="s">
        <v>623</v>
      </c>
      <c r="AC59" s="1" t="b">
        <f t="shared" si="7"/>
        <v>1</v>
      </c>
    </row>
    <row r="60" spans="1:29" hidden="1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6">
        <v>14.27</v>
      </c>
      <c r="H60" s="156"/>
      <c r="I60" s="156">
        <f t="shared" si="0"/>
        <v>14.27</v>
      </c>
      <c r="J60" s="42">
        <f>IFERROR(G60/VLOOKUP(A60,RESUME!$G$3:$I$10,3,FALSE),0)</f>
        <v>1.6374905703722768E-4</v>
      </c>
      <c r="K60" s="156">
        <f t="shared" si="3"/>
        <v>11.416</v>
      </c>
      <c r="L60" s="156">
        <f t="shared" si="4"/>
        <v>14.27</v>
      </c>
      <c r="M60" s="147">
        <f t="shared" si="5"/>
        <v>2.0468632129653461E-4</v>
      </c>
      <c r="N60" s="41" t="str">
        <f>_xlfn.IFNA(VLOOKUP(A60&amp;"-"&amp;B60&amp;"-"&amp;D60,Ref_Account!$A:$F,6,FALSE),"ACCOUNT TIDAK DITEMUKAN")</f>
        <v>1206.809100</v>
      </c>
      <c r="O60" s="39">
        <f t="shared" si="8"/>
        <v>1</v>
      </c>
      <c r="P60" s="39" t="str">
        <f t="shared" si="2"/>
        <v>OK</v>
      </c>
      <c r="Q60" s="152" t="s">
        <v>529</v>
      </c>
      <c r="R60" s="168"/>
      <c r="AA60" s="171" t="str">
        <f t="shared" si="6"/>
        <v>Owi WijayaLEGAL EXPENSESBiaya dokumen legal &amp; materaiKALIBENDARini1</v>
      </c>
      <c r="AB60" s="1" t="s">
        <v>624</v>
      </c>
      <c r="AC60" s="1" t="b">
        <f t="shared" si="7"/>
        <v>1</v>
      </c>
    </row>
    <row r="61" spans="1:29" hidden="1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7">
        <v>35.56</v>
      </c>
      <c r="H61" s="157"/>
      <c r="I61" s="157">
        <f t="shared" si="0"/>
        <v>35.56</v>
      </c>
      <c r="J61" s="185">
        <f>IFERROR(G61/VLOOKUP(A61,RESUME!$G$3:$I$10,3,FALSE),0)</f>
        <v>4.0805301108926532E-4</v>
      </c>
      <c r="K61" s="157">
        <f t="shared" si="3"/>
        <v>28.448000000000004</v>
      </c>
      <c r="L61" s="157">
        <f t="shared" si="4"/>
        <v>35.56</v>
      </c>
      <c r="M61" s="149">
        <f t="shared" si="5"/>
        <v>5.1006626386158166E-4</v>
      </c>
      <c r="N61" s="43" t="str">
        <f>_xlfn.IFNA(VLOOKUP(A61&amp;"-"&amp;B61&amp;"-"&amp;D61,Ref_Account!$A:$F,6,FALSE),"ACCOUNT TIDAK DITEMUKAN")</f>
        <v>1205.809100</v>
      </c>
      <c r="O61" s="40">
        <f t="shared" si="8"/>
        <v>1</v>
      </c>
      <c r="P61" s="40" t="str">
        <f t="shared" si="2"/>
        <v>OK</v>
      </c>
      <c r="Q61" s="164" t="s">
        <v>529</v>
      </c>
      <c r="R61" s="168"/>
      <c r="AA61" s="171" t="str">
        <f t="shared" si="6"/>
        <v>Owi WijayaLEGAL EXPENSESBiaya dokumen legal &amp; materaiMAJA-1Rini1</v>
      </c>
      <c r="AB61" s="1" t="s">
        <v>625</v>
      </c>
      <c r="AC61" s="1" t="b">
        <f t="shared" si="7"/>
        <v>1</v>
      </c>
    </row>
    <row r="62" spans="1:29" hidden="1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6">
        <v>9.69</v>
      </c>
      <c r="H62" s="156">
        <v>20.88</v>
      </c>
      <c r="I62" s="156">
        <f t="shared" si="0"/>
        <v>-11.19</v>
      </c>
      <c r="J62" s="42">
        <f>IFERROR(G62/VLOOKUP(A62,RESUME!$G$3:$I$10,3,FALSE),0)</f>
        <v>1.1119329801616931E-4</v>
      </c>
      <c r="K62" s="156">
        <f t="shared" si="3"/>
        <v>7.7519999999999998</v>
      </c>
      <c r="L62" s="156">
        <f t="shared" si="4"/>
        <v>9.69</v>
      </c>
      <c r="M62" s="147">
        <f t="shared" si="5"/>
        <v>0</v>
      </c>
      <c r="N62" s="41" t="str">
        <f>_xlfn.IFNA(VLOOKUP(A62&amp;"-"&amp;B62&amp;"-"&amp;D62,Ref_Account!$A:$F,6,FALSE),"ACCOUNT TIDAK DITEMUKAN")</f>
        <v>1204.809100</v>
      </c>
      <c r="O62" s="39">
        <f t="shared" si="8"/>
        <v>1</v>
      </c>
      <c r="P62" s="39" t="str">
        <f t="shared" si="2"/>
        <v>OVER</v>
      </c>
      <c r="Q62" s="152" t="s">
        <v>529</v>
      </c>
      <c r="R62" s="168"/>
      <c r="AA62" s="171" t="str">
        <f t="shared" si="6"/>
        <v>Owi WijayaLEGAL EXPENSESBiaya dokumen legal &amp; materaiMAJA-2Rini1</v>
      </c>
      <c r="AB62" s="1" t="s">
        <v>626</v>
      </c>
      <c r="AC62" s="1" t="b">
        <f t="shared" si="7"/>
        <v>1</v>
      </c>
    </row>
    <row r="63" spans="1:29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7">
        <v>400</v>
      </c>
      <c r="H63" s="157">
        <v>1454.06</v>
      </c>
      <c r="I63" s="157">
        <f t="shared" si="0"/>
        <v>-1054.06</v>
      </c>
      <c r="J63" s="185">
        <f>IFERROR(G63/VLOOKUP(A63,RESUME!$G$3:$I$10,3,FALSE),0)</f>
        <v>4.5900226219264938E-3</v>
      </c>
      <c r="K63" s="157">
        <f t="shared" si="3"/>
        <v>320</v>
      </c>
      <c r="L63" s="157">
        <f t="shared" si="4"/>
        <v>400</v>
      </c>
      <c r="M63" s="149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8"/>
        <v>1</v>
      </c>
      <c r="P63" s="40" t="str">
        <f t="shared" si="2"/>
        <v>OVER</v>
      </c>
      <c r="Q63" s="164" t="s">
        <v>552</v>
      </c>
      <c r="R63" s="168"/>
      <c r="AA63" s="171" t="str">
        <f t="shared" si="6"/>
        <v>Owi WijayaMAINT.&amp;REP.BUILDINGpemeliharaan gedungCLNRini1</v>
      </c>
      <c r="AB63" s="1" t="s">
        <v>627</v>
      </c>
      <c r="AC63" s="1" t="b">
        <f t="shared" si="7"/>
        <v>1</v>
      </c>
    </row>
    <row r="64" spans="1:29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6">
        <v>100</v>
      </c>
      <c r="H64" s="156"/>
      <c r="I64" s="156">
        <f t="shared" si="0"/>
        <v>100</v>
      </c>
      <c r="J64" s="42">
        <f>IFERROR(G64/VLOOKUP(A64,RESUME!$G$3:$I$10,3,FALSE),0)</f>
        <v>1.1475056554816235E-3</v>
      </c>
      <c r="K64" s="156">
        <f t="shared" si="3"/>
        <v>80</v>
      </c>
      <c r="L64" s="156">
        <f t="shared" si="4"/>
        <v>100</v>
      </c>
      <c r="M64" s="147">
        <f t="shared" si="5"/>
        <v>1.4343820693520294E-3</v>
      </c>
      <c r="N64" s="41" t="str">
        <f>_xlfn.IFNA(VLOOKUP(A64&amp;"-"&amp;B64&amp;"-"&amp;D64,Ref_Account!$A:$F,6,FALSE),"ACCOUNT TIDAK DITEMUKAN")</f>
        <v>1201.630770</v>
      </c>
      <c r="O64" s="39">
        <f t="shared" si="8"/>
        <v>1</v>
      </c>
      <c r="P64" s="39" t="str">
        <f t="shared" si="2"/>
        <v>OK</v>
      </c>
      <c r="Q64" s="152" t="s">
        <v>529</v>
      </c>
      <c r="R64" s="168"/>
      <c r="AA64" s="171" t="str">
        <f t="shared" si="6"/>
        <v>Owi WijayaMAINT.&amp;REP.ELECTRICITYpemeliharaan instalasi listrikCLNWenti1</v>
      </c>
      <c r="AB64" s="1" t="s">
        <v>628</v>
      </c>
      <c r="AC64" s="1" t="b">
        <f t="shared" si="7"/>
        <v>1</v>
      </c>
    </row>
    <row r="65" spans="1:29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7">
        <v>100</v>
      </c>
      <c r="H65" s="157"/>
      <c r="I65" s="157">
        <f t="shared" si="0"/>
        <v>100</v>
      </c>
      <c r="J65" s="185">
        <f>IFERROR(G65/VLOOKUP(A65,RESUME!$G$3:$I$10,3,FALSE),0)</f>
        <v>1.1475056554816235E-3</v>
      </c>
      <c r="K65" s="157">
        <f t="shared" si="3"/>
        <v>80</v>
      </c>
      <c r="L65" s="157">
        <f t="shared" si="4"/>
        <v>100</v>
      </c>
      <c r="M65" s="149">
        <f t="shared" si="5"/>
        <v>1.4343820693520294E-3</v>
      </c>
      <c r="N65" s="43" t="str">
        <f>_xlfn.IFNA(VLOOKUP(A65&amp;"-"&amp;B65&amp;"-"&amp;D65,Ref_Account!$A:$F,6,FALSE),"ACCOUNT TIDAK DITEMUKAN")</f>
        <v>1201.630750</v>
      </c>
      <c r="O65" s="40">
        <f t="shared" si="8"/>
        <v>1</v>
      </c>
      <c r="P65" s="40" t="str">
        <f t="shared" si="2"/>
        <v>OK</v>
      </c>
      <c r="Q65" s="164" t="s">
        <v>529</v>
      </c>
      <c r="R65" s="168"/>
      <c r="AA65" s="171" t="str">
        <f t="shared" si="6"/>
        <v>Owi WijayaMAINT.&amp;REP.GEN&amp;BOILERPemeliharaan GeneratorCLNWenti1</v>
      </c>
      <c r="AB65" s="1" t="s">
        <v>629</v>
      </c>
      <c r="AC65" s="1" t="b">
        <f t="shared" si="7"/>
        <v>1</v>
      </c>
    </row>
    <row r="66" spans="1:29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6">
        <v>100</v>
      </c>
      <c r="H66" s="156">
        <v>510.61</v>
      </c>
      <c r="I66" s="156">
        <f t="shared" si="0"/>
        <v>-410.61</v>
      </c>
      <c r="J66" s="42">
        <f>IFERROR(G66/VLOOKUP(A66,RESUME!$G$3:$I$10,3,FALSE),0)</f>
        <v>1.1475056554816235E-3</v>
      </c>
      <c r="K66" s="156">
        <f t="shared" si="3"/>
        <v>80</v>
      </c>
      <c r="L66" s="156">
        <f t="shared" si="4"/>
        <v>100</v>
      </c>
      <c r="M66" s="147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8"/>
        <v>1</v>
      </c>
      <c r="P66" s="39" t="str">
        <f t="shared" si="2"/>
        <v>OVER</v>
      </c>
      <c r="Q66" s="152" t="s">
        <v>529</v>
      </c>
      <c r="R66" s="168"/>
      <c r="AA66" s="171" t="str">
        <f t="shared" si="6"/>
        <v>Owi WijayaMAINT.&amp;REP.MACHINERIEpemeliharaan mesinCLNWenti1</v>
      </c>
      <c r="AB66" s="1" t="s">
        <v>630</v>
      </c>
      <c r="AC66" s="1" t="b">
        <f t="shared" si="7"/>
        <v>1</v>
      </c>
    </row>
    <row r="67" spans="1:29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7">
        <v>100</v>
      </c>
      <c r="H67" s="157"/>
      <c r="I67" s="157">
        <f t="shared" si="0"/>
        <v>100</v>
      </c>
      <c r="J67" s="185">
        <f>IFERROR(G67/VLOOKUP(A67,RESUME!$G$3:$I$10,3,FALSE),0)</f>
        <v>1.1475056554816235E-3</v>
      </c>
      <c r="K67" s="157">
        <f t="shared" si="3"/>
        <v>80</v>
      </c>
      <c r="L67" s="157">
        <f t="shared" si="4"/>
        <v>100</v>
      </c>
      <c r="M67" s="149">
        <f t="shared" si="5"/>
        <v>1.4343820693520294E-3</v>
      </c>
      <c r="N67" s="43" t="str">
        <f>_xlfn.IFNA(VLOOKUP(A67&amp;"-"&amp;B67&amp;"-"&amp;D67,Ref_Account!$A:$F,6,FALSE),"ACCOUNT TIDAK DITEMUKAN")</f>
        <v>1201.630760</v>
      </c>
      <c r="O67" s="40">
        <f t="shared" si="8"/>
        <v>1</v>
      </c>
      <c r="P67" s="40" t="str">
        <f t="shared" si="2"/>
        <v>OK</v>
      </c>
      <c r="Q67" s="164" t="s">
        <v>529</v>
      </c>
      <c r="R67" s="168"/>
      <c r="AA67" s="171" t="str">
        <f t="shared" si="6"/>
        <v>Owi WijayaMAINT.&amp;REP.MOTORVEHICLEpemeliharaan kendaraanCLNWenti1</v>
      </c>
      <c r="AB67" s="1" t="s">
        <v>631</v>
      </c>
      <c r="AC67" s="1" t="b">
        <f t="shared" si="7"/>
        <v>1</v>
      </c>
    </row>
    <row r="68" spans="1:29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6">
        <v>250</v>
      </c>
      <c r="H68" s="156"/>
      <c r="I68" s="156">
        <f t="shared" si="0"/>
        <v>250</v>
      </c>
      <c r="J68" s="42">
        <f>IFERROR(G68/VLOOKUP(A68,RESUME!$G$3:$I$10,3,FALSE),0)</f>
        <v>2.8687641387040589E-3</v>
      </c>
      <c r="K68" s="156">
        <f t="shared" si="3"/>
        <v>200</v>
      </c>
      <c r="L68" s="156">
        <f t="shared" si="4"/>
        <v>250</v>
      </c>
      <c r="M68" s="147">
        <f t="shared" si="5"/>
        <v>3.5859551733800734E-3</v>
      </c>
      <c r="N68" s="41" t="str">
        <f>_xlfn.IFNA(VLOOKUP(A68&amp;"-"&amp;B68&amp;"-"&amp;D68,Ref_Account!$A:$F,6,FALSE),"ACCOUNT TIDAK DITEMUKAN")</f>
        <v>1205.630760</v>
      </c>
      <c r="O68" s="39">
        <f t="shared" si="8"/>
        <v>1</v>
      </c>
      <c r="P68" s="39" t="str">
        <f t="shared" si="2"/>
        <v>OK</v>
      </c>
      <c r="Q68" s="152" t="s">
        <v>529</v>
      </c>
      <c r="R68" s="168"/>
      <c r="AA68" s="171" t="str">
        <f t="shared" si="6"/>
        <v>Owi WijayaMAINT.&amp;REP.MOTORVEHICLEpemeliharaan kendaraanMAJA-1Rini1</v>
      </c>
      <c r="AB68" s="1" t="s">
        <v>632</v>
      </c>
      <c r="AC68" s="1" t="b">
        <f t="shared" si="7"/>
        <v>1</v>
      </c>
    </row>
    <row r="69" spans="1:29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7">
        <v>300</v>
      </c>
      <c r="H69" s="157"/>
      <c r="I69" s="157">
        <f t="shared" si="0"/>
        <v>300</v>
      </c>
      <c r="J69" s="185">
        <f>IFERROR(G69/VLOOKUP(A69,RESUME!$G$3:$I$10,3,FALSE),0)</f>
        <v>3.4425169664448704E-3</v>
      </c>
      <c r="K69" s="157">
        <f t="shared" si="3"/>
        <v>240</v>
      </c>
      <c r="L69" s="157">
        <f t="shared" si="4"/>
        <v>300</v>
      </c>
      <c r="M69" s="149">
        <f t="shared" si="5"/>
        <v>4.3031462080560879E-3</v>
      </c>
      <c r="N69" s="43" t="str">
        <f>_xlfn.IFNA(VLOOKUP(A69&amp;"-"&amp;B69&amp;"-"&amp;D69,Ref_Account!$A:$F,6,FALSE),"ACCOUNT TIDAK DITEMUKAN")</f>
        <v>1204.630760</v>
      </c>
      <c r="O69" s="40">
        <f t="shared" si="8"/>
        <v>1</v>
      </c>
      <c r="P69" s="40" t="str">
        <f t="shared" si="2"/>
        <v>OK</v>
      </c>
      <c r="Q69" s="164" t="s">
        <v>529</v>
      </c>
      <c r="R69" s="168"/>
      <c r="AA69" s="171" t="str">
        <f t="shared" si="6"/>
        <v>Owi WijayaMAINT.&amp;REP.MOTORVEHICLEpemeliharaan kendaraanMAJA-2Rini1</v>
      </c>
      <c r="AB69" s="1" t="s">
        <v>633</v>
      </c>
      <c r="AC69" s="1" t="b">
        <f t="shared" si="7"/>
        <v>1</v>
      </c>
    </row>
    <row r="70" spans="1:29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6">
        <v>100</v>
      </c>
      <c r="H70" s="156"/>
      <c r="I70" s="156">
        <f t="shared" ref="I70:I133" si="9">G70-H70</f>
        <v>100</v>
      </c>
      <c r="J70" s="42">
        <f>IFERROR(G70/VLOOKUP(A70,RESUME!$G$3:$I$10,3,FALSE),0)</f>
        <v>1.1475056554816235E-3</v>
      </c>
      <c r="K70" s="156">
        <f t="shared" si="3"/>
        <v>80</v>
      </c>
      <c r="L70" s="156">
        <f t="shared" si="4"/>
        <v>100</v>
      </c>
      <c r="M70" s="147">
        <f t="shared" ref="M70:M133" si="10">IF(L70=0,0,IF(H70&gt;L70,0,L70/IF(H70&gt;=K70,H70,K70)*J70))</f>
        <v>1.4343820693520294E-3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11">IF(N70="ACCOUNT TIDAK DITEMUKAN","9999",COUNTIF($N$6:$N$164,N70))</f>
        <v>1</v>
      </c>
      <c r="P70" s="39" t="str">
        <f t="shared" ref="P70:P133" si="12">IF(I70&gt;0,"OK","OVER")</f>
        <v>OK</v>
      </c>
      <c r="Q70" s="152" t="s">
        <v>529</v>
      </c>
      <c r="R70" s="168"/>
      <c r="AA70" s="171" t="str">
        <f t="shared" si="6"/>
        <v>Owi WijayaMAINT.&amp;REP.PLANTEQUIpemeliharaan peralatan produksiCLNWenti1</v>
      </c>
      <c r="AB70" s="1" t="s">
        <v>634</v>
      </c>
      <c r="AC70" s="1" t="b">
        <f t="shared" si="7"/>
        <v>1</v>
      </c>
    </row>
    <row r="71" spans="1:29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7">
        <v>100</v>
      </c>
      <c r="H71" s="157"/>
      <c r="I71" s="157">
        <f t="shared" si="9"/>
        <v>100</v>
      </c>
      <c r="J71" s="185">
        <f>IFERROR(G71/VLOOKUP(A71,RESUME!$G$3:$I$10,3,FALSE),0)</f>
        <v>1.1475056554816235E-3</v>
      </c>
      <c r="K71" s="157">
        <f t="shared" ref="K71:K134" si="13">G71*$K$4</f>
        <v>80</v>
      </c>
      <c r="L71" s="157">
        <f t="shared" ref="L71:L134" si="14">G71*$L$4</f>
        <v>100</v>
      </c>
      <c r="M71" s="149">
        <f t="shared" si="10"/>
        <v>1.4343820693520294E-3</v>
      </c>
      <c r="N71" s="43" t="str">
        <f>_xlfn.IFNA(VLOOKUP(A71&amp;"-"&amp;B71&amp;"-"&amp;D71,Ref_Account!$A:$F,6,FALSE),"ACCOUNT TIDAK DITEMUKAN")</f>
        <v>1201.630740</v>
      </c>
      <c r="O71" s="40">
        <f t="shared" si="11"/>
        <v>1</v>
      </c>
      <c r="P71" s="40" t="str">
        <f t="shared" si="12"/>
        <v>OK</v>
      </c>
      <c r="Q71" s="164" t="s">
        <v>529</v>
      </c>
      <c r="R71" s="168"/>
      <c r="AA71" s="171" t="str">
        <f t="shared" ref="AA71:AA134" si="15">A71&amp;B71&amp;C71&amp;D71&amp;E71&amp;O71</f>
        <v>Owi WijayaMAINT.&amp;REP.WATERINSTL.pemeliharaan instalasi airCLNWenti1</v>
      </c>
      <c r="AB71" s="1" t="s">
        <v>635</v>
      </c>
      <c r="AC71" s="1" t="b">
        <f t="shared" ref="AC71:AC134" si="16">AB71=AA71</f>
        <v>1</v>
      </c>
    </row>
    <row r="72" spans="1:29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6">
        <v>328.75</v>
      </c>
      <c r="H72" s="156">
        <v>854.27</v>
      </c>
      <c r="I72" s="156">
        <f t="shared" si="9"/>
        <v>-525.52</v>
      </c>
      <c r="J72" s="42">
        <f>IFERROR(G72/VLOOKUP(A72,RESUME!$G$3:$I$10,3,FALSE),0)</f>
        <v>3.7724248423958375E-3</v>
      </c>
      <c r="K72" s="156">
        <f t="shared" si="13"/>
        <v>263</v>
      </c>
      <c r="L72" s="156">
        <f t="shared" si="14"/>
        <v>328.75</v>
      </c>
      <c r="M72" s="147">
        <f t="shared" si="10"/>
        <v>0</v>
      </c>
      <c r="N72" s="41" t="str">
        <f>_xlfn.IFNA(VLOOKUP(A72&amp;"-"&amp;B72&amp;"-"&amp;D72,Ref_Account!$A:$F,6,FALSE),"ACCOUNT TIDAK DITEMUKAN")</f>
        <v>1201.810110</v>
      </c>
      <c r="O72" s="39">
        <f t="shared" si="11"/>
        <v>1</v>
      </c>
      <c r="P72" s="39" t="str">
        <f t="shared" si="12"/>
        <v>OVER</v>
      </c>
      <c r="Q72" s="152" t="s">
        <v>529</v>
      </c>
      <c r="R72" s="168"/>
      <c r="AA72" s="171" t="str">
        <f t="shared" si="15"/>
        <v>Owi WijayaMAINT.OFFICEEQUIP.Pemeliharaan perlengkapan OfficeCLNRini1</v>
      </c>
      <c r="AB72" s="1" t="s">
        <v>636</v>
      </c>
      <c r="AC72" s="1" t="b">
        <f t="shared" si="16"/>
        <v>1</v>
      </c>
    </row>
    <row r="73" spans="1:29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7">
        <v>109.79</v>
      </c>
      <c r="H73" s="157"/>
      <c r="I73" s="157">
        <f t="shared" si="9"/>
        <v>109.79</v>
      </c>
      <c r="J73" s="185">
        <f>IFERROR(G73/VLOOKUP(A73,RESUME!$G$3:$I$10,3,FALSE),0)</f>
        <v>1.2598464591532744E-3</v>
      </c>
      <c r="K73" s="157">
        <f t="shared" si="13"/>
        <v>87.832000000000008</v>
      </c>
      <c r="L73" s="157">
        <f t="shared" si="14"/>
        <v>109.79</v>
      </c>
      <c r="M73" s="149">
        <f t="shared" si="10"/>
        <v>1.5748080739415931E-3</v>
      </c>
      <c r="N73" s="43" t="str">
        <f>_xlfn.IFNA(VLOOKUP(A73&amp;"-"&amp;B73&amp;"-"&amp;D73,Ref_Account!$A:$F,6,FALSE),"ACCOUNT TIDAK DITEMUKAN")</f>
        <v>1206.810110</v>
      </c>
      <c r="O73" s="40">
        <f t="shared" si="11"/>
        <v>1</v>
      </c>
      <c r="P73" s="40" t="str">
        <f t="shared" si="12"/>
        <v>OK</v>
      </c>
      <c r="Q73" s="164" t="s">
        <v>529</v>
      </c>
      <c r="R73" s="168"/>
      <c r="AA73" s="171" t="str">
        <f t="shared" si="15"/>
        <v>Owi WijayaMAINT.OFFICEEQUIP.Pemeliharaan perlengkapan OfficeKALIBENDARini1</v>
      </c>
      <c r="AB73" s="1" t="s">
        <v>637</v>
      </c>
      <c r="AC73" s="1" t="b">
        <f t="shared" si="16"/>
        <v>1</v>
      </c>
    </row>
    <row r="74" spans="1:29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6">
        <v>169.38</v>
      </c>
      <c r="H74" s="156">
        <v>50.62</v>
      </c>
      <c r="I74" s="156">
        <f t="shared" si="9"/>
        <v>118.75999999999999</v>
      </c>
      <c r="J74" s="42">
        <f>IFERROR(G74/VLOOKUP(A74,RESUME!$G$3:$I$10,3,FALSE),0)</f>
        <v>1.9436450792547739E-3</v>
      </c>
      <c r="K74" s="156">
        <f t="shared" si="13"/>
        <v>135.50399999999999</v>
      </c>
      <c r="L74" s="156">
        <f t="shared" si="14"/>
        <v>169.38</v>
      </c>
      <c r="M74" s="147">
        <f t="shared" si="10"/>
        <v>2.4295563490684675E-3</v>
      </c>
      <c r="N74" s="41" t="str">
        <f>_xlfn.IFNA(VLOOKUP(A74&amp;"-"&amp;B74&amp;"-"&amp;D74,Ref_Account!$A:$F,6,FALSE),"ACCOUNT TIDAK DITEMUKAN")</f>
        <v>1205.810110</v>
      </c>
      <c r="O74" s="39">
        <f t="shared" si="11"/>
        <v>1</v>
      </c>
      <c r="P74" s="39" t="str">
        <f t="shared" si="12"/>
        <v>OK</v>
      </c>
      <c r="Q74" s="152" t="s">
        <v>529</v>
      </c>
      <c r="R74" s="168"/>
      <c r="AA74" s="171" t="str">
        <f t="shared" si="15"/>
        <v>Owi WijayaMAINT.OFFICEEQUIP.Pemeliharaan perlengkapan OfficeMAJA-1Rini1</v>
      </c>
      <c r="AB74" s="1" t="s">
        <v>638</v>
      </c>
      <c r="AC74" s="1" t="b">
        <f t="shared" si="16"/>
        <v>1</v>
      </c>
    </row>
    <row r="75" spans="1:29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7">
        <v>142.08000000000001</v>
      </c>
      <c r="H75" s="157">
        <v>60.12</v>
      </c>
      <c r="I75" s="157">
        <f t="shared" si="9"/>
        <v>81.960000000000008</v>
      </c>
      <c r="J75" s="185">
        <f>IFERROR(G75/VLOOKUP(A75,RESUME!$G$3:$I$10,3,FALSE),0)</f>
        <v>1.6303760353082908E-3</v>
      </c>
      <c r="K75" s="157">
        <f t="shared" si="13"/>
        <v>113.66400000000002</v>
      </c>
      <c r="L75" s="157">
        <f t="shared" si="14"/>
        <v>142.08000000000001</v>
      </c>
      <c r="M75" s="149">
        <f t="shared" si="10"/>
        <v>2.0379700441353634E-3</v>
      </c>
      <c r="N75" s="43" t="str">
        <f>_xlfn.IFNA(VLOOKUP(A75&amp;"-"&amp;B75&amp;"-"&amp;D75,Ref_Account!$A:$F,6,FALSE),"ACCOUNT TIDAK DITEMUKAN")</f>
        <v>1204.810110</v>
      </c>
      <c r="O75" s="40">
        <f t="shared" si="11"/>
        <v>1</v>
      </c>
      <c r="P75" s="40" t="str">
        <f t="shared" si="12"/>
        <v>OK</v>
      </c>
      <c r="Q75" s="164" t="s">
        <v>529</v>
      </c>
      <c r="R75" s="168"/>
      <c r="AA75" s="171" t="str">
        <f t="shared" si="15"/>
        <v>Owi WijayaMAINT.OFFICEEQUIP.Pemeliharaan perlengkapan OfficeMAJA-2Rini1</v>
      </c>
      <c r="AB75" s="1" t="s">
        <v>639</v>
      </c>
      <c r="AC75" s="1" t="b">
        <f t="shared" si="16"/>
        <v>1</v>
      </c>
    </row>
    <row r="76" spans="1:29" hidden="1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6">
        <v>4300</v>
      </c>
      <c r="H76" s="156">
        <v>2655.51</v>
      </c>
      <c r="I76" s="156">
        <f t="shared" si="9"/>
        <v>1644.4899999999998</v>
      </c>
      <c r="J76" s="42">
        <f>IFERROR(G76/VLOOKUP(A76,RESUME!$G$3:$I$10,3,FALSE),0)</f>
        <v>4.934274318570981E-2</v>
      </c>
      <c r="K76" s="156">
        <f t="shared" si="13"/>
        <v>3440</v>
      </c>
      <c r="L76" s="156">
        <f t="shared" si="14"/>
        <v>4300</v>
      </c>
      <c r="M76" s="147">
        <f t="shared" si="10"/>
        <v>6.1678428982137261E-2</v>
      </c>
      <c r="N76" s="41" t="str">
        <f>_xlfn.IFNA(VLOOKUP(A76&amp;"-"&amp;B76&amp;"-"&amp;D76,Ref_Account!$A:$F,6,FALSE),"ACCOUNT TIDAK DITEMUKAN")</f>
        <v>1201.630130</v>
      </c>
      <c r="O76" s="39">
        <f t="shared" si="11"/>
        <v>1</v>
      </c>
      <c r="P76" s="39" t="str">
        <f t="shared" si="12"/>
        <v>OK</v>
      </c>
      <c r="Q76" s="152" t="s">
        <v>529</v>
      </c>
      <c r="R76" s="168"/>
      <c r="AA76" s="171" t="str">
        <f t="shared" si="15"/>
        <v>Owi WijayaMEDICAL ALLOWANCEBPJS kesehatan ProduksiCLNRini1</v>
      </c>
      <c r="AB76" s="1" t="s">
        <v>640</v>
      </c>
      <c r="AC76" s="1" t="b">
        <f t="shared" si="16"/>
        <v>1</v>
      </c>
    </row>
    <row r="77" spans="1:29" hidden="1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7">
        <v>1495.98</v>
      </c>
      <c r="H77" s="157">
        <v>402.21</v>
      </c>
      <c r="I77" s="157">
        <f t="shared" si="9"/>
        <v>1093.77</v>
      </c>
      <c r="J77" s="185">
        <f>IFERROR(G77/VLOOKUP(A77,RESUME!$G$3:$I$10,3,FALSE),0)</f>
        <v>1.7166455104873992E-2</v>
      </c>
      <c r="K77" s="157">
        <f t="shared" si="13"/>
        <v>1196.7840000000001</v>
      </c>
      <c r="L77" s="157">
        <f t="shared" si="14"/>
        <v>1495.98</v>
      </c>
      <c r="M77" s="149">
        <f t="shared" si="10"/>
        <v>2.1458068881092491E-2</v>
      </c>
      <c r="N77" s="43" t="str">
        <f>_xlfn.IFNA(VLOOKUP(A77&amp;"-"&amp;B77&amp;"-"&amp;D77,Ref_Account!$A:$F,6,FALSE),"ACCOUNT TIDAK DITEMUKAN")</f>
        <v>1201.816130</v>
      </c>
      <c r="O77" s="40">
        <f t="shared" si="11"/>
        <v>1</v>
      </c>
      <c r="P77" s="40" t="str">
        <f t="shared" si="12"/>
        <v>OK</v>
      </c>
      <c r="Q77" s="164" t="s">
        <v>529</v>
      </c>
      <c r="R77" s="168"/>
      <c r="AA77" s="171" t="str">
        <f t="shared" si="15"/>
        <v>Owi WijayaOFFICE SUPPLIES EXPENSESPerlengkapan office (Tinta refil, sewa mesin fotocopy, ATK, spanduk, Aqua, uji lingkungan)CLNRizal1</v>
      </c>
      <c r="AB77" s="1" t="s">
        <v>641</v>
      </c>
      <c r="AC77" s="1" t="b">
        <f t="shared" si="16"/>
        <v>1</v>
      </c>
    </row>
    <row r="78" spans="1:29" hidden="1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6">
        <v>516.97</v>
      </c>
      <c r="H78" s="156">
        <v>562.23</v>
      </c>
      <c r="I78" s="156">
        <f t="shared" si="9"/>
        <v>-45.259999999999991</v>
      </c>
      <c r="J78" s="42">
        <f>IFERROR(G78/VLOOKUP(A78,RESUME!$G$3:$I$10,3,FALSE),0)</f>
        <v>5.9322599871433493E-3</v>
      </c>
      <c r="K78" s="156">
        <f t="shared" si="13"/>
        <v>413.57600000000002</v>
      </c>
      <c r="L78" s="156">
        <f t="shared" si="14"/>
        <v>516.97</v>
      </c>
      <c r="M78" s="147">
        <f t="shared" si="10"/>
        <v>0</v>
      </c>
      <c r="N78" s="41" t="str">
        <f>_xlfn.IFNA(VLOOKUP(A78&amp;"-"&amp;B78&amp;"-"&amp;D78,Ref_Account!$A:$F,6,FALSE),"ACCOUNT TIDAK DITEMUKAN")</f>
        <v>1206.816130</v>
      </c>
      <c r="O78" s="39">
        <f t="shared" si="11"/>
        <v>1</v>
      </c>
      <c r="P78" s="39" t="str">
        <f t="shared" si="12"/>
        <v>OVER</v>
      </c>
      <c r="Q78" s="152" t="s">
        <v>529</v>
      </c>
      <c r="R78" s="168"/>
      <c r="AA78" s="171" t="str">
        <f t="shared" si="15"/>
        <v>Owi WijayaOFFICE SUPPLIES EXPENSESPerlengkapan office (Tinta refil, sewa mesin fotocopy, ATK, spanduk, Aqua, uji lingkungan)KALIBENDARizal1</v>
      </c>
      <c r="AB78" s="1" t="s">
        <v>642</v>
      </c>
      <c r="AC78" s="1" t="b">
        <f t="shared" si="16"/>
        <v>1</v>
      </c>
    </row>
    <row r="79" spans="1:29" hidden="1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7">
        <v>1463.62</v>
      </c>
      <c r="H79" s="157">
        <v>1068.93</v>
      </c>
      <c r="I79" s="157">
        <f t="shared" si="9"/>
        <v>394.68999999999983</v>
      </c>
      <c r="J79" s="185">
        <f>IFERROR(G79/VLOOKUP(A79,RESUME!$G$3:$I$10,3,FALSE),0)</f>
        <v>1.6795122274760137E-2</v>
      </c>
      <c r="K79" s="157">
        <f t="shared" si="13"/>
        <v>1170.896</v>
      </c>
      <c r="L79" s="157">
        <f t="shared" si="14"/>
        <v>1463.62</v>
      </c>
      <c r="M79" s="149">
        <f t="shared" si="10"/>
        <v>2.0993902843450173E-2</v>
      </c>
      <c r="N79" s="43" t="str">
        <f>_xlfn.IFNA(VLOOKUP(A79&amp;"-"&amp;B79&amp;"-"&amp;D79,Ref_Account!$A:$F,6,FALSE),"ACCOUNT TIDAK DITEMUKAN")</f>
        <v>1205.816130</v>
      </c>
      <c r="O79" s="40">
        <f t="shared" si="11"/>
        <v>1</v>
      </c>
      <c r="P79" s="40" t="str">
        <f t="shared" si="12"/>
        <v>OK</v>
      </c>
      <c r="Q79" s="164" t="s">
        <v>529</v>
      </c>
      <c r="R79" s="168"/>
      <c r="AA79" s="171" t="str">
        <f t="shared" si="15"/>
        <v>Owi WijayaOFFICE SUPPLIES EXPENSESPerlengkapan office (Tinta refil, sewa mesin fotocopy, ATK, spanduk, Aqua, uji lingkungan)MAJA-1Rizal1</v>
      </c>
      <c r="AB79" s="1" t="s">
        <v>643</v>
      </c>
      <c r="AC79" s="1" t="b">
        <f t="shared" si="16"/>
        <v>1</v>
      </c>
    </row>
    <row r="80" spans="1:29" hidden="1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6">
        <v>1779.8599999999997</v>
      </c>
      <c r="H80" s="156">
        <v>1304.79</v>
      </c>
      <c r="I80" s="156">
        <f t="shared" si="9"/>
        <v>475.06999999999971</v>
      </c>
      <c r="J80" s="42">
        <f>IFERROR(G80/VLOOKUP(A80,RESUME!$G$3:$I$10,3,FALSE),0)</f>
        <v>2.042399415965522E-2</v>
      </c>
      <c r="K80" s="156">
        <f t="shared" si="13"/>
        <v>1423.8879999999999</v>
      </c>
      <c r="L80" s="156">
        <f t="shared" si="14"/>
        <v>1779.8599999999997</v>
      </c>
      <c r="M80" s="147">
        <f t="shared" si="10"/>
        <v>2.5529992699569022E-2</v>
      </c>
      <c r="N80" s="41" t="str">
        <f>_xlfn.IFNA(VLOOKUP(A80&amp;"-"&amp;B80&amp;"-"&amp;D80,Ref_Account!$A:$F,6,FALSE),"ACCOUNT TIDAK DITEMUKAN")</f>
        <v>1204.816130</v>
      </c>
      <c r="O80" s="39">
        <f t="shared" si="11"/>
        <v>1</v>
      </c>
      <c r="P80" s="39" t="str">
        <f t="shared" si="12"/>
        <v>OK</v>
      </c>
      <c r="Q80" s="152" t="s">
        <v>529</v>
      </c>
      <c r="R80" s="168"/>
      <c r="AA80" s="171" t="str">
        <f t="shared" si="15"/>
        <v>Owi WijayaOFFICE SUPPLIES EXPENSESPerlengkapan office (Tinta refil, sewa mesin fotocopy, ATK, spanduk, Aqua, uji lingkungan)MAJA-2Rizal1</v>
      </c>
      <c r="AB80" s="1" t="s">
        <v>644</v>
      </c>
      <c r="AC80" s="1" t="b">
        <f t="shared" si="16"/>
        <v>1</v>
      </c>
    </row>
    <row r="81" spans="1:29" hidden="1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7">
        <v>1115.46</v>
      </c>
      <c r="H81" s="157">
        <v>1165.8</v>
      </c>
      <c r="I81" s="157">
        <f t="shared" si="9"/>
        <v>-50.339999999999918</v>
      </c>
      <c r="J81" s="185">
        <f>IFERROR(G81/VLOOKUP(A81,RESUME!$G$3:$I$10,3,FALSE),0)</f>
        <v>1.2799966584635319E-2</v>
      </c>
      <c r="K81" s="157">
        <f t="shared" si="13"/>
        <v>892.36800000000005</v>
      </c>
      <c r="L81" s="157">
        <f t="shared" si="14"/>
        <v>1115.46</v>
      </c>
      <c r="M81" s="149">
        <f t="shared" si="10"/>
        <v>0</v>
      </c>
      <c r="N81" s="43" t="str">
        <f>_xlfn.IFNA(VLOOKUP(A81&amp;"-"&amp;B81&amp;"-"&amp;D81,Ref_Account!$A:$F,6,FALSE),"ACCOUNT TIDAK DITEMUKAN")</f>
        <v>1206.631100</v>
      </c>
      <c r="O81" s="40">
        <f t="shared" si="11"/>
        <v>1</v>
      </c>
      <c r="P81" s="40" t="str">
        <f t="shared" si="12"/>
        <v>OVER</v>
      </c>
      <c r="Q81" s="164" t="s">
        <v>529</v>
      </c>
      <c r="R81" s="168"/>
      <c r="AA81" s="171" t="str">
        <f t="shared" si="15"/>
        <v>Owi WijayaOTHER PRODUCTION COSTSecurityKALIBENDARini1</v>
      </c>
      <c r="AB81" s="1" t="s">
        <v>645</v>
      </c>
      <c r="AC81" s="1" t="b">
        <f t="shared" si="16"/>
        <v>1</v>
      </c>
    </row>
    <row r="82" spans="1:29" hidden="1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6">
        <v>651</v>
      </c>
      <c r="H82" s="156">
        <v>121.46</v>
      </c>
      <c r="I82" s="156">
        <f t="shared" si="9"/>
        <v>529.54</v>
      </c>
      <c r="J82" s="42">
        <f>IFERROR(G82/VLOOKUP(A82,RESUME!$G$3:$I$10,3,FALSE),0)</f>
        <v>7.4702618171853695E-3</v>
      </c>
      <c r="K82" s="156">
        <f t="shared" si="13"/>
        <v>520.80000000000007</v>
      </c>
      <c r="L82" s="156">
        <f t="shared" si="14"/>
        <v>651</v>
      </c>
      <c r="M82" s="147">
        <f t="shared" si="10"/>
        <v>9.3378272714817103E-3</v>
      </c>
      <c r="N82" s="41" t="str">
        <f>_xlfn.IFNA(VLOOKUP(A82&amp;"-"&amp;B82&amp;"-"&amp;D82,Ref_Account!$A:$F,6,FALSE),"ACCOUNT TIDAK DITEMUKAN")</f>
        <v>1201.631110</v>
      </c>
      <c r="O82" s="39">
        <f t="shared" si="11"/>
        <v>1</v>
      </c>
      <c r="P82" s="39" t="str">
        <f t="shared" si="12"/>
        <v>OK</v>
      </c>
      <c r="Q82" s="152" t="s">
        <v>529</v>
      </c>
      <c r="R82" s="168"/>
      <c r="AA82" s="171" t="str">
        <f t="shared" si="15"/>
        <v>Owi WijayaPEMAKAIAN SPARE PARTissue jarum , baud, dllCLNWenti1</v>
      </c>
      <c r="AB82" s="1" t="s">
        <v>646</v>
      </c>
      <c r="AC82" s="1" t="b">
        <f t="shared" si="16"/>
        <v>1</v>
      </c>
    </row>
    <row r="83" spans="1:29" hidden="1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7">
        <v>466</v>
      </c>
      <c r="H83" s="157"/>
      <c r="I83" s="157">
        <f t="shared" si="9"/>
        <v>466</v>
      </c>
      <c r="J83" s="185">
        <f>IFERROR(G83/VLOOKUP(A83,RESUME!$G$3:$I$10,3,FALSE),0)</f>
        <v>5.3473763545443653E-3</v>
      </c>
      <c r="K83" s="157">
        <f t="shared" si="13"/>
        <v>372.8</v>
      </c>
      <c r="L83" s="157">
        <f t="shared" si="14"/>
        <v>466</v>
      </c>
      <c r="M83" s="149">
        <f t="shared" si="10"/>
        <v>6.684220443180457E-3</v>
      </c>
      <c r="N83" s="43" t="str">
        <f>_xlfn.IFNA(VLOOKUP(A83&amp;"-"&amp;B83&amp;"-"&amp;D83,Ref_Account!$A:$F,6,FALSE),"ACCOUNT TIDAK DITEMUKAN")</f>
        <v>1201.631140</v>
      </c>
      <c r="O83" s="40">
        <f t="shared" si="11"/>
        <v>1</v>
      </c>
      <c r="P83" s="40" t="str">
        <f t="shared" si="12"/>
        <v>OK</v>
      </c>
      <c r="Q83" s="164" t="s">
        <v>529</v>
      </c>
      <c r="R83" s="168"/>
      <c r="AA83" s="171" t="str">
        <f t="shared" si="15"/>
        <v>Owi WijayaPMKN FUEL &amp; LUBRICANTissue solarCLNWenti1</v>
      </c>
      <c r="AB83" s="1" t="s">
        <v>647</v>
      </c>
      <c r="AC83" s="1" t="b">
        <f t="shared" si="16"/>
        <v>1</v>
      </c>
    </row>
    <row r="84" spans="1:29" hidden="1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6">
        <v>1388.61</v>
      </c>
      <c r="H84" s="156"/>
      <c r="I84" s="156">
        <f t="shared" si="9"/>
        <v>1388.61</v>
      </c>
      <c r="J84" s="42">
        <f>IFERROR(G84/VLOOKUP(A84,RESUME!$G$3:$I$10,3,FALSE),0)</f>
        <v>1.5934378282583372E-2</v>
      </c>
      <c r="K84" s="156">
        <f t="shared" si="13"/>
        <v>1110.8879999999999</v>
      </c>
      <c r="L84" s="156">
        <f t="shared" si="14"/>
        <v>1388.61</v>
      </c>
      <c r="M84" s="147">
        <f t="shared" si="10"/>
        <v>1.9917972853229216E-2</v>
      </c>
      <c r="N84" s="41" t="str">
        <f>_xlfn.IFNA(VLOOKUP(A84&amp;"-"&amp;B84&amp;"-"&amp;D84,Ref_Account!$A:$F,6,FALSE),"ACCOUNT TIDAK DITEMUKAN")</f>
        <v>1201.631000</v>
      </c>
      <c r="O84" s="39">
        <f t="shared" si="11"/>
        <v>1</v>
      </c>
      <c r="P84" s="39" t="str">
        <f t="shared" si="12"/>
        <v>OK</v>
      </c>
      <c r="Q84" s="152" t="s">
        <v>529</v>
      </c>
      <c r="R84" s="168"/>
      <c r="AA84" s="171" t="str">
        <f t="shared" si="15"/>
        <v>Owi WijayaRENT EXPENSESBiaya SewaCLNRini1</v>
      </c>
      <c r="AB84" s="1" t="s">
        <v>648</v>
      </c>
      <c r="AC84" s="1" t="b">
        <f t="shared" si="16"/>
        <v>1</v>
      </c>
    </row>
    <row r="85" spans="1:29" hidden="1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7">
        <v>221.29</v>
      </c>
      <c r="H85" s="157"/>
      <c r="I85" s="157">
        <f t="shared" si="9"/>
        <v>221.29</v>
      </c>
      <c r="J85" s="185">
        <f>IFERROR(G85/VLOOKUP(A85,RESUME!$G$3:$I$10,3,FALSE),0)</f>
        <v>2.5393152650152848E-3</v>
      </c>
      <c r="K85" s="157">
        <f t="shared" si="13"/>
        <v>177.03200000000001</v>
      </c>
      <c r="L85" s="157">
        <f t="shared" si="14"/>
        <v>221.29</v>
      </c>
      <c r="M85" s="149">
        <f t="shared" si="10"/>
        <v>3.1741440812691054E-3</v>
      </c>
      <c r="N85" s="43" t="str">
        <f>_xlfn.IFNA(VLOOKUP(A85&amp;"-"&amp;B85&amp;"-"&amp;D85,Ref_Account!$A:$F,6,FALSE),"ACCOUNT TIDAK DITEMUKAN")</f>
        <v>1201.815110</v>
      </c>
      <c r="O85" s="40">
        <f t="shared" si="11"/>
        <v>1</v>
      </c>
      <c r="P85" s="40" t="str">
        <f t="shared" si="12"/>
        <v>OK</v>
      </c>
      <c r="Q85" s="164" t="s">
        <v>529</v>
      </c>
      <c r="R85" s="168"/>
      <c r="AA85" s="171" t="str">
        <f t="shared" si="15"/>
        <v>Owi WijayaRENT EXPENSES BUILDINGSewa Kontrakan ClnCLNRini1</v>
      </c>
      <c r="AB85" s="1" t="s">
        <v>649</v>
      </c>
      <c r="AC85" s="1" t="b">
        <f t="shared" si="16"/>
        <v>1</v>
      </c>
    </row>
    <row r="86" spans="1:29" hidden="1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6">
        <v>764.4</v>
      </c>
      <c r="H86" s="156"/>
      <c r="I86" s="156">
        <f t="shared" si="9"/>
        <v>764.4</v>
      </c>
      <c r="J86" s="42">
        <f>IFERROR(G86/VLOOKUP(A86,RESUME!$G$3:$I$10,3,FALSE),0)</f>
        <v>8.7715332305015291E-3</v>
      </c>
      <c r="K86" s="156">
        <f t="shared" si="13"/>
        <v>611.52</v>
      </c>
      <c r="L86" s="156">
        <f t="shared" si="14"/>
        <v>764.4</v>
      </c>
      <c r="M86" s="147">
        <f t="shared" si="10"/>
        <v>1.0964416538126912E-2</v>
      </c>
      <c r="N86" s="41" t="str">
        <f>_xlfn.IFNA(VLOOKUP(A86&amp;"-"&amp;B86&amp;"-"&amp;D86,Ref_Account!$A:$F,6,FALSE),"ACCOUNT TIDAK DITEMUKAN")</f>
        <v>1201.815120</v>
      </c>
      <c r="O86" s="39">
        <f t="shared" si="11"/>
        <v>1</v>
      </c>
      <c r="P86" s="39" t="str">
        <f t="shared" si="12"/>
        <v>OK</v>
      </c>
      <c r="Q86" s="152" t="s">
        <v>529</v>
      </c>
      <c r="R86" s="168"/>
      <c r="AA86" s="171" t="str">
        <f t="shared" si="15"/>
        <v>Owi WijayaRENT EXPENSES LANDSewa tanah ClnCLNRini1</v>
      </c>
      <c r="AB86" s="1" t="s">
        <v>650</v>
      </c>
      <c r="AC86" s="1" t="b">
        <f t="shared" si="16"/>
        <v>1</v>
      </c>
    </row>
    <row r="87" spans="1:29" hidden="1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7">
        <v>255</v>
      </c>
      <c r="H87" s="157">
        <v>139.61000000000001</v>
      </c>
      <c r="I87" s="157">
        <f t="shared" si="9"/>
        <v>115.38999999999999</v>
      </c>
      <c r="J87" s="185">
        <f>IFERROR(G87/VLOOKUP(A87,RESUME!$G$3:$I$10,3,FALSE),0)</f>
        <v>2.9261394214781401E-3</v>
      </c>
      <c r="K87" s="157">
        <f t="shared" si="13"/>
        <v>204</v>
      </c>
      <c r="L87" s="157">
        <f t="shared" si="14"/>
        <v>255</v>
      </c>
      <c r="M87" s="149">
        <f t="shared" si="10"/>
        <v>3.6576742768476751E-3</v>
      </c>
      <c r="N87" s="43" t="str">
        <f>_xlfn.IFNA(VLOOKUP(A87&amp;"-"&amp;B87&amp;"-"&amp;D87,Ref_Account!$A:$F,6,FALSE),"ACCOUNT TIDAK DITEMUKAN")</f>
        <v>1201.802120</v>
      </c>
      <c r="O87" s="40">
        <f t="shared" si="11"/>
        <v>1</v>
      </c>
      <c r="P87" s="40" t="str">
        <f t="shared" si="12"/>
        <v>OK</v>
      </c>
      <c r="Q87" s="164" t="s">
        <v>529</v>
      </c>
      <c r="R87" s="168"/>
      <c r="AA87" s="171" t="str">
        <f t="shared" si="15"/>
        <v>Owi WijayaTELEPHONE EXPENSESbiaya TelkomCLNRini1</v>
      </c>
      <c r="AB87" s="1" t="s">
        <v>651</v>
      </c>
      <c r="AC87" s="1" t="b">
        <f t="shared" si="16"/>
        <v>1</v>
      </c>
    </row>
    <row r="88" spans="1:29" hidden="1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6">
        <v>200</v>
      </c>
      <c r="H88" s="156"/>
      <c r="I88" s="156">
        <f t="shared" si="9"/>
        <v>200</v>
      </c>
      <c r="J88" s="42">
        <f>IFERROR(G88/VLOOKUP(A88,RESUME!$G$3:$I$10,3,FALSE),0)</f>
        <v>2.2950113109632469E-3</v>
      </c>
      <c r="K88" s="156">
        <f t="shared" si="13"/>
        <v>160</v>
      </c>
      <c r="L88" s="156">
        <f t="shared" si="14"/>
        <v>200</v>
      </c>
      <c r="M88" s="147">
        <f t="shared" si="10"/>
        <v>2.8687641387040589E-3</v>
      </c>
      <c r="N88" s="41" t="str">
        <f>_xlfn.IFNA(VLOOKUP(A88&amp;"-"&amp;B88&amp;"-"&amp;D88,Ref_Account!$A:$F,6,FALSE),"ACCOUNT TIDAK DITEMUKAN")</f>
        <v>1201.814110</v>
      </c>
      <c r="O88" s="39">
        <f t="shared" si="11"/>
        <v>1</v>
      </c>
      <c r="P88" s="39" t="str">
        <f t="shared" si="12"/>
        <v>OK</v>
      </c>
      <c r="Q88" s="152" t="s">
        <v>529</v>
      </c>
      <c r="R88" s="168"/>
      <c r="AA88" s="171" t="str">
        <f t="shared" si="15"/>
        <v>Owi WijayaTRAINING BY EMPLOYEEBiaya pelatihanCLNRini1</v>
      </c>
      <c r="AB88" s="1" t="s">
        <v>652</v>
      </c>
      <c r="AC88" s="1" t="b">
        <f t="shared" si="16"/>
        <v>1</v>
      </c>
    </row>
    <row r="89" spans="1:29" hidden="1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7">
        <v>464.37</v>
      </c>
      <c r="H89" s="157">
        <v>73.55</v>
      </c>
      <c r="I89" s="157">
        <f t="shared" si="9"/>
        <v>390.82</v>
      </c>
      <c r="J89" s="185">
        <f>IFERROR(G89/VLOOKUP(A89,RESUME!$G$3:$I$10,3,FALSE),0)</f>
        <v>5.3286720123600154E-3</v>
      </c>
      <c r="K89" s="157">
        <f t="shared" si="13"/>
        <v>371.49600000000004</v>
      </c>
      <c r="L89" s="157">
        <f t="shared" si="14"/>
        <v>464.37</v>
      </c>
      <c r="M89" s="149">
        <f t="shared" si="10"/>
        <v>6.6608400154500183E-3</v>
      </c>
      <c r="N89" s="43" t="str">
        <f>_xlfn.IFNA(VLOOKUP(A89&amp;"-"&amp;B89&amp;"-"&amp;D89,Ref_Account!$A:$F,6,FALSE),"ACCOUNT TIDAK DITEMUKAN")</f>
        <v>1201.630450</v>
      </c>
      <c r="O89" s="40">
        <f t="shared" si="11"/>
        <v>1</v>
      </c>
      <c r="P89" s="40" t="str">
        <f t="shared" si="12"/>
        <v>OK</v>
      </c>
      <c r="Q89" s="164" t="s">
        <v>529</v>
      </c>
      <c r="R89" s="168"/>
      <c r="AA89" s="171" t="str">
        <f t="shared" si="15"/>
        <v>Owi WijayaWATERTagihan Pajak Air TanahCLNRini1</v>
      </c>
      <c r="AB89" s="1" t="s">
        <v>653</v>
      </c>
      <c r="AC89" s="1" t="b">
        <f t="shared" si="16"/>
        <v>1</v>
      </c>
    </row>
    <row r="90" spans="1:29" hidden="1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6">
        <v>515.79999999999995</v>
      </c>
      <c r="H90" s="156">
        <v>442.95</v>
      </c>
      <c r="I90" s="156">
        <f t="shared" si="9"/>
        <v>72.849999999999966</v>
      </c>
      <c r="J90" s="42">
        <f>IFERROR(G90/VLOOKUP(A90,RESUME!$G$3:$I$10,3,FALSE),0)</f>
        <v>5.9188341709742135E-3</v>
      </c>
      <c r="K90" s="156">
        <f t="shared" si="13"/>
        <v>412.64</v>
      </c>
      <c r="L90" s="156">
        <f t="shared" si="14"/>
        <v>515.79999999999995</v>
      </c>
      <c r="M90" s="147">
        <f t="shared" si="10"/>
        <v>6.8922782828502067E-3</v>
      </c>
      <c r="N90" s="41" t="str">
        <f>_xlfn.IFNA(VLOOKUP(A90&amp;"-"&amp;B90&amp;"-"&amp;D90,Ref_Account!$A:$F,6,FALSE),"ACCOUNT TIDAK DITEMUKAN")</f>
        <v>1201.631100</v>
      </c>
      <c r="O90" s="39">
        <f t="shared" si="11"/>
        <v>3</v>
      </c>
      <c r="P90" s="39" t="str">
        <f t="shared" si="12"/>
        <v>OK</v>
      </c>
      <c r="Q90" s="152" t="s">
        <v>529</v>
      </c>
      <c r="R90" s="168"/>
      <c r="AA90" s="171" t="str">
        <f t="shared" si="15"/>
        <v>Owi WijayaOTHER PRODUCTION COSTDokter&amp; ObatCLNRini3</v>
      </c>
      <c r="AB90" s="1" t="s">
        <v>654</v>
      </c>
      <c r="AC90" s="1" t="b">
        <f t="shared" si="16"/>
        <v>1</v>
      </c>
    </row>
    <row r="91" spans="1:29" hidden="1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7">
        <v>1891.43</v>
      </c>
      <c r="H91" s="157">
        <v>1881.2</v>
      </c>
      <c r="I91" s="157">
        <f t="shared" si="9"/>
        <v>10.230000000000018</v>
      </c>
      <c r="J91" s="185">
        <f>IFERROR(G91/VLOOKUP(A91,RESUME!$G$3:$I$10,3,FALSE),0)</f>
        <v>2.1704266219476073E-2</v>
      </c>
      <c r="K91" s="157">
        <f t="shared" si="13"/>
        <v>1513.1440000000002</v>
      </c>
      <c r="L91" s="157">
        <f t="shared" si="14"/>
        <v>1891.43</v>
      </c>
      <c r="M91" s="149">
        <f t="shared" si="10"/>
        <v>2.1822294416066146E-2</v>
      </c>
      <c r="N91" s="43" t="str">
        <f>_xlfn.IFNA(VLOOKUP(A91&amp;"-"&amp;B91&amp;"-"&amp;D91,Ref_Account!$A:$F,6,FALSE),"ACCOUNT TIDAK DITEMUKAN")</f>
        <v>1201.631100</v>
      </c>
      <c r="O91" s="40">
        <f t="shared" si="11"/>
        <v>3</v>
      </c>
      <c r="P91" s="40" t="str">
        <f t="shared" si="12"/>
        <v>OK</v>
      </c>
      <c r="Q91" s="164" t="s">
        <v>529</v>
      </c>
      <c r="R91" s="168"/>
      <c r="AA91" s="171" t="str">
        <f t="shared" si="15"/>
        <v>Owi WijayaOTHER PRODUCTION COSTSecurityCLNRini3</v>
      </c>
      <c r="AB91" s="1" t="s">
        <v>655</v>
      </c>
      <c r="AC91" s="1" t="b">
        <f t="shared" si="16"/>
        <v>1</v>
      </c>
    </row>
    <row r="92" spans="1:29" ht="16.5" hidden="1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6">
        <v>1328.48</v>
      </c>
      <c r="H92" s="156">
        <v>1436.85</v>
      </c>
      <c r="I92" s="156">
        <f t="shared" si="9"/>
        <v>-108.36999999999989</v>
      </c>
      <c r="J92" s="42">
        <f>IFERROR(G92/VLOOKUP(A92,RESUME!$G$3:$I$10,3,FALSE),0)</f>
        <v>1.5244383131942272E-2</v>
      </c>
      <c r="K92" s="156">
        <f t="shared" si="13"/>
        <v>1062.7840000000001</v>
      </c>
      <c r="L92" s="156">
        <f t="shared" si="14"/>
        <v>1328.48</v>
      </c>
      <c r="M92" s="147">
        <f t="shared" si="10"/>
        <v>0</v>
      </c>
      <c r="N92" s="41" t="str">
        <f>_xlfn.IFNA(VLOOKUP(A92&amp;"-"&amp;B92&amp;"-"&amp;D92,Ref_Account!$A:$F,6,FALSE),"ACCOUNT TIDAK DITEMUKAN")</f>
        <v>1205.631100</v>
      </c>
      <c r="O92" s="39">
        <f t="shared" si="11"/>
        <v>3</v>
      </c>
      <c r="P92" s="39" t="str">
        <f t="shared" si="12"/>
        <v>OVER</v>
      </c>
      <c r="Q92" s="152" t="s">
        <v>529</v>
      </c>
      <c r="R92" s="168"/>
      <c r="AA92" s="171" t="str">
        <f t="shared" si="15"/>
        <v>Owi WijayaOTHER PRODUCTION COSTSecurityMAJA-1Rini3</v>
      </c>
      <c r="AB92" s="1" t="s">
        <v>656</v>
      </c>
      <c r="AC92" s="1" t="b">
        <f t="shared" si="16"/>
        <v>1</v>
      </c>
    </row>
    <row r="93" spans="1:29" hidden="1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7">
        <v>1328.28</v>
      </c>
      <c r="H93" s="157">
        <v>1377.62</v>
      </c>
      <c r="I93" s="157">
        <f t="shared" si="9"/>
        <v>-49.339999999999918</v>
      </c>
      <c r="J93" s="185">
        <f>IFERROR(G93/VLOOKUP(A93,RESUME!$G$3:$I$10,3,FALSE),0)</f>
        <v>1.5242088120631308E-2</v>
      </c>
      <c r="K93" s="157">
        <f t="shared" si="13"/>
        <v>1062.624</v>
      </c>
      <c r="L93" s="157">
        <f t="shared" si="14"/>
        <v>1328.28</v>
      </c>
      <c r="M93" s="149">
        <f t="shared" si="10"/>
        <v>0</v>
      </c>
      <c r="N93" s="43" t="str">
        <f>_xlfn.IFNA(VLOOKUP(A93&amp;"-"&amp;B93&amp;"-"&amp;D93,Ref_Account!$A:$F,6,FALSE),"ACCOUNT TIDAK DITEMUKAN")</f>
        <v>1204.631100</v>
      </c>
      <c r="O93" s="40">
        <f t="shared" si="11"/>
        <v>3</v>
      </c>
      <c r="P93" s="40" t="str">
        <f t="shared" si="12"/>
        <v>OVER</v>
      </c>
      <c r="Q93" s="164" t="s">
        <v>553</v>
      </c>
      <c r="R93" s="168"/>
      <c r="AA93" s="171" t="str">
        <f t="shared" si="15"/>
        <v>Owi WijayaOTHER PRODUCTION COSTSecurityMAJA-2Rini3</v>
      </c>
      <c r="AB93" s="1" t="s">
        <v>657</v>
      </c>
      <c r="AC93" s="1" t="b">
        <f t="shared" si="16"/>
        <v>1</v>
      </c>
    </row>
    <row r="94" spans="1:29" hidden="1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6">
        <v>2736.7799999999997</v>
      </c>
      <c r="H94" s="156"/>
      <c r="I94" s="156">
        <f t="shared" si="9"/>
        <v>2736.7799999999997</v>
      </c>
      <c r="J94" s="42">
        <f>IFERROR(G94/VLOOKUP(A94,RESUME!$G$3:$I$10,3,FALSE),0)</f>
        <v>2.7232510432328692E-2</v>
      </c>
      <c r="K94" s="156">
        <f t="shared" si="13"/>
        <v>2189.424</v>
      </c>
      <c r="L94" s="156">
        <f t="shared" si="14"/>
        <v>2736.7799999999997</v>
      </c>
      <c r="M94" s="147">
        <f t="shared" si="10"/>
        <v>3.4040638040410867E-2</v>
      </c>
      <c r="N94" s="41" t="str">
        <f>_xlfn.IFNA(VLOOKUP(A94&amp;"-"&amp;B94&amp;"-"&amp;D94,Ref_Account!$A:$F,6,FALSE),"ACCOUNT TIDAK DITEMUKAN")</f>
        <v>1206.801160</v>
      </c>
      <c r="O94" s="39">
        <f t="shared" si="11"/>
        <v>1</v>
      </c>
      <c r="P94" s="39" t="str">
        <f t="shared" si="12"/>
        <v>OK</v>
      </c>
      <c r="Q94" s="152" t="s">
        <v>554</v>
      </c>
      <c r="R94" s="168"/>
      <c r="AA94" s="171" t="str">
        <f t="shared" si="15"/>
        <v>Wawan IskandarJAMSOSTEKBiaya BPJS Tenaga KerjaKALIBENDASiska1</v>
      </c>
      <c r="AB94" s="1" t="s">
        <v>658</v>
      </c>
      <c r="AC94" s="1" t="b">
        <f t="shared" si="16"/>
        <v>1</v>
      </c>
    </row>
    <row r="95" spans="1:29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7">
        <v>200</v>
      </c>
      <c r="H95" s="157"/>
      <c r="I95" s="157">
        <f t="shared" si="9"/>
        <v>200</v>
      </c>
      <c r="J95" s="185">
        <f>IFERROR(G95/VLOOKUP(A95,RESUME!$G$3:$I$10,3,FALSE),0)</f>
        <v>1.990113230316554E-3</v>
      </c>
      <c r="K95" s="157">
        <f t="shared" si="13"/>
        <v>160</v>
      </c>
      <c r="L95" s="157">
        <f t="shared" si="14"/>
        <v>200</v>
      </c>
      <c r="M95" s="149">
        <f t="shared" si="10"/>
        <v>2.4876415378956925E-3</v>
      </c>
      <c r="N95" s="43" t="str">
        <f>_xlfn.IFNA(VLOOKUP(A95&amp;"-"&amp;B95&amp;"-"&amp;D95,Ref_Account!$A:$F,6,FALSE),"ACCOUNT TIDAK DITEMUKAN")</f>
        <v>1206.630710</v>
      </c>
      <c r="O95" s="40">
        <f t="shared" si="11"/>
        <v>1</v>
      </c>
      <c r="P95" s="40" t="str">
        <f t="shared" si="12"/>
        <v>OK</v>
      </c>
      <c r="Q95" s="164" t="s">
        <v>529</v>
      </c>
      <c r="R95" s="168"/>
      <c r="AA95" s="171" t="str">
        <f t="shared" si="15"/>
        <v>Wawan IskandarMAINT.&amp;REP.BUILDINGpemeliharaan gedungKALIBENDARini1</v>
      </c>
      <c r="AB95" s="1" t="s">
        <v>659</v>
      </c>
      <c r="AC95" s="1" t="b">
        <f t="shared" si="16"/>
        <v>1</v>
      </c>
    </row>
    <row r="96" spans="1:29" hidden="1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6">
        <v>1460</v>
      </c>
      <c r="H96" s="156">
        <v>2181.4299999999998</v>
      </c>
      <c r="I96" s="156">
        <f t="shared" si="9"/>
        <v>-721.42999999999984</v>
      </c>
      <c r="J96" s="42">
        <f>IFERROR(G96/VLOOKUP(A96,RESUME!$G$3:$I$10,3,FALSE),0)</f>
        <v>1.4527826581310844E-2</v>
      </c>
      <c r="K96" s="156">
        <f t="shared" si="13"/>
        <v>1168</v>
      </c>
      <c r="L96" s="156">
        <f t="shared" si="14"/>
        <v>1460</v>
      </c>
      <c r="M96" s="147">
        <f t="shared" si="10"/>
        <v>0</v>
      </c>
      <c r="N96" s="41" t="str">
        <f>_xlfn.IFNA(VLOOKUP(A96&amp;"-"&amp;B96&amp;"-"&amp;D96,Ref_Account!$A:$F,6,FALSE),"ACCOUNT TIDAK DITEMUKAN")</f>
        <v>1206.630130</v>
      </c>
      <c r="O96" s="39">
        <f t="shared" si="11"/>
        <v>1</v>
      </c>
      <c r="P96" s="39" t="str">
        <f t="shared" si="12"/>
        <v>OVER</v>
      </c>
      <c r="Q96" s="152" t="s">
        <v>555</v>
      </c>
      <c r="R96" s="168"/>
      <c r="AA96" s="171" t="str">
        <f t="shared" si="15"/>
        <v>Wawan IskandarMEDICAL ALLOWANCEBPJS kesehatan ProduksiKALIBENDASiska1</v>
      </c>
      <c r="AB96" s="1" t="s">
        <v>660</v>
      </c>
      <c r="AC96" s="1" t="b">
        <f t="shared" si="16"/>
        <v>1</v>
      </c>
    </row>
    <row r="97" spans="1:29" hidden="1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7">
        <v>4235.2299999999996</v>
      </c>
      <c r="H97" s="157"/>
      <c r="I97" s="157">
        <f t="shared" si="9"/>
        <v>4235.2299999999996</v>
      </c>
      <c r="J97" s="185">
        <f>IFERROR(G97/VLOOKUP(A97,RESUME!$G$3:$I$10,3,FALSE),0)</f>
        <v>4.2142936282167892E-2</v>
      </c>
      <c r="K97" s="157">
        <f t="shared" si="13"/>
        <v>3388.1839999999997</v>
      </c>
      <c r="L97" s="157">
        <f t="shared" si="14"/>
        <v>4235.2299999999996</v>
      </c>
      <c r="M97" s="149">
        <f t="shared" si="10"/>
        <v>5.2678670352709865E-2</v>
      </c>
      <c r="N97" s="43" t="str">
        <f>_xlfn.IFNA(VLOOKUP(A97&amp;"-"&amp;B97&amp;"-"&amp;D97,Ref_Account!$A:$F,6,FALSE),"ACCOUNT TIDAK DITEMUKAN")</f>
        <v>1206.631000</v>
      </c>
      <c r="O97" s="40">
        <f t="shared" si="11"/>
        <v>1</v>
      </c>
      <c r="P97" s="40" t="str">
        <f t="shared" si="12"/>
        <v>OK</v>
      </c>
      <c r="Q97" s="164" t="s">
        <v>556</v>
      </c>
      <c r="R97" s="168"/>
      <c r="AA97" s="171" t="str">
        <f t="shared" si="15"/>
        <v>Wawan IskandarRENT EXPENSESBiaya SewaKALIBENDARini1</v>
      </c>
      <c r="AB97" s="1" t="s">
        <v>661</v>
      </c>
      <c r="AC97" s="1" t="b">
        <f t="shared" si="16"/>
        <v>1</v>
      </c>
    </row>
    <row r="98" spans="1:29" hidden="1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6">
        <v>821.62</v>
      </c>
      <c r="H98" s="156"/>
      <c r="I98" s="156">
        <f t="shared" si="9"/>
        <v>821.62</v>
      </c>
      <c r="J98" s="42">
        <f>IFERROR(G98/VLOOKUP(A98,RESUME!$G$3:$I$10,3,FALSE),0)</f>
        <v>8.175584161463436E-3</v>
      </c>
      <c r="K98" s="156">
        <f t="shared" si="13"/>
        <v>657.29600000000005</v>
      </c>
      <c r="L98" s="156">
        <f t="shared" si="14"/>
        <v>821.62</v>
      </c>
      <c r="M98" s="147">
        <f t="shared" si="10"/>
        <v>1.0219480201829296E-2</v>
      </c>
      <c r="N98" s="41" t="str">
        <f>_xlfn.IFNA(VLOOKUP(A98&amp;"-"&amp;B98&amp;"-"&amp;D98,Ref_Account!$A:$F,6,FALSE),"ACCOUNT TIDAK DITEMUKAN")</f>
        <v>1206.815110</v>
      </c>
      <c r="O98" s="39">
        <f t="shared" si="11"/>
        <v>1</v>
      </c>
      <c r="P98" s="39" t="str">
        <f t="shared" si="12"/>
        <v>OK</v>
      </c>
      <c r="Q98" s="152" t="s">
        <v>529</v>
      </c>
      <c r="R98" s="168"/>
      <c r="AA98" s="171" t="str">
        <f t="shared" si="15"/>
        <v>Wawan IskandarRENT EXPENSES BUILDINGSewa Kontrakan/pabrk banjarnegaraKALIBENDARini1</v>
      </c>
      <c r="AB98" s="1" t="s">
        <v>662</v>
      </c>
      <c r="AC98" s="1" t="b">
        <f t="shared" si="16"/>
        <v>1</v>
      </c>
    </row>
    <row r="99" spans="1:29" hidden="1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7">
        <v>55</v>
      </c>
      <c r="H99" s="157"/>
      <c r="I99" s="157">
        <f t="shared" si="9"/>
        <v>55</v>
      </c>
      <c r="J99" s="185">
        <f>IFERROR(G99/VLOOKUP(A99,RESUME!$G$3:$I$10,3,FALSE),0)</f>
        <v>5.4728113833705236E-4</v>
      </c>
      <c r="K99" s="157">
        <f t="shared" si="13"/>
        <v>44</v>
      </c>
      <c r="L99" s="157">
        <f t="shared" si="14"/>
        <v>55</v>
      </c>
      <c r="M99" s="149">
        <f t="shared" si="10"/>
        <v>6.8410142292131548E-4</v>
      </c>
      <c r="N99" s="43" t="str">
        <f>_xlfn.IFNA(VLOOKUP(A99&amp;"-"&amp;B99&amp;"-"&amp;D99,Ref_Account!$A:$F,6,FALSE),"ACCOUNT TIDAK DITEMUKAN")</f>
        <v>1206.802120</v>
      </c>
      <c r="O99" s="40">
        <f t="shared" si="11"/>
        <v>1</v>
      </c>
      <c r="P99" s="40" t="str">
        <f t="shared" si="12"/>
        <v>OK</v>
      </c>
      <c r="Q99" s="164" t="s">
        <v>529</v>
      </c>
      <c r="R99" s="168"/>
      <c r="AA99" s="171" t="str">
        <f t="shared" si="15"/>
        <v>Wawan IskandarTELEPHONE EXPENSESbiaya TelkomKALIBENDARini1</v>
      </c>
      <c r="AB99" s="1" t="s">
        <v>663</v>
      </c>
      <c r="AC99" s="1" t="b">
        <f t="shared" si="16"/>
        <v>1</v>
      </c>
    </row>
    <row r="100" spans="1:29" hidden="1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6">
        <v>20.09</v>
      </c>
      <c r="H100" s="156"/>
      <c r="I100" s="156">
        <f t="shared" si="9"/>
        <v>20.09</v>
      </c>
      <c r="J100" s="42">
        <f>IFERROR(G100/VLOOKUP(A100,RESUME!$G$3:$I$10,3,FALSE),0)</f>
        <v>1.9990687398529784E-4</v>
      </c>
      <c r="K100" s="156">
        <f t="shared" si="13"/>
        <v>16.071999999999999</v>
      </c>
      <c r="L100" s="156">
        <f t="shared" si="14"/>
        <v>20.09</v>
      </c>
      <c r="M100" s="147">
        <f t="shared" si="10"/>
        <v>2.4988359248162231E-4</v>
      </c>
      <c r="N100" s="41" t="str">
        <f>_xlfn.IFNA(VLOOKUP(A100&amp;"-"&amp;B100&amp;"-"&amp;D100,Ref_Account!$A:$F,6,FALSE),"ACCOUNT TIDAK DITEMUKAN")</f>
        <v>1206.630450</v>
      </c>
      <c r="O100" s="39">
        <f t="shared" si="11"/>
        <v>1</v>
      </c>
      <c r="P100" s="39" t="str">
        <f t="shared" si="12"/>
        <v>OK</v>
      </c>
      <c r="Q100" s="152" t="s">
        <v>529</v>
      </c>
      <c r="R100" s="168"/>
      <c r="AA100" s="171" t="str">
        <f t="shared" si="15"/>
        <v>Wawan IskandarWATERTagihan Pajak Air TanahKALIBENDARini1</v>
      </c>
      <c r="AB100" s="1" t="s">
        <v>664</v>
      </c>
      <c r="AC100" s="1" t="b">
        <f t="shared" si="16"/>
        <v>1</v>
      </c>
    </row>
    <row r="101" spans="1:29" hidden="1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7">
        <v>563</v>
      </c>
      <c r="H101" s="157">
        <v>84.77</v>
      </c>
      <c r="I101" s="157">
        <f t="shared" si="9"/>
        <v>478.23</v>
      </c>
      <c r="J101" s="185">
        <f>IFERROR(G101/VLOOKUP(A101,RESUME!$G$3:$I$10,3,FALSE),0)</f>
        <v>5.6021687433410999E-3</v>
      </c>
      <c r="K101" s="157">
        <f t="shared" si="13"/>
        <v>450.40000000000003</v>
      </c>
      <c r="L101" s="157">
        <f t="shared" si="14"/>
        <v>563</v>
      </c>
      <c r="M101" s="149">
        <f t="shared" si="10"/>
        <v>7.0027109291763753E-3</v>
      </c>
      <c r="N101" s="43" t="str">
        <f>_xlfn.IFNA(VLOOKUP(A101&amp;"-"&amp;B101&amp;"-"&amp;D101,Ref_Account!$A:$F,6,FALSE),"ACCOUNT TIDAK DITEMUKAN")</f>
        <v>1206.630300</v>
      </c>
      <c r="O101" s="40">
        <f t="shared" si="11"/>
        <v>1</v>
      </c>
      <c r="P101" s="40" t="str">
        <f t="shared" si="12"/>
        <v>OK</v>
      </c>
      <c r="Q101" s="164" t="s">
        <v>529</v>
      </c>
      <c r="R101" s="168"/>
      <c r="AA101" s="171" t="str">
        <f t="shared" si="15"/>
        <v>Wawan IskandarFACTORY SUPPLIES EXPENSEKebutuhan Produksi (KABEL, SEWA MESIN, AMPLAS, BATTERY CHARGER, PILOX, CIPUT)KALIBENDAAlivia1</v>
      </c>
      <c r="AB101" s="1" t="s">
        <v>665</v>
      </c>
      <c r="AC101" s="1" t="b">
        <f t="shared" si="16"/>
        <v>1</v>
      </c>
    </row>
    <row r="102" spans="1:29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6">
        <v>50</v>
      </c>
      <c r="H102" s="156"/>
      <c r="I102" s="156">
        <f t="shared" si="9"/>
        <v>50</v>
      </c>
      <c r="J102" s="42">
        <f>IFERROR(G102/VLOOKUP(A102,RESUME!$G$3:$I$10,3,FALSE),0)</f>
        <v>4.9752830757913849E-4</v>
      </c>
      <c r="K102" s="156">
        <f t="shared" si="13"/>
        <v>40</v>
      </c>
      <c r="L102" s="156">
        <f t="shared" si="14"/>
        <v>50</v>
      </c>
      <c r="M102" s="147">
        <f t="shared" si="10"/>
        <v>6.2191038447392312E-4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7">IF(N102="ACCOUNT TIDAK DITEMUKAN","9999",COUNTIF($N$6:$N$164,N102))</f>
        <v>1</v>
      </c>
      <c r="P102" s="39" t="str">
        <f t="shared" si="12"/>
        <v>OK</v>
      </c>
      <c r="Q102" s="152" t="s">
        <v>529</v>
      </c>
      <c r="R102" s="168"/>
      <c r="AA102" s="171" t="str">
        <f t="shared" si="15"/>
        <v>Wawan IskandarMAINT.&amp;REP.ELECTRICITYpemeliharaan instalasi listrikKALIBENDAAlivia1</v>
      </c>
      <c r="AB102" s="1" t="s">
        <v>666</v>
      </c>
      <c r="AC102" s="1" t="b">
        <f t="shared" si="16"/>
        <v>1</v>
      </c>
    </row>
    <row r="103" spans="1:29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7">
        <v>50</v>
      </c>
      <c r="H103" s="157"/>
      <c r="I103" s="157">
        <f t="shared" si="9"/>
        <v>50</v>
      </c>
      <c r="J103" s="185">
        <f>IFERROR(G103/VLOOKUP(A103,RESUME!$G$3:$I$10,3,FALSE),0)</f>
        <v>4.9752830757913849E-4</v>
      </c>
      <c r="K103" s="157">
        <f t="shared" si="13"/>
        <v>40</v>
      </c>
      <c r="L103" s="157">
        <f t="shared" si="14"/>
        <v>50</v>
      </c>
      <c r="M103" s="149">
        <f t="shared" si="10"/>
        <v>6.2191038447392312E-4</v>
      </c>
      <c r="N103" s="43" t="str">
        <f>_xlfn.IFNA(VLOOKUP(A103&amp;"-"&amp;B103&amp;"-"&amp;D103,Ref_Account!$A:$F,6,FALSE),"ACCOUNT TIDAK DITEMUKAN")</f>
        <v>1206.630750</v>
      </c>
      <c r="O103" s="40">
        <f t="shared" si="17"/>
        <v>1</v>
      </c>
      <c r="P103" s="40" t="str">
        <f t="shared" si="12"/>
        <v>OK</v>
      </c>
      <c r="Q103" s="164" t="s">
        <v>529</v>
      </c>
      <c r="R103" s="168"/>
      <c r="AA103" s="171" t="str">
        <f t="shared" si="15"/>
        <v>Wawan IskandarMAINT.&amp;REP.GEN&amp;BOILERPemeliharaan GeneratorKALIBENDAAlivia1</v>
      </c>
      <c r="AB103" s="1" t="s">
        <v>667</v>
      </c>
      <c r="AC103" s="1" t="b">
        <f t="shared" si="16"/>
        <v>1</v>
      </c>
    </row>
    <row r="104" spans="1:29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6">
        <v>50</v>
      </c>
      <c r="H104" s="156">
        <v>1313.04</v>
      </c>
      <c r="I104" s="156">
        <f t="shared" si="9"/>
        <v>-1263.04</v>
      </c>
      <c r="J104" s="42">
        <f>IFERROR(G104/VLOOKUP(A104,RESUME!$G$3:$I$10,3,FALSE),0)</f>
        <v>4.9752830757913849E-4</v>
      </c>
      <c r="K104" s="156">
        <f t="shared" si="13"/>
        <v>40</v>
      </c>
      <c r="L104" s="156">
        <f t="shared" si="14"/>
        <v>50</v>
      </c>
      <c r="M104" s="147">
        <f t="shared" si="10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7"/>
        <v>1</v>
      </c>
      <c r="P104" s="39" t="str">
        <f t="shared" si="12"/>
        <v>OVER</v>
      </c>
      <c r="Q104" s="152" t="s">
        <v>557</v>
      </c>
      <c r="R104" s="168"/>
      <c r="AA104" s="171" t="str">
        <f t="shared" si="15"/>
        <v>Wawan IskandarMAINT.&amp;REP.MACHINERIEpemeliharaan mesinKALIBENDAAlivia1</v>
      </c>
      <c r="AB104" s="1" t="s">
        <v>668</v>
      </c>
      <c r="AC104" s="1" t="b">
        <f t="shared" si="16"/>
        <v>1</v>
      </c>
    </row>
    <row r="105" spans="1:29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7">
        <v>50</v>
      </c>
      <c r="H105" s="157"/>
      <c r="I105" s="157">
        <f t="shared" si="9"/>
        <v>50</v>
      </c>
      <c r="J105" s="185">
        <f>IFERROR(G105/VLOOKUP(A105,RESUME!$G$3:$I$10,3,FALSE),0)</f>
        <v>4.9752830757913849E-4</v>
      </c>
      <c r="K105" s="157">
        <f t="shared" si="13"/>
        <v>40</v>
      </c>
      <c r="L105" s="157">
        <f t="shared" si="14"/>
        <v>50</v>
      </c>
      <c r="M105" s="149">
        <f t="shared" si="10"/>
        <v>6.2191038447392312E-4</v>
      </c>
      <c r="N105" s="43" t="str">
        <f>_xlfn.IFNA(VLOOKUP(A105&amp;"-"&amp;B105&amp;"-"&amp;D105,Ref_Account!$A:$F,6,FALSE),"ACCOUNT TIDAK DITEMUKAN")</f>
        <v>1206.630760</v>
      </c>
      <c r="O105" s="40">
        <f t="shared" si="17"/>
        <v>1</v>
      </c>
      <c r="P105" s="40" t="str">
        <f t="shared" si="12"/>
        <v>OK</v>
      </c>
      <c r="Q105" s="164" t="s">
        <v>529</v>
      </c>
      <c r="R105" s="168"/>
      <c r="AA105" s="171" t="str">
        <f t="shared" si="15"/>
        <v>Wawan IskandarMAINT.&amp;REP.MOTORVEHICLEpemeliharaan kendaraanKALIBENDAAlivia1</v>
      </c>
      <c r="AB105" s="1" t="s">
        <v>669</v>
      </c>
      <c r="AC105" s="1" t="b">
        <f t="shared" si="16"/>
        <v>1</v>
      </c>
    </row>
    <row r="106" spans="1:29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6">
        <v>50</v>
      </c>
      <c r="H106" s="156"/>
      <c r="I106" s="156">
        <f t="shared" si="9"/>
        <v>50</v>
      </c>
      <c r="J106" s="42">
        <f>IFERROR(G106/VLOOKUP(A106,RESUME!$G$3:$I$10,3,FALSE),0)</f>
        <v>4.9752830757913849E-4</v>
      </c>
      <c r="K106" s="156">
        <f t="shared" si="13"/>
        <v>40</v>
      </c>
      <c r="L106" s="156">
        <f t="shared" si="14"/>
        <v>50</v>
      </c>
      <c r="M106" s="147">
        <f t="shared" si="10"/>
        <v>6.2191038447392312E-4</v>
      </c>
      <c r="N106" s="41" t="str">
        <f>_xlfn.IFNA(VLOOKUP(A106&amp;"-"&amp;B106&amp;"-"&amp;D106,Ref_Account!$A:$F,6,FALSE),"ACCOUNT TIDAK DITEMUKAN")</f>
        <v>1206.630730</v>
      </c>
      <c r="O106" s="39">
        <f t="shared" si="17"/>
        <v>1</v>
      </c>
      <c r="P106" s="39" t="str">
        <f t="shared" si="12"/>
        <v>OK</v>
      </c>
      <c r="Q106" s="152" t="s">
        <v>529</v>
      </c>
      <c r="R106" s="168"/>
      <c r="AA106" s="171" t="str">
        <f t="shared" si="15"/>
        <v>Wawan IskandarMAINT.&amp;REP.PLANTEQUIpemeliharaan peralatan produksiKALIBENDAAlivia1</v>
      </c>
      <c r="AB106" s="1" t="s">
        <v>670</v>
      </c>
      <c r="AC106" s="1" t="b">
        <f t="shared" si="16"/>
        <v>1</v>
      </c>
    </row>
    <row r="107" spans="1:29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7">
        <v>50</v>
      </c>
      <c r="H107" s="157"/>
      <c r="I107" s="157">
        <f t="shared" si="9"/>
        <v>50</v>
      </c>
      <c r="J107" s="185">
        <f>IFERROR(G107/VLOOKUP(A107,RESUME!$G$3:$I$10,3,FALSE),0)</f>
        <v>4.9752830757913849E-4</v>
      </c>
      <c r="K107" s="157">
        <f t="shared" si="13"/>
        <v>40</v>
      </c>
      <c r="L107" s="157">
        <f t="shared" si="14"/>
        <v>50</v>
      </c>
      <c r="M107" s="149">
        <f t="shared" si="10"/>
        <v>6.2191038447392312E-4</v>
      </c>
      <c r="N107" s="43" t="str">
        <f>_xlfn.IFNA(VLOOKUP(A107&amp;"-"&amp;B107&amp;"-"&amp;D107,Ref_Account!$A:$F,6,FALSE),"ACCOUNT TIDAK DITEMUKAN")</f>
        <v>1206.630740</v>
      </c>
      <c r="O107" s="40">
        <f t="shared" si="17"/>
        <v>1</v>
      </c>
      <c r="P107" s="40" t="str">
        <f t="shared" si="12"/>
        <v>OK</v>
      </c>
      <c r="Q107" s="164" t="s">
        <v>529</v>
      </c>
      <c r="R107" s="168"/>
      <c r="AA107" s="171" t="str">
        <f t="shared" si="15"/>
        <v>Wawan IskandarMAINT.&amp;REP.WATERINSTL.pemeliharaan instalasi airKALIBENDAAlivia1</v>
      </c>
      <c r="AB107" s="1" t="s">
        <v>671</v>
      </c>
      <c r="AC107" s="1" t="b">
        <f t="shared" si="16"/>
        <v>1</v>
      </c>
    </row>
    <row r="108" spans="1:29" hidden="1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6">
        <v>3978</v>
      </c>
      <c r="H108" s="156">
        <v>4309.0600000000004</v>
      </c>
      <c r="I108" s="156">
        <f t="shared" si="9"/>
        <v>-331.0600000000004</v>
      </c>
      <c r="J108" s="42">
        <f>IFERROR(G108/VLOOKUP(A108,RESUME!$G$3:$I$10,3,FALSE),0)</f>
        <v>3.9583352150996259E-2</v>
      </c>
      <c r="K108" s="156">
        <f t="shared" si="13"/>
        <v>3182.4</v>
      </c>
      <c r="L108" s="156">
        <f t="shared" si="14"/>
        <v>3978</v>
      </c>
      <c r="M108" s="147">
        <f t="shared" si="10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7"/>
        <v>1</v>
      </c>
      <c r="P108" s="39" t="str">
        <f t="shared" si="12"/>
        <v>OVER</v>
      </c>
      <c r="Q108" s="152" t="s">
        <v>529</v>
      </c>
      <c r="R108" s="168"/>
      <c r="AA108" s="171" t="str">
        <f t="shared" si="15"/>
        <v>Wawan IskandarPEMAKAIAN SPARE PARTissue jarum , baud, dllKALIBENDAAlivia1</v>
      </c>
      <c r="AB108" s="1" t="s">
        <v>672</v>
      </c>
      <c r="AC108" s="1" t="b">
        <f t="shared" si="16"/>
        <v>1</v>
      </c>
    </row>
    <row r="109" spans="1:29" hidden="1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7">
        <v>5000</v>
      </c>
      <c r="H109" s="157">
        <v>3055.97</v>
      </c>
      <c r="I109" s="157">
        <f t="shared" si="9"/>
        <v>1944.0300000000002</v>
      </c>
      <c r="J109" s="185">
        <f>IFERROR(G109/VLOOKUP(A109,RESUME!$G$3:$I$10,3,FALSE),0)</f>
        <v>4.9752830757913848E-2</v>
      </c>
      <c r="K109" s="157">
        <f t="shared" si="13"/>
        <v>4000</v>
      </c>
      <c r="L109" s="157">
        <f t="shared" si="14"/>
        <v>5000</v>
      </c>
      <c r="M109" s="149">
        <f t="shared" si="10"/>
        <v>6.2191038447392308E-2</v>
      </c>
      <c r="N109" s="43" t="str">
        <f>_xlfn.IFNA(VLOOKUP(A109&amp;"-"&amp;B109&amp;"-"&amp;D109,Ref_Account!$A:$F,6,FALSE),"ACCOUNT TIDAK DITEMUKAN")</f>
        <v>1206.812100</v>
      </c>
      <c r="O109" s="40">
        <f t="shared" si="17"/>
        <v>1</v>
      </c>
      <c r="P109" s="40" t="str">
        <f t="shared" si="12"/>
        <v>OK</v>
      </c>
      <c r="Q109" s="164" t="s">
        <v>529</v>
      </c>
      <c r="R109" s="168"/>
      <c r="AA109" s="171" t="str">
        <f t="shared" si="15"/>
        <v>Wawan IskandarBUSINESS TRIP EXPENSESAkomodasi dari tugas luarKALIBENDAWawan1</v>
      </c>
      <c r="AB109" s="1" t="s">
        <v>673</v>
      </c>
      <c r="AC109" s="1" t="b">
        <f t="shared" si="16"/>
        <v>1</v>
      </c>
    </row>
    <row r="110" spans="1:29" hidden="1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6">
        <v>3463.43</v>
      </c>
      <c r="H110" s="156">
        <v>3779.14</v>
      </c>
      <c r="I110" s="156">
        <f t="shared" si="9"/>
        <v>-315.71000000000004</v>
      </c>
      <c r="J110" s="42">
        <f>IFERROR(G110/VLOOKUP(A110,RESUME!$G$3:$I$10,3,FALSE),0)</f>
        <v>3.446308932637631E-2</v>
      </c>
      <c r="K110" s="156">
        <f t="shared" si="13"/>
        <v>2770.7440000000001</v>
      </c>
      <c r="L110" s="156">
        <f t="shared" si="14"/>
        <v>3463.43</v>
      </c>
      <c r="M110" s="147">
        <f t="shared" si="10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7"/>
        <v>1</v>
      </c>
      <c r="P110" s="39" t="str">
        <f t="shared" si="12"/>
        <v>OVER</v>
      </c>
      <c r="Q110" s="152" t="s">
        <v>529</v>
      </c>
      <c r="R110" s="168"/>
      <c r="AA110" s="171" t="str">
        <f t="shared" si="15"/>
        <v>Wawan IskandarELECTRICITYBiaya Listrik PLNKALIBENDARini1</v>
      </c>
      <c r="AB110" s="1" t="s">
        <v>674</v>
      </c>
      <c r="AC110" s="1" t="b">
        <f t="shared" si="16"/>
        <v>1</v>
      </c>
    </row>
    <row r="111" spans="1:29" hidden="1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7">
        <v>23.95</v>
      </c>
      <c r="H111" s="157"/>
      <c r="I111" s="157">
        <f t="shared" si="9"/>
        <v>23.95</v>
      </c>
      <c r="J111" s="185">
        <f>IFERROR(G111/VLOOKUP(A111,RESUME!$G$3:$I$10,3,FALSE),0)</f>
        <v>2.3831605933040734E-4</v>
      </c>
      <c r="K111" s="157">
        <f t="shared" si="13"/>
        <v>19.16</v>
      </c>
      <c r="L111" s="157">
        <f t="shared" si="14"/>
        <v>23.95</v>
      </c>
      <c r="M111" s="149">
        <f t="shared" si="10"/>
        <v>2.9789507416300918E-4</v>
      </c>
      <c r="N111" s="43" t="str">
        <f>_xlfn.IFNA(VLOOKUP(A111&amp;"-"&amp;B111&amp;"-"&amp;D111,Ref_Account!$A:$F,6,FALSE),"ACCOUNT TIDAK DITEMUKAN")</f>
        <v>1206.808100</v>
      </c>
      <c r="O111" s="40">
        <f t="shared" si="17"/>
        <v>1</v>
      </c>
      <c r="P111" s="40" t="str">
        <f t="shared" si="12"/>
        <v>OK</v>
      </c>
      <c r="Q111" s="164" t="s">
        <v>529</v>
      </c>
      <c r="R111" s="168"/>
      <c r="AA111" s="171" t="str">
        <f t="shared" si="15"/>
        <v>Wawan IskandarFUEL FOR MOTOR VEHICLEBahan bakar untuk kendaraanKALIBENDARini1</v>
      </c>
      <c r="AB111" s="1" t="s">
        <v>675</v>
      </c>
      <c r="AC111" s="1" t="b">
        <f t="shared" si="16"/>
        <v>1</v>
      </c>
    </row>
    <row r="112" spans="1:29" hidden="1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6">
        <v>47747.46</v>
      </c>
      <c r="H112" s="156"/>
      <c r="I112" s="156">
        <f t="shared" si="9"/>
        <v>47747.46</v>
      </c>
      <c r="J112" s="42">
        <f>IFERROR(G112/VLOOKUP(A112,RESUME!$G$3:$I$10,3,FALSE),0)</f>
        <v>0.47511425930005224</v>
      </c>
      <c r="K112" s="156">
        <f t="shared" si="13"/>
        <v>38197.968000000001</v>
      </c>
      <c r="L112" s="156">
        <f t="shared" si="14"/>
        <v>47747.46</v>
      </c>
      <c r="M112" s="147">
        <f t="shared" si="10"/>
        <v>0.59389282412506528</v>
      </c>
      <c r="N112" s="41" t="str">
        <f>_xlfn.IFNA(VLOOKUP(A112&amp;"-"&amp;B112&amp;"-"&amp;D112,Ref_Account!$A:$F,6,FALSE),"ACCOUNT TIDAK DITEMUKAN")</f>
        <v>1206.630110</v>
      </c>
      <c r="O112" s="39">
        <f t="shared" si="17"/>
        <v>1</v>
      </c>
      <c r="P112" s="39" t="str">
        <f t="shared" si="12"/>
        <v>OK</v>
      </c>
      <c r="Q112" s="152" t="s">
        <v>529</v>
      </c>
      <c r="R112" s="168"/>
      <c r="AA112" s="171" t="str">
        <f t="shared" si="15"/>
        <v>Wawan IskandarLABOR COSTUpah ProduksiKALIBENDAParsikin1</v>
      </c>
      <c r="AB112" s="1" t="s">
        <v>676</v>
      </c>
      <c r="AC112" s="1" t="b">
        <f t="shared" si="16"/>
        <v>1</v>
      </c>
    </row>
    <row r="113" spans="1:29" hidden="1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7">
        <v>2800</v>
      </c>
      <c r="H113" s="157"/>
      <c r="I113" s="157">
        <f t="shared" si="9"/>
        <v>2800</v>
      </c>
      <c r="J113" s="185">
        <f>IFERROR(G113/VLOOKUP(A113,RESUME!$G$3:$I$10,3,FALSE),0)</f>
        <v>2.7861585224431756E-2</v>
      </c>
      <c r="K113" s="157">
        <f t="shared" si="13"/>
        <v>2240</v>
      </c>
      <c r="L113" s="157">
        <f t="shared" si="14"/>
        <v>2800</v>
      </c>
      <c r="M113" s="149">
        <f t="shared" si="10"/>
        <v>3.4826981530539695E-2</v>
      </c>
      <c r="N113" s="43" t="str">
        <f>_xlfn.IFNA(VLOOKUP(A113&amp;"-"&amp;B113&amp;"-"&amp;D113,Ref_Account!$A:$F,6,FALSE),"ACCOUNT TIDAK DITEMUKAN")</f>
        <v>1206.801110</v>
      </c>
      <c r="O113" s="40">
        <f t="shared" si="17"/>
        <v>1</v>
      </c>
      <c r="P113" s="40" t="str">
        <f t="shared" si="12"/>
        <v>OK</v>
      </c>
      <c r="Q113" s="164" t="s">
        <v>529</v>
      </c>
      <c r="R113" s="168"/>
      <c r="AA113" s="171" t="str">
        <f t="shared" si="15"/>
        <v>Wawan IskandarOFFICER SALARIESUpah StaffKALIBENDACeria1</v>
      </c>
      <c r="AB113" s="1" t="s">
        <v>677</v>
      </c>
      <c r="AC113" s="1" t="b">
        <f t="shared" si="16"/>
        <v>1</v>
      </c>
    </row>
    <row r="114" spans="1:29" hidden="1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6">
        <v>812</v>
      </c>
      <c r="H114" s="156">
        <v>676.87</v>
      </c>
      <c r="I114" s="156">
        <f t="shared" si="9"/>
        <v>135.13</v>
      </c>
      <c r="J114" s="42">
        <f>IFERROR(G114/VLOOKUP(A114,RESUME!$G$3:$I$10,3,FALSE),0)</f>
        <v>8.0798597150852098E-3</v>
      </c>
      <c r="K114" s="156">
        <f t="shared" si="13"/>
        <v>649.6</v>
      </c>
      <c r="L114" s="156">
        <f t="shared" si="14"/>
        <v>812</v>
      </c>
      <c r="M114" s="147">
        <f t="shared" si="10"/>
        <v>9.6929190075630348E-3</v>
      </c>
      <c r="N114" s="41" t="str">
        <f>_xlfn.IFNA(VLOOKUP(A114&amp;"-"&amp;B114&amp;"-"&amp;D114,Ref_Account!$A:$F,6,FALSE),"ACCOUNT TIDAK DITEMUKAN")</f>
        <v>1206.631180</v>
      </c>
      <c r="O114" s="39">
        <f t="shared" si="17"/>
        <v>1</v>
      </c>
      <c r="P114" s="39" t="str">
        <f t="shared" si="12"/>
        <v>OK</v>
      </c>
      <c r="Q114" s="152" t="s">
        <v>529</v>
      </c>
      <c r="R114" s="168"/>
      <c r="AA114" s="171" t="str">
        <f t="shared" si="15"/>
        <v>Wawan IskandarPEMAKAIAN GENERAL MATERIALissue nashua, double tape, karton tebal,numbering, kertas gelar, tinta numbering, kertas marker.KALIBENDARisa1</v>
      </c>
      <c r="AB114" s="1" t="s">
        <v>678</v>
      </c>
      <c r="AC114" s="1" t="b">
        <f t="shared" si="16"/>
        <v>1</v>
      </c>
    </row>
    <row r="115" spans="1:29" hidden="1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7">
        <v>26280.234329731342</v>
      </c>
      <c r="H115" s="157"/>
      <c r="I115" s="157">
        <f t="shared" si="9"/>
        <v>26280.234329731342</v>
      </c>
      <c r="J115" s="185">
        <f>IFERROR(G115/VLOOKUP(A115,RESUME!$G$3:$I$10,3,FALSE),0)</f>
        <v>0.26150321017708822</v>
      </c>
      <c r="K115" s="157">
        <f t="shared" si="13"/>
        <v>21024.187463785074</v>
      </c>
      <c r="L115" s="157">
        <f t="shared" si="14"/>
        <v>26280.234329731342</v>
      </c>
      <c r="M115" s="149">
        <f t="shared" si="10"/>
        <v>0.32687901272136027</v>
      </c>
      <c r="N115" s="43" t="str">
        <f>_xlfn.IFNA(VLOOKUP(A115&amp;"-"&amp;B115&amp;"-"&amp;D115,Ref_Account!$A:$F,6,FALSE),"ACCOUNT TIDAK DITEMUKAN")</f>
        <v>1206.630600</v>
      </c>
      <c r="O115" s="40">
        <f t="shared" si="17"/>
        <v>1</v>
      </c>
      <c r="P115" s="40" t="str">
        <f t="shared" si="12"/>
        <v>OK</v>
      </c>
      <c r="Q115" s="164" t="s">
        <v>558</v>
      </c>
      <c r="R115" s="168"/>
      <c r="AA115" s="171" t="str">
        <f t="shared" si="15"/>
        <v>Wawan IskandarVENDOR EXPENSESBiaya Makloon CHWGalang1</v>
      </c>
      <c r="AB115" s="1" t="s">
        <v>679</v>
      </c>
      <c r="AC115" s="1" t="b">
        <f t="shared" si="16"/>
        <v>1</v>
      </c>
    </row>
    <row r="116" spans="1:29" hidden="1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6">
        <v>137.53</v>
      </c>
      <c r="H116" s="156"/>
      <c r="I116" s="156">
        <f t="shared" si="9"/>
        <v>137.53</v>
      </c>
      <c r="J116" s="42">
        <f>IFERROR(G116/VLOOKUP(A116,RESUME!$G$3:$I$10,3,FALSE),0)</f>
        <v>5.5495675892985874E-4</v>
      </c>
      <c r="K116" s="156">
        <f t="shared" si="13"/>
        <v>110.024</v>
      </c>
      <c r="L116" s="156">
        <f t="shared" si="14"/>
        <v>137.53</v>
      </c>
      <c r="M116" s="147">
        <f t="shared" si="10"/>
        <v>6.9369594866232343E-4</v>
      </c>
      <c r="N116" s="41" t="str">
        <f>_xlfn.IFNA(VLOOKUP(A116&amp;"-"&amp;B116&amp;"-"&amp;D116,Ref_Account!$A:$F,6,FALSE),"ACCOUNT TIDAK DITEMUKAN")</f>
        <v>1205.813100</v>
      </c>
      <c r="O116" s="39">
        <f t="shared" si="17"/>
        <v>1</v>
      </c>
      <c r="P116" s="39" t="str">
        <f t="shared" si="12"/>
        <v>OK</v>
      </c>
      <c r="Q116" s="152" t="s">
        <v>529</v>
      </c>
      <c r="R116" s="168"/>
      <c r="AA116" s="171" t="str">
        <f t="shared" si="15"/>
        <v>Tony TejaENTERTAINMENTBiaya jamuan makan/HadiahMAJA-1Tita1</v>
      </c>
      <c r="AB116" s="1" t="s">
        <v>680</v>
      </c>
      <c r="AC116" s="1" t="b">
        <f t="shared" si="16"/>
        <v>1</v>
      </c>
    </row>
    <row r="117" spans="1:29" hidden="1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7">
        <v>5157.3999999999996</v>
      </c>
      <c r="H117" s="157"/>
      <c r="I117" s="157">
        <f t="shared" si="9"/>
        <v>5157.3999999999996</v>
      </c>
      <c r="J117" s="185">
        <f>IFERROR(G117/VLOOKUP(A117,RESUME!$G$3:$I$10,3,FALSE),0)</f>
        <v>2.0810979339088584E-2</v>
      </c>
      <c r="K117" s="157">
        <f t="shared" si="13"/>
        <v>4125.92</v>
      </c>
      <c r="L117" s="157">
        <f t="shared" si="14"/>
        <v>5157.3999999999996</v>
      </c>
      <c r="M117" s="149">
        <f t="shared" si="10"/>
        <v>2.601372417386073E-2</v>
      </c>
      <c r="N117" s="43" t="str">
        <f>_xlfn.IFNA(VLOOKUP(A117&amp;"-"&amp;B117&amp;"-"&amp;D117,Ref_Account!$A:$F,6,FALSE),"ACCOUNT TIDAK DITEMUKAN")</f>
        <v>1205.801160</v>
      </c>
      <c r="O117" s="40">
        <f t="shared" si="17"/>
        <v>1</v>
      </c>
      <c r="P117" s="40" t="str">
        <f t="shared" si="12"/>
        <v>OK</v>
      </c>
      <c r="Q117" s="164" t="s">
        <v>529</v>
      </c>
      <c r="R117" s="168"/>
      <c r="AA117" s="171" t="str">
        <f t="shared" si="15"/>
        <v>Tony TejaJAMSOSTEKBiaya BPJS Tenaga KerjaMAJA-1Siska1</v>
      </c>
      <c r="AB117" s="1" t="s">
        <v>681</v>
      </c>
      <c r="AC117" s="1" t="b">
        <f t="shared" si="16"/>
        <v>1</v>
      </c>
    </row>
    <row r="118" spans="1:29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6">
        <v>500</v>
      </c>
      <c r="H118" s="156">
        <v>90.17</v>
      </c>
      <c r="I118" s="156">
        <f t="shared" si="9"/>
        <v>409.83</v>
      </c>
      <c r="J118" s="42">
        <f>IFERROR(G118/VLOOKUP(A118,RESUME!$G$3:$I$10,3,FALSE),0)</f>
        <v>2.0175843776988971E-3</v>
      </c>
      <c r="K118" s="156">
        <f t="shared" si="13"/>
        <v>400</v>
      </c>
      <c r="L118" s="156">
        <f t="shared" si="14"/>
        <v>500</v>
      </c>
      <c r="M118" s="147">
        <f t="shared" si="10"/>
        <v>2.5219804721236215E-3</v>
      </c>
      <c r="N118" s="41" t="str">
        <f>_xlfn.IFNA(VLOOKUP(A118&amp;"-"&amp;B118&amp;"-"&amp;D118,Ref_Account!$A:$F,6,FALSE),"ACCOUNT TIDAK DITEMUKAN")</f>
        <v>1205.630710</v>
      </c>
      <c r="O118" s="39">
        <f t="shared" si="17"/>
        <v>1</v>
      </c>
      <c r="P118" s="39" t="str">
        <f t="shared" si="12"/>
        <v>OK</v>
      </c>
      <c r="Q118" s="152" t="s">
        <v>529</v>
      </c>
      <c r="R118" s="168"/>
      <c r="AA118" s="171" t="str">
        <f t="shared" si="15"/>
        <v>Tony TejaMAINT.&amp;REP.BUILDINGpemeliharaan gedungMAJA-1Rini1</v>
      </c>
      <c r="AB118" s="1" t="s">
        <v>682</v>
      </c>
      <c r="AC118" s="1" t="b">
        <f t="shared" si="16"/>
        <v>1</v>
      </c>
    </row>
    <row r="119" spans="1:29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7">
        <v>250</v>
      </c>
      <c r="H119" s="157"/>
      <c r="I119" s="157">
        <f t="shared" si="9"/>
        <v>250</v>
      </c>
      <c r="J119" s="185">
        <f>IFERROR(G119/VLOOKUP(A119,RESUME!$G$3:$I$10,3,FALSE),0)</f>
        <v>1.0087921888494486E-3</v>
      </c>
      <c r="K119" s="157">
        <f t="shared" si="13"/>
        <v>200</v>
      </c>
      <c r="L119" s="157">
        <f t="shared" si="14"/>
        <v>250</v>
      </c>
      <c r="M119" s="149">
        <f t="shared" si="10"/>
        <v>1.2609902360618108E-3</v>
      </c>
      <c r="N119" s="43" t="str">
        <f>_xlfn.IFNA(VLOOKUP(A119&amp;"-"&amp;B119&amp;"-"&amp;D119,Ref_Account!$A:$F,6,FALSE),"ACCOUNT TIDAK DITEMUKAN")</f>
        <v>1205.630740</v>
      </c>
      <c r="O119" s="40">
        <f t="shared" si="17"/>
        <v>1</v>
      </c>
      <c r="P119" s="40" t="str">
        <f t="shared" si="12"/>
        <v>OK</v>
      </c>
      <c r="Q119" s="164" t="s">
        <v>529</v>
      </c>
      <c r="R119" s="168"/>
      <c r="AA119" s="171" t="str">
        <f t="shared" si="15"/>
        <v>Tony TejaMAINT.&amp;REP.WATERINSTL.pemeliharaan instalasi airMAJA-1Rini1</v>
      </c>
      <c r="AB119" s="1" t="s">
        <v>683</v>
      </c>
      <c r="AC119" s="1" t="b">
        <f t="shared" si="16"/>
        <v>1</v>
      </c>
    </row>
    <row r="120" spans="1:29" hidden="1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6">
        <v>3183.98</v>
      </c>
      <c r="H120" s="156">
        <v>3929.89</v>
      </c>
      <c r="I120" s="156">
        <f t="shared" si="9"/>
        <v>-745.90999999999985</v>
      </c>
      <c r="J120" s="42">
        <f>IFERROR(G120/VLOOKUP(A120,RESUME!$G$3:$I$10,3,FALSE),0)</f>
        <v>1.284789661381147E-2</v>
      </c>
      <c r="K120" s="156">
        <f t="shared" si="13"/>
        <v>2547.1840000000002</v>
      </c>
      <c r="L120" s="156">
        <f t="shared" si="14"/>
        <v>3183.98</v>
      </c>
      <c r="M120" s="147">
        <f t="shared" si="10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7"/>
        <v>1</v>
      </c>
      <c r="P120" s="39" t="str">
        <f t="shared" si="12"/>
        <v>OVER</v>
      </c>
      <c r="Q120" s="152" t="s">
        <v>529</v>
      </c>
      <c r="R120" s="168"/>
      <c r="AA120" s="171" t="str">
        <f t="shared" si="15"/>
        <v>Tony TejaMEDICAL ALLOWANCEBPJS kesehatan ProduksiMAJA-1Siska1</v>
      </c>
      <c r="AB120" s="1" t="s">
        <v>684</v>
      </c>
      <c r="AC120" s="1" t="b">
        <f t="shared" si="16"/>
        <v>1</v>
      </c>
    </row>
    <row r="121" spans="1:29" hidden="1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7">
        <v>126.99</v>
      </c>
      <c r="H121" s="157"/>
      <c r="I121" s="157">
        <f t="shared" si="9"/>
        <v>126.99</v>
      </c>
      <c r="J121" s="185">
        <f>IFERROR(G121/VLOOKUP(A121,RESUME!$G$3:$I$10,3,FALSE),0)</f>
        <v>5.124260802479659E-4</v>
      </c>
      <c r="K121" s="157">
        <f t="shared" si="13"/>
        <v>101.592</v>
      </c>
      <c r="L121" s="157">
        <f t="shared" si="14"/>
        <v>126.99</v>
      </c>
      <c r="M121" s="149">
        <f t="shared" si="10"/>
        <v>6.4053260030995742E-4</v>
      </c>
      <c r="N121" s="43" t="str">
        <f>_xlfn.IFNA(VLOOKUP(A121&amp;"-"&amp;B121&amp;"-"&amp;D121,Ref_Account!$A:$F,6,FALSE),"ACCOUNT TIDAK DITEMUKAN")</f>
        <v>1205.815110</v>
      </c>
      <c r="O121" s="40">
        <f t="shared" si="17"/>
        <v>1</v>
      </c>
      <c r="P121" s="40" t="str">
        <f t="shared" si="12"/>
        <v>OK</v>
      </c>
      <c r="Q121" s="164" t="s">
        <v>529</v>
      </c>
      <c r="R121" s="168"/>
      <c r="AA121" s="171" t="str">
        <f t="shared" si="15"/>
        <v>Tony TejaRENT EXPENSES BUILDINGSewa Kontrakan/pabrk banjarnegaraMAJA-1Rini1</v>
      </c>
      <c r="AB121" s="1" t="s">
        <v>685</v>
      </c>
      <c r="AC121" s="1" t="b">
        <f t="shared" si="16"/>
        <v>1</v>
      </c>
    </row>
    <row r="122" spans="1:29" hidden="1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6">
        <v>754.58</v>
      </c>
      <c r="H122" s="156">
        <v>182.02</v>
      </c>
      <c r="I122" s="156">
        <f t="shared" si="9"/>
        <v>572.56000000000006</v>
      </c>
      <c r="J122" s="42">
        <f>IFERROR(G122/VLOOKUP(A122,RESUME!$G$3:$I$10,3,FALSE),0)</f>
        <v>3.0448576394480681E-3</v>
      </c>
      <c r="K122" s="156">
        <f t="shared" si="13"/>
        <v>603.6640000000001</v>
      </c>
      <c r="L122" s="156">
        <f t="shared" si="14"/>
        <v>754.58</v>
      </c>
      <c r="M122" s="147">
        <f t="shared" si="10"/>
        <v>3.8060720493100844E-3</v>
      </c>
      <c r="N122" s="41" t="str">
        <f>_xlfn.IFNA(VLOOKUP(A122&amp;"-"&amp;B122&amp;"-"&amp;D122,Ref_Account!$A:$F,6,FALSE),"ACCOUNT TIDAK DITEMUKAN")</f>
        <v>1205.631100</v>
      </c>
      <c r="O122" s="39">
        <f t="shared" si="17"/>
        <v>3</v>
      </c>
      <c r="P122" s="39" t="str">
        <f t="shared" si="12"/>
        <v>OK</v>
      </c>
      <c r="Q122" s="152" t="s">
        <v>529</v>
      </c>
      <c r="R122" s="168"/>
      <c r="AA122" s="171" t="str">
        <f t="shared" si="15"/>
        <v>Tony TejaOTHER PRODUCTION COSTBiaya dokter &amp; ObatMAJA-1Rini3</v>
      </c>
      <c r="AB122" s="1" t="s">
        <v>686</v>
      </c>
      <c r="AC122" s="1" t="b">
        <f t="shared" si="16"/>
        <v>1</v>
      </c>
    </row>
    <row r="123" spans="1:29" hidden="1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7">
        <v>6722.26</v>
      </c>
      <c r="H123" s="157">
        <v>3755.27</v>
      </c>
      <c r="I123" s="157">
        <f t="shared" si="9"/>
        <v>2966.9900000000002</v>
      </c>
      <c r="J123" s="185">
        <f>IFERROR(G123/VLOOKUP(A123,RESUME!$G$3:$I$10,3,FALSE),0)</f>
        <v>2.7125453517660381E-2</v>
      </c>
      <c r="K123" s="157">
        <f t="shared" si="13"/>
        <v>5377.8080000000009</v>
      </c>
      <c r="L123" s="157">
        <f t="shared" si="14"/>
        <v>6722.26</v>
      </c>
      <c r="M123" s="149">
        <f t="shared" si="10"/>
        <v>3.3906816897075469E-2</v>
      </c>
      <c r="N123" s="43" t="str">
        <f>_xlfn.IFNA(VLOOKUP(A123&amp;"-"&amp;B123&amp;"-"&amp;D123,Ref_Account!$A:$F,6,FALSE),"ACCOUNT TIDAK DITEMUKAN")</f>
        <v>1205.812100</v>
      </c>
      <c r="O123" s="40">
        <f t="shared" si="17"/>
        <v>1</v>
      </c>
      <c r="P123" s="40" t="str">
        <f t="shared" si="12"/>
        <v>OK</v>
      </c>
      <c r="Q123" s="164" t="s">
        <v>529</v>
      </c>
      <c r="R123" s="168"/>
      <c r="AA123" s="171" t="str">
        <f t="shared" si="15"/>
        <v>Tony TejaBUSINESS TRIP EXPENSESAkomodasi dari tugas luarMAJA-1Tita1</v>
      </c>
      <c r="AB123" s="1" t="s">
        <v>687</v>
      </c>
      <c r="AC123" s="1" t="b">
        <f t="shared" si="16"/>
        <v>1</v>
      </c>
    </row>
    <row r="124" spans="1:29" hidden="1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6">
        <v>5152.29</v>
      </c>
      <c r="H124" s="156">
        <v>4098.6000000000004</v>
      </c>
      <c r="I124" s="156">
        <f t="shared" si="9"/>
        <v>1053.6899999999996</v>
      </c>
      <c r="J124" s="42">
        <f>IFERROR(G124/VLOOKUP(A124,RESUME!$G$3:$I$10,3,FALSE),0)</f>
        <v>2.0790359626748502E-2</v>
      </c>
      <c r="K124" s="156">
        <f t="shared" si="13"/>
        <v>4121.8320000000003</v>
      </c>
      <c r="L124" s="156">
        <f t="shared" si="14"/>
        <v>5152.29</v>
      </c>
      <c r="M124" s="147">
        <f t="shared" si="10"/>
        <v>2.5987949533435625E-2</v>
      </c>
      <c r="N124" s="41" t="str">
        <f>_xlfn.IFNA(VLOOKUP(A124&amp;"-"&amp;B124&amp;"-"&amp;D124,Ref_Account!$A:$F,6,FALSE),"ACCOUNT TIDAK DITEMUKAN")</f>
        <v>1205.630400</v>
      </c>
      <c r="O124" s="39">
        <f t="shared" si="17"/>
        <v>1</v>
      </c>
      <c r="P124" s="39" t="str">
        <f t="shared" si="12"/>
        <v>OK</v>
      </c>
      <c r="Q124" s="152" t="s">
        <v>529</v>
      </c>
      <c r="R124" s="168"/>
      <c r="AA124" s="171" t="str">
        <f t="shared" si="15"/>
        <v>Tony TejaELECTRICITYBiaya Listrik PLNMAJA-1Rini1</v>
      </c>
      <c r="AB124" s="1" t="s">
        <v>688</v>
      </c>
      <c r="AC124" s="1" t="b">
        <f t="shared" si="16"/>
        <v>1</v>
      </c>
    </row>
    <row r="125" spans="1:29" hidden="1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7">
        <v>3188</v>
      </c>
      <c r="H125" s="157">
        <v>827.12</v>
      </c>
      <c r="I125" s="157">
        <f t="shared" si="9"/>
        <v>2360.88</v>
      </c>
      <c r="J125" s="185">
        <f>IFERROR(G125/VLOOKUP(A125,RESUME!$G$3:$I$10,3,FALSE),0)</f>
        <v>1.2864117992208169E-2</v>
      </c>
      <c r="K125" s="157">
        <f t="shared" si="13"/>
        <v>2550.4</v>
      </c>
      <c r="L125" s="157">
        <f t="shared" si="14"/>
        <v>3188</v>
      </c>
      <c r="M125" s="149">
        <f t="shared" si="10"/>
        <v>1.608014749026021E-2</v>
      </c>
      <c r="N125" s="43" t="str">
        <f>_xlfn.IFNA(VLOOKUP(A125&amp;"-"&amp;B125&amp;"-"&amp;D125,Ref_Account!$A:$F,6,FALSE),"ACCOUNT TIDAK DITEMUKAN")</f>
        <v>1205.630300</v>
      </c>
      <c r="O125" s="40">
        <f t="shared" si="17"/>
        <v>1</v>
      </c>
      <c r="P125" s="40" t="str">
        <f t="shared" si="12"/>
        <v>OK</v>
      </c>
      <c r="Q125" s="164" t="s">
        <v>529</v>
      </c>
      <c r="R125" s="168"/>
      <c r="AA125" s="171" t="str">
        <f t="shared" si="15"/>
        <v>Tony TejaFACTORY SUPPLIES EXPENSEKebutuhan Produksi (KABEL, SEWA MESIN, AMPLAS, BATTERY CHARGER, PILOX, CIPUT)MAJA-1Mutia1</v>
      </c>
      <c r="AB125" s="1" t="s">
        <v>689</v>
      </c>
      <c r="AC125" s="1" t="b">
        <f t="shared" si="16"/>
        <v>1</v>
      </c>
    </row>
    <row r="126" spans="1:29" hidden="1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6">
        <v>2043.4899999999998</v>
      </c>
      <c r="H126" s="156"/>
      <c r="I126" s="156">
        <f t="shared" si="9"/>
        <v>2043.4899999999998</v>
      </c>
      <c r="J126" s="42">
        <f>IFERROR(G126/VLOOKUP(A126,RESUME!$G$3:$I$10,3,FALSE),0)</f>
        <v>8.2458269999678389E-3</v>
      </c>
      <c r="K126" s="156">
        <f t="shared" si="13"/>
        <v>1634.7919999999999</v>
      </c>
      <c r="L126" s="156">
        <f t="shared" si="14"/>
        <v>2043.4899999999998</v>
      </c>
      <c r="M126" s="147">
        <f t="shared" si="10"/>
        <v>1.03072837499598E-2</v>
      </c>
      <c r="N126" s="41" t="str">
        <f>_xlfn.IFNA(VLOOKUP(A126&amp;"-"&amp;B126&amp;"-"&amp;D126,Ref_Account!$A:$F,6,FALSE),"ACCOUNT TIDAK DITEMUKAN")</f>
        <v>1205.630200</v>
      </c>
      <c r="O126" s="39">
        <f t="shared" si="17"/>
        <v>1</v>
      </c>
      <c r="P126" s="39" t="str">
        <f t="shared" si="12"/>
        <v>OK</v>
      </c>
      <c r="Q126" s="152" t="s">
        <v>529</v>
      </c>
      <c r="R126" s="168"/>
      <c r="AA126" s="171" t="str">
        <f t="shared" si="15"/>
        <v>Tony TejaFARE ALLOWANCETunjangan makan produksiMAJA-1Rini1</v>
      </c>
      <c r="AB126" s="1" t="s">
        <v>690</v>
      </c>
      <c r="AC126" s="1" t="b">
        <f t="shared" si="16"/>
        <v>1</v>
      </c>
    </row>
    <row r="127" spans="1:29" hidden="1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7">
        <v>78109.679999999993</v>
      </c>
      <c r="H127" s="157">
        <v>901.67</v>
      </c>
      <c r="I127" s="157">
        <f t="shared" si="9"/>
        <v>77208.009999999995</v>
      </c>
      <c r="J127" s="185">
        <f>IFERROR(G127/VLOOKUP(A127,RESUME!$G$3:$I$10,3,FALSE),0)</f>
        <v>0.31518574023011997</v>
      </c>
      <c r="K127" s="157">
        <f t="shared" si="13"/>
        <v>62487.743999999999</v>
      </c>
      <c r="L127" s="157">
        <f t="shared" si="14"/>
        <v>78109.679999999993</v>
      </c>
      <c r="M127" s="149">
        <f t="shared" si="10"/>
        <v>0.39398217528764995</v>
      </c>
      <c r="N127" s="43" t="str">
        <f>_xlfn.IFNA(VLOOKUP(A127&amp;"-"&amp;B127&amp;"-"&amp;D127,Ref_Account!$A:$F,6,FALSE),"ACCOUNT TIDAK DITEMUKAN")</f>
        <v>1205.630110</v>
      </c>
      <c r="O127" s="40">
        <f t="shared" si="17"/>
        <v>1</v>
      </c>
      <c r="P127" s="40" t="str">
        <f t="shared" si="12"/>
        <v>OK</v>
      </c>
      <c r="Q127" s="164" t="s">
        <v>529</v>
      </c>
      <c r="R127" s="168"/>
      <c r="AA127" s="171" t="str">
        <f t="shared" si="15"/>
        <v>Tony TejaLABOR COSTUpah ProduksiMAJA-1Kiki1</v>
      </c>
      <c r="AB127" s="1" t="s">
        <v>691</v>
      </c>
      <c r="AC127" s="1" t="b">
        <f t="shared" si="16"/>
        <v>1</v>
      </c>
    </row>
    <row r="128" spans="1:29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6">
        <v>250</v>
      </c>
      <c r="H128" s="156"/>
      <c r="I128" s="156">
        <f t="shared" si="9"/>
        <v>250</v>
      </c>
      <c r="J128" s="42">
        <f>IFERROR(G128/VLOOKUP(A128,RESUME!$G$3:$I$10,3,FALSE),0)</f>
        <v>1.0087921888494486E-3</v>
      </c>
      <c r="K128" s="156">
        <f t="shared" si="13"/>
        <v>200</v>
      </c>
      <c r="L128" s="156">
        <f t="shared" si="14"/>
        <v>250</v>
      </c>
      <c r="M128" s="147">
        <f t="shared" si="10"/>
        <v>1.2609902360618108E-3</v>
      </c>
      <c r="N128" s="41" t="str">
        <f>_xlfn.IFNA(VLOOKUP(A128&amp;"-"&amp;B128&amp;"-"&amp;D128,Ref_Account!$A:$F,6,FALSE),"ACCOUNT TIDAK DITEMUKAN")</f>
        <v>1205.630770</v>
      </c>
      <c r="O128" s="39">
        <f t="shared" si="17"/>
        <v>1</v>
      </c>
      <c r="P128" s="39" t="str">
        <f t="shared" si="12"/>
        <v>OK</v>
      </c>
      <c r="Q128" s="152" t="s">
        <v>529</v>
      </c>
      <c r="R128" s="168"/>
      <c r="AA128" s="171" t="str">
        <f t="shared" si="15"/>
        <v>Tony TejaMAINT.&amp;REP.ELECTRICITYpemeliharaan instalasi listrikMAJA-1Mutia1</v>
      </c>
      <c r="AB128" s="1" t="s">
        <v>692</v>
      </c>
      <c r="AC128" s="1" t="b">
        <f t="shared" si="16"/>
        <v>1</v>
      </c>
    </row>
    <row r="129" spans="1:29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7">
        <v>250</v>
      </c>
      <c r="H129" s="157"/>
      <c r="I129" s="157">
        <f t="shared" si="9"/>
        <v>250</v>
      </c>
      <c r="J129" s="185">
        <f>IFERROR(G129/VLOOKUP(A129,RESUME!$G$3:$I$10,3,FALSE),0)</f>
        <v>1.0087921888494486E-3</v>
      </c>
      <c r="K129" s="157">
        <f t="shared" si="13"/>
        <v>200</v>
      </c>
      <c r="L129" s="157">
        <f t="shared" si="14"/>
        <v>250</v>
      </c>
      <c r="M129" s="149">
        <f t="shared" si="10"/>
        <v>1.2609902360618108E-3</v>
      </c>
      <c r="N129" s="43" t="str">
        <f>_xlfn.IFNA(VLOOKUP(A129&amp;"-"&amp;B129&amp;"-"&amp;D129,Ref_Account!$A:$F,6,FALSE),"ACCOUNT TIDAK DITEMUKAN")</f>
        <v>1205.630750</v>
      </c>
      <c r="O129" s="40">
        <f t="shared" si="17"/>
        <v>1</v>
      </c>
      <c r="P129" s="40" t="str">
        <f t="shared" si="12"/>
        <v>OK</v>
      </c>
      <c r="Q129" s="164" t="s">
        <v>529</v>
      </c>
      <c r="R129" s="168"/>
      <c r="AA129" s="171" t="str">
        <f t="shared" si="15"/>
        <v>Tony TejaMAINT.&amp;REP.GEN&amp;BOILERPemeliharaan GeneratorMAJA-1Mutia1</v>
      </c>
      <c r="AB129" s="1" t="s">
        <v>693</v>
      </c>
      <c r="AC129" s="1" t="b">
        <f t="shared" si="16"/>
        <v>1</v>
      </c>
    </row>
    <row r="130" spans="1:29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6">
        <v>250</v>
      </c>
      <c r="H130" s="156">
        <v>158.19999999999999</v>
      </c>
      <c r="I130" s="156">
        <f t="shared" si="9"/>
        <v>91.800000000000011</v>
      </c>
      <c r="J130" s="42">
        <f>IFERROR(G130/VLOOKUP(A130,RESUME!$G$3:$I$10,3,FALSE),0)</f>
        <v>1.0087921888494486E-3</v>
      </c>
      <c r="K130" s="156">
        <f t="shared" si="13"/>
        <v>200</v>
      </c>
      <c r="L130" s="156">
        <f t="shared" si="14"/>
        <v>250</v>
      </c>
      <c r="M130" s="147">
        <f t="shared" si="10"/>
        <v>1.2609902360618108E-3</v>
      </c>
      <c r="N130" s="41" t="str">
        <f>_xlfn.IFNA(VLOOKUP(A130&amp;"-"&amp;B130&amp;"-"&amp;D130,Ref_Account!$A:$F,6,FALSE),"ACCOUNT TIDAK DITEMUKAN")</f>
        <v>1205.630720</v>
      </c>
      <c r="O130" s="39">
        <f t="shared" si="17"/>
        <v>1</v>
      </c>
      <c r="P130" s="39" t="str">
        <f t="shared" si="12"/>
        <v>OK</v>
      </c>
      <c r="Q130" s="152" t="s">
        <v>529</v>
      </c>
      <c r="R130" s="168"/>
      <c r="AA130" s="171" t="str">
        <f t="shared" si="15"/>
        <v>Tony TejaMAINT.&amp;REP.MACHINERIEpemeliharaan mesinMAJA-1Mutia1</v>
      </c>
      <c r="AB130" s="1" t="s">
        <v>694</v>
      </c>
      <c r="AC130" s="1" t="b">
        <f t="shared" si="16"/>
        <v>1</v>
      </c>
    </row>
    <row r="131" spans="1:29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7">
        <v>250</v>
      </c>
      <c r="H131" s="157">
        <v>471.43</v>
      </c>
      <c r="I131" s="157">
        <f t="shared" si="9"/>
        <v>-221.43</v>
      </c>
      <c r="J131" s="185">
        <f>IFERROR(G131/VLOOKUP(A131,RESUME!$G$3:$I$10,3,FALSE),0)</f>
        <v>1.0087921888494486E-3</v>
      </c>
      <c r="K131" s="157">
        <f t="shared" si="13"/>
        <v>200</v>
      </c>
      <c r="L131" s="157">
        <f t="shared" si="14"/>
        <v>250</v>
      </c>
      <c r="M131" s="149">
        <f t="shared" si="10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7"/>
        <v>1</v>
      </c>
      <c r="P131" s="40" t="str">
        <f t="shared" si="12"/>
        <v>OVER</v>
      </c>
      <c r="Q131" s="164" t="s">
        <v>529</v>
      </c>
      <c r="R131" s="168"/>
      <c r="AA131" s="171" t="str">
        <f t="shared" si="15"/>
        <v>Tony TejaMAINT.&amp;REP.PLANTEQUIpemeliharaan peralatan produksiMAJA-1Mutia1</v>
      </c>
      <c r="AB131" s="1" t="s">
        <v>695</v>
      </c>
      <c r="AC131" s="1" t="b">
        <f t="shared" si="16"/>
        <v>1</v>
      </c>
    </row>
    <row r="132" spans="1:29" hidden="1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6">
        <v>10800</v>
      </c>
      <c r="H132" s="156"/>
      <c r="I132" s="156">
        <f t="shared" si="9"/>
        <v>10800</v>
      </c>
      <c r="J132" s="42">
        <f>IFERROR(G132/VLOOKUP(A132,RESUME!$G$3:$I$10,3,FALSE),0)</f>
        <v>4.3579822558296184E-2</v>
      </c>
      <c r="K132" s="156">
        <f t="shared" si="13"/>
        <v>8640</v>
      </c>
      <c r="L132" s="156">
        <f t="shared" si="14"/>
        <v>10800</v>
      </c>
      <c r="M132" s="147">
        <f t="shared" si="10"/>
        <v>5.4474778197870229E-2</v>
      </c>
      <c r="N132" s="41" t="str">
        <f>_xlfn.IFNA(VLOOKUP(A132&amp;"-"&amp;B132&amp;"-"&amp;D132,Ref_Account!$A:$F,6,FALSE),"ACCOUNT TIDAK DITEMUKAN")</f>
        <v>1205.801110</v>
      </c>
      <c r="O132" s="39">
        <f t="shared" si="17"/>
        <v>1</v>
      </c>
      <c r="P132" s="39" t="str">
        <f t="shared" si="12"/>
        <v>OK</v>
      </c>
      <c r="Q132" s="152" t="s">
        <v>529</v>
      </c>
      <c r="R132" s="168"/>
      <c r="AA132" s="171" t="str">
        <f t="shared" si="15"/>
        <v>Tony TejaOFFICER SALARIESUpah StaffMAJA-1Ceria1</v>
      </c>
      <c r="AB132" s="1" t="s">
        <v>696</v>
      </c>
      <c r="AC132" s="1" t="b">
        <f t="shared" si="16"/>
        <v>1</v>
      </c>
    </row>
    <row r="133" spans="1:29" hidden="1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7">
        <v>1500</v>
      </c>
      <c r="H133" s="157">
        <v>3525.46</v>
      </c>
      <c r="I133" s="157">
        <f t="shared" si="9"/>
        <v>-2025.46</v>
      </c>
      <c r="J133" s="185">
        <f>IFERROR(G133/VLOOKUP(A133,RESUME!$G$3:$I$10,3,FALSE),0)</f>
        <v>6.0527531330966918E-3</v>
      </c>
      <c r="K133" s="157">
        <f t="shared" si="13"/>
        <v>1200</v>
      </c>
      <c r="L133" s="157">
        <f t="shared" si="14"/>
        <v>1500</v>
      </c>
      <c r="M133" s="149">
        <f t="shared" si="10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7"/>
        <v>1</v>
      </c>
      <c r="P133" s="40" t="str">
        <f t="shared" si="12"/>
        <v>OVER</v>
      </c>
      <c r="Q133" s="164" t="s">
        <v>529</v>
      </c>
      <c r="R133" s="168"/>
      <c r="AA133" s="171" t="str">
        <f t="shared" si="15"/>
        <v>Tony TejaPEMAKAIAN SPARE PARTissue jarum , baud, dllMAJA-1Mutia1</v>
      </c>
      <c r="AB133" s="1" t="s">
        <v>697</v>
      </c>
      <c r="AC133" s="1" t="b">
        <f t="shared" si="16"/>
        <v>1</v>
      </c>
    </row>
    <row r="134" spans="1:29" hidden="1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6">
        <v>504.76</v>
      </c>
      <c r="H134" s="156"/>
      <c r="I134" s="156">
        <f t="shared" ref="I134:I162" si="18">G134-H134</f>
        <v>504.76</v>
      </c>
      <c r="J134" s="42">
        <f>IFERROR(G134/VLOOKUP(A134,RESUME!$G$3:$I$10,3,FALSE),0)</f>
        <v>2.0367917809745906E-3</v>
      </c>
      <c r="K134" s="156">
        <f t="shared" si="13"/>
        <v>403.80799999999999</v>
      </c>
      <c r="L134" s="156">
        <f t="shared" si="14"/>
        <v>504.76</v>
      </c>
      <c r="M134" s="147">
        <f t="shared" ref="M134:M162" si="19">IF(L134=0,0,IF(H134&gt;L134,0,L134/IF(H134&gt;=K134,H134,K134)*J134))</f>
        <v>2.5459897262182381E-3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20">IF(N134="ACCOUNT TIDAK DITEMUKAN","9999",COUNTIF($N$6:$N$164,N134))</f>
        <v>1</v>
      </c>
      <c r="P134" s="39" t="str">
        <f t="shared" ref="P134:P162" si="21">IF(I134&gt;0,"OK","OVER")</f>
        <v>OK</v>
      </c>
      <c r="Q134" s="152" t="s">
        <v>529</v>
      </c>
      <c r="R134" s="168"/>
      <c r="AA134" s="171" t="str">
        <f t="shared" si="15"/>
        <v>Tony TejaENTERTAINMENTBiaya jamuan makan/HadiahMAJA-2Tita1</v>
      </c>
      <c r="AB134" s="1" t="s">
        <v>698</v>
      </c>
      <c r="AC134" s="1" t="b">
        <f t="shared" si="16"/>
        <v>1</v>
      </c>
    </row>
    <row r="135" spans="1:29" hidden="1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7">
        <v>5702.68</v>
      </c>
      <c r="H135" s="157"/>
      <c r="I135" s="157">
        <f t="shared" si="18"/>
        <v>5702.68</v>
      </c>
      <c r="J135" s="185">
        <f>IFERROR(G135/VLOOKUP(A135,RESUME!$G$3:$I$10,3,FALSE),0)</f>
        <v>2.3011276158031897E-2</v>
      </c>
      <c r="K135" s="157">
        <f t="shared" ref="K135:K162" si="22">G135*$K$4</f>
        <v>4562.1440000000002</v>
      </c>
      <c r="L135" s="157">
        <f t="shared" ref="L135:L162" si="23">G135*$L$4</f>
        <v>5702.68</v>
      </c>
      <c r="M135" s="149">
        <f t="shared" si="19"/>
        <v>2.876409519753987E-2</v>
      </c>
      <c r="N135" s="43" t="str">
        <f>_xlfn.IFNA(VLOOKUP(A135&amp;"-"&amp;B135&amp;"-"&amp;D135,Ref_Account!$A:$F,6,FALSE),"ACCOUNT TIDAK DITEMUKAN")</f>
        <v>1204.801160</v>
      </c>
      <c r="O135" s="40">
        <f t="shared" si="20"/>
        <v>1</v>
      </c>
      <c r="P135" s="40" t="str">
        <f t="shared" si="21"/>
        <v>OK</v>
      </c>
      <c r="Q135" s="164" t="s">
        <v>529</v>
      </c>
      <c r="R135" s="168"/>
      <c r="AA135" s="171" t="str">
        <f t="shared" ref="AA135:AA162" si="24">A135&amp;B135&amp;C135&amp;D135&amp;E135&amp;O135</f>
        <v>Tony TejaJAMSOSTEKBiaya BPJS Tenaga KerjaMAJA-2Siska1</v>
      </c>
      <c r="AB135" s="1" t="s">
        <v>699</v>
      </c>
      <c r="AC135" s="1" t="b">
        <f t="shared" ref="AC135:AC162" si="25">AB135=AA135</f>
        <v>1</v>
      </c>
    </row>
    <row r="136" spans="1:29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6">
        <v>700</v>
      </c>
      <c r="H136" s="156">
        <v>443.59</v>
      </c>
      <c r="I136" s="156">
        <f t="shared" si="18"/>
        <v>256.41000000000003</v>
      </c>
      <c r="J136" s="42">
        <f>IFERROR(G136/VLOOKUP(A136,RESUME!$G$3:$I$10,3,FALSE),0)</f>
        <v>2.8246181287784563E-3</v>
      </c>
      <c r="K136" s="156">
        <f t="shared" si="22"/>
        <v>560</v>
      </c>
      <c r="L136" s="156">
        <f t="shared" si="23"/>
        <v>700</v>
      </c>
      <c r="M136" s="147">
        <f t="shared" si="19"/>
        <v>3.5307726609730703E-3</v>
      </c>
      <c r="N136" s="41" t="str">
        <f>_xlfn.IFNA(VLOOKUP(A136&amp;"-"&amp;B136&amp;"-"&amp;D136,Ref_Account!$A:$F,6,FALSE),"ACCOUNT TIDAK DITEMUKAN")</f>
        <v>1204.630710</v>
      </c>
      <c r="O136" s="39">
        <f t="shared" si="20"/>
        <v>1</v>
      </c>
      <c r="P136" s="39" t="str">
        <f t="shared" si="21"/>
        <v>OK</v>
      </c>
      <c r="Q136" s="152" t="s">
        <v>529</v>
      </c>
      <c r="R136" s="168"/>
      <c r="AA136" s="171" t="str">
        <f t="shared" si="24"/>
        <v>Tony TejaMAINT.&amp;REP.BUILDINGpemeliharaan gedungMAJA-2Rini1</v>
      </c>
      <c r="AB136" s="1" t="s">
        <v>700</v>
      </c>
      <c r="AC136" s="1" t="b">
        <f t="shared" si="25"/>
        <v>1</v>
      </c>
    </row>
    <row r="137" spans="1:29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7">
        <v>300</v>
      </c>
      <c r="H137" s="157"/>
      <c r="I137" s="157">
        <f t="shared" si="18"/>
        <v>300</v>
      </c>
      <c r="J137" s="185">
        <f>IFERROR(G137/VLOOKUP(A137,RESUME!$G$3:$I$10,3,FALSE),0)</f>
        <v>1.2105506266193384E-3</v>
      </c>
      <c r="K137" s="157">
        <f t="shared" si="22"/>
        <v>240</v>
      </c>
      <c r="L137" s="157">
        <f t="shared" si="23"/>
        <v>300</v>
      </c>
      <c r="M137" s="149">
        <f t="shared" si="19"/>
        <v>1.5131882832741729E-3</v>
      </c>
      <c r="N137" s="43" t="str">
        <f>_xlfn.IFNA(VLOOKUP(A137&amp;"-"&amp;B137&amp;"-"&amp;D137,Ref_Account!$A:$F,6,FALSE),"ACCOUNT TIDAK DITEMUKAN")</f>
        <v>1204.630740</v>
      </c>
      <c r="O137" s="40">
        <f t="shared" si="20"/>
        <v>1</v>
      </c>
      <c r="P137" s="40" t="str">
        <f t="shared" si="21"/>
        <v>OK</v>
      </c>
      <c r="Q137" s="164" t="s">
        <v>529</v>
      </c>
      <c r="R137" s="168"/>
      <c r="AA137" s="171" t="str">
        <f t="shared" si="24"/>
        <v>Tony TejaMAINT.&amp;REP.WATERINSTL.pemeliharaan instalasi airMAJA-2Rini1</v>
      </c>
      <c r="AB137" s="1" t="s">
        <v>701</v>
      </c>
      <c r="AC137" s="1" t="b">
        <f t="shared" si="25"/>
        <v>1</v>
      </c>
    </row>
    <row r="138" spans="1:29" hidden="1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6">
        <v>3500</v>
      </c>
      <c r="H138" s="156">
        <v>4436.3599999999997</v>
      </c>
      <c r="I138" s="156">
        <f t="shared" si="18"/>
        <v>-936.35999999999967</v>
      </c>
      <c r="J138" s="42">
        <f>IFERROR(G138/VLOOKUP(A138,RESUME!$G$3:$I$10,3,FALSE),0)</f>
        <v>1.4123090643892281E-2</v>
      </c>
      <c r="K138" s="156">
        <f t="shared" si="22"/>
        <v>2800</v>
      </c>
      <c r="L138" s="156">
        <f t="shared" si="23"/>
        <v>3500</v>
      </c>
      <c r="M138" s="147">
        <f t="shared" si="19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20"/>
        <v>1</v>
      </c>
      <c r="P138" s="39" t="str">
        <f t="shared" si="21"/>
        <v>OVER</v>
      </c>
      <c r="Q138" s="152" t="s">
        <v>529</v>
      </c>
      <c r="R138" s="168"/>
      <c r="AA138" s="171" t="str">
        <f t="shared" si="24"/>
        <v>Tony TejaMEDICAL ALLOWANCEBPJS kesehatan ProduksiMAJA-2Siska1</v>
      </c>
      <c r="AB138" s="1" t="s">
        <v>702</v>
      </c>
      <c r="AC138" s="1" t="b">
        <f t="shared" si="25"/>
        <v>1</v>
      </c>
    </row>
    <row r="139" spans="1:29" hidden="1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7">
        <v>512.71</v>
      </c>
      <c r="H139" s="157"/>
      <c r="I139" s="157">
        <f t="shared" si="18"/>
        <v>512.71</v>
      </c>
      <c r="J139" s="185">
        <f>IFERROR(G139/VLOOKUP(A139,RESUME!$G$3:$I$10,3,FALSE),0)</f>
        <v>2.0688713725800032E-3</v>
      </c>
      <c r="K139" s="157">
        <f t="shared" si="22"/>
        <v>410.16800000000006</v>
      </c>
      <c r="L139" s="157">
        <f t="shared" si="23"/>
        <v>512.71</v>
      </c>
      <c r="M139" s="149">
        <f t="shared" si="19"/>
        <v>2.586089215725004E-3</v>
      </c>
      <c r="N139" s="43" t="str">
        <f>_xlfn.IFNA(VLOOKUP(A139&amp;"-"&amp;B139&amp;"-"&amp;D139,Ref_Account!$A:$F,6,FALSE),"ACCOUNT TIDAK DITEMUKAN")</f>
        <v>1204.815110</v>
      </c>
      <c r="O139" s="40">
        <f t="shared" si="20"/>
        <v>1</v>
      </c>
      <c r="P139" s="40" t="str">
        <f t="shared" si="21"/>
        <v>OK</v>
      </c>
      <c r="Q139" s="164" t="s">
        <v>529</v>
      </c>
      <c r="R139" s="168"/>
      <c r="AA139" s="171" t="str">
        <f t="shared" si="24"/>
        <v>Tony TejaRENT EXPENSES BUILDINGSewa KontrakanMAJA-2Rini1</v>
      </c>
      <c r="AB139" s="1" t="s">
        <v>703</v>
      </c>
      <c r="AC139" s="1" t="b">
        <f t="shared" si="25"/>
        <v>1</v>
      </c>
    </row>
    <row r="140" spans="1:29" hidden="1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6">
        <v>754.58</v>
      </c>
      <c r="H140" s="156">
        <v>729.12999999999988</v>
      </c>
      <c r="I140" s="156">
        <f t="shared" si="18"/>
        <v>25.450000000000159</v>
      </c>
      <c r="J140" s="42">
        <f>IFERROR(G140/VLOOKUP(A140,RESUME!$G$3:$I$10,3,FALSE),0)</f>
        <v>3.0448576394480681E-3</v>
      </c>
      <c r="K140" s="156">
        <f t="shared" si="22"/>
        <v>603.6640000000001</v>
      </c>
      <c r="L140" s="156">
        <f t="shared" si="23"/>
        <v>754.58</v>
      </c>
      <c r="M140" s="147">
        <f t="shared" si="19"/>
        <v>3.1511372150024326E-3</v>
      </c>
      <c r="N140" s="41" t="str">
        <f>_xlfn.IFNA(VLOOKUP(A140&amp;"-"&amp;B140&amp;"-"&amp;D140,Ref_Account!$A:$F,6,FALSE),"ACCOUNT TIDAK DITEMUKAN")</f>
        <v>1204.631100</v>
      </c>
      <c r="O140" s="39">
        <f t="shared" si="20"/>
        <v>3</v>
      </c>
      <c r="P140" s="39" t="str">
        <f t="shared" si="21"/>
        <v>OK</v>
      </c>
      <c r="Q140" s="152" t="s">
        <v>529</v>
      </c>
      <c r="R140" s="168"/>
      <c r="AA140" s="171" t="str">
        <f t="shared" si="24"/>
        <v>Tony TejaOTHER PRODUCTION COSTBiaya dokter &amp; ObatMAJA-2Rini3</v>
      </c>
      <c r="AB140" s="1" t="s">
        <v>704</v>
      </c>
      <c r="AC140" s="1" t="b">
        <f t="shared" si="25"/>
        <v>1</v>
      </c>
    </row>
    <row r="141" spans="1:29" hidden="1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7"/>
      <c r="H141" s="157">
        <v>529.23</v>
      </c>
      <c r="I141" s="157">
        <f t="shared" si="18"/>
        <v>-529.23</v>
      </c>
      <c r="J141" s="185">
        <f>IFERROR(G141/VLOOKUP(A141,RESUME!$G$3:$I$10,3,FALSE),0)</f>
        <v>0</v>
      </c>
      <c r="K141" s="157">
        <f t="shared" si="22"/>
        <v>0</v>
      </c>
      <c r="L141" s="157">
        <f t="shared" si="23"/>
        <v>0</v>
      </c>
      <c r="M141" s="149">
        <f t="shared" si="19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20"/>
        <v>1</v>
      </c>
      <c r="P141" s="40" t="str">
        <f t="shared" si="21"/>
        <v>OVER</v>
      </c>
      <c r="Q141" s="164" t="s">
        <v>529</v>
      </c>
      <c r="R141" s="168"/>
      <c r="AA141" s="171" t="str">
        <f t="shared" si="24"/>
        <v>Tony TejaAIR FREIGHTBiaya Ekspor By AirMAJA-2Rudiyanto1</v>
      </c>
      <c r="AB141" s="1" t="s">
        <v>705</v>
      </c>
      <c r="AC141" s="1" t="b">
        <f t="shared" si="25"/>
        <v>1</v>
      </c>
    </row>
    <row r="142" spans="1:29" hidden="1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6">
        <v>5672.9500000000007</v>
      </c>
      <c r="H142" s="156">
        <v>2872.63</v>
      </c>
      <c r="I142" s="156">
        <f t="shared" si="18"/>
        <v>2800.3200000000006</v>
      </c>
      <c r="J142" s="42">
        <f>IFERROR(G142/VLOOKUP(A142,RESUME!$G$3:$I$10,3,FALSE),0)</f>
        <v>2.2891310590933921E-2</v>
      </c>
      <c r="K142" s="156">
        <f t="shared" si="22"/>
        <v>4538.3600000000006</v>
      </c>
      <c r="L142" s="156">
        <f t="shared" si="23"/>
        <v>5672.9500000000007</v>
      </c>
      <c r="M142" s="147">
        <f t="shared" si="19"/>
        <v>2.8614138238667403E-2</v>
      </c>
      <c r="N142" s="41" t="str">
        <f>_xlfn.IFNA(VLOOKUP(A142&amp;"-"&amp;B142&amp;"-"&amp;D142,Ref_Account!$A:$F,6,FALSE),"ACCOUNT TIDAK DITEMUKAN")</f>
        <v>1204.812100</v>
      </c>
      <c r="O142" s="39">
        <f t="shared" si="20"/>
        <v>1</v>
      </c>
      <c r="P142" s="39" t="str">
        <f t="shared" si="21"/>
        <v>OK</v>
      </c>
      <c r="Q142" s="152" t="s">
        <v>529</v>
      </c>
      <c r="R142" s="168"/>
      <c r="AA142" s="171" t="str">
        <f t="shared" si="24"/>
        <v>Tony TejaBUSINESS TRIP EXPENSESAkomodasi dari tugas luarMAJA-2Tita1</v>
      </c>
      <c r="AB142" s="1" t="s">
        <v>706</v>
      </c>
      <c r="AC142" s="1" t="b">
        <f t="shared" si="25"/>
        <v>1</v>
      </c>
    </row>
    <row r="143" spans="1:29" hidden="1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7">
        <v>4918.54</v>
      </c>
      <c r="H143" s="157">
        <v>5107.6000000000004</v>
      </c>
      <c r="I143" s="157">
        <f t="shared" si="18"/>
        <v>-189.0600000000004</v>
      </c>
      <c r="J143" s="185">
        <f>IFERROR(G143/VLOOKUP(A143,RESUME!$G$3:$I$10,3,FALSE),0)</f>
        <v>1.9847138930174268E-2</v>
      </c>
      <c r="K143" s="157">
        <f t="shared" si="22"/>
        <v>3934.8320000000003</v>
      </c>
      <c r="L143" s="157">
        <f t="shared" si="23"/>
        <v>4918.54</v>
      </c>
      <c r="M143" s="149">
        <f t="shared" si="19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20"/>
        <v>1</v>
      </c>
      <c r="P143" s="40" t="str">
        <f t="shared" si="21"/>
        <v>OVER</v>
      </c>
      <c r="Q143" s="164" t="s">
        <v>529</v>
      </c>
      <c r="R143" s="168"/>
      <c r="AA143" s="171" t="str">
        <f t="shared" si="24"/>
        <v>Tony TejaELECTRICITYBiaya Listrik PLNMAJA-2Rini1</v>
      </c>
      <c r="AB143" s="1" t="s">
        <v>707</v>
      </c>
      <c r="AC143" s="1" t="b">
        <f t="shared" si="25"/>
        <v>1</v>
      </c>
    </row>
    <row r="144" spans="1:29" hidden="1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6">
        <v>1600</v>
      </c>
      <c r="H144" s="156">
        <v>436.66</v>
      </c>
      <c r="I144" s="156">
        <f t="shared" si="18"/>
        <v>1163.3399999999999</v>
      </c>
      <c r="J144" s="42">
        <f>IFERROR(G144/VLOOKUP(A144,RESUME!$G$3:$I$10,3,FALSE),0)</f>
        <v>6.4562700086364709E-3</v>
      </c>
      <c r="K144" s="156">
        <f t="shared" si="22"/>
        <v>1280</v>
      </c>
      <c r="L144" s="156">
        <f t="shared" si="23"/>
        <v>1600</v>
      </c>
      <c r="M144" s="147">
        <f t="shared" si="19"/>
        <v>8.0703375107955885E-3</v>
      </c>
      <c r="N144" s="41" t="str">
        <f>_xlfn.IFNA(VLOOKUP(A144&amp;"-"&amp;B144&amp;"-"&amp;D144,Ref_Account!$A:$F,6,FALSE),"ACCOUNT TIDAK DITEMUKAN")</f>
        <v>1204.630300</v>
      </c>
      <c r="O144" s="39">
        <f t="shared" si="20"/>
        <v>1</v>
      </c>
      <c r="P144" s="39" t="str">
        <f t="shared" si="21"/>
        <v>OK</v>
      </c>
      <c r="Q144" s="152" t="s">
        <v>529</v>
      </c>
      <c r="R144" s="168"/>
      <c r="AA144" s="171" t="str">
        <f t="shared" si="24"/>
        <v>Tony TejaFACTORY SUPPLIES EXPENSEKebutuhan Produksi (KABEL, SEWA MESIN, AMPLAS, BATTERY CHARGER, PILOX, CIPUT)MAJA-2Imas1</v>
      </c>
      <c r="AB144" s="1" t="s">
        <v>708</v>
      </c>
      <c r="AC144" s="1" t="b">
        <f t="shared" si="25"/>
        <v>1</v>
      </c>
    </row>
    <row r="145" spans="1:29" hidden="1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7">
        <v>3106.38</v>
      </c>
      <c r="H145" s="157">
        <v>160.61000000000001</v>
      </c>
      <c r="I145" s="157">
        <f t="shared" si="18"/>
        <v>2945.77</v>
      </c>
      <c r="J145" s="185">
        <f>IFERROR(G145/VLOOKUP(A145,RESUME!$G$3:$I$10,3,FALSE),0)</f>
        <v>1.2534767518392602E-2</v>
      </c>
      <c r="K145" s="157">
        <f t="shared" si="22"/>
        <v>2485.1040000000003</v>
      </c>
      <c r="L145" s="157">
        <f t="shared" si="23"/>
        <v>3106.38</v>
      </c>
      <c r="M145" s="149">
        <f t="shared" si="19"/>
        <v>1.5668459397990754E-2</v>
      </c>
      <c r="N145" s="43" t="str">
        <f>_xlfn.IFNA(VLOOKUP(A145&amp;"-"&amp;B145&amp;"-"&amp;D145,Ref_Account!$A:$F,6,FALSE),"ACCOUNT TIDAK DITEMUKAN")</f>
        <v>1204.630200</v>
      </c>
      <c r="O145" s="40">
        <f t="shared" si="20"/>
        <v>1</v>
      </c>
      <c r="P145" s="40" t="str">
        <f t="shared" si="21"/>
        <v>OK</v>
      </c>
      <c r="Q145" s="164" t="s">
        <v>529</v>
      </c>
      <c r="R145" s="168"/>
      <c r="AA145" s="171" t="str">
        <f t="shared" si="24"/>
        <v>Tony TejaFARE ALLOWANCETunjangan makan produksiMAJA-2Rini1</v>
      </c>
      <c r="AB145" s="1" t="s">
        <v>709</v>
      </c>
      <c r="AC145" s="1" t="b">
        <f t="shared" si="25"/>
        <v>1</v>
      </c>
    </row>
    <row r="146" spans="1:29" hidden="1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6">
        <v>97892.700000000012</v>
      </c>
      <c r="H146" s="156">
        <v>901.66</v>
      </c>
      <c r="I146" s="156">
        <f t="shared" si="18"/>
        <v>96991.040000000008</v>
      </c>
      <c r="J146" s="42">
        <f>IFERROR(G146/VLOOKUP(A146,RESUME!$G$3:$I$10,3,FALSE),0)</f>
        <v>0.39501356442152974</v>
      </c>
      <c r="K146" s="156">
        <f t="shared" si="22"/>
        <v>78314.160000000018</v>
      </c>
      <c r="L146" s="156">
        <f t="shared" si="23"/>
        <v>97892.700000000012</v>
      </c>
      <c r="M146" s="147">
        <f t="shared" si="19"/>
        <v>0.49376695552691208</v>
      </c>
      <c r="N146" s="41" t="str">
        <f>_xlfn.IFNA(VLOOKUP(A146&amp;"-"&amp;B146&amp;"-"&amp;D146,Ref_Account!$A:$F,6,FALSE),"ACCOUNT TIDAK DITEMUKAN")</f>
        <v>1204.630110</v>
      </c>
      <c r="O146" s="39">
        <f t="shared" si="20"/>
        <v>1</v>
      </c>
      <c r="P146" s="39" t="str">
        <f t="shared" si="21"/>
        <v>OK</v>
      </c>
      <c r="Q146" s="152" t="s">
        <v>529</v>
      </c>
      <c r="R146" s="168"/>
      <c r="AA146" s="171" t="str">
        <f t="shared" si="24"/>
        <v>Tony TejaLABOR COSTUpah ProduksiMAJA-2Rudiyanto1</v>
      </c>
      <c r="AB146" s="1" t="s">
        <v>710</v>
      </c>
      <c r="AC146" s="1" t="b">
        <f t="shared" si="25"/>
        <v>1</v>
      </c>
    </row>
    <row r="147" spans="1:29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7">
        <v>300</v>
      </c>
      <c r="H147" s="157"/>
      <c r="I147" s="157">
        <f t="shared" si="18"/>
        <v>300</v>
      </c>
      <c r="J147" s="185">
        <f>IFERROR(G147/VLOOKUP(A147,RESUME!$G$3:$I$10,3,FALSE),0)</f>
        <v>1.2105506266193384E-3</v>
      </c>
      <c r="K147" s="157">
        <f t="shared" si="22"/>
        <v>240</v>
      </c>
      <c r="L147" s="157">
        <f t="shared" si="23"/>
        <v>300</v>
      </c>
      <c r="M147" s="149">
        <f t="shared" si="19"/>
        <v>1.5131882832741729E-3</v>
      </c>
      <c r="N147" s="43" t="str">
        <f>_xlfn.IFNA(VLOOKUP(A147&amp;"-"&amp;B147&amp;"-"&amp;D147,Ref_Account!$A:$F,6,FALSE),"ACCOUNT TIDAK DITEMUKAN")</f>
        <v>1204.630770</v>
      </c>
      <c r="O147" s="40">
        <f t="shared" si="20"/>
        <v>1</v>
      </c>
      <c r="P147" s="40" t="str">
        <f t="shared" si="21"/>
        <v>OK</v>
      </c>
      <c r="Q147" s="164" t="s">
        <v>529</v>
      </c>
      <c r="R147" s="168"/>
      <c r="AA147" s="171" t="str">
        <f t="shared" si="24"/>
        <v>Tony TejaMAINT.&amp;REP.ELECTRICITYpemeliharaan instalasi listrikMAJA-2Imas1</v>
      </c>
      <c r="AB147" s="1" t="s">
        <v>711</v>
      </c>
      <c r="AC147" s="1" t="b">
        <f t="shared" si="25"/>
        <v>1</v>
      </c>
    </row>
    <row r="148" spans="1:29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6">
        <v>300</v>
      </c>
      <c r="H148" s="156"/>
      <c r="I148" s="156">
        <f t="shared" si="18"/>
        <v>300</v>
      </c>
      <c r="J148" s="42">
        <f>IFERROR(G148/VLOOKUP(A148,RESUME!$G$3:$I$10,3,FALSE),0)</f>
        <v>1.2105506266193384E-3</v>
      </c>
      <c r="K148" s="156">
        <f t="shared" si="22"/>
        <v>240</v>
      </c>
      <c r="L148" s="156">
        <f t="shared" si="23"/>
        <v>300</v>
      </c>
      <c r="M148" s="147">
        <f t="shared" si="19"/>
        <v>1.5131882832741729E-3</v>
      </c>
      <c r="N148" s="41" t="str">
        <f>_xlfn.IFNA(VLOOKUP(A148&amp;"-"&amp;B148&amp;"-"&amp;D148,Ref_Account!$A:$F,6,FALSE),"ACCOUNT TIDAK DITEMUKAN")</f>
        <v>1204.630750</v>
      </c>
      <c r="O148" s="39">
        <f t="shared" si="20"/>
        <v>1</v>
      </c>
      <c r="P148" s="39" t="str">
        <f t="shared" si="21"/>
        <v>OK</v>
      </c>
      <c r="Q148" s="152" t="s">
        <v>529</v>
      </c>
      <c r="R148" s="168"/>
      <c r="AA148" s="171" t="str">
        <f t="shared" si="24"/>
        <v>Tony TejaMAINT.&amp;REP.GEN&amp;BOILERPemeliharaan GeneratorMAJA-2Imas1</v>
      </c>
      <c r="AB148" s="1" t="s">
        <v>712</v>
      </c>
      <c r="AC148" s="1" t="b">
        <f t="shared" si="25"/>
        <v>1</v>
      </c>
    </row>
    <row r="149" spans="1:29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7">
        <v>300</v>
      </c>
      <c r="H149" s="157">
        <v>538.35</v>
      </c>
      <c r="I149" s="157">
        <f t="shared" si="18"/>
        <v>-238.35000000000002</v>
      </c>
      <c r="J149" s="185">
        <f>IFERROR(G149/VLOOKUP(A149,RESUME!$G$3:$I$10,3,FALSE),0)</f>
        <v>1.2105506266193384E-3</v>
      </c>
      <c r="K149" s="157">
        <f t="shared" si="22"/>
        <v>240</v>
      </c>
      <c r="L149" s="157">
        <f t="shared" si="23"/>
        <v>300</v>
      </c>
      <c r="M149" s="149">
        <f t="shared" si="19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20"/>
        <v>1</v>
      </c>
      <c r="P149" s="40" t="str">
        <f t="shared" si="21"/>
        <v>OVER</v>
      </c>
      <c r="Q149" s="164" t="s">
        <v>529</v>
      </c>
      <c r="R149" s="168"/>
      <c r="AA149" s="171" t="str">
        <f t="shared" si="24"/>
        <v>Tony TejaMAINT.&amp;REP.MACHINERIEpemeliharaan mesinMAJA-2Imas1</v>
      </c>
      <c r="AB149" s="1" t="s">
        <v>713</v>
      </c>
      <c r="AC149" s="1" t="b">
        <f t="shared" si="25"/>
        <v>1</v>
      </c>
    </row>
    <row r="150" spans="1:29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6">
        <v>300</v>
      </c>
      <c r="H150" s="156">
        <v>120.24</v>
      </c>
      <c r="I150" s="156">
        <f t="shared" si="18"/>
        <v>179.76</v>
      </c>
      <c r="J150" s="42">
        <f>IFERROR(G150/VLOOKUP(A150,RESUME!$G$3:$I$10,3,FALSE),0)</f>
        <v>1.2105506266193384E-3</v>
      </c>
      <c r="K150" s="156">
        <f t="shared" si="22"/>
        <v>240</v>
      </c>
      <c r="L150" s="156">
        <f t="shared" si="23"/>
        <v>300</v>
      </c>
      <c r="M150" s="147">
        <f t="shared" si="19"/>
        <v>1.5131882832741729E-3</v>
      </c>
      <c r="N150" s="41" t="str">
        <f>_xlfn.IFNA(VLOOKUP(A150&amp;"-"&amp;B150&amp;"-"&amp;D150,Ref_Account!$A:$F,6,FALSE),"ACCOUNT TIDAK DITEMUKAN")</f>
        <v>1204.630730</v>
      </c>
      <c r="O150" s="39">
        <f t="shared" si="20"/>
        <v>1</v>
      </c>
      <c r="P150" s="39" t="str">
        <f t="shared" si="21"/>
        <v>OK</v>
      </c>
      <c r="Q150" s="152" t="s">
        <v>529</v>
      </c>
      <c r="R150" s="168"/>
      <c r="AA150" s="171" t="str">
        <f t="shared" si="24"/>
        <v>Tony TejaMAINT.&amp;REP.PLANTEQUIpemeliharaan peralatan produksiMAJA-2Imas1</v>
      </c>
      <c r="AB150" s="1" t="s">
        <v>714</v>
      </c>
      <c r="AC150" s="1" t="b">
        <f t="shared" si="25"/>
        <v>1</v>
      </c>
    </row>
    <row r="151" spans="1:29" hidden="1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7">
        <v>2346.61</v>
      </c>
      <c r="H151" s="157">
        <v>4045.48</v>
      </c>
      <c r="I151" s="157">
        <f t="shared" si="18"/>
        <v>-1698.87</v>
      </c>
      <c r="J151" s="185">
        <f>IFERROR(G151/VLOOKUP(A151,RESUME!$G$3:$I$10,3,FALSE),0)</f>
        <v>9.46896735310402E-3</v>
      </c>
      <c r="K151" s="157">
        <f t="shared" si="22"/>
        <v>1877.2880000000002</v>
      </c>
      <c r="L151" s="157">
        <f t="shared" si="23"/>
        <v>2346.61</v>
      </c>
      <c r="M151" s="149">
        <f t="shared" si="19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20"/>
        <v>1</v>
      </c>
      <c r="P151" s="40" t="str">
        <f t="shared" si="21"/>
        <v>OVER</v>
      </c>
      <c r="Q151" s="164" t="s">
        <v>529</v>
      </c>
      <c r="R151" s="168"/>
      <c r="AA151" s="171" t="str">
        <f t="shared" si="24"/>
        <v>Tony TejaPEMAKAIAN SPARE PARTissue jarum , baud, dllMAJA-2Imas1</v>
      </c>
      <c r="AB151" s="1" t="s">
        <v>715</v>
      </c>
      <c r="AC151" s="1" t="b">
        <f t="shared" si="25"/>
        <v>1</v>
      </c>
    </row>
    <row r="152" spans="1:29" hidden="1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6">
        <v>483</v>
      </c>
      <c r="H152" s="156"/>
      <c r="I152" s="156">
        <f t="shared" si="18"/>
        <v>483</v>
      </c>
      <c r="J152" s="42">
        <f>IFERROR(G152/VLOOKUP(A152,RESUME!$G$3:$I$10,3,FALSE),0)</f>
        <v>1.9489865088571348E-3</v>
      </c>
      <c r="K152" s="156">
        <f t="shared" si="22"/>
        <v>386.40000000000003</v>
      </c>
      <c r="L152" s="156">
        <f t="shared" si="23"/>
        <v>483</v>
      </c>
      <c r="M152" s="147">
        <f t="shared" si="19"/>
        <v>2.4362331360714183E-3</v>
      </c>
      <c r="N152" s="41" t="str">
        <f>_xlfn.IFNA(VLOOKUP(A152&amp;"-"&amp;B152&amp;"-"&amp;D152,Ref_Account!$A:$F,6,FALSE),"ACCOUNT TIDAK DITEMUKAN")</f>
        <v>1204.631140</v>
      </c>
      <c r="O152" s="39">
        <f t="shared" si="20"/>
        <v>1</v>
      </c>
      <c r="P152" s="39" t="str">
        <f t="shared" si="21"/>
        <v>OK</v>
      </c>
      <c r="Q152" s="152" t="s">
        <v>529</v>
      </c>
      <c r="R152" s="168"/>
      <c r="AA152" s="171" t="str">
        <f t="shared" si="24"/>
        <v>Tony TejaPMKN FUEL &amp; LUBRICANTissue solarMAJA-2Imas1</v>
      </c>
      <c r="AB152" s="1" t="s">
        <v>716</v>
      </c>
      <c r="AC152" s="1" t="b">
        <f t="shared" si="25"/>
        <v>1</v>
      </c>
    </row>
    <row r="153" spans="1:29" hidden="1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7">
        <v>943.01</v>
      </c>
      <c r="H153" s="157">
        <v>474.59</v>
      </c>
      <c r="I153" s="157">
        <f t="shared" si="18"/>
        <v>468.42</v>
      </c>
      <c r="J153" s="185">
        <f>IFERROR(G153/VLOOKUP(A153,RESUME!$G$3:$I$10,3,FALSE),0)</f>
        <v>1.0674639092355137E-2</v>
      </c>
      <c r="K153" s="157">
        <f t="shared" si="22"/>
        <v>754.40800000000002</v>
      </c>
      <c r="L153" s="157">
        <f t="shared" si="23"/>
        <v>943.01</v>
      </c>
      <c r="M153" s="149">
        <f t="shared" si="19"/>
        <v>1.3343298865443921E-2</v>
      </c>
      <c r="N153" s="43" t="str">
        <f>_xlfn.IFNA(VLOOKUP(A153&amp;"-"&amp;B153&amp;"-"&amp;D153,Ref_Account!$A:$F,6,FALSE),"ACCOUNT TIDAK DITEMUKAN")</f>
        <v>1201.816120</v>
      </c>
      <c r="O153" s="40">
        <f t="shared" si="20"/>
        <v>1</v>
      </c>
      <c r="P153" s="40" t="str">
        <f t="shared" si="21"/>
        <v>OK</v>
      </c>
      <c r="Q153" s="164" t="s">
        <v>559</v>
      </c>
      <c r="R153" s="168"/>
      <c r="AA153" s="171" t="str">
        <f t="shared" si="24"/>
        <v>Santy SilalahiACCOUNTING&amp;TAX ADVISORY EXP.Biaya jasa Akuntan publik, aktuaria, konsultan pajak.CLNRini1</v>
      </c>
      <c r="AB153" s="1" t="s">
        <v>717</v>
      </c>
      <c r="AC153" s="1" t="b">
        <f t="shared" si="25"/>
        <v>1</v>
      </c>
    </row>
    <row r="154" spans="1:29" hidden="1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6">
        <v>3000</v>
      </c>
      <c r="H154" s="156">
        <v>680.2</v>
      </c>
      <c r="I154" s="156">
        <f t="shared" si="18"/>
        <v>2319.8000000000002</v>
      </c>
      <c r="J154" s="42">
        <f>IFERROR(G154/VLOOKUP(A154,RESUME!$G$3:$I$10,3,FALSE),0)</f>
        <v>3.3959255232781635E-2</v>
      </c>
      <c r="K154" s="156">
        <f t="shared" si="22"/>
        <v>2400</v>
      </c>
      <c r="L154" s="156">
        <f t="shared" si="23"/>
        <v>3000</v>
      </c>
      <c r="M154" s="147">
        <f t="shared" si="19"/>
        <v>4.2449069040977047E-2</v>
      </c>
      <c r="N154" s="41" t="str">
        <f>_xlfn.IFNA(VLOOKUP(A154&amp;"-"&amp;B154&amp;"-"&amp;D154,Ref_Account!$A:$F,6,FALSE),"ACCOUNT TIDAK DITEMUKAN")</f>
        <v>1201.920410</v>
      </c>
      <c r="O154" s="39">
        <f t="shared" si="20"/>
        <v>1</v>
      </c>
      <c r="P154" s="39" t="str">
        <f t="shared" si="21"/>
        <v>OK</v>
      </c>
      <c r="Q154" s="152" t="s">
        <v>560</v>
      </c>
      <c r="R154" s="168"/>
      <c r="AA154" s="171" t="str">
        <f t="shared" si="24"/>
        <v>Santy SilalahiBANK CHARGESBiaya Bank ChargesCLNTita1</v>
      </c>
      <c r="AB154" s="1" t="s">
        <v>718</v>
      </c>
      <c r="AC154" s="1" t="b">
        <f t="shared" si="25"/>
        <v>1</v>
      </c>
    </row>
    <row r="155" spans="1:29" hidden="1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7">
        <v>27000</v>
      </c>
      <c r="H155" s="157">
        <v>4859.3</v>
      </c>
      <c r="I155" s="157">
        <f t="shared" si="18"/>
        <v>22140.7</v>
      </c>
      <c r="J155" s="185">
        <f>IFERROR(G155/VLOOKUP(A155,RESUME!$G$3:$I$10,3,FALSE),0)</f>
        <v>0.30563329709503473</v>
      </c>
      <c r="K155" s="157">
        <f t="shared" si="22"/>
        <v>21600</v>
      </c>
      <c r="L155" s="157">
        <f t="shared" si="23"/>
        <v>27000</v>
      </c>
      <c r="M155" s="149">
        <f t="shared" si="19"/>
        <v>0.38204162136879338</v>
      </c>
      <c r="N155" s="43" t="str">
        <f>_xlfn.IFNA(VLOOKUP(A155&amp;"-"&amp;B155&amp;"-"&amp;D155,Ref_Account!$A:$F,6,FALSE),"ACCOUNT TIDAK DITEMUKAN")</f>
        <v>1201.920120</v>
      </c>
      <c r="O155" s="40">
        <f t="shared" si="20"/>
        <v>1</v>
      </c>
      <c r="P155" s="40" t="str">
        <f t="shared" si="21"/>
        <v>OK</v>
      </c>
      <c r="Q155" s="164" t="s">
        <v>561</v>
      </c>
      <c r="R155" s="168"/>
      <c r="AA155" s="171" t="str">
        <f t="shared" si="24"/>
        <v>Santy SilalahiINTEREST EXP OF DOMESTICBiaya bunga PinjamanCLNIsma1</v>
      </c>
      <c r="AB155" s="1" t="s">
        <v>719</v>
      </c>
      <c r="AC155" s="1" t="b">
        <f t="shared" si="25"/>
        <v>1</v>
      </c>
    </row>
    <row r="156" spans="1:29" hidden="1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6">
        <v>743.73</v>
      </c>
      <c r="H156" s="156"/>
      <c r="I156" s="156">
        <f t="shared" si="18"/>
        <v>743.73</v>
      </c>
      <c r="J156" s="42">
        <f>IFERROR(G156/VLOOKUP(A156,RESUME!$G$3:$I$10,3,FALSE),0)</f>
        <v>8.4188389647588957E-3</v>
      </c>
      <c r="K156" s="156">
        <f t="shared" si="22"/>
        <v>594.98400000000004</v>
      </c>
      <c r="L156" s="156">
        <f t="shared" si="23"/>
        <v>743.73</v>
      </c>
      <c r="M156" s="147">
        <f t="shared" si="19"/>
        <v>1.052354870594862E-2</v>
      </c>
      <c r="N156" s="41" t="str">
        <f>_xlfn.IFNA(VLOOKUP(A156&amp;"-"&amp;B156&amp;"-"&amp;D156,Ref_Account!$A:$F,6,FALSE),"ACCOUNT TIDAK DITEMUKAN")</f>
        <v>1201.805120</v>
      </c>
      <c r="O156" s="39">
        <f t="shared" si="20"/>
        <v>1</v>
      </c>
      <c r="P156" s="39" t="str">
        <f t="shared" si="21"/>
        <v>OK</v>
      </c>
      <c r="Q156" s="152" t="s">
        <v>529</v>
      </c>
      <c r="R156" s="168"/>
      <c r="AA156" s="171" t="str">
        <f t="shared" si="24"/>
        <v>Santy SilalahiPREMIUM COSTiuran keanggotaan CLNTita1</v>
      </c>
      <c r="AB156" s="1" t="s">
        <v>720</v>
      </c>
      <c r="AC156" s="1" t="b">
        <f t="shared" si="25"/>
        <v>1</v>
      </c>
    </row>
    <row r="157" spans="1:29" hidden="1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7">
        <v>2000</v>
      </c>
      <c r="H157" s="157">
        <v>171.94</v>
      </c>
      <c r="I157" s="157">
        <f t="shared" si="18"/>
        <v>1828.06</v>
      </c>
      <c r="J157" s="185">
        <f>IFERROR(G157/VLOOKUP(A157,RESUME!$G$3:$I$10,3,FALSE),0)</f>
        <v>2.263950348852109E-2</v>
      </c>
      <c r="K157" s="157">
        <f t="shared" si="22"/>
        <v>1600</v>
      </c>
      <c r="L157" s="157">
        <f t="shared" si="23"/>
        <v>2000</v>
      </c>
      <c r="M157" s="149">
        <f t="shared" si="19"/>
        <v>2.8299379360651362E-2</v>
      </c>
      <c r="N157" s="43" t="str">
        <f>_xlfn.IFNA(VLOOKUP(A157&amp;"-"&amp;B157&amp;"-"&amp;D157,Ref_Account!$A:$F,6,FALSE),"ACCOUNT TIDAK DITEMUKAN")</f>
        <v>1201.920700</v>
      </c>
      <c r="O157" s="40">
        <f t="shared" si="20"/>
        <v>1</v>
      </c>
      <c r="P157" s="40" t="str">
        <f t="shared" si="21"/>
        <v>OK</v>
      </c>
      <c r="Q157" s="164" t="s">
        <v>562</v>
      </c>
      <c r="R157" s="168"/>
      <c r="AA157" s="171" t="str">
        <f t="shared" si="24"/>
        <v>Santy SilalahiTAXESBiaya Pajak yg tidak bisa di restitusi (ppn sewa mesin foto copy, ppn security/yg td berhubungan dg produksi), bea Masuk.CLNDini1</v>
      </c>
      <c r="AB157" s="1" t="s">
        <v>721</v>
      </c>
      <c r="AC157" s="1" t="b">
        <f t="shared" si="25"/>
        <v>1</v>
      </c>
    </row>
    <row r="158" spans="1:29" hidden="1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6">
        <v>1000</v>
      </c>
      <c r="H158" s="156">
        <v>91.72</v>
      </c>
      <c r="I158" s="156">
        <f t="shared" si="18"/>
        <v>908.28</v>
      </c>
      <c r="J158" s="42">
        <f>IFERROR(G158/VLOOKUP(A158,RESUME!$G$3:$I$10,3,FALSE),0)</f>
        <v>1.1319751744260545E-2</v>
      </c>
      <c r="K158" s="156">
        <f t="shared" si="22"/>
        <v>800</v>
      </c>
      <c r="L158" s="156">
        <f t="shared" si="23"/>
        <v>1000</v>
      </c>
      <c r="M158" s="147">
        <f t="shared" si="19"/>
        <v>1.4149689680325681E-2</v>
      </c>
      <c r="N158" s="41" t="str">
        <f>_xlfn.IFNA(VLOOKUP(A158&amp;"-"&amp;B158&amp;"-"&amp;D158,Ref_Account!$A:$F,6,FALSE),"ACCOUNT TIDAK DITEMUKAN")</f>
        <v>1206.920700</v>
      </c>
      <c r="O158" s="39">
        <f t="shared" si="20"/>
        <v>1</v>
      </c>
      <c r="P158" s="39" t="str">
        <f t="shared" si="21"/>
        <v>OK</v>
      </c>
      <c r="Q158" s="152" t="s">
        <v>563</v>
      </c>
      <c r="R158" s="168"/>
      <c r="AA158" s="171" t="str">
        <f t="shared" si="24"/>
        <v>Santy SilalahiTAXESBiaya Pajak yg tidak bisa di restitusi (ppn sewa mesin foto copy, ppn security/yg td berhubungan dg produksi), bea Masuk.KALIBENDADini1</v>
      </c>
      <c r="AB158" s="1" t="s">
        <v>722</v>
      </c>
      <c r="AC158" s="1" t="b">
        <f t="shared" si="25"/>
        <v>1</v>
      </c>
    </row>
    <row r="159" spans="1:29" hidden="1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7">
        <v>1000</v>
      </c>
      <c r="H159" s="157">
        <v>212.18</v>
      </c>
      <c r="I159" s="157">
        <f t="shared" si="18"/>
        <v>787.81999999999994</v>
      </c>
      <c r="J159" s="185">
        <f>IFERROR(G159/VLOOKUP(A159,RESUME!$G$3:$I$10,3,FALSE),0)</f>
        <v>1.1319751744260545E-2</v>
      </c>
      <c r="K159" s="157">
        <f t="shared" si="22"/>
        <v>800</v>
      </c>
      <c r="L159" s="157">
        <f t="shared" si="23"/>
        <v>1000</v>
      </c>
      <c r="M159" s="149">
        <f t="shared" si="19"/>
        <v>1.4149689680325681E-2</v>
      </c>
      <c r="N159" s="43" t="str">
        <f>_xlfn.IFNA(VLOOKUP(A159&amp;"-"&amp;B159&amp;"-"&amp;D159,Ref_Account!$A:$F,6,FALSE),"ACCOUNT TIDAK DITEMUKAN")</f>
        <v>1205.920700</v>
      </c>
      <c r="O159" s="40">
        <f t="shared" si="20"/>
        <v>1</v>
      </c>
      <c r="P159" s="40" t="str">
        <f t="shared" si="21"/>
        <v>OK</v>
      </c>
      <c r="Q159" s="164" t="s">
        <v>564</v>
      </c>
      <c r="R159" s="168"/>
      <c r="AA159" s="171" t="str">
        <f t="shared" si="24"/>
        <v>Santy SilalahiTAXESBiaya Pajak yg tidak bisa di restitusi (ppn sewa mesin foto copy, ppn security/yg td berhubungan dg produksi), bea Masuk.MAJA-1Dini1</v>
      </c>
      <c r="AB159" s="1" t="s">
        <v>723</v>
      </c>
      <c r="AC159" s="1" t="b">
        <f t="shared" si="25"/>
        <v>1</v>
      </c>
    </row>
    <row r="160" spans="1:29" hidden="1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6">
        <v>1000</v>
      </c>
      <c r="H160" s="156">
        <v>187.31</v>
      </c>
      <c r="I160" s="156">
        <f t="shared" si="18"/>
        <v>812.69</v>
      </c>
      <c r="J160" s="42">
        <f>IFERROR(G160/VLOOKUP(A160,RESUME!$G$3:$I$10,3,FALSE),0)</f>
        <v>1.1319751744260545E-2</v>
      </c>
      <c r="K160" s="156">
        <f t="shared" si="22"/>
        <v>800</v>
      </c>
      <c r="L160" s="156">
        <f t="shared" si="23"/>
        <v>1000</v>
      </c>
      <c r="M160" s="147">
        <f t="shared" si="19"/>
        <v>1.4149689680325681E-2</v>
      </c>
      <c r="N160" s="41" t="str">
        <f>_xlfn.IFNA(VLOOKUP(A160&amp;"-"&amp;B160&amp;"-"&amp;D160,Ref_Account!$A:$F,6,FALSE),"ACCOUNT TIDAK DITEMUKAN")</f>
        <v>1204.920700</v>
      </c>
      <c r="O160" s="39">
        <f t="shared" si="20"/>
        <v>1</v>
      </c>
      <c r="P160" s="39" t="str">
        <f t="shared" si="21"/>
        <v>OK</v>
      </c>
      <c r="Q160" s="152" t="s">
        <v>565</v>
      </c>
      <c r="R160" s="168"/>
      <c r="AA160" s="171" t="str">
        <f t="shared" si="24"/>
        <v>Santy SilalahiTAXESBiaya Pajak yg tidak bisa di restitusi (ppn sewa mesin foto copy, ppn security/yg td berhubungan dg produksi), bea Masuk.MAJA-2Dini1</v>
      </c>
      <c r="AB160" s="1" t="s">
        <v>724</v>
      </c>
      <c r="AC160" s="1" t="b">
        <f t="shared" si="25"/>
        <v>1</v>
      </c>
    </row>
    <row r="161" spans="1:29" hidden="1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7">
        <v>45654.420000000006</v>
      </c>
      <c r="H161" s="157"/>
      <c r="I161" s="157">
        <f t="shared" si="18"/>
        <v>45654.420000000006</v>
      </c>
      <c r="J161" s="185">
        <f>IFERROR(G161/VLOOKUP(A161,RESUME!$G$3:$I$10,3,FALSE),0)</f>
        <v>0.51679670042820358</v>
      </c>
      <c r="K161" s="157">
        <f t="shared" si="22"/>
        <v>36523.536000000007</v>
      </c>
      <c r="L161" s="157">
        <f t="shared" si="23"/>
        <v>45654.420000000006</v>
      </c>
      <c r="M161" s="149">
        <f t="shared" si="19"/>
        <v>0.6459958755352545</v>
      </c>
      <c r="N161" s="43" t="str">
        <f>_xlfn.IFNA(VLOOKUP(A161&amp;"-"&amp;B161&amp;"-"&amp;D161,Ref_Account!$A:$F,6,FALSE),"ACCOUNT TIDAK DITEMUKAN")</f>
        <v>1201.801110</v>
      </c>
      <c r="O161" s="40">
        <f t="shared" si="20"/>
        <v>1</v>
      </c>
      <c r="P161" s="40" t="str">
        <f t="shared" si="21"/>
        <v>OK</v>
      </c>
      <c r="Q161" s="164" t="s">
        <v>566</v>
      </c>
      <c r="R161" s="168"/>
      <c r="AA161" s="171" t="str">
        <f t="shared" si="24"/>
        <v>Santy SilalahiOFFICER SALARIESUpah StaffCLNCeria1</v>
      </c>
      <c r="AB161" s="1" t="s">
        <v>725</v>
      </c>
      <c r="AC161" s="1" t="b">
        <f t="shared" si="25"/>
        <v>1</v>
      </c>
    </row>
    <row r="162" spans="1:29" hidden="1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6">
        <v>6000</v>
      </c>
      <c r="H162" s="156"/>
      <c r="I162" s="156">
        <f t="shared" si="18"/>
        <v>6000</v>
      </c>
      <c r="J162" s="42">
        <f>IFERROR(G162/VLOOKUP(A162,RESUME!$G$3:$I$10,3,FALSE),0)</f>
        <v>6.791851046556327E-2</v>
      </c>
      <c r="K162" s="156">
        <f t="shared" si="22"/>
        <v>4800</v>
      </c>
      <c r="L162" s="156">
        <f t="shared" si="23"/>
        <v>6000</v>
      </c>
      <c r="M162" s="147">
        <f t="shared" si="19"/>
        <v>8.4898138081954094E-2</v>
      </c>
      <c r="N162" s="41" t="str">
        <f>_xlfn.IFNA(VLOOKUP(A162&amp;"-"&amp;B162&amp;"-"&amp;D162,Ref_Account!$A:$F,6,FALSE),"ACCOUNT TIDAK DITEMUKAN")</f>
        <v>1204.801110</v>
      </c>
      <c r="O162" s="39">
        <f t="shared" si="20"/>
        <v>1</v>
      </c>
      <c r="P162" s="39" t="str">
        <f t="shared" si="21"/>
        <v>OK</v>
      </c>
      <c r="Q162" s="152" t="s">
        <v>567</v>
      </c>
      <c r="R162" s="168"/>
      <c r="AA162" s="171" t="str">
        <f t="shared" si="24"/>
        <v>Santy SilalahiOFFICER SALARIESUpah StaffMAJA-2Ceria1</v>
      </c>
      <c r="AB162" s="1" t="s">
        <v>726</v>
      </c>
      <c r="AC162" s="1" t="b">
        <f t="shared" si="25"/>
        <v>1</v>
      </c>
    </row>
  </sheetData>
  <autoFilter ref="A5:Q162">
    <filterColumn colId="1">
      <filters>
        <filter val="MAINT.&amp;REP.BUILDING"/>
        <filter val="MAINT.&amp;REP.ELECTRICITY"/>
        <filter val="MAINT.&amp;REP.GEN&amp;BOILER"/>
        <filter val="MAINT.&amp;REP.MACHINERIE"/>
        <filter val="MAINT.&amp;REP.MOTORVEHICLE"/>
        <filter val="MAINT.&amp;REP.PLANTEQUI"/>
        <filter val="MAINT.&amp;REP.WATERINSTL."/>
        <filter val="MAINT.OFFICEEQUIP."/>
      </filters>
    </filterColumn>
  </autoFilter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hyperlinks>
    <hyperlink ref="B6" r:id="rId1"/>
    <hyperlink ref="B7" r:id="rId2"/>
    <hyperlink ref="B8" r:id="rId3"/>
    <hyperlink ref="B9" r:id="rId4"/>
    <hyperlink ref="B10" r:id="rId5"/>
    <hyperlink ref="B11" r:id="rId6"/>
    <hyperlink ref="B12" r:id="rId7"/>
    <hyperlink ref="B13" r:id="rId8"/>
    <hyperlink ref="B14" r:id="rId9"/>
    <hyperlink ref="B15" r:id="rId10"/>
    <hyperlink ref="B16" r:id="rId11"/>
    <hyperlink ref="B17" r:id="rId12"/>
    <hyperlink ref="B18" r:id="rId13"/>
    <hyperlink ref="B19" r:id="rId14"/>
    <hyperlink ref="B20" r:id="rId15"/>
    <hyperlink ref="B21" r:id="rId16"/>
    <hyperlink ref="B22" r:id="rId17"/>
    <hyperlink ref="B23" r:id="rId18"/>
    <hyperlink ref="B24" r:id="rId19"/>
    <hyperlink ref="B25" r:id="rId20"/>
    <hyperlink ref="B26" r:id="rId21"/>
    <hyperlink ref="B27" r:id="rId22"/>
    <hyperlink ref="B28" r:id="rId23"/>
    <hyperlink ref="B29" r:id="rId24"/>
    <hyperlink ref="B30" r:id="rId25"/>
    <hyperlink ref="B31" r:id="rId26"/>
    <hyperlink ref="B32" r:id="rId27"/>
    <hyperlink ref="B33" r:id="rId28"/>
    <hyperlink ref="B34" r:id="rId29"/>
    <hyperlink ref="B35" r:id="rId30"/>
    <hyperlink ref="B36" r:id="rId31"/>
    <hyperlink ref="B37" r:id="rId32"/>
    <hyperlink ref="B38" r:id="rId33"/>
    <hyperlink ref="B39" r:id="rId34"/>
    <hyperlink ref="B40" r:id="rId35"/>
    <hyperlink ref="B41" r:id="rId36"/>
    <hyperlink ref="B42" r:id="rId37"/>
    <hyperlink ref="B43" r:id="rId38"/>
    <hyperlink ref="B44" r:id="rId39"/>
    <hyperlink ref="B45" r:id="rId40"/>
    <hyperlink ref="B46" r:id="rId41"/>
    <hyperlink ref="B47" r:id="rId42"/>
    <hyperlink ref="B48" r:id="rId43"/>
    <hyperlink ref="B49" r:id="rId44"/>
    <hyperlink ref="B50" r:id="rId45"/>
    <hyperlink ref="B51" r:id="rId46"/>
    <hyperlink ref="B52" r:id="rId47"/>
    <hyperlink ref="B53" r:id="rId48"/>
    <hyperlink ref="B54" r:id="rId49"/>
    <hyperlink ref="B55" r:id="rId50"/>
    <hyperlink ref="B56" r:id="rId51"/>
    <hyperlink ref="B57" r:id="rId52"/>
    <hyperlink ref="B58" r:id="rId53"/>
    <hyperlink ref="B59" r:id="rId54"/>
    <hyperlink ref="B60" r:id="rId55"/>
    <hyperlink ref="B61" r:id="rId56"/>
    <hyperlink ref="B62" r:id="rId57"/>
    <hyperlink ref="B63" r:id="rId58"/>
    <hyperlink ref="B64" r:id="rId59"/>
    <hyperlink ref="B65" r:id="rId60"/>
    <hyperlink ref="B66" r:id="rId61"/>
    <hyperlink ref="B67" r:id="rId62"/>
    <hyperlink ref="B68" r:id="rId63"/>
    <hyperlink ref="B69" r:id="rId64"/>
    <hyperlink ref="B70" r:id="rId65"/>
    <hyperlink ref="B71" r:id="rId66"/>
    <hyperlink ref="B72" r:id="rId67"/>
    <hyperlink ref="B73" r:id="rId68"/>
    <hyperlink ref="B74" r:id="rId69"/>
    <hyperlink ref="B75" r:id="rId70"/>
    <hyperlink ref="B76" r:id="rId71"/>
    <hyperlink ref="B77" r:id="rId72"/>
    <hyperlink ref="B78" r:id="rId73"/>
    <hyperlink ref="B79" r:id="rId74"/>
    <hyperlink ref="B80" r:id="rId75"/>
    <hyperlink ref="B81" r:id="rId76"/>
    <hyperlink ref="B82" r:id="rId77"/>
    <hyperlink ref="B83" r:id="rId78"/>
    <hyperlink ref="B84" r:id="rId79"/>
    <hyperlink ref="B85" r:id="rId80"/>
    <hyperlink ref="B86" r:id="rId81"/>
    <hyperlink ref="B87" r:id="rId82"/>
    <hyperlink ref="B88" r:id="rId83"/>
    <hyperlink ref="B89" r:id="rId84"/>
    <hyperlink ref="B90" r:id="rId85"/>
    <hyperlink ref="B91" r:id="rId86"/>
    <hyperlink ref="B92" r:id="rId87"/>
    <hyperlink ref="B93" r:id="rId88"/>
    <hyperlink ref="B94" r:id="rId89"/>
    <hyperlink ref="B95" r:id="rId90"/>
    <hyperlink ref="B96" r:id="rId91"/>
    <hyperlink ref="B97" r:id="rId92"/>
    <hyperlink ref="B98" r:id="rId93"/>
    <hyperlink ref="B99" r:id="rId94"/>
    <hyperlink ref="B100" r:id="rId95"/>
    <hyperlink ref="B101" r:id="rId96"/>
    <hyperlink ref="B102" r:id="rId97"/>
    <hyperlink ref="B103" r:id="rId98"/>
    <hyperlink ref="B104" r:id="rId99"/>
    <hyperlink ref="B105" r:id="rId100"/>
    <hyperlink ref="B106" r:id="rId101"/>
    <hyperlink ref="B107" r:id="rId102"/>
    <hyperlink ref="B108" r:id="rId103"/>
    <hyperlink ref="B109" r:id="rId104"/>
    <hyperlink ref="B110" r:id="rId105"/>
    <hyperlink ref="B111" r:id="rId106"/>
    <hyperlink ref="B112" r:id="rId107"/>
    <hyperlink ref="B113" r:id="rId108"/>
    <hyperlink ref="B114" r:id="rId109"/>
    <hyperlink ref="B115" r:id="rId110"/>
    <hyperlink ref="B116" r:id="rId111"/>
    <hyperlink ref="B117" r:id="rId112"/>
    <hyperlink ref="B118" r:id="rId113"/>
    <hyperlink ref="B119" r:id="rId114"/>
    <hyperlink ref="B120" r:id="rId115"/>
    <hyperlink ref="B121" r:id="rId116"/>
    <hyperlink ref="B122" r:id="rId117"/>
    <hyperlink ref="B123" r:id="rId118"/>
    <hyperlink ref="B124" r:id="rId119"/>
    <hyperlink ref="B125" r:id="rId120"/>
    <hyperlink ref="B126" r:id="rId121"/>
    <hyperlink ref="B127" r:id="rId122"/>
    <hyperlink ref="B128" r:id="rId123"/>
    <hyperlink ref="B129" r:id="rId124"/>
    <hyperlink ref="B130" r:id="rId125"/>
    <hyperlink ref="B131" r:id="rId126"/>
    <hyperlink ref="B132" r:id="rId127"/>
    <hyperlink ref="B133" r:id="rId128"/>
    <hyperlink ref="B134" r:id="rId129"/>
    <hyperlink ref="B135" r:id="rId130"/>
    <hyperlink ref="B136" r:id="rId131"/>
    <hyperlink ref="B137" r:id="rId132"/>
    <hyperlink ref="B138" r:id="rId133"/>
    <hyperlink ref="B139" r:id="rId134"/>
    <hyperlink ref="B140" r:id="rId135"/>
    <hyperlink ref="B141" r:id="rId136"/>
    <hyperlink ref="B142" r:id="rId137"/>
    <hyperlink ref="B143" r:id="rId138"/>
    <hyperlink ref="B144" r:id="rId139"/>
    <hyperlink ref="B145" r:id="rId140"/>
    <hyperlink ref="B146" r:id="rId141"/>
    <hyperlink ref="B147" r:id="rId142"/>
    <hyperlink ref="B148" r:id="rId143"/>
    <hyperlink ref="B149" r:id="rId144"/>
    <hyperlink ref="B150" r:id="rId145"/>
    <hyperlink ref="B151" r:id="rId146"/>
    <hyperlink ref="B152" r:id="rId147"/>
    <hyperlink ref="B153" r:id="rId148"/>
    <hyperlink ref="B154" r:id="rId149"/>
    <hyperlink ref="B155" r:id="rId150"/>
    <hyperlink ref="B156" r:id="rId151"/>
    <hyperlink ref="B157" r:id="rId152"/>
    <hyperlink ref="B158" r:id="rId153"/>
    <hyperlink ref="B159" r:id="rId154"/>
    <hyperlink ref="B160" r:id="rId155"/>
    <hyperlink ref="B161" r:id="rId156"/>
    <hyperlink ref="B162" r:id="rId157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62"/>
  <sheetViews>
    <sheetView zoomScale="70" zoomScaleNormal="70" workbookViewId="0">
      <pane xSplit="2" ySplit="5" topLeftCell="F6" activePane="bottomRight" state="frozen"/>
      <selection pane="topRight" activeCell="C1" sqref="C1"/>
      <selection pane="bottomLeft" activeCell="A6" sqref="A6"/>
      <selection pane="bottomRight" activeCell="AB6" sqref="AB6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61" style="55" customWidth="1"/>
    <col min="4" max="4" width="17" style="38" customWidth="1"/>
    <col min="5" max="5" width="17.42578125" style="38" customWidth="1"/>
    <col min="6" max="6" width="21" style="38" customWidth="1"/>
    <col min="7" max="7" width="20.5703125" style="44" bestFit="1" customWidth="1"/>
    <col min="8" max="8" width="22.7109375" style="178" customWidth="1"/>
    <col min="9" max="10" width="14.7109375" style="37" customWidth="1"/>
    <col min="11" max="11" width="14.7109375" style="38" customWidth="1"/>
    <col min="12" max="12" width="14.7109375" style="1" customWidth="1"/>
    <col min="13" max="13" width="19.7109375" style="1" bestFit="1" customWidth="1"/>
    <col min="14" max="14" width="20.140625" style="1" bestFit="1" customWidth="1"/>
    <col min="15" max="18" width="14.7109375" style="1" customWidth="1"/>
    <col min="19" max="19" width="14.5703125" style="1" customWidth="1"/>
    <col min="20" max="20" width="13.7109375" style="1" customWidth="1"/>
    <col min="21" max="21" width="15.7109375" style="1" customWidth="1"/>
    <col min="22" max="22" width="14.85546875" style="1" customWidth="1"/>
    <col min="23" max="26" width="16.28515625" style="1"/>
    <col min="27" max="27" width="30.140625" style="1" customWidth="1"/>
    <col min="28" max="16384" width="16.28515625" style="1"/>
  </cols>
  <sheetData>
    <row r="1" spans="1:28" ht="15.75" customHeight="1">
      <c r="A1" s="211" t="str">
        <f ca="1">"MONTHLY BUDGET TH "&amp;YEAR(TODAY())</f>
        <v>MONTHLY BUDGET TH 2024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</row>
    <row r="2" spans="1:28" ht="28.5" customHeight="1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</row>
    <row r="3" spans="1:28" s="49" customFormat="1" ht="17.25" customHeight="1">
      <c r="A3" s="155" t="str">
        <f>'All Costing'!A3</f>
        <v>Periode : February-2024</v>
      </c>
      <c r="B3" s="51"/>
      <c r="C3" s="51"/>
      <c r="D3" s="45"/>
      <c r="E3" s="45"/>
      <c r="F3" s="45"/>
      <c r="G3" s="46"/>
      <c r="H3" s="172"/>
      <c r="I3" s="47"/>
      <c r="J3" s="47"/>
      <c r="K3" s="45"/>
      <c r="L3" s="51"/>
      <c r="M3" s="51"/>
      <c r="N3" s="51"/>
      <c r="O3" s="51"/>
      <c r="P3" s="51"/>
      <c r="Q3" s="51"/>
    </row>
    <row r="4" spans="1:28" s="49" customFormat="1" ht="16.5" customHeight="1">
      <c r="A4" s="51"/>
      <c r="B4" s="51"/>
      <c r="C4" s="51"/>
      <c r="D4" s="45"/>
      <c r="E4" s="45"/>
      <c r="F4" s="45"/>
      <c r="G4" s="50"/>
      <c r="H4" s="172" t="s">
        <v>209</v>
      </c>
      <c r="I4" s="173"/>
      <c r="J4" s="173"/>
      <c r="K4" s="45"/>
      <c r="L4" s="51"/>
      <c r="M4" s="51"/>
      <c r="N4" s="51"/>
      <c r="O4" s="51"/>
      <c r="P4" s="51"/>
      <c r="Q4" s="51"/>
    </row>
    <row r="5" spans="1:28" s="35" customFormat="1" ht="28.5" customHeight="1">
      <c r="A5" s="52" t="s">
        <v>172</v>
      </c>
      <c r="B5" s="165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56" t="s">
        <v>524</v>
      </c>
      <c r="H5" s="166" t="s">
        <v>6</v>
      </c>
      <c r="I5" s="166" t="s">
        <v>190</v>
      </c>
      <c r="J5" s="33" t="s">
        <v>7</v>
      </c>
      <c r="K5" s="33" t="s">
        <v>526</v>
      </c>
      <c r="L5" s="144" t="s">
        <v>527</v>
      </c>
      <c r="M5" s="144" t="s">
        <v>8</v>
      </c>
      <c r="N5" s="34" t="s">
        <v>173</v>
      </c>
      <c r="O5" s="142" t="s">
        <v>314</v>
      </c>
      <c r="P5" s="33" t="s">
        <v>328</v>
      </c>
      <c r="Q5" s="33" t="s">
        <v>528</v>
      </c>
      <c r="R5" s="33" t="s">
        <v>539</v>
      </c>
      <c r="S5" s="33" t="s">
        <v>540</v>
      </c>
      <c r="T5" s="33" t="s">
        <v>541</v>
      </c>
      <c r="U5" s="33" t="s">
        <v>542</v>
      </c>
      <c r="V5" s="33" t="s">
        <v>543</v>
      </c>
      <c r="AA5" s="35" t="str">
        <f t="shared" ref="AA5:AA6" si="0">A5&amp;"-"&amp;B5&amp;"-"&amp;D5&amp;"-"&amp;E5&amp;"-"&amp;N5</f>
        <v>PIC (MANAGER)-CATEGORY-FACTORY-PIC-2-Account Ledger</v>
      </c>
      <c r="AB5" s="35">
        <f>ROW()</f>
        <v>5</v>
      </c>
    </row>
    <row r="6" spans="1:28">
      <c r="A6" s="55" t="s">
        <v>9</v>
      </c>
      <c r="B6" t="s">
        <v>10</v>
      </c>
      <c r="C6" s="55" t="s">
        <v>11</v>
      </c>
      <c r="D6" s="38" t="s">
        <v>12</v>
      </c>
      <c r="E6" s="38" t="s">
        <v>13</v>
      </c>
      <c r="F6" s="179"/>
      <c r="G6" s="174">
        <v>8590.3700000000008</v>
      </c>
      <c r="H6" s="175">
        <v>15169.11</v>
      </c>
      <c r="I6" s="175">
        <v>-6578.74</v>
      </c>
      <c r="J6" s="176">
        <v>0.16852675703156927</v>
      </c>
      <c r="K6" s="38">
        <v>6872.2960000000012</v>
      </c>
      <c r="L6" s="1">
        <v>8590.3700000000008</v>
      </c>
      <c r="M6" s="1">
        <v>0</v>
      </c>
      <c r="N6" s="1" t="s">
        <v>319</v>
      </c>
      <c r="O6" s="1">
        <v>1</v>
      </c>
      <c r="P6" s="1" t="s">
        <v>544</v>
      </c>
      <c r="R6" s="1">
        <v>6704.4400000000023</v>
      </c>
      <c r="S6" s="1">
        <v>1706.9900000000002</v>
      </c>
      <c r="T6" s="1">
        <v>178.94</v>
      </c>
      <c r="U6" s="1">
        <v>6578.7400000000007</v>
      </c>
      <c r="AA6" s="1" t="str">
        <f t="shared" si="0"/>
        <v>Asep Ridwan Subiana-EXPEDITION/SEA FREIGHT-CLN-Heni-1201.720400</v>
      </c>
      <c r="AB6" s="1">
        <f>ROW()</f>
        <v>6</v>
      </c>
    </row>
    <row r="7" spans="1:28">
      <c r="B7"/>
      <c r="F7" s="180"/>
      <c r="G7" s="177"/>
      <c r="I7" s="176"/>
      <c r="J7" s="176"/>
    </row>
    <row r="8" spans="1:28">
      <c r="B8"/>
      <c r="F8" s="180"/>
      <c r="G8" s="177"/>
      <c r="I8" s="176"/>
      <c r="J8" s="176"/>
    </row>
    <row r="9" spans="1:28">
      <c r="B9"/>
      <c r="F9" s="180"/>
      <c r="G9" s="177"/>
      <c r="I9" s="176"/>
      <c r="J9" s="176"/>
    </row>
    <row r="10" spans="1:28">
      <c r="B10"/>
      <c r="F10" s="180"/>
      <c r="G10" s="177"/>
      <c r="I10" s="176"/>
      <c r="J10" s="176"/>
    </row>
    <row r="11" spans="1:28">
      <c r="B11"/>
      <c r="F11" s="180"/>
      <c r="G11" s="177"/>
      <c r="I11" s="176"/>
      <c r="J11" s="176"/>
    </row>
    <row r="12" spans="1:28">
      <c r="B12"/>
      <c r="F12" s="180"/>
      <c r="G12" s="177"/>
      <c r="I12" s="176"/>
      <c r="J12" s="176"/>
    </row>
    <row r="13" spans="1:28">
      <c r="B13"/>
      <c r="F13" s="180"/>
      <c r="G13" s="177"/>
      <c r="I13" s="176"/>
      <c r="J13" s="176"/>
    </row>
    <row r="14" spans="1:28">
      <c r="B14"/>
      <c r="F14" s="180"/>
      <c r="G14" s="177"/>
      <c r="I14" s="176"/>
      <c r="J14" s="176"/>
    </row>
    <row r="15" spans="1:28">
      <c r="B15"/>
      <c r="F15" s="180"/>
      <c r="G15" s="177"/>
      <c r="I15" s="176"/>
      <c r="J15" s="176"/>
    </row>
    <row r="16" spans="1:28">
      <c r="B16"/>
      <c r="F16" s="180"/>
      <c r="G16" s="177"/>
      <c r="I16" s="176"/>
      <c r="J16" s="176"/>
    </row>
    <row r="17" spans="2:10">
      <c r="B17"/>
      <c r="F17" s="180"/>
      <c r="G17" s="177"/>
      <c r="I17" s="176"/>
      <c r="J17" s="176"/>
    </row>
    <row r="18" spans="2:10">
      <c r="B18"/>
      <c r="F18" s="180"/>
      <c r="G18" s="177"/>
      <c r="I18" s="176"/>
      <c r="J18" s="176"/>
    </row>
    <row r="19" spans="2:10">
      <c r="B19"/>
      <c r="F19" s="180"/>
      <c r="G19" s="177"/>
      <c r="I19" s="176"/>
      <c r="J19" s="176"/>
    </row>
    <row r="20" spans="2:10">
      <c r="B20"/>
      <c r="F20" s="180"/>
      <c r="G20" s="177"/>
      <c r="I20" s="176"/>
      <c r="J20" s="176"/>
    </row>
    <row r="21" spans="2:10">
      <c r="B21"/>
      <c r="F21" s="180"/>
      <c r="G21" s="177"/>
      <c r="I21" s="176"/>
      <c r="J21" s="176"/>
    </row>
    <row r="22" spans="2:10">
      <c r="B22"/>
      <c r="F22" s="180"/>
      <c r="G22" s="177"/>
      <c r="I22" s="176"/>
      <c r="J22" s="176"/>
    </row>
    <row r="23" spans="2:10">
      <c r="B23"/>
      <c r="G23" s="177"/>
      <c r="H23" s="177"/>
      <c r="I23" s="176"/>
      <c r="J23" s="176"/>
    </row>
    <row r="24" spans="2:10">
      <c r="B24"/>
      <c r="G24" s="177"/>
      <c r="H24" s="177"/>
      <c r="I24" s="176"/>
      <c r="J24" s="176"/>
    </row>
    <row r="25" spans="2:10">
      <c r="B25"/>
      <c r="G25" s="177"/>
      <c r="H25" s="177"/>
      <c r="I25" s="176"/>
      <c r="J25" s="176"/>
    </row>
    <row r="26" spans="2:10">
      <c r="B26"/>
      <c r="G26" s="177"/>
      <c r="H26" s="177"/>
      <c r="I26" s="176"/>
      <c r="J26" s="176"/>
    </row>
    <row r="27" spans="2:10">
      <c r="B27"/>
      <c r="G27" s="177"/>
      <c r="H27" s="177"/>
      <c r="I27" s="176"/>
      <c r="J27" s="176"/>
    </row>
    <row r="28" spans="2:10">
      <c r="B28"/>
      <c r="G28" s="177"/>
      <c r="H28" s="177"/>
      <c r="I28" s="176"/>
      <c r="J28" s="176"/>
    </row>
    <row r="29" spans="2:10">
      <c r="B29"/>
      <c r="G29" s="177"/>
      <c r="H29" s="177"/>
      <c r="I29" s="176"/>
      <c r="J29" s="176"/>
    </row>
    <row r="30" spans="2:10">
      <c r="B30"/>
      <c r="G30" s="177"/>
      <c r="H30" s="177"/>
      <c r="I30" s="176"/>
      <c r="J30" s="176"/>
    </row>
    <row r="31" spans="2:10">
      <c r="B31"/>
      <c r="G31" s="177"/>
      <c r="H31" s="177"/>
      <c r="I31" s="176"/>
      <c r="J31" s="176"/>
    </row>
    <row r="32" spans="2:10">
      <c r="B32"/>
      <c r="G32" s="177"/>
      <c r="H32" s="177"/>
      <c r="I32" s="176"/>
      <c r="J32" s="176"/>
    </row>
    <row r="33" spans="2:10">
      <c r="B33"/>
      <c r="G33" s="177"/>
      <c r="H33" s="177"/>
      <c r="I33" s="176"/>
      <c r="J33" s="176"/>
    </row>
    <row r="34" spans="2:10">
      <c r="B34"/>
      <c r="G34" s="177"/>
      <c r="H34" s="177"/>
      <c r="I34" s="176"/>
      <c r="J34" s="176"/>
    </row>
    <row r="35" spans="2:10">
      <c r="B35"/>
      <c r="G35" s="177"/>
      <c r="H35" s="177"/>
      <c r="I35" s="176"/>
      <c r="J35" s="176"/>
    </row>
    <row r="36" spans="2:10">
      <c r="B36"/>
      <c r="G36" s="177"/>
      <c r="H36" s="177"/>
      <c r="I36" s="176"/>
      <c r="J36" s="176"/>
    </row>
    <row r="37" spans="2:10">
      <c r="B37"/>
      <c r="G37" s="177"/>
      <c r="H37" s="177"/>
      <c r="I37" s="176"/>
      <c r="J37" s="176"/>
    </row>
    <row r="38" spans="2:10">
      <c r="B38"/>
      <c r="G38" s="177"/>
      <c r="H38" s="177"/>
      <c r="I38" s="176"/>
      <c r="J38" s="176"/>
    </row>
    <row r="39" spans="2:10">
      <c r="B39"/>
      <c r="G39" s="177"/>
      <c r="H39" s="177"/>
      <c r="I39" s="176"/>
      <c r="J39" s="176"/>
    </row>
    <row r="40" spans="2:10">
      <c r="B40"/>
      <c r="G40" s="177"/>
      <c r="H40" s="177"/>
      <c r="I40" s="176"/>
      <c r="J40" s="176"/>
    </row>
    <row r="41" spans="2:10">
      <c r="B41"/>
      <c r="G41" s="177"/>
      <c r="H41" s="177"/>
      <c r="I41" s="176"/>
      <c r="J41" s="176"/>
    </row>
    <row r="42" spans="2:10">
      <c r="B42"/>
      <c r="G42" s="177"/>
      <c r="H42" s="177"/>
      <c r="I42" s="176"/>
      <c r="J42" s="176"/>
    </row>
    <row r="43" spans="2:10">
      <c r="B43"/>
      <c r="G43" s="177"/>
      <c r="H43" s="177"/>
      <c r="I43" s="176"/>
      <c r="J43" s="176"/>
    </row>
    <row r="44" spans="2:10">
      <c r="B44"/>
      <c r="G44" s="177"/>
      <c r="H44" s="177"/>
      <c r="I44" s="176"/>
      <c r="J44" s="176"/>
    </row>
    <row r="45" spans="2:10">
      <c r="B45"/>
      <c r="G45" s="177"/>
      <c r="H45" s="177"/>
      <c r="I45" s="176"/>
      <c r="J45" s="176"/>
    </row>
    <row r="46" spans="2:10">
      <c r="B46"/>
      <c r="G46" s="177"/>
      <c r="H46" s="177"/>
      <c r="I46" s="176"/>
      <c r="J46" s="176"/>
    </row>
    <row r="47" spans="2:10">
      <c r="B47"/>
      <c r="G47" s="177"/>
      <c r="H47" s="177"/>
      <c r="I47" s="176"/>
      <c r="J47" s="176"/>
    </row>
    <row r="48" spans="2:10">
      <c r="B48"/>
      <c r="G48" s="177"/>
      <c r="H48" s="177"/>
      <c r="I48" s="176"/>
      <c r="J48" s="176"/>
    </row>
    <row r="49" spans="2:17">
      <c r="B49"/>
      <c r="G49" s="177"/>
      <c r="H49" s="177"/>
      <c r="I49" s="176"/>
      <c r="J49" s="176"/>
    </row>
    <row r="50" spans="2:17">
      <c r="B50"/>
      <c r="G50" s="177"/>
      <c r="H50" s="177"/>
      <c r="I50" s="176"/>
      <c r="J50" s="176"/>
    </row>
    <row r="51" spans="2:17">
      <c r="B51"/>
      <c r="G51" s="177"/>
      <c r="H51" s="177"/>
      <c r="I51" s="176"/>
      <c r="J51" s="176"/>
    </row>
    <row r="52" spans="2:17">
      <c r="B52"/>
      <c r="G52" s="177"/>
      <c r="H52" s="177"/>
      <c r="I52" s="176"/>
      <c r="J52" s="176"/>
    </row>
    <row r="53" spans="2:17">
      <c r="B53"/>
      <c r="G53" s="177"/>
      <c r="H53" s="177"/>
      <c r="I53" s="176"/>
      <c r="J53" s="176"/>
    </row>
    <row r="54" spans="2:17">
      <c r="B54"/>
      <c r="G54" s="177"/>
      <c r="H54" s="177"/>
      <c r="I54" s="176"/>
      <c r="J54" s="176"/>
    </row>
    <row r="55" spans="2:17">
      <c r="B55"/>
      <c r="G55" s="177"/>
      <c r="H55" s="177"/>
      <c r="I55" s="176"/>
      <c r="J55" s="176"/>
    </row>
    <row r="56" spans="2:17">
      <c r="B56"/>
      <c r="G56" s="177"/>
      <c r="H56" s="177"/>
      <c r="I56" s="176"/>
      <c r="J56" s="176"/>
    </row>
    <row r="57" spans="2:17">
      <c r="B57"/>
      <c r="G57" s="177"/>
      <c r="H57" s="177"/>
      <c r="I57" s="176"/>
      <c r="J57" s="176"/>
    </row>
    <row r="58" spans="2:17">
      <c r="B58"/>
      <c r="G58" s="177"/>
      <c r="H58" s="177"/>
      <c r="I58" s="176"/>
      <c r="J58" s="176"/>
    </row>
    <row r="59" spans="2:17">
      <c r="B59"/>
      <c r="G59" s="177"/>
      <c r="H59" s="177"/>
      <c r="I59" s="176"/>
      <c r="J59" s="176"/>
    </row>
    <row r="60" spans="2:17">
      <c r="B60"/>
      <c r="G60" s="177"/>
      <c r="H60" s="177"/>
      <c r="I60" s="176"/>
      <c r="J60" s="176"/>
    </row>
    <row r="61" spans="2:17">
      <c r="B61"/>
      <c r="G61" s="177"/>
      <c r="H61" s="177"/>
      <c r="I61" s="176"/>
      <c r="J61" s="176"/>
    </row>
    <row r="62" spans="2:17">
      <c r="B62"/>
      <c r="G62" s="177"/>
      <c r="H62" s="177"/>
      <c r="I62" s="176"/>
      <c r="J62" s="176"/>
    </row>
    <row r="63" spans="2:17">
      <c r="B63"/>
      <c r="G63" s="177"/>
      <c r="H63" s="177"/>
      <c r="I63" s="176"/>
      <c r="J63" s="176"/>
    </row>
    <row r="64" spans="2:17">
      <c r="B64"/>
      <c r="G64" s="177"/>
      <c r="H64" s="177"/>
      <c r="I64" s="176"/>
      <c r="J64" s="176"/>
      <c r="Q64" s="1" t="s">
        <v>529</v>
      </c>
    </row>
    <row r="65" spans="2:17">
      <c r="B65"/>
      <c r="G65" s="177"/>
      <c r="H65" s="177"/>
      <c r="I65" s="176"/>
      <c r="J65" s="176"/>
      <c r="Q65" s="1" t="s">
        <v>529</v>
      </c>
    </row>
    <row r="66" spans="2:17">
      <c r="B66"/>
      <c r="G66" s="177"/>
      <c r="H66" s="177"/>
      <c r="I66" s="176"/>
      <c r="J66" s="176"/>
      <c r="Q66" s="1" t="s">
        <v>529</v>
      </c>
    </row>
    <row r="67" spans="2:17">
      <c r="B67"/>
      <c r="G67" s="177"/>
      <c r="H67" s="177"/>
      <c r="I67" s="176"/>
      <c r="J67" s="176"/>
      <c r="Q67" s="1" t="s">
        <v>529</v>
      </c>
    </row>
    <row r="68" spans="2:17">
      <c r="B68"/>
      <c r="G68" s="177"/>
      <c r="H68" s="177"/>
      <c r="I68" s="176"/>
      <c r="J68" s="176"/>
      <c r="Q68" s="1" t="s">
        <v>529</v>
      </c>
    </row>
    <row r="69" spans="2:17">
      <c r="B69"/>
      <c r="G69" s="177"/>
      <c r="H69" s="177"/>
      <c r="I69" s="176"/>
      <c r="J69" s="176"/>
      <c r="Q69" s="1" t="s">
        <v>529</v>
      </c>
    </row>
    <row r="70" spans="2:17">
      <c r="B70"/>
      <c r="G70" s="177"/>
      <c r="H70" s="177"/>
      <c r="I70" s="176"/>
      <c r="J70" s="176"/>
      <c r="Q70" s="1" t="s">
        <v>529</v>
      </c>
    </row>
    <row r="71" spans="2:17">
      <c r="B71"/>
      <c r="G71" s="177"/>
      <c r="H71" s="177"/>
      <c r="I71" s="176"/>
      <c r="J71" s="176"/>
      <c r="Q71" s="1" t="s">
        <v>529</v>
      </c>
    </row>
    <row r="72" spans="2:17">
      <c r="B72"/>
      <c r="G72" s="177"/>
      <c r="H72" s="177"/>
      <c r="I72" s="176"/>
      <c r="J72" s="176"/>
      <c r="Q72" s="1" t="s">
        <v>529</v>
      </c>
    </row>
    <row r="73" spans="2:17">
      <c r="B73"/>
      <c r="G73" s="177"/>
      <c r="H73" s="177"/>
      <c r="I73" s="176"/>
      <c r="J73" s="176"/>
      <c r="Q73" s="1" t="s">
        <v>529</v>
      </c>
    </row>
    <row r="74" spans="2:17">
      <c r="B74"/>
      <c r="G74" s="177"/>
      <c r="H74" s="177"/>
      <c r="I74" s="176"/>
      <c r="J74" s="176"/>
      <c r="Q74" s="1" t="s">
        <v>529</v>
      </c>
    </row>
    <row r="75" spans="2:17">
      <c r="B75"/>
      <c r="G75" s="177"/>
      <c r="H75" s="177"/>
      <c r="I75" s="176"/>
      <c r="J75" s="176"/>
      <c r="Q75" s="1" t="s">
        <v>529</v>
      </c>
    </row>
    <row r="76" spans="2:17">
      <c r="B76"/>
      <c r="G76" s="177"/>
      <c r="H76" s="177"/>
      <c r="I76" s="176"/>
      <c r="J76" s="176"/>
      <c r="Q76" s="1" t="s">
        <v>529</v>
      </c>
    </row>
    <row r="77" spans="2:17">
      <c r="B77"/>
      <c r="G77" s="177"/>
      <c r="H77" s="177"/>
      <c r="I77" s="176"/>
      <c r="J77" s="176"/>
      <c r="Q77" s="1" t="s">
        <v>529</v>
      </c>
    </row>
    <row r="78" spans="2:17">
      <c r="B78"/>
      <c r="G78" s="177"/>
      <c r="H78" s="177"/>
      <c r="I78" s="176"/>
      <c r="J78" s="176"/>
      <c r="Q78" s="1" t="s">
        <v>529</v>
      </c>
    </row>
    <row r="79" spans="2:17">
      <c r="B79"/>
      <c r="G79" s="177"/>
      <c r="H79" s="177"/>
      <c r="I79" s="176"/>
      <c r="J79" s="176"/>
      <c r="Q79" s="1" t="s">
        <v>529</v>
      </c>
    </row>
    <row r="80" spans="2:17">
      <c r="B80"/>
      <c r="G80" s="177"/>
      <c r="H80" s="177"/>
      <c r="I80" s="176"/>
      <c r="J80" s="176"/>
      <c r="Q80" s="1" t="s">
        <v>529</v>
      </c>
    </row>
    <row r="81" spans="2:17">
      <c r="B81"/>
      <c r="G81" s="177"/>
      <c r="H81" s="177"/>
      <c r="I81" s="176"/>
      <c r="J81" s="176"/>
      <c r="Q81" s="1" t="s">
        <v>529</v>
      </c>
    </row>
    <row r="82" spans="2:17">
      <c r="B82"/>
      <c r="G82" s="177"/>
      <c r="H82" s="177"/>
      <c r="I82" s="176"/>
      <c r="J82" s="176"/>
      <c r="Q82" s="1" t="s">
        <v>529</v>
      </c>
    </row>
    <row r="83" spans="2:17">
      <c r="B83"/>
      <c r="G83" s="177"/>
      <c r="H83" s="177"/>
      <c r="I83" s="176"/>
      <c r="J83" s="176"/>
      <c r="Q83" s="1" t="s">
        <v>529</v>
      </c>
    </row>
    <row r="84" spans="2:17">
      <c r="B84"/>
      <c r="G84" s="177"/>
      <c r="H84" s="177"/>
      <c r="I84" s="176"/>
      <c r="J84" s="176"/>
      <c r="Q84" s="1" t="s">
        <v>529</v>
      </c>
    </row>
    <row r="85" spans="2:17">
      <c r="B85"/>
      <c r="G85" s="177"/>
      <c r="H85" s="177"/>
      <c r="I85" s="176"/>
      <c r="J85" s="176"/>
      <c r="Q85" s="1" t="s">
        <v>529</v>
      </c>
    </row>
    <row r="86" spans="2:17">
      <c r="B86"/>
      <c r="G86" s="177"/>
      <c r="H86" s="177"/>
      <c r="I86" s="176"/>
      <c r="J86" s="176"/>
      <c r="Q86" s="1" t="s">
        <v>529</v>
      </c>
    </row>
    <row r="87" spans="2:17">
      <c r="B87"/>
      <c r="G87" s="177"/>
      <c r="H87" s="177"/>
      <c r="I87" s="176"/>
      <c r="J87" s="176"/>
      <c r="Q87" s="1" t="s">
        <v>529</v>
      </c>
    </row>
    <row r="88" spans="2:17">
      <c r="B88"/>
      <c r="G88" s="177"/>
      <c r="H88" s="177"/>
      <c r="I88" s="176"/>
      <c r="J88" s="176"/>
      <c r="Q88" s="1" t="s">
        <v>529</v>
      </c>
    </row>
    <row r="89" spans="2:17">
      <c r="B89"/>
      <c r="G89" s="177"/>
      <c r="H89" s="177"/>
      <c r="I89" s="176"/>
      <c r="J89" s="176"/>
      <c r="Q89" s="1" t="s">
        <v>529</v>
      </c>
    </row>
    <row r="90" spans="2:17">
      <c r="B90"/>
      <c r="G90" s="177"/>
      <c r="H90" s="177"/>
      <c r="I90" s="176"/>
      <c r="J90" s="176"/>
      <c r="Q90" s="1" t="s">
        <v>529</v>
      </c>
    </row>
    <row r="91" spans="2:17">
      <c r="B91"/>
      <c r="G91" s="177"/>
      <c r="H91" s="177"/>
      <c r="I91" s="176"/>
      <c r="J91" s="176"/>
      <c r="Q91" s="1" t="s">
        <v>529</v>
      </c>
    </row>
    <row r="92" spans="2:17" ht="16.5" customHeight="1">
      <c r="B92"/>
      <c r="G92" s="177"/>
      <c r="H92" s="177"/>
      <c r="I92" s="176"/>
      <c r="J92" s="176"/>
      <c r="Q92" s="1" t="s">
        <v>529</v>
      </c>
    </row>
    <row r="93" spans="2:17">
      <c r="B93"/>
      <c r="G93" s="177"/>
      <c r="H93" s="177"/>
      <c r="I93" s="176"/>
      <c r="J93" s="176"/>
      <c r="Q93" s="1" t="s">
        <v>553</v>
      </c>
    </row>
    <row r="94" spans="2:17">
      <c r="B94"/>
      <c r="G94" s="177"/>
      <c r="H94" s="177"/>
      <c r="I94" s="176"/>
      <c r="J94" s="176"/>
      <c r="Q94" s="1" t="s">
        <v>554</v>
      </c>
    </row>
    <row r="95" spans="2:17">
      <c r="B95"/>
      <c r="G95" s="177"/>
      <c r="H95" s="177"/>
      <c r="I95" s="176"/>
      <c r="J95" s="176"/>
      <c r="Q95" s="1" t="s">
        <v>529</v>
      </c>
    </row>
    <row r="96" spans="2:17">
      <c r="B96"/>
      <c r="G96" s="177"/>
      <c r="H96" s="177"/>
      <c r="I96" s="176"/>
      <c r="J96" s="176"/>
      <c r="Q96" s="1" t="s">
        <v>555</v>
      </c>
    </row>
    <row r="97" spans="2:17">
      <c r="B97"/>
      <c r="G97" s="177"/>
      <c r="H97" s="177"/>
      <c r="I97" s="176"/>
      <c r="J97" s="176"/>
      <c r="Q97" s="1" t="s">
        <v>556</v>
      </c>
    </row>
    <row r="98" spans="2:17">
      <c r="B98"/>
      <c r="G98" s="177"/>
      <c r="H98" s="177"/>
      <c r="I98" s="176"/>
      <c r="J98" s="176"/>
      <c r="Q98" s="1" t="s">
        <v>529</v>
      </c>
    </row>
    <row r="99" spans="2:17">
      <c r="B99"/>
      <c r="G99" s="177"/>
      <c r="H99" s="177"/>
      <c r="I99" s="176"/>
      <c r="J99" s="176"/>
      <c r="Q99" s="1" t="s">
        <v>529</v>
      </c>
    </row>
    <row r="100" spans="2:17">
      <c r="B100"/>
      <c r="G100" s="177"/>
      <c r="H100" s="177"/>
      <c r="I100" s="176"/>
      <c r="J100" s="176"/>
      <c r="Q100" s="1" t="s">
        <v>529</v>
      </c>
    </row>
    <row r="101" spans="2:17">
      <c r="B101"/>
      <c r="G101" s="177"/>
      <c r="H101" s="177"/>
      <c r="I101" s="176"/>
      <c r="J101" s="176"/>
      <c r="Q101" s="1" t="s">
        <v>529</v>
      </c>
    </row>
    <row r="102" spans="2:17">
      <c r="B102"/>
      <c r="G102" s="177"/>
      <c r="H102" s="177"/>
      <c r="I102" s="176"/>
      <c r="J102" s="176"/>
      <c r="Q102" s="1" t="s">
        <v>529</v>
      </c>
    </row>
    <row r="103" spans="2:17">
      <c r="B103"/>
      <c r="G103" s="177"/>
      <c r="H103" s="177"/>
      <c r="I103" s="176"/>
      <c r="J103" s="176"/>
      <c r="Q103" s="1" t="s">
        <v>529</v>
      </c>
    </row>
    <row r="104" spans="2:17">
      <c r="B104"/>
      <c r="G104" s="177"/>
      <c r="H104" s="177"/>
      <c r="I104" s="176"/>
      <c r="J104" s="176"/>
      <c r="Q104" s="1" t="s">
        <v>557</v>
      </c>
    </row>
    <row r="105" spans="2:17">
      <c r="B105"/>
      <c r="G105" s="177"/>
      <c r="H105" s="177"/>
      <c r="I105" s="176"/>
      <c r="J105" s="176"/>
      <c r="Q105" s="1" t="s">
        <v>529</v>
      </c>
    </row>
    <row r="106" spans="2:17">
      <c r="B106"/>
      <c r="G106" s="177"/>
      <c r="H106" s="177"/>
      <c r="I106" s="176"/>
      <c r="J106" s="176"/>
      <c r="Q106" s="1" t="s">
        <v>529</v>
      </c>
    </row>
    <row r="107" spans="2:17">
      <c r="B107"/>
      <c r="G107" s="177"/>
      <c r="H107" s="177"/>
      <c r="I107" s="176"/>
      <c r="J107" s="176"/>
      <c r="Q107" s="1" t="s">
        <v>529</v>
      </c>
    </row>
    <row r="108" spans="2:17">
      <c r="B108"/>
      <c r="G108" s="177"/>
      <c r="H108" s="177"/>
      <c r="I108" s="176"/>
      <c r="J108" s="176"/>
      <c r="Q108" s="1" t="s">
        <v>529</v>
      </c>
    </row>
    <row r="109" spans="2:17">
      <c r="B109"/>
      <c r="G109" s="177"/>
      <c r="H109" s="177"/>
      <c r="I109" s="176"/>
      <c r="J109" s="176"/>
      <c r="Q109" s="1" t="s">
        <v>529</v>
      </c>
    </row>
    <row r="110" spans="2:17">
      <c r="B110"/>
      <c r="G110" s="177"/>
      <c r="H110" s="177"/>
      <c r="I110" s="176"/>
      <c r="J110" s="176"/>
      <c r="Q110" s="1" t="s">
        <v>529</v>
      </c>
    </row>
    <row r="111" spans="2:17">
      <c r="B111"/>
      <c r="G111" s="177"/>
      <c r="H111" s="177"/>
      <c r="I111" s="176"/>
      <c r="J111" s="176"/>
      <c r="Q111" s="1" t="s">
        <v>529</v>
      </c>
    </row>
    <row r="112" spans="2:17">
      <c r="B112"/>
      <c r="G112" s="177"/>
      <c r="H112" s="177"/>
      <c r="I112" s="176"/>
      <c r="J112" s="176"/>
      <c r="Q112" s="1" t="s">
        <v>529</v>
      </c>
    </row>
    <row r="113" spans="2:17">
      <c r="B113"/>
      <c r="G113" s="177"/>
      <c r="H113" s="177"/>
      <c r="I113" s="176"/>
      <c r="J113" s="176"/>
      <c r="Q113" s="1" t="s">
        <v>529</v>
      </c>
    </row>
    <row r="114" spans="2:17">
      <c r="B114"/>
      <c r="G114" s="177"/>
      <c r="H114" s="177"/>
      <c r="I114" s="176"/>
      <c r="J114" s="176"/>
      <c r="Q114" s="1" t="s">
        <v>529</v>
      </c>
    </row>
    <row r="115" spans="2:17">
      <c r="B115"/>
      <c r="G115" s="177"/>
      <c r="H115" s="177"/>
      <c r="I115" s="176"/>
      <c r="J115" s="176"/>
      <c r="Q115" s="1" t="s">
        <v>558</v>
      </c>
    </row>
    <row r="116" spans="2:17">
      <c r="B116"/>
      <c r="G116" s="177"/>
      <c r="H116" s="177"/>
      <c r="I116" s="176"/>
      <c r="J116" s="176"/>
      <c r="Q116" s="1" t="s">
        <v>529</v>
      </c>
    </row>
    <row r="117" spans="2:17">
      <c r="B117"/>
      <c r="G117" s="177"/>
      <c r="H117" s="177"/>
      <c r="I117" s="176"/>
      <c r="J117" s="176"/>
      <c r="Q117" s="1" t="s">
        <v>529</v>
      </c>
    </row>
    <row r="118" spans="2:17">
      <c r="B118"/>
      <c r="G118" s="177"/>
      <c r="H118" s="177"/>
      <c r="I118" s="176"/>
      <c r="J118" s="176"/>
      <c r="Q118" s="1" t="s">
        <v>529</v>
      </c>
    </row>
    <row r="119" spans="2:17">
      <c r="B119"/>
      <c r="G119" s="177"/>
      <c r="H119" s="177"/>
      <c r="I119" s="176"/>
      <c r="J119" s="176"/>
      <c r="Q119" s="1" t="s">
        <v>529</v>
      </c>
    </row>
    <row r="120" spans="2:17">
      <c r="B120"/>
      <c r="G120" s="177"/>
      <c r="H120" s="177"/>
      <c r="I120" s="176"/>
      <c r="J120" s="176"/>
      <c r="Q120" s="1" t="s">
        <v>529</v>
      </c>
    </row>
    <row r="121" spans="2:17">
      <c r="B121"/>
      <c r="G121" s="177"/>
      <c r="H121" s="177"/>
      <c r="I121" s="176"/>
      <c r="J121" s="176"/>
      <c r="Q121" s="1" t="s">
        <v>529</v>
      </c>
    </row>
    <row r="122" spans="2:17">
      <c r="B122"/>
      <c r="G122" s="177"/>
      <c r="H122" s="177"/>
      <c r="I122" s="176"/>
      <c r="J122" s="176"/>
      <c r="Q122" s="1" t="s">
        <v>529</v>
      </c>
    </row>
    <row r="123" spans="2:17">
      <c r="B123"/>
      <c r="G123" s="177"/>
      <c r="H123" s="177"/>
      <c r="I123" s="176"/>
      <c r="J123" s="176"/>
      <c r="Q123" s="1" t="s">
        <v>529</v>
      </c>
    </row>
    <row r="124" spans="2:17">
      <c r="B124"/>
      <c r="G124" s="177"/>
      <c r="H124" s="177"/>
      <c r="I124" s="176"/>
      <c r="J124" s="176"/>
      <c r="Q124" s="1" t="s">
        <v>529</v>
      </c>
    </row>
    <row r="125" spans="2:17">
      <c r="B125"/>
      <c r="G125" s="177"/>
      <c r="H125" s="177"/>
      <c r="I125" s="176"/>
      <c r="J125" s="176"/>
      <c r="Q125" s="1" t="s">
        <v>529</v>
      </c>
    </row>
    <row r="126" spans="2:17">
      <c r="B126"/>
      <c r="G126" s="177"/>
      <c r="H126" s="177"/>
      <c r="I126" s="176"/>
      <c r="J126" s="176"/>
      <c r="Q126" s="1" t="s">
        <v>529</v>
      </c>
    </row>
    <row r="127" spans="2:17">
      <c r="B127"/>
      <c r="G127" s="177"/>
      <c r="H127" s="177"/>
      <c r="I127" s="176"/>
      <c r="J127" s="176"/>
      <c r="Q127" s="1" t="s">
        <v>529</v>
      </c>
    </row>
    <row r="128" spans="2:17">
      <c r="B128"/>
      <c r="G128" s="177"/>
      <c r="H128" s="177"/>
      <c r="I128" s="176"/>
      <c r="J128" s="176"/>
      <c r="Q128" s="1" t="s">
        <v>529</v>
      </c>
    </row>
    <row r="129" spans="2:17">
      <c r="B129"/>
      <c r="G129" s="177"/>
      <c r="H129" s="177"/>
      <c r="I129" s="176"/>
      <c r="J129" s="176"/>
      <c r="Q129" s="1" t="s">
        <v>529</v>
      </c>
    </row>
    <row r="130" spans="2:17">
      <c r="B130"/>
      <c r="G130" s="177"/>
      <c r="H130" s="177"/>
      <c r="I130" s="176"/>
      <c r="J130" s="176"/>
      <c r="Q130" s="1" t="s">
        <v>529</v>
      </c>
    </row>
    <row r="131" spans="2:17">
      <c r="B131"/>
      <c r="G131" s="177"/>
      <c r="H131" s="177"/>
      <c r="I131" s="176"/>
      <c r="J131" s="176"/>
      <c r="Q131" s="1" t="s">
        <v>529</v>
      </c>
    </row>
    <row r="132" spans="2:17">
      <c r="B132"/>
      <c r="G132" s="177"/>
      <c r="H132" s="177"/>
      <c r="I132" s="176"/>
      <c r="J132" s="176"/>
      <c r="Q132" s="1" t="s">
        <v>529</v>
      </c>
    </row>
    <row r="133" spans="2:17">
      <c r="B133"/>
      <c r="G133" s="177"/>
      <c r="H133" s="177"/>
      <c r="I133" s="176"/>
      <c r="J133" s="176"/>
      <c r="Q133" s="1" t="s">
        <v>529</v>
      </c>
    </row>
    <row r="134" spans="2:17">
      <c r="B134"/>
      <c r="G134" s="177"/>
      <c r="H134" s="177"/>
      <c r="I134" s="176"/>
      <c r="J134" s="176"/>
      <c r="Q134" s="1" t="s">
        <v>529</v>
      </c>
    </row>
    <row r="135" spans="2:17">
      <c r="B135"/>
      <c r="G135" s="177"/>
      <c r="H135" s="177"/>
      <c r="I135" s="176"/>
      <c r="J135" s="176"/>
      <c r="Q135" s="1" t="s">
        <v>529</v>
      </c>
    </row>
    <row r="136" spans="2:17">
      <c r="B136"/>
      <c r="G136" s="177"/>
      <c r="H136" s="177"/>
      <c r="I136" s="176"/>
      <c r="J136" s="176"/>
      <c r="Q136" s="1" t="s">
        <v>529</v>
      </c>
    </row>
    <row r="137" spans="2:17">
      <c r="B137"/>
      <c r="G137" s="177"/>
      <c r="H137" s="177"/>
      <c r="I137" s="176"/>
      <c r="J137" s="176"/>
      <c r="Q137" s="1" t="s">
        <v>529</v>
      </c>
    </row>
    <row r="138" spans="2:17">
      <c r="B138"/>
      <c r="G138" s="177"/>
      <c r="H138" s="177"/>
      <c r="I138" s="176"/>
      <c r="J138" s="176"/>
      <c r="Q138" s="1" t="s">
        <v>529</v>
      </c>
    </row>
    <row r="139" spans="2:17">
      <c r="B139"/>
      <c r="G139" s="177"/>
      <c r="H139" s="177"/>
      <c r="I139" s="176"/>
      <c r="J139" s="176"/>
      <c r="Q139" s="1" t="s">
        <v>529</v>
      </c>
    </row>
    <row r="140" spans="2:17">
      <c r="B140"/>
      <c r="G140" s="177"/>
      <c r="H140" s="177"/>
      <c r="I140" s="176"/>
      <c r="J140" s="176"/>
      <c r="Q140" s="1" t="s">
        <v>529</v>
      </c>
    </row>
    <row r="141" spans="2:17">
      <c r="B141"/>
      <c r="G141" s="177"/>
      <c r="H141" s="177"/>
      <c r="I141" s="176"/>
      <c r="J141" s="176"/>
      <c r="Q141" s="1" t="s">
        <v>529</v>
      </c>
    </row>
    <row r="142" spans="2:17">
      <c r="B142"/>
      <c r="G142" s="177"/>
      <c r="H142" s="177"/>
      <c r="I142" s="176"/>
      <c r="J142" s="176"/>
      <c r="Q142" s="1" t="s">
        <v>529</v>
      </c>
    </row>
    <row r="143" spans="2:17">
      <c r="B143"/>
      <c r="G143" s="177"/>
      <c r="H143" s="177"/>
      <c r="I143" s="176"/>
      <c r="J143" s="176"/>
      <c r="Q143" s="1" t="s">
        <v>529</v>
      </c>
    </row>
    <row r="144" spans="2:17">
      <c r="B144"/>
      <c r="G144" s="177"/>
      <c r="H144" s="177"/>
      <c r="I144" s="176"/>
      <c r="J144" s="176"/>
      <c r="Q144" s="1" t="s">
        <v>529</v>
      </c>
    </row>
    <row r="145" spans="2:17">
      <c r="B145"/>
      <c r="G145" s="177"/>
      <c r="H145" s="177"/>
      <c r="I145" s="176"/>
      <c r="J145" s="176"/>
      <c r="Q145" s="1" t="s">
        <v>529</v>
      </c>
    </row>
    <row r="146" spans="2:17">
      <c r="B146"/>
      <c r="G146" s="177"/>
      <c r="H146" s="177"/>
      <c r="I146" s="176"/>
      <c r="J146" s="176"/>
      <c r="Q146" s="1" t="s">
        <v>529</v>
      </c>
    </row>
    <row r="147" spans="2:17">
      <c r="B147"/>
      <c r="G147" s="177"/>
      <c r="H147" s="177"/>
      <c r="I147" s="176"/>
      <c r="J147" s="176"/>
      <c r="Q147" s="1" t="s">
        <v>529</v>
      </c>
    </row>
    <row r="148" spans="2:17">
      <c r="B148"/>
      <c r="G148" s="177"/>
      <c r="H148" s="177"/>
      <c r="I148" s="176"/>
      <c r="J148" s="176"/>
      <c r="Q148" s="1" t="s">
        <v>529</v>
      </c>
    </row>
    <row r="149" spans="2:17">
      <c r="B149"/>
      <c r="G149" s="177"/>
      <c r="H149" s="177"/>
      <c r="I149" s="176"/>
      <c r="J149" s="176"/>
      <c r="Q149" s="1" t="s">
        <v>529</v>
      </c>
    </row>
    <row r="150" spans="2:17">
      <c r="B150"/>
      <c r="G150" s="177"/>
      <c r="H150" s="177"/>
      <c r="I150" s="176"/>
      <c r="J150" s="176"/>
      <c r="Q150" s="1" t="s">
        <v>529</v>
      </c>
    </row>
    <row r="151" spans="2:17">
      <c r="B151"/>
      <c r="G151" s="177"/>
      <c r="H151" s="177"/>
      <c r="I151" s="176"/>
      <c r="J151" s="176"/>
      <c r="Q151" s="1" t="s">
        <v>529</v>
      </c>
    </row>
    <row r="152" spans="2:17">
      <c r="B152"/>
      <c r="G152" s="177"/>
      <c r="H152" s="177"/>
      <c r="I152" s="176"/>
      <c r="J152" s="176"/>
      <c r="Q152" s="1" t="s">
        <v>529</v>
      </c>
    </row>
    <row r="153" spans="2:17">
      <c r="B153"/>
      <c r="G153" s="177"/>
      <c r="H153" s="177"/>
      <c r="I153" s="176"/>
      <c r="J153" s="176"/>
      <c r="Q153" s="1" t="s">
        <v>559</v>
      </c>
    </row>
    <row r="154" spans="2:17">
      <c r="B154"/>
      <c r="G154" s="177"/>
      <c r="H154" s="177"/>
      <c r="I154" s="176"/>
      <c r="J154" s="176"/>
      <c r="Q154" s="1" t="s">
        <v>560</v>
      </c>
    </row>
    <row r="155" spans="2:17">
      <c r="B155"/>
      <c r="G155" s="177"/>
      <c r="H155" s="177"/>
      <c r="I155" s="176"/>
      <c r="J155" s="176"/>
      <c r="Q155" s="1" t="s">
        <v>561</v>
      </c>
    </row>
    <row r="156" spans="2:17">
      <c r="B156"/>
      <c r="G156" s="177"/>
      <c r="H156" s="177"/>
      <c r="I156" s="176"/>
      <c r="J156" s="176"/>
      <c r="Q156" s="1" t="s">
        <v>529</v>
      </c>
    </row>
    <row r="157" spans="2:17">
      <c r="B157"/>
      <c r="G157" s="177"/>
      <c r="H157" s="177"/>
      <c r="I157" s="176"/>
      <c r="J157" s="176"/>
      <c r="Q157" s="1" t="s">
        <v>562</v>
      </c>
    </row>
    <row r="158" spans="2:17">
      <c r="B158"/>
      <c r="G158" s="177"/>
      <c r="H158" s="177"/>
      <c r="I158" s="176"/>
      <c r="J158" s="176"/>
      <c r="Q158" s="1" t="s">
        <v>563</v>
      </c>
    </row>
    <row r="159" spans="2:17">
      <c r="B159"/>
      <c r="G159" s="177"/>
      <c r="H159" s="177"/>
      <c r="I159" s="176"/>
      <c r="J159" s="176"/>
      <c r="Q159" s="1" t="s">
        <v>564</v>
      </c>
    </row>
    <row r="160" spans="2:17">
      <c r="B160"/>
      <c r="G160" s="177"/>
      <c r="H160" s="177"/>
      <c r="I160" s="176"/>
      <c r="J160" s="176"/>
      <c r="Q160" s="1" t="s">
        <v>565</v>
      </c>
    </row>
    <row r="161" spans="2:17">
      <c r="B161"/>
      <c r="G161" s="177"/>
      <c r="H161" s="177"/>
      <c r="I161" s="176"/>
      <c r="J161" s="176"/>
      <c r="Q161" s="1" t="s">
        <v>566</v>
      </c>
    </row>
    <row r="162" spans="2:17">
      <c r="B162"/>
      <c r="G162" s="177"/>
      <c r="H162" s="177"/>
      <c r="I162" s="176"/>
      <c r="J162" s="176"/>
      <c r="Q162" s="1" t="s">
        <v>567</v>
      </c>
    </row>
  </sheetData>
  <mergeCells count="1">
    <mergeCell ref="A1:Q2"/>
  </mergeCells>
  <conditionalFormatting sqref="K6:K1048576">
    <cfRule type="containsText" dxfId="3" priority="3" operator="containsText" text="OVER">
      <formula>NOT(ISERROR(SEARCH("OVER",K6)))</formula>
    </cfRule>
  </conditionalFormatting>
  <conditionalFormatting sqref="I5">
    <cfRule type="cellIs" dxfId="2" priority="1" operator="lessThanOr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2"/>
  <sheetViews>
    <sheetView tabSelected="1" zoomScale="85" zoomScaleNormal="85" workbookViewId="0">
      <pane xSplit="4" ySplit="4" topLeftCell="G5" activePane="bottomRight" state="frozen"/>
      <selection activeCell="C4" sqref="C4"/>
      <selection pane="topRight" activeCell="C4" sqref="C4"/>
      <selection pane="bottomLeft" activeCell="C4" sqref="C4"/>
      <selection pane="bottomRight" activeCell="J32" sqref="J32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18.5703125" customWidth="1"/>
    <col min="10" max="10" width="12.42578125" bestFit="1" customWidth="1"/>
    <col min="11" max="11" width="14.7109375" customWidth="1"/>
    <col min="12" max="12" width="15" bestFit="1" customWidth="1"/>
    <col min="13" max="13" width="14.7109375" bestFit="1" customWidth="1"/>
    <col min="14" max="14" width="16.140625" customWidth="1"/>
    <col min="15" max="15" width="1.85546875" customWidth="1"/>
    <col min="260" max="260" width="44.140625" bestFit="1" customWidth="1"/>
    <col min="261" max="261" width="7.5703125" customWidth="1"/>
    <col min="262" max="262" width="11.5703125" bestFit="1" customWidth="1"/>
    <col min="263" max="265" width="13.28515625" bestFit="1" customWidth="1"/>
    <col min="266" max="266" width="11.5703125" bestFit="1" customWidth="1"/>
    <col min="267" max="268" width="13.28515625" bestFit="1" customWidth="1"/>
    <col min="269" max="269" width="4.7109375" customWidth="1"/>
    <col min="270" max="270" width="16.140625" customWidth="1"/>
    <col min="516" max="516" width="44.140625" bestFit="1" customWidth="1"/>
    <col min="517" max="517" width="7.5703125" customWidth="1"/>
    <col min="518" max="518" width="11.5703125" bestFit="1" customWidth="1"/>
    <col min="519" max="521" width="13.28515625" bestFit="1" customWidth="1"/>
    <col min="522" max="522" width="11.5703125" bestFit="1" customWidth="1"/>
    <col min="523" max="524" width="13.28515625" bestFit="1" customWidth="1"/>
    <col min="525" max="525" width="4.7109375" customWidth="1"/>
    <col min="526" max="526" width="16.140625" customWidth="1"/>
    <col min="772" max="772" width="44.140625" bestFit="1" customWidth="1"/>
    <col min="773" max="773" width="7.5703125" customWidth="1"/>
    <col min="774" max="774" width="11.5703125" bestFit="1" customWidth="1"/>
    <col min="775" max="777" width="13.28515625" bestFit="1" customWidth="1"/>
    <col min="778" max="778" width="11.5703125" bestFit="1" customWidth="1"/>
    <col min="779" max="780" width="13.28515625" bestFit="1" customWidth="1"/>
    <col min="781" max="781" width="4.7109375" customWidth="1"/>
    <col min="782" max="782" width="16.140625" customWidth="1"/>
    <col min="1028" max="1028" width="44.140625" bestFit="1" customWidth="1"/>
    <col min="1029" max="1029" width="7.5703125" customWidth="1"/>
    <col min="1030" max="1030" width="11.5703125" bestFit="1" customWidth="1"/>
    <col min="1031" max="1033" width="13.28515625" bestFit="1" customWidth="1"/>
    <col min="1034" max="1034" width="11.5703125" bestFit="1" customWidth="1"/>
    <col min="1035" max="1036" width="13.28515625" bestFit="1" customWidth="1"/>
    <col min="1037" max="1037" width="4.7109375" customWidth="1"/>
    <col min="1038" max="1038" width="16.140625" customWidth="1"/>
    <col min="1284" max="1284" width="44.140625" bestFit="1" customWidth="1"/>
    <col min="1285" max="1285" width="7.5703125" customWidth="1"/>
    <col min="1286" max="1286" width="11.5703125" bestFit="1" customWidth="1"/>
    <col min="1287" max="1289" width="13.28515625" bestFit="1" customWidth="1"/>
    <col min="1290" max="1290" width="11.5703125" bestFit="1" customWidth="1"/>
    <col min="1291" max="1292" width="13.28515625" bestFit="1" customWidth="1"/>
    <col min="1293" max="1293" width="4.7109375" customWidth="1"/>
    <col min="1294" max="1294" width="16.140625" customWidth="1"/>
    <col min="1540" max="1540" width="44.140625" bestFit="1" customWidth="1"/>
    <col min="1541" max="1541" width="7.5703125" customWidth="1"/>
    <col min="1542" max="1542" width="11.5703125" bestFit="1" customWidth="1"/>
    <col min="1543" max="1545" width="13.28515625" bestFit="1" customWidth="1"/>
    <col min="1546" max="1546" width="11.5703125" bestFit="1" customWidth="1"/>
    <col min="1547" max="1548" width="13.28515625" bestFit="1" customWidth="1"/>
    <col min="1549" max="1549" width="4.7109375" customWidth="1"/>
    <col min="1550" max="1550" width="16.140625" customWidth="1"/>
    <col min="1796" max="1796" width="44.140625" bestFit="1" customWidth="1"/>
    <col min="1797" max="1797" width="7.5703125" customWidth="1"/>
    <col min="1798" max="1798" width="11.5703125" bestFit="1" customWidth="1"/>
    <col min="1799" max="1801" width="13.28515625" bestFit="1" customWidth="1"/>
    <col min="1802" max="1802" width="11.5703125" bestFit="1" customWidth="1"/>
    <col min="1803" max="1804" width="13.28515625" bestFit="1" customWidth="1"/>
    <col min="1805" max="1805" width="4.7109375" customWidth="1"/>
    <col min="1806" max="1806" width="16.140625" customWidth="1"/>
    <col min="2052" max="2052" width="44.140625" bestFit="1" customWidth="1"/>
    <col min="2053" max="2053" width="7.5703125" customWidth="1"/>
    <col min="2054" max="2054" width="11.5703125" bestFit="1" customWidth="1"/>
    <col min="2055" max="2057" width="13.28515625" bestFit="1" customWidth="1"/>
    <col min="2058" max="2058" width="11.5703125" bestFit="1" customWidth="1"/>
    <col min="2059" max="2060" width="13.28515625" bestFit="1" customWidth="1"/>
    <col min="2061" max="2061" width="4.7109375" customWidth="1"/>
    <col min="2062" max="2062" width="16.140625" customWidth="1"/>
    <col min="2308" max="2308" width="44.140625" bestFit="1" customWidth="1"/>
    <col min="2309" max="2309" width="7.5703125" customWidth="1"/>
    <col min="2310" max="2310" width="11.5703125" bestFit="1" customWidth="1"/>
    <col min="2311" max="2313" width="13.28515625" bestFit="1" customWidth="1"/>
    <col min="2314" max="2314" width="11.5703125" bestFit="1" customWidth="1"/>
    <col min="2315" max="2316" width="13.28515625" bestFit="1" customWidth="1"/>
    <col min="2317" max="2317" width="4.7109375" customWidth="1"/>
    <col min="2318" max="2318" width="16.140625" customWidth="1"/>
    <col min="2564" max="2564" width="44.140625" bestFit="1" customWidth="1"/>
    <col min="2565" max="2565" width="7.5703125" customWidth="1"/>
    <col min="2566" max="2566" width="11.5703125" bestFit="1" customWidth="1"/>
    <col min="2567" max="2569" width="13.28515625" bestFit="1" customWidth="1"/>
    <col min="2570" max="2570" width="11.5703125" bestFit="1" customWidth="1"/>
    <col min="2571" max="2572" width="13.28515625" bestFit="1" customWidth="1"/>
    <col min="2573" max="2573" width="4.7109375" customWidth="1"/>
    <col min="2574" max="2574" width="16.140625" customWidth="1"/>
    <col min="2820" max="2820" width="44.140625" bestFit="1" customWidth="1"/>
    <col min="2821" max="2821" width="7.5703125" customWidth="1"/>
    <col min="2822" max="2822" width="11.5703125" bestFit="1" customWidth="1"/>
    <col min="2823" max="2825" width="13.28515625" bestFit="1" customWidth="1"/>
    <col min="2826" max="2826" width="11.5703125" bestFit="1" customWidth="1"/>
    <col min="2827" max="2828" width="13.28515625" bestFit="1" customWidth="1"/>
    <col min="2829" max="2829" width="4.7109375" customWidth="1"/>
    <col min="2830" max="2830" width="16.140625" customWidth="1"/>
    <col min="3076" max="3076" width="44.140625" bestFit="1" customWidth="1"/>
    <col min="3077" max="3077" width="7.5703125" customWidth="1"/>
    <col min="3078" max="3078" width="11.5703125" bestFit="1" customWidth="1"/>
    <col min="3079" max="3081" width="13.28515625" bestFit="1" customWidth="1"/>
    <col min="3082" max="3082" width="11.5703125" bestFit="1" customWidth="1"/>
    <col min="3083" max="3084" width="13.28515625" bestFit="1" customWidth="1"/>
    <col min="3085" max="3085" width="4.7109375" customWidth="1"/>
    <col min="3086" max="3086" width="16.140625" customWidth="1"/>
    <col min="3332" max="3332" width="44.140625" bestFit="1" customWidth="1"/>
    <col min="3333" max="3333" width="7.5703125" customWidth="1"/>
    <col min="3334" max="3334" width="11.5703125" bestFit="1" customWidth="1"/>
    <col min="3335" max="3337" width="13.28515625" bestFit="1" customWidth="1"/>
    <col min="3338" max="3338" width="11.5703125" bestFit="1" customWidth="1"/>
    <col min="3339" max="3340" width="13.28515625" bestFit="1" customWidth="1"/>
    <col min="3341" max="3341" width="4.7109375" customWidth="1"/>
    <col min="3342" max="3342" width="16.140625" customWidth="1"/>
    <col min="3588" max="3588" width="44.140625" bestFit="1" customWidth="1"/>
    <col min="3589" max="3589" width="7.5703125" customWidth="1"/>
    <col min="3590" max="3590" width="11.5703125" bestFit="1" customWidth="1"/>
    <col min="3591" max="3593" width="13.28515625" bestFit="1" customWidth="1"/>
    <col min="3594" max="3594" width="11.5703125" bestFit="1" customWidth="1"/>
    <col min="3595" max="3596" width="13.28515625" bestFit="1" customWidth="1"/>
    <col min="3597" max="3597" width="4.7109375" customWidth="1"/>
    <col min="3598" max="3598" width="16.140625" customWidth="1"/>
    <col min="3844" max="3844" width="44.140625" bestFit="1" customWidth="1"/>
    <col min="3845" max="3845" width="7.5703125" customWidth="1"/>
    <col min="3846" max="3846" width="11.5703125" bestFit="1" customWidth="1"/>
    <col min="3847" max="3849" width="13.28515625" bestFit="1" customWidth="1"/>
    <col min="3850" max="3850" width="11.5703125" bestFit="1" customWidth="1"/>
    <col min="3851" max="3852" width="13.28515625" bestFit="1" customWidth="1"/>
    <col min="3853" max="3853" width="4.7109375" customWidth="1"/>
    <col min="3854" max="3854" width="16.140625" customWidth="1"/>
    <col min="4100" max="4100" width="44.140625" bestFit="1" customWidth="1"/>
    <col min="4101" max="4101" width="7.5703125" customWidth="1"/>
    <col min="4102" max="4102" width="11.5703125" bestFit="1" customWidth="1"/>
    <col min="4103" max="4105" width="13.28515625" bestFit="1" customWidth="1"/>
    <col min="4106" max="4106" width="11.5703125" bestFit="1" customWidth="1"/>
    <col min="4107" max="4108" width="13.28515625" bestFit="1" customWidth="1"/>
    <col min="4109" max="4109" width="4.7109375" customWidth="1"/>
    <col min="4110" max="4110" width="16.140625" customWidth="1"/>
    <col min="4356" max="4356" width="44.140625" bestFit="1" customWidth="1"/>
    <col min="4357" max="4357" width="7.5703125" customWidth="1"/>
    <col min="4358" max="4358" width="11.5703125" bestFit="1" customWidth="1"/>
    <col min="4359" max="4361" width="13.28515625" bestFit="1" customWidth="1"/>
    <col min="4362" max="4362" width="11.5703125" bestFit="1" customWidth="1"/>
    <col min="4363" max="4364" width="13.28515625" bestFit="1" customWidth="1"/>
    <col min="4365" max="4365" width="4.7109375" customWidth="1"/>
    <col min="4366" max="4366" width="16.140625" customWidth="1"/>
    <col min="4612" max="4612" width="44.140625" bestFit="1" customWidth="1"/>
    <col min="4613" max="4613" width="7.5703125" customWidth="1"/>
    <col min="4614" max="4614" width="11.5703125" bestFit="1" customWidth="1"/>
    <col min="4615" max="4617" width="13.28515625" bestFit="1" customWidth="1"/>
    <col min="4618" max="4618" width="11.5703125" bestFit="1" customWidth="1"/>
    <col min="4619" max="4620" width="13.28515625" bestFit="1" customWidth="1"/>
    <col min="4621" max="4621" width="4.7109375" customWidth="1"/>
    <col min="4622" max="4622" width="16.140625" customWidth="1"/>
    <col min="4868" max="4868" width="44.140625" bestFit="1" customWidth="1"/>
    <col min="4869" max="4869" width="7.5703125" customWidth="1"/>
    <col min="4870" max="4870" width="11.5703125" bestFit="1" customWidth="1"/>
    <col min="4871" max="4873" width="13.28515625" bestFit="1" customWidth="1"/>
    <col min="4874" max="4874" width="11.5703125" bestFit="1" customWidth="1"/>
    <col min="4875" max="4876" width="13.28515625" bestFit="1" customWidth="1"/>
    <col min="4877" max="4877" width="4.7109375" customWidth="1"/>
    <col min="4878" max="4878" width="16.140625" customWidth="1"/>
    <col min="5124" max="5124" width="44.140625" bestFit="1" customWidth="1"/>
    <col min="5125" max="5125" width="7.5703125" customWidth="1"/>
    <col min="5126" max="5126" width="11.5703125" bestFit="1" customWidth="1"/>
    <col min="5127" max="5129" width="13.28515625" bestFit="1" customWidth="1"/>
    <col min="5130" max="5130" width="11.5703125" bestFit="1" customWidth="1"/>
    <col min="5131" max="5132" width="13.28515625" bestFit="1" customWidth="1"/>
    <col min="5133" max="5133" width="4.7109375" customWidth="1"/>
    <col min="5134" max="5134" width="16.140625" customWidth="1"/>
    <col min="5380" max="5380" width="44.140625" bestFit="1" customWidth="1"/>
    <col min="5381" max="5381" width="7.5703125" customWidth="1"/>
    <col min="5382" max="5382" width="11.5703125" bestFit="1" customWidth="1"/>
    <col min="5383" max="5385" width="13.28515625" bestFit="1" customWidth="1"/>
    <col min="5386" max="5386" width="11.5703125" bestFit="1" customWidth="1"/>
    <col min="5387" max="5388" width="13.28515625" bestFit="1" customWidth="1"/>
    <col min="5389" max="5389" width="4.7109375" customWidth="1"/>
    <col min="5390" max="5390" width="16.140625" customWidth="1"/>
    <col min="5636" max="5636" width="44.140625" bestFit="1" customWidth="1"/>
    <col min="5637" max="5637" width="7.5703125" customWidth="1"/>
    <col min="5638" max="5638" width="11.5703125" bestFit="1" customWidth="1"/>
    <col min="5639" max="5641" width="13.28515625" bestFit="1" customWidth="1"/>
    <col min="5642" max="5642" width="11.5703125" bestFit="1" customWidth="1"/>
    <col min="5643" max="5644" width="13.28515625" bestFit="1" customWidth="1"/>
    <col min="5645" max="5645" width="4.7109375" customWidth="1"/>
    <col min="5646" max="5646" width="16.140625" customWidth="1"/>
    <col min="5892" max="5892" width="44.140625" bestFit="1" customWidth="1"/>
    <col min="5893" max="5893" width="7.5703125" customWidth="1"/>
    <col min="5894" max="5894" width="11.5703125" bestFit="1" customWidth="1"/>
    <col min="5895" max="5897" width="13.28515625" bestFit="1" customWidth="1"/>
    <col min="5898" max="5898" width="11.5703125" bestFit="1" customWidth="1"/>
    <col min="5899" max="5900" width="13.28515625" bestFit="1" customWidth="1"/>
    <col min="5901" max="5901" width="4.7109375" customWidth="1"/>
    <col min="5902" max="5902" width="16.140625" customWidth="1"/>
    <col min="6148" max="6148" width="44.140625" bestFit="1" customWidth="1"/>
    <col min="6149" max="6149" width="7.5703125" customWidth="1"/>
    <col min="6150" max="6150" width="11.5703125" bestFit="1" customWidth="1"/>
    <col min="6151" max="6153" width="13.28515625" bestFit="1" customWidth="1"/>
    <col min="6154" max="6154" width="11.5703125" bestFit="1" customWidth="1"/>
    <col min="6155" max="6156" width="13.28515625" bestFit="1" customWidth="1"/>
    <col min="6157" max="6157" width="4.7109375" customWidth="1"/>
    <col min="6158" max="6158" width="16.140625" customWidth="1"/>
    <col min="6404" max="6404" width="44.140625" bestFit="1" customWidth="1"/>
    <col min="6405" max="6405" width="7.5703125" customWidth="1"/>
    <col min="6406" max="6406" width="11.5703125" bestFit="1" customWidth="1"/>
    <col min="6407" max="6409" width="13.28515625" bestFit="1" customWidth="1"/>
    <col min="6410" max="6410" width="11.5703125" bestFit="1" customWidth="1"/>
    <col min="6411" max="6412" width="13.28515625" bestFit="1" customWidth="1"/>
    <col min="6413" max="6413" width="4.7109375" customWidth="1"/>
    <col min="6414" max="6414" width="16.140625" customWidth="1"/>
    <col min="6660" max="6660" width="44.140625" bestFit="1" customWidth="1"/>
    <col min="6661" max="6661" width="7.5703125" customWidth="1"/>
    <col min="6662" max="6662" width="11.5703125" bestFit="1" customWidth="1"/>
    <col min="6663" max="6665" width="13.28515625" bestFit="1" customWidth="1"/>
    <col min="6666" max="6666" width="11.5703125" bestFit="1" customWidth="1"/>
    <col min="6667" max="6668" width="13.28515625" bestFit="1" customWidth="1"/>
    <col min="6669" max="6669" width="4.7109375" customWidth="1"/>
    <col min="6670" max="6670" width="16.140625" customWidth="1"/>
    <col min="6916" max="6916" width="44.140625" bestFit="1" customWidth="1"/>
    <col min="6917" max="6917" width="7.5703125" customWidth="1"/>
    <col min="6918" max="6918" width="11.5703125" bestFit="1" customWidth="1"/>
    <col min="6919" max="6921" width="13.28515625" bestFit="1" customWidth="1"/>
    <col min="6922" max="6922" width="11.5703125" bestFit="1" customWidth="1"/>
    <col min="6923" max="6924" width="13.28515625" bestFit="1" customWidth="1"/>
    <col min="6925" max="6925" width="4.7109375" customWidth="1"/>
    <col min="6926" max="6926" width="16.140625" customWidth="1"/>
    <col min="7172" max="7172" width="44.140625" bestFit="1" customWidth="1"/>
    <col min="7173" max="7173" width="7.5703125" customWidth="1"/>
    <col min="7174" max="7174" width="11.5703125" bestFit="1" customWidth="1"/>
    <col min="7175" max="7177" width="13.28515625" bestFit="1" customWidth="1"/>
    <col min="7178" max="7178" width="11.5703125" bestFit="1" customWidth="1"/>
    <col min="7179" max="7180" width="13.28515625" bestFit="1" customWidth="1"/>
    <col min="7181" max="7181" width="4.7109375" customWidth="1"/>
    <col min="7182" max="7182" width="16.140625" customWidth="1"/>
    <col min="7428" max="7428" width="44.140625" bestFit="1" customWidth="1"/>
    <col min="7429" max="7429" width="7.5703125" customWidth="1"/>
    <col min="7430" max="7430" width="11.5703125" bestFit="1" customWidth="1"/>
    <col min="7431" max="7433" width="13.28515625" bestFit="1" customWidth="1"/>
    <col min="7434" max="7434" width="11.5703125" bestFit="1" customWidth="1"/>
    <col min="7435" max="7436" width="13.28515625" bestFit="1" customWidth="1"/>
    <col min="7437" max="7437" width="4.7109375" customWidth="1"/>
    <col min="7438" max="7438" width="16.140625" customWidth="1"/>
    <col min="7684" max="7684" width="44.140625" bestFit="1" customWidth="1"/>
    <col min="7685" max="7685" width="7.5703125" customWidth="1"/>
    <col min="7686" max="7686" width="11.5703125" bestFit="1" customWidth="1"/>
    <col min="7687" max="7689" width="13.28515625" bestFit="1" customWidth="1"/>
    <col min="7690" max="7690" width="11.5703125" bestFit="1" customWidth="1"/>
    <col min="7691" max="7692" width="13.28515625" bestFit="1" customWidth="1"/>
    <col min="7693" max="7693" width="4.7109375" customWidth="1"/>
    <col min="7694" max="7694" width="16.140625" customWidth="1"/>
    <col min="7940" max="7940" width="44.140625" bestFit="1" customWidth="1"/>
    <col min="7941" max="7941" width="7.5703125" customWidth="1"/>
    <col min="7942" max="7942" width="11.5703125" bestFit="1" customWidth="1"/>
    <col min="7943" max="7945" width="13.28515625" bestFit="1" customWidth="1"/>
    <col min="7946" max="7946" width="11.5703125" bestFit="1" customWidth="1"/>
    <col min="7947" max="7948" width="13.28515625" bestFit="1" customWidth="1"/>
    <col min="7949" max="7949" width="4.7109375" customWidth="1"/>
    <col min="7950" max="7950" width="16.140625" customWidth="1"/>
    <col min="8196" max="8196" width="44.140625" bestFit="1" customWidth="1"/>
    <col min="8197" max="8197" width="7.5703125" customWidth="1"/>
    <col min="8198" max="8198" width="11.5703125" bestFit="1" customWidth="1"/>
    <col min="8199" max="8201" width="13.28515625" bestFit="1" customWidth="1"/>
    <col min="8202" max="8202" width="11.5703125" bestFit="1" customWidth="1"/>
    <col min="8203" max="8204" width="13.28515625" bestFit="1" customWidth="1"/>
    <col min="8205" max="8205" width="4.7109375" customWidth="1"/>
    <col min="8206" max="8206" width="16.140625" customWidth="1"/>
    <col min="8452" max="8452" width="44.140625" bestFit="1" customWidth="1"/>
    <col min="8453" max="8453" width="7.5703125" customWidth="1"/>
    <col min="8454" max="8454" width="11.5703125" bestFit="1" customWidth="1"/>
    <col min="8455" max="8457" width="13.28515625" bestFit="1" customWidth="1"/>
    <col min="8458" max="8458" width="11.5703125" bestFit="1" customWidth="1"/>
    <col min="8459" max="8460" width="13.28515625" bestFit="1" customWidth="1"/>
    <col min="8461" max="8461" width="4.7109375" customWidth="1"/>
    <col min="8462" max="8462" width="16.140625" customWidth="1"/>
    <col min="8708" max="8708" width="44.140625" bestFit="1" customWidth="1"/>
    <col min="8709" max="8709" width="7.5703125" customWidth="1"/>
    <col min="8710" max="8710" width="11.5703125" bestFit="1" customWidth="1"/>
    <col min="8711" max="8713" width="13.28515625" bestFit="1" customWidth="1"/>
    <col min="8714" max="8714" width="11.5703125" bestFit="1" customWidth="1"/>
    <col min="8715" max="8716" width="13.28515625" bestFit="1" customWidth="1"/>
    <col min="8717" max="8717" width="4.7109375" customWidth="1"/>
    <col min="8718" max="8718" width="16.140625" customWidth="1"/>
    <col min="8964" max="8964" width="44.140625" bestFit="1" customWidth="1"/>
    <col min="8965" max="8965" width="7.5703125" customWidth="1"/>
    <col min="8966" max="8966" width="11.5703125" bestFit="1" customWidth="1"/>
    <col min="8967" max="8969" width="13.28515625" bestFit="1" customWidth="1"/>
    <col min="8970" max="8970" width="11.5703125" bestFit="1" customWidth="1"/>
    <col min="8971" max="8972" width="13.28515625" bestFit="1" customWidth="1"/>
    <col min="8973" max="8973" width="4.7109375" customWidth="1"/>
    <col min="8974" max="8974" width="16.140625" customWidth="1"/>
    <col min="9220" max="9220" width="44.140625" bestFit="1" customWidth="1"/>
    <col min="9221" max="9221" width="7.5703125" customWidth="1"/>
    <col min="9222" max="9222" width="11.5703125" bestFit="1" customWidth="1"/>
    <col min="9223" max="9225" width="13.28515625" bestFit="1" customWidth="1"/>
    <col min="9226" max="9226" width="11.5703125" bestFit="1" customWidth="1"/>
    <col min="9227" max="9228" width="13.28515625" bestFit="1" customWidth="1"/>
    <col min="9229" max="9229" width="4.7109375" customWidth="1"/>
    <col min="9230" max="9230" width="16.140625" customWidth="1"/>
    <col min="9476" max="9476" width="44.140625" bestFit="1" customWidth="1"/>
    <col min="9477" max="9477" width="7.5703125" customWidth="1"/>
    <col min="9478" max="9478" width="11.5703125" bestFit="1" customWidth="1"/>
    <col min="9479" max="9481" width="13.28515625" bestFit="1" customWidth="1"/>
    <col min="9482" max="9482" width="11.5703125" bestFit="1" customWidth="1"/>
    <col min="9483" max="9484" width="13.28515625" bestFit="1" customWidth="1"/>
    <col min="9485" max="9485" width="4.7109375" customWidth="1"/>
    <col min="9486" max="9486" width="16.140625" customWidth="1"/>
    <col min="9732" max="9732" width="44.140625" bestFit="1" customWidth="1"/>
    <col min="9733" max="9733" width="7.5703125" customWidth="1"/>
    <col min="9734" max="9734" width="11.5703125" bestFit="1" customWidth="1"/>
    <col min="9735" max="9737" width="13.28515625" bestFit="1" customWidth="1"/>
    <col min="9738" max="9738" width="11.5703125" bestFit="1" customWidth="1"/>
    <col min="9739" max="9740" width="13.28515625" bestFit="1" customWidth="1"/>
    <col min="9741" max="9741" width="4.7109375" customWidth="1"/>
    <col min="9742" max="9742" width="16.140625" customWidth="1"/>
    <col min="9988" max="9988" width="44.140625" bestFit="1" customWidth="1"/>
    <col min="9989" max="9989" width="7.5703125" customWidth="1"/>
    <col min="9990" max="9990" width="11.5703125" bestFit="1" customWidth="1"/>
    <col min="9991" max="9993" width="13.28515625" bestFit="1" customWidth="1"/>
    <col min="9994" max="9994" width="11.5703125" bestFit="1" customWidth="1"/>
    <col min="9995" max="9996" width="13.28515625" bestFit="1" customWidth="1"/>
    <col min="9997" max="9997" width="4.7109375" customWidth="1"/>
    <col min="9998" max="9998" width="16.140625" customWidth="1"/>
    <col min="10244" max="10244" width="44.140625" bestFit="1" customWidth="1"/>
    <col min="10245" max="10245" width="7.5703125" customWidth="1"/>
    <col min="10246" max="10246" width="11.5703125" bestFit="1" customWidth="1"/>
    <col min="10247" max="10249" width="13.28515625" bestFit="1" customWidth="1"/>
    <col min="10250" max="10250" width="11.5703125" bestFit="1" customWidth="1"/>
    <col min="10251" max="10252" width="13.28515625" bestFit="1" customWidth="1"/>
    <col min="10253" max="10253" width="4.7109375" customWidth="1"/>
    <col min="10254" max="10254" width="16.140625" customWidth="1"/>
    <col min="10500" max="10500" width="44.140625" bestFit="1" customWidth="1"/>
    <col min="10501" max="10501" width="7.5703125" customWidth="1"/>
    <col min="10502" max="10502" width="11.5703125" bestFit="1" customWidth="1"/>
    <col min="10503" max="10505" width="13.28515625" bestFit="1" customWidth="1"/>
    <col min="10506" max="10506" width="11.5703125" bestFit="1" customWidth="1"/>
    <col min="10507" max="10508" width="13.28515625" bestFit="1" customWidth="1"/>
    <col min="10509" max="10509" width="4.7109375" customWidth="1"/>
    <col min="10510" max="10510" width="16.140625" customWidth="1"/>
    <col min="10756" max="10756" width="44.140625" bestFit="1" customWidth="1"/>
    <col min="10757" max="10757" width="7.5703125" customWidth="1"/>
    <col min="10758" max="10758" width="11.5703125" bestFit="1" customWidth="1"/>
    <col min="10759" max="10761" width="13.28515625" bestFit="1" customWidth="1"/>
    <col min="10762" max="10762" width="11.5703125" bestFit="1" customWidth="1"/>
    <col min="10763" max="10764" width="13.28515625" bestFit="1" customWidth="1"/>
    <col min="10765" max="10765" width="4.7109375" customWidth="1"/>
    <col min="10766" max="10766" width="16.140625" customWidth="1"/>
    <col min="11012" max="11012" width="44.140625" bestFit="1" customWidth="1"/>
    <col min="11013" max="11013" width="7.5703125" customWidth="1"/>
    <col min="11014" max="11014" width="11.5703125" bestFit="1" customWidth="1"/>
    <col min="11015" max="11017" width="13.28515625" bestFit="1" customWidth="1"/>
    <col min="11018" max="11018" width="11.5703125" bestFit="1" customWidth="1"/>
    <col min="11019" max="11020" width="13.28515625" bestFit="1" customWidth="1"/>
    <col min="11021" max="11021" width="4.7109375" customWidth="1"/>
    <col min="11022" max="11022" width="16.140625" customWidth="1"/>
    <col min="11268" max="11268" width="44.140625" bestFit="1" customWidth="1"/>
    <col min="11269" max="11269" width="7.5703125" customWidth="1"/>
    <col min="11270" max="11270" width="11.5703125" bestFit="1" customWidth="1"/>
    <col min="11271" max="11273" width="13.28515625" bestFit="1" customWidth="1"/>
    <col min="11274" max="11274" width="11.5703125" bestFit="1" customWidth="1"/>
    <col min="11275" max="11276" width="13.28515625" bestFit="1" customWidth="1"/>
    <col min="11277" max="11277" width="4.7109375" customWidth="1"/>
    <col min="11278" max="11278" width="16.140625" customWidth="1"/>
    <col min="11524" max="11524" width="44.140625" bestFit="1" customWidth="1"/>
    <col min="11525" max="11525" width="7.5703125" customWidth="1"/>
    <col min="11526" max="11526" width="11.5703125" bestFit="1" customWidth="1"/>
    <col min="11527" max="11529" width="13.28515625" bestFit="1" customWidth="1"/>
    <col min="11530" max="11530" width="11.5703125" bestFit="1" customWidth="1"/>
    <col min="11531" max="11532" width="13.28515625" bestFit="1" customWidth="1"/>
    <col min="11533" max="11533" width="4.7109375" customWidth="1"/>
    <col min="11534" max="11534" width="16.140625" customWidth="1"/>
    <col min="11780" max="11780" width="44.140625" bestFit="1" customWidth="1"/>
    <col min="11781" max="11781" width="7.5703125" customWidth="1"/>
    <col min="11782" max="11782" width="11.5703125" bestFit="1" customWidth="1"/>
    <col min="11783" max="11785" width="13.28515625" bestFit="1" customWidth="1"/>
    <col min="11786" max="11786" width="11.5703125" bestFit="1" customWidth="1"/>
    <col min="11787" max="11788" width="13.28515625" bestFit="1" customWidth="1"/>
    <col min="11789" max="11789" width="4.7109375" customWidth="1"/>
    <col min="11790" max="11790" width="16.140625" customWidth="1"/>
    <col min="12036" max="12036" width="44.140625" bestFit="1" customWidth="1"/>
    <col min="12037" max="12037" width="7.5703125" customWidth="1"/>
    <col min="12038" max="12038" width="11.5703125" bestFit="1" customWidth="1"/>
    <col min="12039" max="12041" width="13.28515625" bestFit="1" customWidth="1"/>
    <col min="12042" max="12042" width="11.5703125" bestFit="1" customWidth="1"/>
    <col min="12043" max="12044" width="13.28515625" bestFit="1" customWidth="1"/>
    <col min="12045" max="12045" width="4.7109375" customWidth="1"/>
    <col min="12046" max="12046" width="16.140625" customWidth="1"/>
    <col min="12292" max="12292" width="44.140625" bestFit="1" customWidth="1"/>
    <col min="12293" max="12293" width="7.5703125" customWidth="1"/>
    <col min="12294" max="12294" width="11.5703125" bestFit="1" customWidth="1"/>
    <col min="12295" max="12297" width="13.28515625" bestFit="1" customWidth="1"/>
    <col min="12298" max="12298" width="11.5703125" bestFit="1" customWidth="1"/>
    <col min="12299" max="12300" width="13.28515625" bestFit="1" customWidth="1"/>
    <col min="12301" max="12301" width="4.7109375" customWidth="1"/>
    <col min="12302" max="12302" width="16.140625" customWidth="1"/>
    <col min="12548" max="12548" width="44.140625" bestFit="1" customWidth="1"/>
    <col min="12549" max="12549" width="7.5703125" customWidth="1"/>
    <col min="12550" max="12550" width="11.5703125" bestFit="1" customWidth="1"/>
    <col min="12551" max="12553" width="13.28515625" bestFit="1" customWidth="1"/>
    <col min="12554" max="12554" width="11.5703125" bestFit="1" customWidth="1"/>
    <col min="12555" max="12556" width="13.28515625" bestFit="1" customWidth="1"/>
    <col min="12557" max="12557" width="4.7109375" customWidth="1"/>
    <col min="12558" max="12558" width="16.140625" customWidth="1"/>
    <col min="12804" max="12804" width="44.140625" bestFit="1" customWidth="1"/>
    <col min="12805" max="12805" width="7.5703125" customWidth="1"/>
    <col min="12806" max="12806" width="11.5703125" bestFit="1" customWidth="1"/>
    <col min="12807" max="12809" width="13.28515625" bestFit="1" customWidth="1"/>
    <col min="12810" max="12810" width="11.5703125" bestFit="1" customWidth="1"/>
    <col min="12811" max="12812" width="13.28515625" bestFit="1" customWidth="1"/>
    <col min="12813" max="12813" width="4.7109375" customWidth="1"/>
    <col min="12814" max="12814" width="16.140625" customWidth="1"/>
    <col min="13060" max="13060" width="44.140625" bestFit="1" customWidth="1"/>
    <col min="13061" max="13061" width="7.5703125" customWidth="1"/>
    <col min="13062" max="13062" width="11.5703125" bestFit="1" customWidth="1"/>
    <col min="13063" max="13065" width="13.28515625" bestFit="1" customWidth="1"/>
    <col min="13066" max="13066" width="11.5703125" bestFit="1" customWidth="1"/>
    <col min="13067" max="13068" width="13.28515625" bestFit="1" customWidth="1"/>
    <col min="13069" max="13069" width="4.7109375" customWidth="1"/>
    <col min="13070" max="13070" width="16.140625" customWidth="1"/>
    <col min="13316" max="13316" width="44.140625" bestFit="1" customWidth="1"/>
    <col min="13317" max="13317" width="7.5703125" customWidth="1"/>
    <col min="13318" max="13318" width="11.5703125" bestFit="1" customWidth="1"/>
    <col min="13319" max="13321" width="13.28515625" bestFit="1" customWidth="1"/>
    <col min="13322" max="13322" width="11.5703125" bestFit="1" customWidth="1"/>
    <col min="13323" max="13324" width="13.28515625" bestFit="1" customWidth="1"/>
    <col min="13325" max="13325" width="4.7109375" customWidth="1"/>
    <col min="13326" max="13326" width="16.140625" customWidth="1"/>
    <col min="13572" max="13572" width="44.140625" bestFit="1" customWidth="1"/>
    <col min="13573" max="13573" width="7.5703125" customWidth="1"/>
    <col min="13574" max="13574" width="11.5703125" bestFit="1" customWidth="1"/>
    <col min="13575" max="13577" width="13.28515625" bestFit="1" customWidth="1"/>
    <col min="13578" max="13578" width="11.5703125" bestFit="1" customWidth="1"/>
    <col min="13579" max="13580" width="13.28515625" bestFit="1" customWidth="1"/>
    <col min="13581" max="13581" width="4.7109375" customWidth="1"/>
    <col min="13582" max="13582" width="16.140625" customWidth="1"/>
    <col min="13828" max="13828" width="44.140625" bestFit="1" customWidth="1"/>
    <col min="13829" max="13829" width="7.5703125" customWidth="1"/>
    <col min="13830" max="13830" width="11.5703125" bestFit="1" customWidth="1"/>
    <col min="13831" max="13833" width="13.28515625" bestFit="1" customWidth="1"/>
    <col min="13834" max="13834" width="11.5703125" bestFit="1" customWidth="1"/>
    <col min="13835" max="13836" width="13.28515625" bestFit="1" customWidth="1"/>
    <col min="13837" max="13837" width="4.7109375" customWidth="1"/>
    <col min="13838" max="13838" width="16.140625" customWidth="1"/>
    <col min="14084" max="14084" width="44.140625" bestFit="1" customWidth="1"/>
    <col min="14085" max="14085" width="7.5703125" customWidth="1"/>
    <col min="14086" max="14086" width="11.5703125" bestFit="1" customWidth="1"/>
    <col min="14087" max="14089" width="13.28515625" bestFit="1" customWidth="1"/>
    <col min="14090" max="14090" width="11.5703125" bestFit="1" customWidth="1"/>
    <col min="14091" max="14092" width="13.28515625" bestFit="1" customWidth="1"/>
    <col min="14093" max="14093" width="4.7109375" customWidth="1"/>
    <col min="14094" max="14094" width="16.140625" customWidth="1"/>
    <col min="14340" max="14340" width="44.140625" bestFit="1" customWidth="1"/>
    <col min="14341" max="14341" width="7.5703125" customWidth="1"/>
    <col min="14342" max="14342" width="11.5703125" bestFit="1" customWidth="1"/>
    <col min="14343" max="14345" width="13.28515625" bestFit="1" customWidth="1"/>
    <col min="14346" max="14346" width="11.5703125" bestFit="1" customWidth="1"/>
    <col min="14347" max="14348" width="13.28515625" bestFit="1" customWidth="1"/>
    <col min="14349" max="14349" width="4.7109375" customWidth="1"/>
    <col min="14350" max="14350" width="16.140625" customWidth="1"/>
    <col min="14596" max="14596" width="44.140625" bestFit="1" customWidth="1"/>
    <col min="14597" max="14597" width="7.5703125" customWidth="1"/>
    <col min="14598" max="14598" width="11.5703125" bestFit="1" customWidth="1"/>
    <col min="14599" max="14601" width="13.28515625" bestFit="1" customWidth="1"/>
    <col min="14602" max="14602" width="11.5703125" bestFit="1" customWidth="1"/>
    <col min="14603" max="14604" width="13.28515625" bestFit="1" customWidth="1"/>
    <col min="14605" max="14605" width="4.7109375" customWidth="1"/>
    <col min="14606" max="14606" width="16.140625" customWidth="1"/>
    <col min="14852" max="14852" width="44.140625" bestFit="1" customWidth="1"/>
    <col min="14853" max="14853" width="7.5703125" customWidth="1"/>
    <col min="14854" max="14854" width="11.5703125" bestFit="1" customWidth="1"/>
    <col min="14855" max="14857" width="13.28515625" bestFit="1" customWidth="1"/>
    <col min="14858" max="14858" width="11.5703125" bestFit="1" customWidth="1"/>
    <col min="14859" max="14860" width="13.28515625" bestFit="1" customWidth="1"/>
    <col min="14861" max="14861" width="4.7109375" customWidth="1"/>
    <col min="14862" max="14862" width="16.140625" customWidth="1"/>
    <col min="15108" max="15108" width="44.140625" bestFit="1" customWidth="1"/>
    <col min="15109" max="15109" width="7.5703125" customWidth="1"/>
    <col min="15110" max="15110" width="11.5703125" bestFit="1" customWidth="1"/>
    <col min="15111" max="15113" width="13.28515625" bestFit="1" customWidth="1"/>
    <col min="15114" max="15114" width="11.5703125" bestFit="1" customWidth="1"/>
    <col min="15115" max="15116" width="13.28515625" bestFit="1" customWidth="1"/>
    <col min="15117" max="15117" width="4.7109375" customWidth="1"/>
    <col min="15118" max="15118" width="16.140625" customWidth="1"/>
    <col min="15364" max="15364" width="44.140625" bestFit="1" customWidth="1"/>
    <col min="15365" max="15365" width="7.5703125" customWidth="1"/>
    <col min="15366" max="15366" width="11.5703125" bestFit="1" customWidth="1"/>
    <col min="15367" max="15369" width="13.28515625" bestFit="1" customWidth="1"/>
    <col min="15370" max="15370" width="11.5703125" bestFit="1" customWidth="1"/>
    <col min="15371" max="15372" width="13.28515625" bestFit="1" customWidth="1"/>
    <col min="15373" max="15373" width="4.7109375" customWidth="1"/>
    <col min="15374" max="15374" width="16.140625" customWidth="1"/>
    <col min="15620" max="15620" width="44.140625" bestFit="1" customWidth="1"/>
    <col min="15621" max="15621" width="7.5703125" customWidth="1"/>
    <col min="15622" max="15622" width="11.5703125" bestFit="1" customWidth="1"/>
    <col min="15623" max="15625" width="13.28515625" bestFit="1" customWidth="1"/>
    <col min="15626" max="15626" width="11.5703125" bestFit="1" customWidth="1"/>
    <col min="15627" max="15628" width="13.28515625" bestFit="1" customWidth="1"/>
    <col min="15629" max="15629" width="4.7109375" customWidth="1"/>
    <col min="15630" max="15630" width="16.140625" customWidth="1"/>
    <col min="15876" max="15876" width="44.140625" bestFit="1" customWidth="1"/>
    <col min="15877" max="15877" width="7.5703125" customWidth="1"/>
    <col min="15878" max="15878" width="11.5703125" bestFit="1" customWidth="1"/>
    <col min="15879" max="15881" width="13.28515625" bestFit="1" customWidth="1"/>
    <col min="15882" max="15882" width="11.5703125" bestFit="1" customWidth="1"/>
    <col min="15883" max="15884" width="13.28515625" bestFit="1" customWidth="1"/>
    <col min="15885" max="15885" width="4.7109375" customWidth="1"/>
    <col min="15886" max="15886" width="16.140625" customWidth="1"/>
    <col min="16132" max="16132" width="44.140625" bestFit="1" customWidth="1"/>
    <col min="16133" max="16133" width="7.5703125" customWidth="1"/>
    <col min="16134" max="16134" width="11.5703125" bestFit="1" customWidth="1"/>
    <col min="16135" max="16137" width="13.28515625" bestFit="1" customWidth="1"/>
    <col min="16138" max="16138" width="11.5703125" bestFit="1" customWidth="1"/>
    <col min="16139" max="16140" width="13.28515625" bestFit="1" customWidth="1"/>
    <col min="16141" max="16141" width="4.7109375" customWidth="1"/>
    <col min="16142" max="16142" width="16.140625" customWidth="1"/>
  </cols>
  <sheetData>
    <row r="1" spans="1:15">
      <c r="A1" s="82"/>
      <c r="B1" s="213" t="s">
        <v>480</v>
      </c>
      <c r="C1" s="213"/>
      <c r="D1" s="213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82"/>
    </row>
    <row r="2" spans="1:15">
      <c r="A2" s="82"/>
      <c r="B2" s="213"/>
      <c r="C2" s="213"/>
      <c r="D2" s="213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82"/>
    </row>
    <row r="3" spans="1:15">
      <c r="A3" s="82"/>
      <c r="B3" s="213"/>
      <c r="C3" s="213"/>
      <c r="D3" s="213"/>
      <c r="E3" s="212" t="s">
        <v>525</v>
      </c>
      <c r="F3" s="212"/>
      <c r="G3" s="212"/>
      <c r="H3" s="212"/>
      <c r="I3" s="215" t="s">
        <v>6</v>
      </c>
      <c r="J3" s="215"/>
      <c r="K3" s="215"/>
      <c r="L3" s="215"/>
      <c r="M3" s="215"/>
      <c r="N3" s="215"/>
      <c r="O3" s="82"/>
    </row>
    <row r="4" spans="1:15" s="57" customFormat="1" ht="24" customHeight="1">
      <c r="A4" s="83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184" t="s">
        <v>569</v>
      </c>
      <c r="J4" s="184" t="s">
        <v>374</v>
      </c>
      <c r="K4" s="184" t="s">
        <v>483</v>
      </c>
      <c r="L4" s="32" t="s">
        <v>484</v>
      </c>
      <c r="M4" s="32" t="s">
        <v>486</v>
      </c>
      <c r="N4" s="184" t="s">
        <v>485</v>
      </c>
      <c r="O4" s="83"/>
    </row>
    <row r="5" spans="1:15" hidden="1">
      <c r="A5" s="82"/>
      <c r="B5" s="21" t="s">
        <v>487</v>
      </c>
      <c r="C5" s="21" t="s">
        <v>488</v>
      </c>
      <c r="D5" s="84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22"/>
      <c r="J5" s="22"/>
      <c r="K5" s="23"/>
      <c r="L5" s="22">
        <v>100</v>
      </c>
      <c r="M5" s="24">
        <f>N5/L5</f>
        <v>0.75</v>
      </c>
      <c r="N5" s="22">
        <v>75</v>
      </c>
      <c r="O5" s="82"/>
    </row>
    <row r="6" spans="1:15" hidden="1">
      <c r="A6" s="82"/>
      <c r="B6" s="21"/>
      <c r="C6" s="21" t="s">
        <v>489</v>
      </c>
      <c r="D6" s="84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22"/>
      <c r="J6" s="22"/>
      <c r="K6" s="23"/>
      <c r="L6" s="22">
        <v>101</v>
      </c>
      <c r="M6" s="25">
        <f>N6/L6</f>
        <v>0.59405940594059403</v>
      </c>
      <c r="N6" s="22">
        <v>60</v>
      </c>
      <c r="O6" s="82"/>
    </row>
    <row r="7" spans="1:15" hidden="1">
      <c r="A7" s="82"/>
      <c r="B7" s="21"/>
      <c r="C7" s="21" t="s">
        <v>490</v>
      </c>
      <c r="D7" s="84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22"/>
      <c r="J7" s="22"/>
      <c r="K7" s="23"/>
      <c r="L7" s="22"/>
      <c r="M7" s="22"/>
      <c r="N7" s="22"/>
      <c r="O7" s="82"/>
    </row>
    <row r="8" spans="1:15" hidden="1">
      <c r="A8" s="82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22"/>
      <c r="J8" s="27"/>
      <c r="K8" s="22"/>
      <c r="L8" s="22"/>
      <c r="M8" s="22"/>
      <c r="N8" s="22"/>
      <c r="O8" s="82"/>
    </row>
    <row r="9" spans="1:15" hidden="1">
      <c r="A9" s="82"/>
      <c r="B9" s="21"/>
      <c r="C9" s="21" t="s">
        <v>492</v>
      </c>
      <c r="D9" s="84">
        <v>0.45</v>
      </c>
      <c r="E9" s="22"/>
      <c r="F9" s="22"/>
      <c r="G9" s="22">
        <f t="shared" si="0"/>
        <v>0</v>
      </c>
      <c r="H9" s="22">
        <f t="shared" si="1"/>
        <v>0</v>
      </c>
      <c r="I9" s="22"/>
      <c r="J9" s="22"/>
      <c r="K9" s="22"/>
      <c r="L9" s="22"/>
      <c r="M9" s="22"/>
      <c r="N9" s="22"/>
      <c r="O9" s="82"/>
    </row>
    <row r="10" spans="1:15" hidden="1">
      <c r="A10" s="82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22"/>
      <c r="J10" s="27"/>
      <c r="K10" s="22"/>
      <c r="L10" s="22"/>
      <c r="M10" s="22"/>
      <c r="N10" s="22"/>
      <c r="O10" s="82"/>
    </row>
    <row r="11" spans="1:15" hidden="1">
      <c r="A11" s="82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22"/>
      <c r="J11" s="27"/>
      <c r="K11" s="22"/>
      <c r="L11" s="22"/>
      <c r="M11" s="22"/>
      <c r="N11" s="22"/>
      <c r="O11" s="82"/>
    </row>
    <row r="12" spans="1:15" hidden="1">
      <c r="A12" s="82"/>
      <c r="B12" s="21"/>
      <c r="C12" s="21" t="s">
        <v>495</v>
      </c>
      <c r="D12" s="84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22"/>
      <c r="J12" s="22"/>
      <c r="K12" s="23"/>
      <c r="L12" s="22"/>
      <c r="M12" s="22"/>
      <c r="N12" s="22"/>
      <c r="O12" s="82"/>
    </row>
    <row r="13" spans="1:15" hidden="1">
      <c r="A13" s="82"/>
      <c r="B13" s="21"/>
      <c r="C13" s="21" t="s">
        <v>496</v>
      </c>
      <c r="D13" s="84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22"/>
      <c r="J13" s="22"/>
      <c r="K13" s="22"/>
      <c r="L13" s="22"/>
      <c r="M13" s="22"/>
      <c r="N13" s="22"/>
      <c r="O13" s="82"/>
    </row>
    <row r="14" spans="1:15" hidden="1">
      <c r="A14" s="82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22"/>
      <c r="J14" s="22"/>
      <c r="K14" s="23"/>
      <c r="L14" s="22"/>
      <c r="M14" s="22"/>
      <c r="N14" s="22"/>
      <c r="O14" s="82"/>
    </row>
    <row r="15" spans="1:15" hidden="1">
      <c r="A15" s="82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22"/>
      <c r="J15" s="22"/>
      <c r="K15" s="23"/>
      <c r="L15" s="22"/>
      <c r="M15" s="22"/>
      <c r="N15" s="22"/>
      <c r="O15" s="82"/>
    </row>
    <row r="16" spans="1:15" hidden="1">
      <c r="A16" s="82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22"/>
      <c r="J16" s="27"/>
      <c r="K16" s="22"/>
      <c r="L16" s="22"/>
      <c r="M16" s="22"/>
      <c r="N16" s="22"/>
      <c r="O16" s="82"/>
    </row>
    <row r="17" spans="1:15" hidden="1">
      <c r="A17" s="82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22"/>
      <c r="J17" s="27"/>
      <c r="K17" s="22"/>
      <c r="L17" s="22"/>
      <c r="M17" s="22"/>
      <c r="N17" s="22"/>
      <c r="O17" s="82"/>
    </row>
    <row r="18" spans="1:15" hidden="1">
      <c r="A18" s="82"/>
      <c r="B18" s="58" t="s">
        <v>501</v>
      </c>
      <c r="C18" s="59"/>
      <c r="D18" s="85"/>
      <c r="E18" s="60">
        <f t="shared" ref="E18:L18" si="2">SUM(E5:E17)</f>
        <v>178564.09</v>
      </c>
      <c r="F18" s="60">
        <f t="shared" si="2"/>
        <v>2582489.3300000005</v>
      </c>
      <c r="G18" s="60">
        <f t="shared" si="2"/>
        <v>2761053.4200000009</v>
      </c>
      <c r="H18" s="60">
        <f t="shared" si="2"/>
        <v>1612298.0089500002</v>
      </c>
      <c r="I18" s="60"/>
      <c r="J18" s="60">
        <f t="shared" si="2"/>
        <v>0</v>
      </c>
      <c r="K18" s="60">
        <f t="shared" si="2"/>
        <v>0</v>
      </c>
      <c r="L18" s="60">
        <f t="shared" si="2"/>
        <v>201</v>
      </c>
      <c r="M18" s="60"/>
      <c r="N18" s="60">
        <f>SUM(N5:N17)</f>
        <v>135</v>
      </c>
      <c r="O18" s="82"/>
    </row>
    <row r="19" spans="1:15">
      <c r="A19" s="82"/>
      <c r="B19" s="61" t="s">
        <v>502</v>
      </c>
      <c r="C19" s="61" t="s">
        <v>488</v>
      </c>
      <c r="D19" s="86">
        <v>0.61</v>
      </c>
      <c r="E19" s="62"/>
      <c r="F19" s="62">
        <v>1450597.52</v>
      </c>
      <c r="G19" s="62">
        <f t="shared" si="0"/>
        <v>1450597.52</v>
      </c>
      <c r="H19" s="62">
        <f t="shared" ref="H19:H57" si="3">D19*G19</f>
        <v>884864.48719999997</v>
      </c>
      <c r="I19" s="221">
        <v>1204</v>
      </c>
      <c r="J19" s="62"/>
      <c r="K19" s="62">
        <v>4127.76</v>
      </c>
      <c r="L19" s="62">
        <f>J19+K19</f>
        <v>4127.76</v>
      </c>
      <c r="M19" s="150">
        <f>IFERROR(N19/L19,0)</f>
        <v>0.70139494544256442</v>
      </c>
      <c r="N19" s="62">
        <v>2895.19</v>
      </c>
      <c r="O19" s="82"/>
    </row>
    <row r="20" spans="1:15">
      <c r="A20" s="82"/>
      <c r="B20" s="73"/>
      <c r="C20" s="73" t="s">
        <v>503</v>
      </c>
      <c r="D20" s="87">
        <v>0.61</v>
      </c>
      <c r="E20" s="74"/>
      <c r="F20" s="74">
        <v>65338.92</v>
      </c>
      <c r="G20" s="74">
        <f t="shared" si="0"/>
        <v>65338.92</v>
      </c>
      <c r="H20" s="74">
        <f>D20*G20</f>
        <v>39856.741199999997</v>
      </c>
      <c r="I20" s="222"/>
      <c r="J20" s="74"/>
      <c r="K20" s="74"/>
      <c r="L20" s="74">
        <f>J19+K19</f>
        <v>4127.76</v>
      </c>
      <c r="M20" s="151">
        <f t="shared" ref="M20:M36" si="4">IFERROR(N20/L20,0)</f>
        <v>0</v>
      </c>
      <c r="N20" s="74"/>
      <c r="O20" s="82"/>
    </row>
    <row r="21" spans="1:15">
      <c r="A21" s="82"/>
      <c r="B21" s="61"/>
      <c r="C21" s="61" t="s">
        <v>504</v>
      </c>
      <c r="D21" s="86">
        <v>0.7</v>
      </c>
      <c r="E21" s="62"/>
      <c r="F21" s="62">
        <v>836.76</v>
      </c>
      <c r="G21" s="62">
        <f t="shared" si="0"/>
        <v>836.76</v>
      </c>
      <c r="H21" s="62">
        <f>D21*G21</f>
        <v>585.73199999999997</v>
      </c>
      <c r="I21" s="221"/>
      <c r="J21" s="62"/>
      <c r="K21" s="62"/>
      <c r="L21" s="62">
        <f>J19+K19</f>
        <v>4127.76</v>
      </c>
      <c r="M21" s="150">
        <f t="shared" si="4"/>
        <v>0</v>
      </c>
      <c r="N21" s="62"/>
      <c r="O21" s="82"/>
    </row>
    <row r="22" spans="1:15">
      <c r="A22" s="82"/>
      <c r="B22" s="73"/>
      <c r="C22" s="73" t="s">
        <v>505</v>
      </c>
      <c r="D22" s="87">
        <v>0.7</v>
      </c>
      <c r="E22" s="74"/>
      <c r="F22" s="74">
        <v>64138</v>
      </c>
      <c r="G22" s="74">
        <f t="shared" si="0"/>
        <v>64138</v>
      </c>
      <c r="H22" s="74">
        <f t="shared" si="3"/>
        <v>44896.6</v>
      </c>
      <c r="I22" s="222"/>
      <c r="J22" s="74"/>
      <c r="K22" s="74"/>
      <c r="L22" s="74">
        <f>J19+K19</f>
        <v>4127.76</v>
      </c>
      <c r="M22" s="151">
        <f t="shared" si="4"/>
        <v>0</v>
      </c>
      <c r="N22" s="74"/>
      <c r="O22" s="82"/>
    </row>
    <row r="23" spans="1:15">
      <c r="A23" s="82"/>
      <c r="B23" s="61"/>
      <c r="C23" s="61" t="s">
        <v>489</v>
      </c>
      <c r="D23" s="86">
        <v>0.7</v>
      </c>
      <c r="E23" s="62"/>
      <c r="F23" s="62">
        <v>70044</v>
      </c>
      <c r="G23" s="62">
        <f t="shared" si="0"/>
        <v>70044</v>
      </c>
      <c r="H23" s="62">
        <f t="shared" si="3"/>
        <v>49030.799999999996</v>
      </c>
      <c r="I23" s="221"/>
      <c r="J23" s="62"/>
      <c r="K23" s="62"/>
      <c r="L23" s="62">
        <f>J19+K19</f>
        <v>4127.76</v>
      </c>
      <c r="M23" s="150">
        <f t="shared" si="4"/>
        <v>0</v>
      </c>
      <c r="N23" s="62"/>
      <c r="O23" s="82"/>
    </row>
    <row r="24" spans="1:15">
      <c r="A24" s="82"/>
      <c r="B24" s="73"/>
      <c r="C24" s="73" t="s">
        <v>490</v>
      </c>
      <c r="D24" s="87">
        <v>0.63</v>
      </c>
      <c r="E24" s="74"/>
      <c r="F24" s="74">
        <v>17403.52</v>
      </c>
      <c r="G24" s="74">
        <f t="shared" si="0"/>
        <v>17403.52</v>
      </c>
      <c r="H24" s="74">
        <f t="shared" si="3"/>
        <v>10964.2176</v>
      </c>
      <c r="I24" s="222">
        <v>1204</v>
      </c>
      <c r="J24" s="74"/>
      <c r="K24" s="74">
        <v>17403.52</v>
      </c>
      <c r="L24" s="74">
        <f>J19+K19</f>
        <v>4127.76</v>
      </c>
      <c r="M24" s="151">
        <f t="shared" si="4"/>
        <v>2.6688809426904663</v>
      </c>
      <c r="N24" s="74">
        <v>11016.5</v>
      </c>
      <c r="O24" s="82"/>
    </row>
    <row r="25" spans="1:15">
      <c r="A25" s="82"/>
      <c r="B25" s="61"/>
      <c r="C25" s="61" t="s">
        <v>492</v>
      </c>
      <c r="D25" s="86">
        <v>0.45</v>
      </c>
      <c r="E25" s="62"/>
      <c r="F25" s="62">
        <v>95918.720000000001</v>
      </c>
      <c r="G25" s="62">
        <f t="shared" si="0"/>
        <v>95918.720000000001</v>
      </c>
      <c r="H25" s="62">
        <f t="shared" si="3"/>
        <v>43163.423999999999</v>
      </c>
      <c r="I25" s="221"/>
      <c r="J25" s="62"/>
      <c r="K25" s="62"/>
      <c r="L25" s="62">
        <f>J19+K19</f>
        <v>4127.76</v>
      </c>
      <c r="M25" s="150">
        <f t="shared" si="4"/>
        <v>0</v>
      </c>
      <c r="N25" s="62"/>
      <c r="O25" s="82"/>
    </row>
    <row r="26" spans="1:15">
      <c r="A26" s="82"/>
      <c r="B26" s="73"/>
      <c r="C26" s="73" t="s">
        <v>493</v>
      </c>
      <c r="D26" s="75">
        <v>5.5E-2</v>
      </c>
      <c r="E26" s="74">
        <v>30458.5</v>
      </c>
      <c r="F26" s="74"/>
      <c r="G26" s="74">
        <f t="shared" si="0"/>
        <v>30458.5</v>
      </c>
      <c r="H26" s="74">
        <f t="shared" si="3"/>
        <v>1675.2175</v>
      </c>
      <c r="I26" s="222">
        <v>1201</v>
      </c>
      <c r="J26" s="74">
        <v>38110.050000000003</v>
      </c>
      <c r="K26" s="74"/>
      <c r="L26" s="74">
        <f>J19+K19</f>
        <v>4127.76</v>
      </c>
      <c r="M26" s="151">
        <f t="shared" si="4"/>
        <v>0.32768378006473242</v>
      </c>
      <c r="N26" s="74">
        <v>1352.6</v>
      </c>
      <c r="O26" s="82"/>
    </row>
    <row r="27" spans="1:15">
      <c r="A27" s="82"/>
      <c r="B27" s="61"/>
      <c r="C27" s="61" t="s">
        <v>506</v>
      </c>
      <c r="D27" s="66">
        <v>5.5E-2</v>
      </c>
      <c r="E27" s="62"/>
      <c r="F27" s="62"/>
      <c r="G27" s="62">
        <f t="shared" si="0"/>
        <v>0</v>
      </c>
      <c r="H27" s="62">
        <f t="shared" si="3"/>
        <v>0</v>
      </c>
      <c r="I27" s="221"/>
      <c r="J27" s="62"/>
      <c r="K27" s="62"/>
      <c r="L27" s="62">
        <f>J19+K19</f>
        <v>4127.76</v>
      </c>
      <c r="M27" s="150">
        <f t="shared" si="4"/>
        <v>0</v>
      </c>
      <c r="N27" s="62"/>
      <c r="O27" s="82"/>
    </row>
    <row r="28" spans="1:15">
      <c r="A28" s="82"/>
      <c r="B28" s="73"/>
      <c r="C28" s="73" t="s">
        <v>494</v>
      </c>
      <c r="D28" s="75">
        <v>5.5E-2</v>
      </c>
      <c r="E28" s="74">
        <v>7793.7</v>
      </c>
      <c r="F28" s="74"/>
      <c r="G28" s="74">
        <f t="shared" si="0"/>
        <v>7793.7</v>
      </c>
      <c r="H28" s="74">
        <f t="shared" si="3"/>
        <v>428.65350000000001</v>
      </c>
      <c r="I28" s="222"/>
      <c r="J28" s="74"/>
      <c r="K28" s="74"/>
      <c r="L28" s="74">
        <f>J19+K19</f>
        <v>4127.76</v>
      </c>
      <c r="M28" s="151">
        <f t="shared" si="4"/>
        <v>0</v>
      </c>
      <c r="N28" s="74"/>
      <c r="O28" s="82"/>
    </row>
    <row r="29" spans="1:15">
      <c r="A29" s="82"/>
      <c r="B29" s="61"/>
      <c r="C29" s="61" t="s">
        <v>507</v>
      </c>
      <c r="D29" s="86">
        <v>0.63349999999999995</v>
      </c>
      <c r="E29" s="62"/>
      <c r="F29" s="62">
        <v>262667.52000000002</v>
      </c>
      <c r="G29" s="62">
        <f t="shared" si="0"/>
        <v>262667.52000000002</v>
      </c>
      <c r="H29" s="62">
        <f t="shared" si="3"/>
        <v>166399.87392000001</v>
      </c>
      <c r="I29" s="221">
        <v>1201</v>
      </c>
      <c r="J29" s="62"/>
      <c r="K29" s="62">
        <v>257836.78</v>
      </c>
      <c r="L29" s="62">
        <f>J19+K19</f>
        <v>4127.76</v>
      </c>
      <c r="M29" s="150">
        <f t="shared" si="4"/>
        <v>23.516304242494719</v>
      </c>
      <c r="N29" s="62">
        <v>97069.66</v>
      </c>
      <c r="O29" s="82"/>
    </row>
    <row r="30" spans="1:15">
      <c r="A30" s="82"/>
      <c r="B30" s="73"/>
      <c r="C30" s="73" t="s">
        <v>508</v>
      </c>
      <c r="D30" s="87"/>
      <c r="E30" s="74"/>
      <c r="F30" s="74"/>
      <c r="G30" s="74">
        <f t="shared" si="0"/>
        <v>0</v>
      </c>
      <c r="H30" s="74"/>
      <c r="I30" s="222"/>
      <c r="J30" s="74"/>
      <c r="K30" s="74"/>
      <c r="L30" s="74">
        <f>J19+K19</f>
        <v>4127.76</v>
      </c>
      <c r="M30" s="151">
        <f t="shared" si="4"/>
        <v>0</v>
      </c>
      <c r="N30" s="74"/>
      <c r="O30" s="82"/>
    </row>
    <row r="31" spans="1:15">
      <c r="A31" s="82"/>
      <c r="B31" s="61"/>
      <c r="C31" s="61" t="s">
        <v>509</v>
      </c>
      <c r="D31" s="86">
        <v>0.61</v>
      </c>
      <c r="E31" s="62"/>
      <c r="F31" s="62">
        <v>20103.18</v>
      </c>
      <c r="G31" s="62">
        <f t="shared" si="0"/>
        <v>20103.18</v>
      </c>
      <c r="H31" s="62">
        <f t="shared" si="3"/>
        <v>12262.9398</v>
      </c>
      <c r="I31" s="221"/>
      <c r="J31" s="62"/>
      <c r="K31" s="62"/>
      <c r="L31" s="62">
        <f>J19+K19</f>
        <v>4127.76</v>
      </c>
      <c r="M31" s="150">
        <f t="shared" si="4"/>
        <v>0</v>
      </c>
      <c r="N31" s="62"/>
      <c r="O31" s="82"/>
    </row>
    <row r="32" spans="1:15">
      <c r="A32" s="82"/>
      <c r="B32" s="73"/>
      <c r="C32" s="73" t="s">
        <v>510</v>
      </c>
      <c r="D32" s="75">
        <v>0.6</v>
      </c>
      <c r="E32" s="74"/>
      <c r="F32" s="74">
        <v>2760</v>
      </c>
      <c r="G32" s="74">
        <f t="shared" si="0"/>
        <v>2760</v>
      </c>
      <c r="H32" s="74">
        <f t="shared" si="3"/>
        <v>1656</v>
      </c>
      <c r="I32" s="222"/>
      <c r="J32" s="74"/>
      <c r="K32" s="74"/>
      <c r="L32" s="74">
        <f>J19+K19</f>
        <v>4127.76</v>
      </c>
      <c r="M32" s="151">
        <f t="shared" si="4"/>
        <v>0</v>
      </c>
      <c r="N32" s="74"/>
      <c r="O32" s="82"/>
    </row>
    <row r="33" spans="1:15">
      <c r="A33" s="82"/>
      <c r="B33" s="61"/>
      <c r="C33" s="61" t="s">
        <v>496</v>
      </c>
      <c r="D33" s="86">
        <v>0.61</v>
      </c>
      <c r="E33" s="62"/>
      <c r="F33" s="62">
        <v>10000</v>
      </c>
      <c r="G33" s="62">
        <f t="shared" si="0"/>
        <v>10000</v>
      </c>
      <c r="H33" s="62">
        <f t="shared" si="3"/>
        <v>6100</v>
      </c>
      <c r="I33" s="221">
        <v>1204</v>
      </c>
      <c r="J33" s="62"/>
      <c r="K33" s="62">
        <v>10157.61</v>
      </c>
      <c r="L33" s="62">
        <f>J19+K19</f>
        <v>4127.76</v>
      </c>
      <c r="M33" s="150">
        <f t="shared" si="4"/>
        <v>7.1360277729325352</v>
      </c>
      <c r="N33" s="62">
        <v>29455.81</v>
      </c>
      <c r="O33" s="82"/>
    </row>
    <row r="34" spans="1:15">
      <c r="A34" s="82"/>
      <c r="B34" s="73"/>
      <c r="C34" s="73" t="s">
        <v>511</v>
      </c>
      <c r="D34" s="76">
        <v>0.35</v>
      </c>
      <c r="E34" s="74"/>
      <c r="F34" s="74"/>
      <c r="G34" s="74">
        <f t="shared" si="0"/>
        <v>0</v>
      </c>
      <c r="H34" s="74">
        <f t="shared" si="3"/>
        <v>0</v>
      </c>
      <c r="I34" s="222"/>
      <c r="J34" s="74"/>
      <c r="K34" s="74"/>
      <c r="L34" s="74">
        <f>J19+K19</f>
        <v>4127.76</v>
      </c>
      <c r="M34" s="151">
        <f t="shared" si="4"/>
        <v>0</v>
      </c>
      <c r="N34" s="74"/>
      <c r="O34" s="82"/>
    </row>
    <row r="35" spans="1:15">
      <c r="A35" s="82"/>
      <c r="B35" s="61"/>
      <c r="C35" s="61" t="s">
        <v>499</v>
      </c>
      <c r="D35" s="66">
        <v>2.3E-2</v>
      </c>
      <c r="E35" s="62">
        <v>18573</v>
      </c>
      <c r="F35" s="62"/>
      <c r="G35" s="62">
        <f t="shared" si="0"/>
        <v>18573</v>
      </c>
      <c r="H35" s="62">
        <f t="shared" si="3"/>
        <v>427.17899999999997</v>
      </c>
      <c r="I35" s="221">
        <v>1201</v>
      </c>
      <c r="J35" s="62"/>
      <c r="K35" s="62">
        <v>18708.3</v>
      </c>
      <c r="L35" s="62">
        <f>J19+K19</f>
        <v>4127.76</v>
      </c>
      <c r="M35" s="150">
        <f t="shared" si="4"/>
        <v>5.005620481810958E-2</v>
      </c>
      <c r="N35" s="62">
        <v>206.62</v>
      </c>
      <c r="O35" s="82"/>
    </row>
    <row r="36" spans="1:15">
      <c r="A36" s="82"/>
      <c r="B36" s="73"/>
      <c r="C36" s="73" t="s">
        <v>512</v>
      </c>
      <c r="D36" s="77">
        <v>0.7</v>
      </c>
      <c r="E36" s="74"/>
      <c r="F36" s="74"/>
      <c r="G36" s="74">
        <f t="shared" si="0"/>
        <v>0</v>
      </c>
      <c r="H36" s="74">
        <f t="shared" si="3"/>
        <v>0</v>
      </c>
      <c r="I36" s="222"/>
      <c r="J36" s="74"/>
      <c r="K36" s="74"/>
      <c r="L36" s="74">
        <f>J19+K19</f>
        <v>4127.76</v>
      </c>
      <c r="M36" s="151">
        <f t="shared" si="4"/>
        <v>0</v>
      </c>
      <c r="N36" s="74"/>
      <c r="O36" s="82"/>
    </row>
    <row r="37" spans="1:15">
      <c r="A37" s="82"/>
      <c r="B37" s="78" t="s">
        <v>513</v>
      </c>
      <c r="C37" s="78"/>
      <c r="D37" s="88"/>
      <c r="E37" s="79">
        <f t="shared" ref="E37:L37" si="5">SUM(E19:E36)</f>
        <v>56825.2</v>
      </c>
      <c r="F37" s="79">
        <f t="shared" si="5"/>
        <v>2059808.14</v>
      </c>
      <c r="G37" s="79">
        <f t="shared" si="5"/>
        <v>2116633.34</v>
      </c>
      <c r="H37" s="79">
        <f t="shared" si="5"/>
        <v>1262311.8657199999</v>
      </c>
      <c r="I37" s="79"/>
      <c r="J37" s="79">
        <f t="shared" si="5"/>
        <v>38110.050000000003</v>
      </c>
      <c r="K37" s="79">
        <f t="shared" si="5"/>
        <v>308233.96999999997</v>
      </c>
      <c r="L37" s="79">
        <f t="shared" si="5"/>
        <v>74299.680000000008</v>
      </c>
      <c r="M37" s="79"/>
      <c r="N37" s="79">
        <f>SUM(N19:N36)</f>
        <v>141996.38</v>
      </c>
      <c r="O37" s="82"/>
    </row>
    <row r="38" spans="1:15" hidden="1">
      <c r="A38" s="82"/>
      <c r="B38" s="63" t="s">
        <v>514</v>
      </c>
      <c r="C38" s="63" t="s">
        <v>488</v>
      </c>
      <c r="D38" s="89">
        <v>0.61</v>
      </c>
      <c r="E38" s="64"/>
      <c r="F38" s="64">
        <v>1457803.8</v>
      </c>
      <c r="G38" s="64">
        <f t="shared" si="0"/>
        <v>1457803.8</v>
      </c>
      <c r="H38" s="64">
        <f t="shared" si="3"/>
        <v>889260.31799999997</v>
      </c>
      <c r="I38" s="64"/>
      <c r="J38" s="64"/>
      <c r="K38" s="64"/>
      <c r="L38" s="64"/>
      <c r="M38" s="64"/>
      <c r="N38" s="64"/>
      <c r="O38" s="82"/>
    </row>
    <row r="39" spans="1:15" hidden="1">
      <c r="A39" s="82"/>
      <c r="B39" s="63"/>
      <c r="C39" s="63" t="s">
        <v>503</v>
      </c>
      <c r="D39" s="89">
        <v>0.61</v>
      </c>
      <c r="E39" s="64"/>
      <c r="F39" s="64">
        <v>73096.56</v>
      </c>
      <c r="G39" s="64">
        <f t="shared" si="0"/>
        <v>73096.56</v>
      </c>
      <c r="H39" s="64">
        <f t="shared" si="3"/>
        <v>44588.901599999997</v>
      </c>
      <c r="I39" s="64"/>
      <c r="J39" s="64"/>
      <c r="K39" s="64"/>
      <c r="L39" s="64"/>
      <c r="M39" s="64"/>
      <c r="N39" s="64"/>
      <c r="O39" s="82"/>
    </row>
    <row r="40" spans="1:15" hidden="1">
      <c r="A40" s="82"/>
      <c r="B40" s="63"/>
      <c r="C40" s="63" t="s">
        <v>505</v>
      </c>
      <c r="D40" s="89">
        <v>0.7</v>
      </c>
      <c r="E40" s="64"/>
      <c r="F40" s="64">
        <v>34122</v>
      </c>
      <c r="G40" s="64">
        <f t="shared" si="0"/>
        <v>34122</v>
      </c>
      <c r="H40" s="64">
        <f t="shared" si="3"/>
        <v>23885.399999999998</v>
      </c>
      <c r="I40" s="64"/>
      <c r="J40" s="64"/>
      <c r="K40" s="64"/>
      <c r="L40" s="64"/>
      <c r="M40" s="64"/>
      <c r="N40" s="64"/>
      <c r="O40" s="82"/>
    </row>
    <row r="41" spans="1:15" hidden="1">
      <c r="A41" s="82"/>
      <c r="B41" s="63"/>
      <c r="C41" s="63" t="s">
        <v>504</v>
      </c>
      <c r="D41" s="69">
        <v>0.7</v>
      </c>
      <c r="E41" s="64"/>
      <c r="F41" s="64">
        <v>425.80645161290323</v>
      </c>
      <c r="G41" s="64">
        <f t="shared" si="0"/>
        <v>425.80645161290323</v>
      </c>
      <c r="H41" s="64">
        <f t="shared" si="3"/>
        <v>298.06451612903226</v>
      </c>
      <c r="I41" s="64"/>
      <c r="J41" s="64"/>
      <c r="K41" s="64"/>
      <c r="L41" s="64"/>
      <c r="M41" s="64"/>
      <c r="N41" s="64"/>
      <c r="O41" s="82"/>
    </row>
    <row r="42" spans="1:15" hidden="1">
      <c r="A42" s="82"/>
      <c r="B42" s="63"/>
      <c r="C42" s="63" t="s">
        <v>515</v>
      </c>
      <c r="D42" s="89">
        <v>0.7</v>
      </c>
      <c r="E42" s="64"/>
      <c r="F42" s="64">
        <v>20873.5</v>
      </c>
      <c r="G42" s="64">
        <f t="shared" si="0"/>
        <v>20873.5</v>
      </c>
      <c r="H42" s="64">
        <f t="shared" si="3"/>
        <v>14611.449999999999</v>
      </c>
      <c r="I42" s="64"/>
      <c r="J42" s="64"/>
      <c r="K42" s="64"/>
      <c r="L42" s="64"/>
      <c r="M42" s="64"/>
      <c r="N42" s="64"/>
      <c r="O42" s="82"/>
    </row>
    <row r="43" spans="1:15" hidden="1">
      <c r="A43" s="82"/>
      <c r="B43" s="63"/>
      <c r="C43" s="63" t="s">
        <v>489</v>
      </c>
      <c r="D43" s="89">
        <v>0.7</v>
      </c>
      <c r="E43" s="64"/>
      <c r="F43" s="64">
        <v>41792</v>
      </c>
      <c r="G43" s="64">
        <f t="shared" si="0"/>
        <v>41792</v>
      </c>
      <c r="H43" s="64">
        <f t="shared" si="3"/>
        <v>29254.399999999998</v>
      </c>
      <c r="I43" s="64"/>
      <c r="J43" s="64"/>
      <c r="K43" s="64"/>
      <c r="L43" s="64"/>
      <c r="M43" s="64"/>
      <c r="N43" s="64"/>
      <c r="O43" s="82"/>
    </row>
    <row r="44" spans="1:15" hidden="1">
      <c r="A44" s="82"/>
      <c r="B44" s="63"/>
      <c r="C44" s="63" t="s">
        <v>516</v>
      </c>
      <c r="D44" s="72">
        <v>0.7</v>
      </c>
      <c r="E44" s="64"/>
      <c r="F44" s="64"/>
      <c r="G44" s="64">
        <f t="shared" si="0"/>
        <v>0</v>
      </c>
      <c r="H44" s="64">
        <f t="shared" si="3"/>
        <v>0</v>
      </c>
      <c r="I44" s="64"/>
      <c r="J44" s="64"/>
      <c r="K44" s="64"/>
      <c r="L44" s="64"/>
      <c r="M44" s="64"/>
      <c r="N44" s="64"/>
      <c r="O44" s="82"/>
    </row>
    <row r="45" spans="1:15" hidden="1">
      <c r="A45" s="82"/>
      <c r="B45" s="63"/>
      <c r="C45" s="63" t="s">
        <v>490</v>
      </c>
      <c r="D45" s="89">
        <v>0.63</v>
      </c>
      <c r="E45" s="64"/>
      <c r="F45" s="64">
        <v>7651.35</v>
      </c>
      <c r="G45" s="64">
        <f t="shared" si="0"/>
        <v>7651.35</v>
      </c>
      <c r="H45" s="64">
        <f t="shared" si="3"/>
        <v>4820.3505000000005</v>
      </c>
      <c r="I45" s="64"/>
      <c r="J45" s="64"/>
      <c r="K45" s="64"/>
      <c r="L45" s="64"/>
      <c r="M45" s="64"/>
      <c r="N45" s="64"/>
      <c r="O45" s="82"/>
    </row>
    <row r="46" spans="1:15" hidden="1">
      <c r="A46" s="82"/>
      <c r="B46" s="63"/>
      <c r="C46" s="63" t="s">
        <v>517</v>
      </c>
      <c r="D46" s="68">
        <v>0.02</v>
      </c>
      <c r="E46" s="67">
        <v>51610</v>
      </c>
      <c r="F46" s="64"/>
      <c r="G46" s="64">
        <f t="shared" si="0"/>
        <v>51610</v>
      </c>
      <c r="H46" s="64">
        <f t="shared" si="3"/>
        <v>1032.2</v>
      </c>
      <c r="I46" s="64"/>
      <c r="J46" s="67"/>
      <c r="K46" s="64"/>
      <c r="L46" s="64"/>
      <c r="M46" s="64"/>
      <c r="N46" s="64"/>
      <c r="O46" s="82"/>
    </row>
    <row r="47" spans="1:15" hidden="1">
      <c r="A47" s="82"/>
      <c r="B47" s="63"/>
      <c r="C47" s="63" t="s">
        <v>507</v>
      </c>
      <c r="D47" s="89">
        <v>0.63349999999999995</v>
      </c>
      <c r="E47" s="67"/>
      <c r="F47" s="64">
        <v>132980</v>
      </c>
      <c r="G47" s="64">
        <f t="shared" si="0"/>
        <v>132980</v>
      </c>
      <c r="H47" s="64">
        <f t="shared" si="3"/>
        <v>84242.829999999987</v>
      </c>
      <c r="I47" s="64"/>
      <c r="J47" s="67"/>
      <c r="K47" s="64"/>
      <c r="L47" s="64"/>
      <c r="M47" s="64"/>
      <c r="N47" s="64"/>
      <c r="O47" s="82"/>
    </row>
    <row r="48" spans="1:15" hidden="1">
      <c r="A48" s="82"/>
      <c r="B48" s="63"/>
      <c r="C48" s="63" t="s">
        <v>493</v>
      </c>
      <c r="D48" s="65">
        <v>5.5E-2</v>
      </c>
      <c r="E48" s="64">
        <v>48912.75</v>
      </c>
      <c r="F48" s="64"/>
      <c r="G48" s="64">
        <f t="shared" si="0"/>
        <v>48912.75</v>
      </c>
      <c r="H48" s="64">
        <f t="shared" si="3"/>
        <v>2690.2012500000001</v>
      </c>
      <c r="I48" s="64"/>
      <c r="J48" s="64"/>
      <c r="K48" s="64"/>
      <c r="L48" s="64"/>
      <c r="M48" s="64"/>
      <c r="N48" s="64"/>
      <c r="O48" s="82"/>
    </row>
    <row r="49" spans="1:15" hidden="1">
      <c r="A49" s="82"/>
      <c r="B49" s="63"/>
      <c r="C49" s="63" t="s">
        <v>494</v>
      </c>
      <c r="D49" s="65">
        <v>5.5E-2</v>
      </c>
      <c r="E49" s="67">
        <v>41747.5</v>
      </c>
      <c r="F49" s="64"/>
      <c r="G49" s="64">
        <f t="shared" si="0"/>
        <v>41747.5</v>
      </c>
      <c r="H49" s="64">
        <f t="shared" si="3"/>
        <v>2296.1125000000002</v>
      </c>
      <c r="I49" s="64"/>
      <c r="J49" s="67"/>
      <c r="K49" s="64"/>
      <c r="L49" s="64"/>
      <c r="M49" s="64"/>
      <c r="N49" s="64"/>
      <c r="O49" s="82"/>
    </row>
    <row r="50" spans="1:15" hidden="1">
      <c r="A50" s="82"/>
      <c r="B50" s="63"/>
      <c r="C50" s="63" t="s">
        <v>518</v>
      </c>
      <c r="D50" s="65">
        <v>5.5E-2</v>
      </c>
      <c r="E50" s="67">
        <v>28000</v>
      </c>
      <c r="F50" s="64"/>
      <c r="G50" s="64">
        <f t="shared" si="0"/>
        <v>28000</v>
      </c>
      <c r="H50" s="64">
        <f t="shared" si="3"/>
        <v>1540</v>
      </c>
      <c r="I50" s="64"/>
      <c r="J50" s="67"/>
      <c r="K50" s="64"/>
      <c r="L50" s="64"/>
      <c r="M50" s="64"/>
      <c r="N50" s="64"/>
      <c r="O50" s="82"/>
    </row>
    <row r="51" spans="1:15" hidden="1">
      <c r="A51" s="82"/>
      <c r="B51" s="63"/>
      <c r="C51" s="63" t="s">
        <v>508</v>
      </c>
      <c r="D51" s="65">
        <v>0.64</v>
      </c>
      <c r="E51" s="64"/>
      <c r="F51" s="64">
        <v>88000</v>
      </c>
      <c r="G51" s="64">
        <f t="shared" si="0"/>
        <v>88000</v>
      </c>
      <c r="H51" s="64">
        <f t="shared" si="3"/>
        <v>56320</v>
      </c>
      <c r="I51" s="64"/>
      <c r="J51" s="64"/>
      <c r="K51" s="64"/>
      <c r="L51" s="64"/>
      <c r="M51" s="64"/>
      <c r="N51" s="64"/>
      <c r="O51" s="82"/>
    </row>
    <row r="52" spans="1:15" hidden="1">
      <c r="A52" s="82"/>
      <c r="B52" s="63"/>
      <c r="C52" s="63" t="s">
        <v>510</v>
      </c>
      <c r="D52" s="69">
        <v>0.6</v>
      </c>
      <c r="E52" s="64"/>
      <c r="F52" s="64">
        <v>17636.55</v>
      </c>
      <c r="G52" s="64">
        <f t="shared" si="0"/>
        <v>17636.55</v>
      </c>
      <c r="H52" s="64">
        <f t="shared" si="3"/>
        <v>10581.929999999998</v>
      </c>
      <c r="I52" s="64"/>
      <c r="J52" s="64"/>
      <c r="K52" s="64"/>
      <c r="L52" s="64"/>
      <c r="M52" s="64"/>
      <c r="N52" s="64"/>
      <c r="O52" s="82"/>
    </row>
    <row r="53" spans="1:15" hidden="1">
      <c r="A53" s="82"/>
      <c r="B53" s="63"/>
      <c r="C53" s="63" t="s">
        <v>509</v>
      </c>
      <c r="D53" s="69">
        <v>0.6</v>
      </c>
      <c r="E53" s="64"/>
      <c r="F53" s="64">
        <v>44129.03</v>
      </c>
      <c r="G53" s="64">
        <f t="shared" si="0"/>
        <v>44129.03</v>
      </c>
      <c r="H53" s="64">
        <f t="shared" si="3"/>
        <v>26477.417999999998</v>
      </c>
      <c r="I53" s="64"/>
      <c r="J53" s="64"/>
      <c r="K53" s="64"/>
      <c r="L53" s="64"/>
      <c r="M53" s="64"/>
      <c r="N53" s="64"/>
      <c r="O53" s="82"/>
    </row>
    <row r="54" spans="1:15" hidden="1">
      <c r="A54" s="82"/>
      <c r="B54" s="63"/>
      <c r="C54" s="63" t="s">
        <v>511</v>
      </c>
      <c r="D54" s="68">
        <v>0.35</v>
      </c>
      <c r="E54" s="67">
        <v>80960</v>
      </c>
      <c r="F54" s="64"/>
      <c r="G54" s="64">
        <f t="shared" si="0"/>
        <v>80960</v>
      </c>
      <c r="H54" s="64">
        <f t="shared" si="3"/>
        <v>28336</v>
      </c>
      <c r="I54" s="64"/>
      <c r="J54" s="67"/>
      <c r="K54" s="64"/>
      <c r="L54" s="64"/>
      <c r="M54" s="64"/>
      <c r="N54" s="64"/>
      <c r="O54" s="82"/>
    </row>
    <row r="55" spans="1:15" hidden="1">
      <c r="A55" s="82"/>
      <c r="B55" s="63"/>
      <c r="C55" s="63" t="s">
        <v>499</v>
      </c>
      <c r="D55" s="65">
        <v>2.3E-2</v>
      </c>
      <c r="E55" s="67">
        <v>9600</v>
      </c>
      <c r="F55" s="64"/>
      <c r="G55" s="64">
        <f t="shared" si="0"/>
        <v>9600</v>
      </c>
      <c r="H55" s="64">
        <f t="shared" si="3"/>
        <v>220.79999999999998</v>
      </c>
      <c r="I55" s="64"/>
      <c r="J55" s="67"/>
      <c r="K55" s="64"/>
      <c r="L55" s="64"/>
      <c r="M55" s="64"/>
      <c r="N55" s="64"/>
      <c r="O55" s="82"/>
    </row>
    <row r="56" spans="1:15" hidden="1">
      <c r="A56" s="82"/>
      <c r="B56" s="63"/>
      <c r="C56" s="63" t="s">
        <v>519</v>
      </c>
      <c r="D56" s="68">
        <v>0.65</v>
      </c>
      <c r="E56" s="64"/>
      <c r="F56" s="64">
        <v>41012.5</v>
      </c>
      <c r="G56" s="64">
        <f t="shared" si="0"/>
        <v>41012.5</v>
      </c>
      <c r="H56" s="64">
        <f t="shared" si="3"/>
        <v>26658.125</v>
      </c>
      <c r="I56" s="64"/>
      <c r="J56" s="64"/>
      <c r="K56" s="64"/>
      <c r="L56" s="64"/>
      <c r="M56" s="64"/>
      <c r="N56" s="64"/>
      <c r="O56" s="82"/>
    </row>
    <row r="57" spans="1:15" hidden="1">
      <c r="A57" s="82"/>
      <c r="B57" s="63"/>
      <c r="C57" s="63" t="s">
        <v>520</v>
      </c>
      <c r="D57" s="72">
        <v>0.05</v>
      </c>
      <c r="E57" s="67">
        <v>48000</v>
      </c>
      <c r="F57" s="64"/>
      <c r="G57" s="64">
        <f t="shared" si="0"/>
        <v>48000</v>
      </c>
      <c r="H57" s="64">
        <f t="shared" si="3"/>
        <v>2400</v>
      </c>
      <c r="I57" s="64"/>
      <c r="J57" s="67"/>
      <c r="K57" s="64"/>
      <c r="L57" s="64"/>
      <c r="M57" s="64"/>
      <c r="N57" s="64"/>
      <c r="O57" s="82"/>
    </row>
    <row r="58" spans="1:15" hidden="1">
      <c r="A58" s="82"/>
      <c r="B58" s="70" t="s">
        <v>521</v>
      </c>
      <c r="C58" s="70"/>
      <c r="D58" s="90"/>
      <c r="E58" s="71">
        <f t="shared" ref="E58:L58" si="6">SUM(E38:E57)</f>
        <v>308830.25</v>
      </c>
      <c r="F58" s="71">
        <f t="shared" si="6"/>
        <v>1959523.0964516131</v>
      </c>
      <c r="G58" s="71">
        <f t="shared" si="6"/>
        <v>2268353.3464516131</v>
      </c>
      <c r="H58" s="71">
        <f t="shared" si="6"/>
        <v>1249514.5013661291</v>
      </c>
      <c r="I58" s="71"/>
      <c r="J58" s="71">
        <f t="shared" si="6"/>
        <v>0</v>
      </c>
      <c r="K58" s="71">
        <f t="shared" si="6"/>
        <v>0</v>
      </c>
      <c r="L58" s="71">
        <f t="shared" si="6"/>
        <v>0</v>
      </c>
      <c r="M58" s="71"/>
      <c r="N58" s="71">
        <f>SUM(N38:N57)</f>
        <v>0</v>
      </c>
      <c r="O58" s="82"/>
    </row>
    <row r="59" spans="1:15">
      <c r="A59" s="82"/>
      <c r="B59" s="80" t="s">
        <v>484</v>
      </c>
      <c r="C59" s="80"/>
      <c r="D59" s="91"/>
      <c r="E59" s="81">
        <f t="shared" ref="E59:L59" si="7">E58+E37+E18</f>
        <v>544219.54</v>
      </c>
      <c r="F59" s="81">
        <f t="shared" si="7"/>
        <v>6601820.5664516129</v>
      </c>
      <c r="G59" s="81">
        <f t="shared" si="7"/>
        <v>7146040.1064516138</v>
      </c>
      <c r="H59" s="81">
        <f t="shared" si="7"/>
        <v>4124124.3760361294</v>
      </c>
      <c r="I59" s="81"/>
      <c r="J59" s="81">
        <f t="shared" si="7"/>
        <v>38110.050000000003</v>
      </c>
      <c r="K59" s="81">
        <f t="shared" si="7"/>
        <v>308233.96999999997</v>
      </c>
      <c r="L59" s="81">
        <f t="shared" si="7"/>
        <v>74500.680000000008</v>
      </c>
      <c r="M59" s="81"/>
      <c r="N59" s="81">
        <f>N58+N37+N18</f>
        <v>142131.38</v>
      </c>
      <c r="O59" s="82"/>
    </row>
    <row r="61" spans="1:15">
      <c r="F61">
        <v>1959523.1</v>
      </c>
      <c r="K61">
        <v>1959523.1</v>
      </c>
    </row>
    <row r="62" spans="1:15">
      <c r="F62" s="13">
        <f>F58-F61</f>
        <v>-3.5483869723975658E-3</v>
      </c>
      <c r="K62" s="13">
        <f>K58-K61</f>
        <v>-1959523.1</v>
      </c>
    </row>
  </sheetData>
  <mergeCells count="4">
    <mergeCell ref="E3:H3"/>
    <mergeCell ref="B1:D3"/>
    <mergeCell ref="E1:N2"/>
    <mergeCell ref="I3:N3"/>
  </mergeCells>
  <conditionalFormatting sqref="C21">
    <cfRule type="containsText" dxfId="1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G4" sqref="G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11" width="2.42578125" customWidth="1"/>
    <col min="12" max="12" width="37.42578125" bestFit="1" customWidth="1"/>
    <col min="13" max="13" width="39.7109375" bestFit="1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16" t="s">
        <v>360</v>
      </c>
      <c r="B1" s="216"/>
      <c r="C1" s="216"/>
      <c r="D1" s="216"/>
      <c r="E1" s="216"/>
      <c r="F1" s="216"/>
      <c r="G1" s="216"/>
      <c r="H1" s="216"/>
    </row>
    <row r="2" spans="1:18" ht="15.75">
      <c r="A2" s="217" t="s">
        <v>361</v>
      </c>
      <c r="B2" s="217"/>
      <c r="C2" s="217"/>
      <c r="D2" s="217"/>
      <c r="E2" s="217"/>
      <c r="F2" s="217"/>
      <c r="G2" s="217"/>
      <c r="H2" s="217"/>
    </row>
    <row r="3" spans="1:18">
      <c r="A3" s="102" t="s">
        <v>362</v>
      </c>
      <c r="B3" s="141">
        <f>B140</f>
        <v>-58146.039720000234</v>
      </c>
      <c r="C3" s="218"/>
      <c r="D3" s="190"/>
      <c r="E3" s="190"/>
      <c r="F3" s="190"/>
      <c r="G3" s="219"/>
      <c r="H3" s="141">
        <f>H140</f>
        <v>-881945.15800000005</v>
      </c>
    </row>
    <row r="4" spans="1:18" ht="24.75" customHeight="1">
      <c r="A4" s="103" t="s">
        <v>363</v>
      </c>
      <c r="B4" s="111" t="s">
        <v>364</v>
      </c>
      <c r="C4" s="103" t="s">
        <v>365</v>
      </c>
      <c r="D4" s="103" t="s">
        <v>366</v>
      </c>
      <c r="E4" s="103" t="s">
        <v>367</v>
      </c>
      <c r="F4" s="103" t="s">
        <v>368</v>
      </c>
      <c r="G4" s="104" t="s">
        <v>369</v>
      </c>
      <c r="H4" s="111" t="s">
        <v>370</v>
      </c>
      <c r="J4" t="s">
        <v>209</v>
      </c>
      <c r="K4" t="s">
        <v>209</v>
      </c>
      <c r="L4" s="16" t="s">
        <v>728</v>
      </c>
      <c r="M4" t="s">
        <v>727</v>
      </c>
      <c r="N4" s="16"/>
      <c r="O4" s="16"/>
      <c r="P4" s="16"/>
      <c r="Q4" s="16"/>
    </row>
    <row r="5" spans="1:18" ht="15.75">
      <c r="A5" s="140" t="s">
        <v>371</v>
      </c>
      <c r="B5" s="115"/>
      <c r="C5" s="116"/>
      <c r="D5" s="116"/>
      <c r="E5" s="116"/>
      <c r="F5" s="112"/>
      <c r="G5" s="112"/>
      <c r="H5" s="116"/>
      <c r="L5" t="s">
        <v>529</v>
      </c>
      <c r="N5" s="18"/>
      <c r="O5" s="18"/>
      <c r="P5" s="18"/>
      <c r="Q5" s="18"/>
      <c r="R5" s="18"/>
    </row>
    <row r="6" spans="1:18">
      <c r="A6" s="117" t="s">
        <v>372</v>
      </c>
      <c r="B6" s="115"/>
      <c r="C6" s="118"/>
      <c r="D6" s="118"/>
      <c r="E6" s="118"/>
      <c r="F6" s="116"/>
      <c r="G6" s="119"/>
      <c r="H6" s="118"/>
      <c r="L6" t="s">
        <v>529</v>
      </c>
      <c r="N6" s="18"/>
      <c r="O6" s="18"/>
      <c r="P6" s="18"/>
      <c r="Q6" s="18"/>
      <c r="R6" s="18"/>
    </row>
    <row r="7" spans="1:18">
      <c r="A7" s="120" t="s">
        <v>373</v>
      </c>
      <c r="B7" s="169">
        <f>Material_Cost!F37</f>
        <v>2059808.14</v>
      </c>
      <c r="C7" s="121">
        <v>386555.96</v>
      </c>
      <c r="D7" s="118">
        <v>386555.96</v>
      </c>
      <c r="E7" s="118">
        <v>386555.96</v>
      </c>
      <c r="F7" s="118">
        <v>386555.96</v>
      </c>
      <c r="G7" s="122">
        <f>H7/$H$10</f>
        <v>0.87158302108948116</v>
      </c>
      <c r="H7" s="121">
        <f>C7</f>
        <v>386555.96</v>
      </c>
      <c r="L7" t="s">
        <v>529</v>
      </c>
      <c r="N7" s="18"/>
      <c r="O7" s="18"/>
      <c r="P7" s="18"/>
      <c r="Q7" s="18"/>
      <c r="R7" s="18"/>
    </row>
    <row r="8" spans="1:18">
      <c r="A8" s="120" t="s">
        <v>374</v>
      </c>
      <c r="B8" s="169">
        <f>Material_Cost!E37</f>
        <v>56825.2</v>
      </c>
      <c r="C8" s="123">
        <v>56954.239999999998</v>
      </c>
      <c r="D8" s="118">
        <v>56954.239999999998</v>
      </c>
      <c r="E8" s="118">
        <v>56954.239999999998</v>
      </c>
      <c r="F8" s="118">
        <v>56954.239999999998</v>
      </c>
      <c r="G8" s="122">
        <f t="shared" ref="G8:G70" si="0">H8/$H$10</f>
        <v>0.12841697891051884</v>
      </c>
      <c r="H8" s="121">
        <f>C8</f>
        <v>56954.239999999998</v>
      </c>
      <c r="L8" t="s">
        <v>529</v>
      </c>
      <c r="N8" s="18"/>
      <c r="O8" s="18"/>
      <c r="P8" s="18"/>
      <c r="Q8" s="18"/>
      <c r="R8" s="18"/>
    </row>
    <row r="9" spans="1:18">
      <c r="A9" s="120" t="s">
        <v>375</v>
      </c>
      <c r="B9" s="124"/>
      <c r="C9" s="125">
        <v>0</v>
      </c>
      <c r="D9" s="118">
        <v>0</v>
      </c>
      <c r="E9" s="118">
        <v>0</v>
      </c>
      <c r="F9" s="118">
        <v>0</v>
      </c>
      <c r="G9" s="122">
        <f t="shared" si="0"/>
        <v>0</v>
      </c>
      <c r="H9" s="121">
        <f>C9</f>
        <v>0</v>
      </c>
      <c r="L9" t="s">
        <v>529</v>
      </c>
      <c r="N9" s="18"/>
      <c r="O9" s="18"/>
      <c r="P9" s="18"/>
      <c r="Q9" s="18"/>
      <c r="R9" s="18"/>
    </row>
    <row r="10" spans="1:18" ht="15.75">
      <c r="A10" s="113" t="s">
        <v>376</v>
      </c>
      <c r="B10" s="127">
        <f t="shared" ref="B10:H10" si="1">B7+B8+B9</f>
        <v>2116633.34</v>
      </c>
      <c r="C10" s="127">
        <f t="shared" si="1"/>
        <v>443510.2</v>
      </c>
      <c r="D10" s="127">
        <f t="shared" si="1"/>
        <v>443510.2</v>
      </c>
      <c r="E10" s="127">
        <f t="shared" si="1"/>
        <v>443510.2</v>
      </c>
      <c r="F10" s="127">
        <f t="shared" si="1"/>
        <v>443510.2</v>
      </c>
      <c r="G10" s="122">
        <f t="shared" si="0"/>
        <v>1</v>
      </c>
      <c r="H10" s="127">
        <f t="shared" si="1"/>
        <v>443510.2</v>
      </c>
      <c r="L10" t="s">
        <v>529</v>
      </c>
      <c r="N10" s="18"/>
      <c r="O10" s="18"/>
      <c r="P10" s="18"/>
      <c r="Q10" s="18"/>
      <c r="R10" s="18"/>
    </row>
    <row r="11" spans="1:18">
      <c r="A11" s="126"/>
      <c r="B11" s="115"/>
      <c r="C11" s="118"/>
      <c r="D11" s="118"/>
      <c r="E11" s="118"/>
      <c r="F11" s="118"/>
      <c r="G11" s="122"/>
      <c r="H11" s="118"/>
      <c r="L11" t="s">
        <v>529</v>
      </c>
      <c r="N11" s="18"/>
      <c r="O11" s="18"/>
      <c r="P11" s="18"/>
      <c r="Q11" s="18"/>
      <c r="R11" s="18"/>
    </row>
    <row r="12" spans="1:18">
      <c r="A12" s="117" t="s">
        <v>377</v>
      </c>
      <c r="B12" s="115"/>
      <c r="C12" s="118"/>
      <c r="D12" s="118"/>
      <c r="E12" s="118"/>
      <c r="F12" s="118"/>
      <c r="G12" s="122"/>
      <c r="H12" s="118"/>
      <c r="L12" t="s">
        <v>529</v>
      </c>
      <c r="N12" s="18"/>
      <c r="O12" s="18"/>
      <c r="P12" s="18"/>
      <c r="Q12" s="18"/>
      <c r="R12" s="18"/>
    </row>
    <row r="13" spans="1:18">
      <c r="A13" s="120" t="s">
        <v>378</v>
      </c>
      <c r="B13" s="115">
        <f>Material_Cost!H37</f>
        <v>1262311.8657199999</v>
      </c>
      <c r="C13" s="115">
        <v>270541.22200000001</v>
      </c>
      <c r="D13" s="115">
        <v>270541.22200000001</v>
      </c>
      <c r="E13" s="115">
        <v>270541.22200000001</v>
      </c>
      <c r="F13" s="115">
        <v>270541.22200000001</v>
      </c>
      <c r="G13" s="122">
        <f t="shared" si="0"/>
        <v>2.44</v>
      </c>
      <c r="H13" s="118">
        <f>SUM(C13:F13)</f>
        <v>1082164.888</v>
      </c>
      <c r="L13" t="s">
        <v>529</v>
      </c>
      <c r="N13" s="18"/>
      <c r="O13" s="18"/>
      <c r="P13" s="18"/>
      <c r="Q13" s="18"/>
      <c r="R13" s="18"/>
    </row>
    <row r="14" spans="1:18">
      <c r="A14" s="126" t="s">
        <v>379</v>
      </c>
      <c r="B14" s="127">
        <f>B13</f>
        <v>1262311.8657199999</v>
      </c>
      <c r="C14" s="127">
        <f>C13</f>
        <v>270541.22200000001</v>
      </c>
      <c r="D14" s="127">
        <f>D13</f>
        <v>270541.22200000001</v>
      </c>
      <c r="E14" s="127">
        <f>E13</f>
        <v>270541.22200000001</v>
      </c>
      <c r="F14" s="127">
        <f>F13</f>
        <v>270541.22200000001</v>
      </c>
      <c r="G14" s="122">
        <f t="shared" si="0"/>
        <v>2.44</v>
      </c>
      <c r="H14" s="127">
        <f>H13</f>
        <v>1082164.888</v>
      </c>
      <c r="L14" t="s">
        <v>529</v>
      </c>
      <c r="N14" s="18"/>
      <c r="O14" s="18"/>
      <c r="P14" s="18"/>
      <c r="Q14" s="18"/>
      <c r="R14" s="18"/>
    </row>
    <row r="15" spans="1:18">
      <c r="A15" s="128"/>
      <c r="B15" s="115"/>
      <c r="C15" s="118"/>
      <c r="D15" s="118"/>
      <c r="E15" s="118"/>
      <c r="F15" s="118"/>
      <c r="G15" s="122"/>
      <c r="H15" s="129"/>
      <c r="L15" t="s">
        <v>529</v>
      </c>
      <c r="N15" s="18"/>
      <c r="O15" s="18"/>
      <c r="P15" s="18"/>
      <c r="Q15" s="18"/>
      <c r="R15" s="18"/>
    </row>
    <row r="16" spans="1:18">
      <c r="A16" s="117" t="s">
        <v>380</v>
      </c>
      <c r="B16" s="115"/>
      <c r="C16" s="118"/>
      <c r="D16" s="118"/>
      <c r="E16" s="118"/>
      <c r="F16" s="118"/>
      <c r="G16" s="122"/>
      <c r="H16" s="118">
        <f t="shared" ref="H16:H79" si="2">SUM(C16:F16)</f>
        <v>0</v>
      </c>
      <c r="L16" t="s">
        <v>529</v>
      </c>
      <c r="N16" s="18"/>
      <c r="O16" s="18"/>
      <c r="P16" s="18"/>
      <c r="Q16" s="18"/>
      <c r="R16" s="18"/>
    </row>
    <row r="17" spans="1:18">
      <c r="A17" s="120" t="s">
        <v>381</v>
      </c>
      <c r="B17" s="125">
        <v>260250</v>
      </c>
      <c r="C17" s="118">
        <v>122.79</v>
      </c>
      <c r="D17" s="118">
        <v>0</v>
      </c>
      <c r="E17" s="118">
        <v>0</v>
      </c>
      <c r="F17" s="118">
        <v>0</v>
      </c>
      <c r="G17" s="122">
        <f t="shared" si="0"/>
        <v>2.7685947245407208E-4</v>
      </c>
      <c r="H17" s="118">
        <f t="shared" si="2"/>
        <v>122.79</v>
      </c>
      <c r="I17" s="18">
        <f>H17-B17</f>
        <v>-260127.21</v>
      </c>
      <c r="L17" t="s">
        <v>94</v>
      </c>
      <c r="N17" s="18"/>
      <c r="O17" s="18"/>
      <c r="P17" s="18"/>
      <c r="Q17" s="18"/>
      <c r="R17" s="18"/>
    </row>
    <row r="18" spans="1:18">
      <c r="A18" s="120" t="s">
        <v>382</v>
      </c>
      <c r="B18" s="125">
        <v>20600</v>
      </c>
      <c r="C18" s="118">
        <v>2700</v>
      </c>
      <c r="D18" s="118">
        <v>2700</v>
      </c>
      <c r="E18" s="118">
        <v>2700</v>
      </c>
      <c r="F18" s="118">
        <v>2700</v>
      </c>
      <c r="G18" s="122">
        <f t="shared" si="0"/>
        <v>2.4351187413502551E-2</v>
      </c>
      <c r="H18" s="118">
        <f t="shared" si="2"/>
        <v>10800</v>
      </c>
      <c r="I18" s="18">
        <f t="shared" ref="I18:I81" si="3">H18-B18</f>
        <v>-9800</v>
      </c>
      <c r="L18" t="s">
        <v>209</v>
      </c>
      <c r="M18" t="s">
        <v>729</v>
      </c>
      <c r="N18" s="18"/>
      <c r="O18" s="18"/>
      <c r="P18" s="18"/>
      <c r="Q18" s="18"/>
      <c r="R18" s="18"/>
    </row>
    <row r="19" spans="1:18">
      <c r="A19" s="120" t="s">
        <v>383</v>
      </c>
      <c r="B19" s="125">
        <v>0</v>
      </c>
      <c r="C19" s="118">
        <v>0</v>
      </c>
      <c r="D19" s="118">
        <v>0</v>
      </c>
      <c r="E19" s="118">
        <v>0</v>
      </c>
      <c r="F19" s="118">
        <v>0</v>
      </c>
      <c r="G19" s="122">
        <f t="shared" si="0"/>
        <v>0</v>
      </c>
      <c r="H19" s="118">
        <f t="shared" si="2"/>
        <v>0</v>
      </c>
      <c r="I19" s="18">
        <f t="shared" si="3"/>
        <v>0</v>
      </c>
      <c r="L19" t="s">
        <v>529</v>
      </c>
      <c r="N19" s="18"/>
      <c r="O19" s="18"/>
      <c r="P19" s="18"/>
      <c r="Q19" s="18"/>
      <c r="R19" s="18"/>
    </row>
    <row r="20" spans="1:18">
      <c r="A20" s="120" t="s">
        <v>384</v>
      </c>
      <c r="B20" s="125">
        <v>0</v>
      </c>
      <c r="C20" s="118">
        <v>0</v>
      </c>
      <c r="D20" s="118">
        <v>0</v>
      </c>
      <c r="E20" s="118">
        <v>0</v>
      </c>
      <c r="F20" s="118">
        <v>0</v>
      </c>
      <c r="G20" s="122">
        <f t="shared" si="0"/>
        <v>0</v>
      </c>
      <c r="H20" s="118">
        <f t="shared" si="2"/>
        <v>0</v>
      </c>
      <c r="I20" s="18">
        <f t="shared" si="3"/>
        <v>0</v>
      </c>
      <c r="J20" s="10"/>
      <c r="L20" t="s">
        <v>529</v>
      </c>
      <c r="N20" s="18"/>
      <c r="O20" s="18"/>
      <c r="P20" s="18"/>
      <c r="Q20" s="18"/>
      <c r="R20" s="18"/>
    </row>
    <row r="21" spans="1:18">
      <c r="A21" s="120" t="s">
        <v>385</v>
      </c>
      <c r="B21" s="125">
        <v>10343.979499999999</v>
      </c>
      <c r="C21" s="118">
        <v>0</v>
      </c>
      <c r="D21" s="118">
        <v>0</v>
      </c>
      <c r="E21" s="118">
        <v>0</v>
      </c>
      <c r="F21" s="118">
        <v>0</v>
      </c>
      <c r="G21" s="122">
        <f t="shared" si="0"/>
        <v>0</v>
      </c>
      <c r="H21" s="118">
        <f t="shared" si="2"/>
        <v>0</v>
      </c>
      <c r="I21" s="18">
        <f t="shared" si="3"/>
        <v>-10343.979499999999</v>
      </c>
      <c r="L21" t="s">
        <v>116</v>
      </c>
      <c r="N21" s="18"/>
      <c r="O21" s="18"/>
      <c r="P21" s="18"/>
      <c r="Q21" s="18"/>
      <c r="R21" s="18"/>
    </row>
    <row r="22" spans="1:18">
      <c r="A22" s="120" t="s">
        <v>386</v>
      </c>
      <c r="B22" s="125">
        <v>0</v>
      </c>
      <c r="C22" s="118">
        <v>0</v>
      </c>
      <c r="D22" s="118">
        <v>0</v>
      </c>
      <c r="E22" s="118">
        <v>0</v>
      </c>
      <c r="F22" s="118">
        <v>0</v>
      </c>
      <c r="G22" s="122">
        <f t="shared" si="0"/>
        <v>0</v>
      </c>
      <c r="H22" s="118">
        <f t="shared" si="2"/>
        <v>0</v>
      </c>
      <c r="I22" s="18">
        <f t="shared" si="3"/>
        <v>0</v>
      </c>
      <c r="L22" t="s">
        <v>529</v>
      </c>
      <c r="N22" s="18"/>
      <c r="O22" s="18"/>
      <c r="P22" s="18"/>
      <c r="Q22" s="18"/>
      <c r="R22" s="18"/>
    </row>
    <row r="23" spans="1:18">
      <c r="A23" s="120" t="s">
        <v>387</v>
      </c>
      <c r="B23" s="125">
        <v>15885.723</v>
      </c>
      <c r="C23" s="118">
        <v>0</v>
      </c>
      <c r="D23" s="118">
        <v>0</v>
      </c>
      <c r="E23" s="118">
        <v>0</v>
      </c>
      <c r="F23" s="118">
        <v>0</v>
      </c>
      <c r="G23" s="122">
        <f t="shared" si="0"/>
        <v>0</v>
      </c>
      <c r="H23" s="118">
        <f t="shared" si="2"/>
        <v>0</v>
      </c>
      <c r="I23" s="18">
        <f t="shared" si="3"/>
        <v>-15885.723</v>
      </c>
      <c r="L23" t="s">
        <v>91</v>
      </c>
      <c r="M23" t="s">
        <v>731</v>
      </c>
      <c r="N23" s="18"/>
      <c r="O23" s="18"/>
      <c r="P23" s="18"/>
      <c r="Q23" s="18"/>
      <c r="R23" s="18"/>
    </row>
    <row r="24" spans="1:18">
      <c r="A24" s="130" t="s">
        <v>388</v>
      </c>
      <c r="B24" s="127">
        <f>SUM(B17:B23)</f>
        <v>307079.70250000001</v>
      </c>
      <c r="C24" s="127">
        <f>SUM(C17:C23)</f>
        <v>2822.79</v>
      </c>
      <c r="D24" s="127">
        <f>SUM(D17:D23)</f>
        <v>2700</v>
      </c>
      <c r="E24" s="127">
        <f>SUM(E17:E23)</f>
        <v>2700</v>
      </c>
      <c r="F24" s="127">
        <f>SUM(F17:F23)</f>
        <v>2700</v>
      </c>
      <c r="G24" s="122">
        <f t="shared" si="0"/>
        <v>2.4628046885956628E-2</v>
      </c>
      <c r="H24" s="116">
        <f t="shared" si="2"/>
        <v>10922.79</v>
      </c>
      <c r="I24" s="18">
        <f t="shared" si="3"/>
        <v>-296156.91250000003</v>
      </c>
      <c r="L24" t="s">
        <v>529</v>
      </c>
      <c r="N24" s="18"/>
      <c r="O24" s="18"/>
      <c r="P24" s="18"/>
      <c r="Q24" s="18"/>
      <c r="R24" s="18"/>
    </row>
    <row r="25" spans="1:18">
      <c r="A25" s="130"/>
      <c r="B25" s="115"/>
      <c r="C25" s="118"/>
      <c r="D25" s="118"/>
      <c r="E25" s="118"/>
      <c r="F25" s="118"/>
      <c r="G25" s="122"/>
      <c r="H25" s="118"/>
      <c r="I25" s="18">
        <f t="shared" si="3"/>
        <v>0</v>
      </c>
      <c r="L25" t="s">
        <v>529</v>
      </c>
      <c r="N25" s="18"/>
      <c r="O25" s="18"/>
      <c r="P25" s="18"/>
      <c r="Q25" s="18"/>
      <c r="R25" s="18"/>
    </row>
    <row r="26" spans="1:18">
      <c r="A26" s="117" t="s">
        <v>389</v>
      </c>
      <c r="B26" s="115"/>
      <c r="C26" s="118"/>
      <c r="D26" s="118"/>
      <c r="E26" s="118"/>
      <c r="F26" s="118"/>
      <c r="G26" s="122"/>
      <c r="H26" s="118"/>
      <c r="I26" s="18">
        <f t="shared" si="3"/>
        <v>0</v>
      </c>
      <c r="L26" t="s">
        <v>529</v>
      </c>
      <c r="N26" s="18"/>
      <c r="O26" s="18"/>
      <c r="P26" s="18"/>
      <c r="Q26" s="18"/>
      <c r="R26" s="18"/>
    </row>
    <row r="27" spans="1:18">
      <c r="A27" s="120" t="s">
        <v>152</v>
      </c>
      <c r="B27" s="125">
        <v>5375.03</v>
      </c>
      <c r="C27" s="118">
        <v>126.88</v>
      </c>
      <c r="D27" s="118">
        <v>0</v>
      </c>
      <c r="E27" s="118">
        <v>0</v>
      </c>
      <c r="F27" s="118">
        <v>126.88</v>
      </c>
      <c r="G27" s="122">
        <f t="shared" si="0"/>
        <v>5.7216271463429703E-4</v>
      </c>
      <c r="H27" s="118">
        <f t="shared" si="2"/>
        <v>253.76</v>
      </c>
      <c r="I27" s="18">
        <f t="shared" si="3"/>
        <v>-5121.2699999999995</v>
      </c>
      <c r="L27" t="s">
        <v>152</v>
      </c>
      <c r="M27" t="s">
        <v>732</v>
      </c>
      <c r="N27" s="18"/>
      <c r="O27" s="18"/>
      <c r="P27" s="18"/>
      <c r="Q27" s="18"/>
      <c r="R27" s="18"/>
    </row>
    <row r="28" spans="1:18">
      <c r="A28" s="120" t="s">
        <v>83</v>
      </c>
      <c r="B28" s="125">
        <v>25000</v>
      </c>
      <c r="C28" s="118">
        <v>7633.95</v>
      </c>
      <c r="D28" s="118">
        <v>7633.95</v>
      </c>
      <c r="E28" s="118">
        <v>7633.95</v>
      </c>
      <c r="F28" s="118">
        <v>7633.95</v>
      </c>
      <c r="G28" s="122">
        <f t="shared" si="0"/>
        <v>6.8850276724188073E-2</v>
      </c>
      <c r="H28" s="118">
        <f t="shared" si="2"/>
        <v>30535.8</v>
      </c>
      <c r="I28" s="18">
        <f t="shared" si="3"/>
        <v>5535.7999999999993</v>
      </c>
      <c r="L28" t="s">
        <v>83</v>
      </c>
      <c r="N28" s="18"/>
      <c r="O28" s="18"/>
      <c r="P28" s="18"/>
      <c r="Q28" s="18"/>
      <c r="R28" s="18"/>
    </row>
    <row r="29" spans="1:18">
      <c r="A29" s="120" t="s">
        <v>78</v>
      </c>
      <c r="B29" s="125">
        <v>21536.61</v>
      </c>
      <c r="C29" s="118">
        <v>76.62</v>
      </c>
      <c r="D29" s="118">
        <v>0</v>
      </c>
      <c r="E29" s="118">
        <v>0</v>
      </c>
      <c r="F29" s="118">
        <v>0</v>
      </c>
      <c r="G29" s="122">
        <f t="shared" si="0"/>
        <v>1.7275814626134867E-4</v>
      </c>
      <c r="H29" s="118">
        <f t="shared" si="2"/>
        <v>76.62</v>
      </c>
      <c r="I29" s="18">
        <f t="shared" si="3"/>
        <v>-21459.99</v>
      </c>
      <c r="L29" t="s">
        <v>78</v>
      </c>
      <c r="N29" s="18"/>
      <c r="O29" s="18"/>
      <c r="P29" s="18"/>
      <c r="Q29" s="18"/>
      <c r="R29" s="18"/>
    </row>
    <row r="30" spans="1:18">
      <c r="A30" s="120" t="s">
        <v>390</v>
      </c>
      <c r="B30" s="125">
        <v>257250</v>
      </c>
      <c r="C30" s="118">
        <v>199.33</v>
      </c>
      <c r="D30" s="118">
        <v>0</v>
      </c>
      <c r="E30" s="118">
        <v>0</v>
      </c>
      <c r="F30" s="118">
        <v>0</v>
      </c>
      <c r="G30" s="122">
        <f t="shared" si="0"/>
        <v>4.4943723954939482E-4</v>
      </c>
      <c r="H30" s="118">
        <f t="shared" si="2"/>
        <v>199.33</v>
      </c>
      <c r="I30" s="18">
        <f t="shared" si="3"/>
        <v>-257050.67</v>
      </c>
      <c r="L30" t="s">
        <v>36</v>
      </c>
      <c r="N30" s="18"/>
      <c r="O30" s="18"/>
      <c r="P30" s="18"/>
      <c r="Q30" s="18"/>
      <c r="R30" s="18"/>
    </row>
    <row r="31" spans="1:18">
      <c r="A31" s="120" t="s">
        <v>74</v>
      </c>
      <c r="B31" s="125">
        <v>15561.89</v>
      </c>
      <c r="C31" s="118">
        <v>1863.9</v>
      </c>
      <c r="D31" s="118">
        <v>0</v>
      </c>
      <c r="E31" s="118">
        <v>0</v>
      </c>
      <c r="F31" s="118">
        <v>0</v>
      </c>
      <c r="G31" s="122">
        <f t="shared" si="0"/>
        <v>4.2026090944469827E-3</v>
      </c>
      <c r="H31" s="118">
        <f t="shared" si="2"/>
        <v>1863.9</v>
      </c>
      <c r="I31" s="18">
        <f t="shared" si="3"/>
        <v>-13697.99</v>
      </c>
      <c r="L31" t="s">
        <v>74</v>
      </c>
      <c r="N31" s="18"/>
      <c r="O31" s="18"/>
      <c r="P31" s="18"/>
      <c r="Q31" s="18"/>
      <c r="R31" s="18"/>
    </row>
    <row r="32" spans="1:18">
      <c r="A32" s="120" t="s">
        <v>391</v>
      </c>
      <c r="B32" s="125">
        <v>6000</v>
      </c>
      <c r="C32" s="118">
        <v>1667.26</v>
      </c>
      <c r="D32" s="118">
        <v>1667.26</v>
      </c>
      <c r="E32" s="118">
        <v>1667.26</v>
      </c>
      <c r="F32" s="118">
        <v>1667.26</v>
      </c>
      <c r="G32" s="122">
        <f t="shared" si="0"/>
        <v>1.5036948417420839E-2</v>
      </c>
      <c r="H32" s="118">
        <f t="shared" si="2"/>
        <v>6669.04</v>
      </c>
      <c r="I32" s="18">
        <f t="shared" si="3"/>
        <v>669.04</v>
      </c>
      <c r="L32" t="s">
        <v>209</v>
      </c>
      <c r="M32" t="s">
        <v>729</v>
      </c>
      <c r="N32" s="18"/>
      <c r="O32" s="18"/>
      <c r="P32" s="18"/>
      <c r="Q32" s="18"/>
      <c r="R32" s="18"/>
    </row>
    <row r="33" spans="1:18">
      <c r="A33" s="131" t="s">
        <v>392</v>
      </c>
      <c r="B33" s="125">
        <v>54459.64</v>
      </c>
      <c r="C33" s="118">
        <v>16128.62</v>
      </c>
      <c r="D33" s="118">
        <v>16128.62</v>
      </c>
      <c r="E33" s="118">
        <v>16128.62</v>
      </c>
      <c r="F33" s="118">
        <v>16128.62</v>
      </c>
      <c r="G33" s="122">
        <f t="shared" si="0"/>
        <v>0.14546335123746873</v>
      </c>
      <c r="H33" s="118">
        <f t="shared" si="2"/>
        <v>64514.48</v>
      </c>
      <c r="I33" s="18">
        <f t="shared" si="3"/>
        <v>10054.840000000004</v>
      </c>
      <c r="L33" t="s">
        <v>209</v>
      </c>
      <c r="M33" t="s">
        <v>729</v>
      </c>
      <c r="N33" s="18"/>
      <c r="O33" s="18"/>
      <c r="P33" s="18"/>
      <c r="Q33" s="18"/>
      <c r="R33" s="18"/>
    </row>
    <row r="34" spans="1:18">
      <c r="A34" s="120" t="s">
        <v>393</v>
      </c>
      <c r="B34" s="125">
        <v>3679.7200000000003</v>
      </c>
      <c r="C34" s="118">
        <v>999.88</v>
      </c>
      <c r="D34" s="118">
        <v>999.88</v>
      </c>
      <c r="E34" s="118">
        <v>999.88</v>
      </c>
      <c r="F34" s="118">
        <v>999.88</v>
      </c>
      <c r="G34" s="122">
        <f t="shared" si="0"/>
        <v>9.0178760263010856E-3</v>
      </c>
      <c r="H34" s="118">
        <f t="shared" si="2"/>
        <v>3999.52</v>
      </c>
      <c r="I34" s="18">
        <f t="shared" si="3"/>
        <v>319.79999999999973</v>
      </c>
      <c r="L34" t="s">
        <v>209</v>
      </c>
      <c r="M34" t="s">
        <v>729</v>
      </c>
      <c r="N34" s="18"/>
      <c r="O34" s="18"/>
      <c r="P34" s="18"/>
      <c r="Q34" s="18"/>
      <c r="R34" s="18"/>
    </row>
    <row r="35" spans="1:18">
      <c r="A35" s="120" t="s">
        <v>394</v>
      </c>
      <c r="B35" s="125">
        <v>5623.8399999999992</v>
      </c>
      <c r="C35" s="118">
        <v>0</v>
      </c>
      <c r="D35" s="118">
        <v>0</v>
      </c>
      <c r="E35" s="118">
        <v>0</v>
      </c>
      <c r="F35" s="118">
        <v>0</v>
      </c>
      <c r="G35" s="122">
        <f t="shared" si="0"/>
        <v>0</v>
      </c>
      <c r="H35" s="118">
        <f t="shared" si="2"/>
        <v>0</v>
      </c>
      <c r="I35" s="18">
        <f t="shared" si="3"/>
        <v>-5623.8399999999992</v>
      </c>
      <c r="L35" t="s">
        <v>126</v>
      </c>
      <c r="N35" s="18"/>
      <c r="O35" s="18"/>
      <c r="P35" s="18"/>
      <c r="Q35" s="18"/>
      <c r="R35" s="18"/>
    </row>
    <row r="36" spans="1:18">
      <c r="A36" s="120" t="s">
        <v>136</v>
      </c>
      <c r="B36" s="125">
        <v>484.46</v>
      </c>
      <c r="C36" s="118">
        <v>0</v>
      </c>
      <c r="D36" s="118">
        <v>73.55</v>
      </c>
      <c r="E36" s="118">
        <v>73.55</v>
      </c>
      <c r="F36" s="118">
        <v>0</v>
      </c>
      <c r="G36" s="122">
        <f t="shared" si="0"/>
        <v>3.3167219153020606E-4</v>
      </c>
      <c r="H36" s="118">
        <f t="shared" si="2"/>
        <v>147.1</v>
      </c>
      <c r="I36" s="18">
        <f t="shared" si="3"/>
        <v>-337.36</v>
      </c>
      <c r="L36" t="s">
        <v>136</v>
      </c>
      <c r="N36" s="18"/>
      <c r="O36" s="18"/>
      <c r="P36" s="18"/>
      <c r="Q36" s="18"/>
      <c r="R36" s="18"/>
    </row>
    <row r="37" spans="1:18">
      <c r="A37" s="120" t="s">
        <v>395</v>
      </c>
      <c r="B37" s="125">
        <v>12855.169999999998</v>
      </c>
      <c r="C37" s="118">
        <v>6137.92</v>
      </c>
      <c r="D37" s="118">
        <v>6137.92</v>
      </c>
      <c r="E37" s="118">
        <v>6137.92</v>
      </c>
      <c r="F37" s="118">
        <v>6137.92</v>
      </c>
      <c r="G37" s="122">
        <f t="shared" si="0"/>
        <v>5.5357644536698364E-2</v>
      </c>
      <c r="H37" s="118">
        <f t="shared" si="2"/>
        <v>24551.68</v>
      </c>
      <c r="I37" s="18">
        <f t="shared" si="3"/>
        <v>11696.510000000002</v>
      </c>
      <c r="L37" t="s">
        <v>209</v>
      </c>
      <c r="M37" t="s">
        <v>729</v>
      </c>
      <c r="N37" s="18"/>
      <c r="O37" s="18"/>
      <c r="P37" s="18"/>
      <c r="Q37" s="18"/>
      <c r="R37" s="18"/>
    </row>
    <row r="38" spans="1:18">
      <c r="A38" s="126" t="s">
        <v>396</v>
      </c>
      <c r="B38" s="127">
        <f>SUM(B27:B37)</f>
        <v>407826.36000000004</v>
      </c>
      <c r="C38" s="127">
        <f>SUM(C27:C37)</f>
        <v>34834.36</v>
      </c>
      <c r="D38" s="127">
        <f>SUM(D27:D37)</f>
        <v>32641.18</v>
      </c>
      <c r="E38" s="127">
        <f>SUM(E27:E37)</f>
        <v>32641.18</v>
      </c>
      <c r="F38" s="127">
        <f>SUM(F27:F37)</f>
        <v>32694.510000000002</v>
      </c>
      <c r="G38" s="122">
        <f t="shared" si="0"/>
        <v>0.29945473632849934</v>
      </c>
      <c r="H38" s="116">
        <f t="shared" si="2"/>
        <v>132811.23000000001</v>
      </c>
      <c r="I38" s="18">
        <f t="shared" si="3"/>
        <v>-275015.13</v>
      </c>
      <c r="L38" t="s">
        <v>529</v>
      </c>
      <c r="N38" s="18"/>
      <c r="O38" s="18"/>
      <c r="P38" s="18"/>
      <c r="Q38" s="18"/>
      <c r="R38" s="18"/>
    </row>
    <row r="39" spans="1:18">
      <c r="A39" s="130" t="s">
        <v>397</v>
      </c>
      <c r="B39" s="127">
        <f>B24+B38</f>
        <v>714906.0625</v>
      </c>
      <c r="C39" s="127">
        <f>C24+C38</f>
        <v>37657.15</v>
      </c>
      <c r="D39" s="127">
        <f>D24+D38</f>
        <v>35341.18</v>
      </c>
      <c r="E39" s="127">
        <f>E24+E38</f>
        <v>35341.18</v>
      </c>
      <c r="F39" s="127">
        <f>F24+F38</f>
        <v>35394.51</v>
      </c>
      <c r="G39" s="122">
        <f t="shared" si="0"/>
        <v>0.32408278321445599</v>
      </c>
      <c r="H39" s="116">
        <f t="shared" si="2"/>
        <v>143734.02000000002</v>
      </c>
      <c r="I39" s="18">
        <f t="shared" si="3"/>
        <v>-571172.04249999998</v>
      </c>
      <c r="L39" t="s">
        <v>529</v>
      </c>
      <c r="N39" s="18"/>
      <c r="O39" s="18"/>
      <c r="P39" s="18"/>
      <c r="Q39" s="18"/>
      <c r="R39" s="18"/>
    </row>
    <row r="40" spans="1:18">
      <c r="A40" s="130"/>
      <c r="B40" s="112"/>
      <c r="C40" s="112"/>
      <c r="D40" s="112"/>
      <c r="E40" s="112"/>
      <c r="F40" s="112"/>
      <c r="G40" s="122"/>
      <c r="H40" s="116"/>
      <c r="I40" s="18">
        <f t="shared" si="3"/>
        <v>0</v>
      </c>
      <c r="L40" t="s">
        <v>529</v>
      </c>
      <c r="N40" s="18"/>
      <c r="O40" s="18"/>
      <c r="P40" s="18"/>
      <c r="Q40" s="18"/>
      <c r="R40" s="18"/>
    </row>
    <row r="41" spans="1:18">
      <c r="A41" s="114" t="s">
        <v>398</v>
      </c>
      <c r="B41" s="127">
        <f>B10-B14-B39</f>
        <v>139415.41177999997</v>
      </c>
      <c r="C41" s="127">
        <f>C10-C14-C39</f>
        <v>135311.82800000001</v>
      </c>
      <c r="D41" s="127">
        <f>D10-D14-D39</f>
        <v>137627.79800000001</v>
      </c>
      <c r="E41" s="127">
        <f>E10-E14-E39</f>
        <v>137627.79800000001</v>
      </c>
      <c r="F41" s="127">
        <f>F10-F14-F39</f>
        <v>137574.46799999999</v>
      </c>
      <c r="G41" s="122">
        <f t="shared" si="0"/>
        <v>1.2359172167855439</v>
      </c>
      <c r="H41" s="116">
        <f t="shared" si="2"/>
        <v>548141.89199999999</v>
      </c>
      <c r="I41" s="18">
        <f t="shared" si="3"/>
        <v>408726.48022000003</v>
      </c>
      <c r="L41" t="s">
        <v>529</v>
      </c>
      <c r="N41" s="18"/>
      <c r="O41" s="18"/>
      <c r="P41" s="18"/>
      <c r="Q41" s="18"/>
      <c r="R41" s="18"/>
    </row>
    <row r="42" spans="1:18">
      <c r="A42" s="130"/>
      <c r="B42" s="115"/>
      <c r="C42" s="118"/>
      <c r="D42" s="118"/>
      <c r="E42" s="118"/>
      <c r="F42" s="118"/>
      <c r="G42" s="122"/>
      <c r="H42" s="118"/>
      <c r="I42" s="18">
        <f t="shared" si="3"/>
        <v>0</v>
      </c>
      <c r="L42" t="s">
        <v>529</v>
      </c>
      <c r="N42" s="18"/>
      <c r="O42" s="18"/>
      <c r="P42" s="18"/>
      <c r="Q42" s="18"/>
      <c r="R42" s="18"/>
    </row>
    <row r="43" spans="1:18">
      <c r="A43" s="114" t="s">
        <v>399</v>
      </c>
      <c r="B43" s="115"/>
      <c r="C43" s="132"/>
      <c r="D43" s="118"/>
      <c r="E43" s="118"/>
      <c r="F43" s="118"/>
      <c r="G43" s="122"/>
      <c r="H43" s="118"/>
      <c r="I43" s="18">
        <f t="shared" si="3"/>
        <v>0</v>
      </c>
      <c r="L43" t="s">
        <v>529</v>
      </c>
      <c r="N43" s="18"/>
      <c r="O43" s="18"/>
      <c r="P43" s="18"/>
      <c r="Q43" s="18"/>
      <c r="R43" s="18"/>
    </row>
    <row r="44" spans="1:18">
      <c r="A44" s="117" t="s">
        <v>400</v>
      </c>
      <c r="B44" s="115"/>
      <c r="C44" s="132"/>
      <c r="D44" s="118"/>
      <c r="E44" s="118"/>
      <c r="F44" s="118"/>
      <c r="G44" s="122"/>
      <c r="H44" s="118"/>
      <c r="I44" s="18">
        <f t="shared" si="3"/>
        <v>0</v>
      </c>
      <c r="L44" t="s">
        <v>529</v>
      </c>
      <c r="N44" s="18"/>
      <c r="O44" s="18"/>
      <c r="P44" s="18"/>
      <c r="Q44" s="18"/>
      <c r="R44" s="18"/>
    </row>
    <row r="45" spans="1:18">
      <c r="A45" s="133" t="s">
        <v>401</v>
      </c>
      <c r="B45" s="115"/>
      <c r="C45" s="132"/>
      <c r="D45" s="118"/>
      <c r="E45" s="118"/>
      <c r="F45" s="118"/>
      <c r="G45" s="122"/>
      <c r="H45" s="118"/>
      <c r="I45" s="18">
        <f t="shared" si="3"/>
        <v>0</v>
      </c>
      <c r="L45" t="s">
        <v>529</v>
      </c>
      <c r="N45" s="18"/>
      <c r="O45" s="18"/>
      <c r="P45" s="18"/>
      <c r="Q45" s="18"/>
      <c r="R45" s="18"/>
    </row>
    <row r="46" spans="1:18">
      <c r="A46" s="120" t="s">
        <v>402</v>
      </c>
      <c r="B46" s="125">
        <v>0</v>
      </c>
      <c r="C46" s="132">
        <v>0</v>
      </c>
      <c r="D46" s="118">
        <v>0</v>
      </c>
      <c r="E46" s="118">
        <v>0</v>
      </c>
      <c r="F46" s="118">
        <v>0</v>
      </c>
      <c r="G46" s="122">
        <f t="shared" si="0"/>
        <v>0</v>
      </c>
      <c r="H46" s="118">
        <f t="shared" si="2"/>
        <v>0</v>
      </c>
      <c r="I46" s="18">
        <f t="shared" si="3"/>
        <v>0</v>
      </c>
      <c r="L46" t="s">
        <v>209</v>
      </c>
      <c r="M46" t="s">
        <v>729</v>
      </c>
      <c r="N46" s="18"/>
      <c r="O46" s="18"/>
      <c r="P46" s="18"/>
      <c r="Q46" s="18"/>
      <c r="R46" s="18"/>
    </row>
    <row r="47" spans="1:18">
      <c r="A47" s="120" t="s">
        <v>403</v>
      </c>
      <c r="B47" s="125">
        <v>500</v>
      </c>
      <c r="C47" s="118">
        <v>0</v>
      </c>
      <c r="D47" s="118">
        <v>0</v>
      </c>
      <c r="E47" s="118">
        <v>0</v>
      </c>
      <c r="F47" s="118">
        <v>0</v>
      </c>
      <c r="G47" s="122">
        <f t="shared" si="0"/>
        <v>0</v>
      </c>
      <c r="H47" s="118">
        <f t="shared" si="2"/>
        <v>0</v>
      </c>
      <c r="I47" s="18">
        <f t="shared" si="3"/>
        <v>-500</v>
      </c>
      <c r="L47" t="s">
        <v>57</v>
      </c>
      <c r="N47" s="18"/>
      <c r="O47" s="18"/>
      <c r="P47" s="18"/>
      <c r="Q47" s="18"/>
      <c r="R47" s="18"/>
    </row>
    <row r="48" spans="1:18">
      <c r="A48" s="133" t="s">
        <v>404</v>
      </c>
      <c r="B48" s="125">
        <v>0</v>
      </c>
      <c r="C48" s="118"/>
      <c r="D48" s="118"/>
      <c r="E48" s="118"/>
      <c r="F48" s="118"/>
      <c r="G48" s="122">
        <f t="shared" si="0"/>
        <v>0</v>
      </c>
      <c r="H48" s="118">
        <f t="shared" si="2"/>
        <v>0</v>
      </c>
      <c r="I48" s="18">
        <f t="shared" si="3"/>
        <v>0</v>
      </c>
      <c r="L48" t="s">
        <v>529</v>
      </c>
      <c r="N48" s="18"/>
      <c r="O48" s="18"/>
      <c r="P48" s="18"/>
      <c r="Q48" s="18"/>
      <c r="R48" s="18"/>
    </row>
    <row r="49" spans="1:18">
      <c r="A49" s="120" t="s">
        <v>405</v>
      </c>
      <c r="B49" s="125">
        <v>10000</v>
      </c>
      <c r="C49" s="118">
        <v>669.9</v>
      </c>
      <c r="D49" s="118">
        <v>0</v>
      </c>
      <c r="E49" s="118">
        <v>2590.0100000000002</v>
      </c>
      <c r="F49" s="118">
        <v>669.9</v>
      </c>
      <c r="G49" s="122">
        <f t="shared" si="0"/>
        <v>8.8606981305052283E-3</v>
      </c>
      <c r="H49" s="118">
        <f t="shared" si="2"/>
        <v>3929.8100000000004</v>
      </c>
      <c r="I49" s="18">
        <f t="shared" si="3"/>
        <v>-6070.19</v>
      </c>
      <c r="L49" t="s">
        <v>31</v>
      </c>
      <c r="N49" s="18"/>
      <c r="O49" s="18"/>
      <c r="P49" s="18"/>
      <c r="Q49" s="18"/>
      <c r="R49" s="18"/>
    </row>
    <row r="50" spans="1:18">
      <c r="A50" s="120" t="s">
        <v>406</v>
      </c>
      <c r="B50" s="125">
        <v>0</v>
      </c>
      <c r="C50" s="118">
        <v>0</v>
      </c>
      <c r="D50" s="118">
        <v>0</v>
      </c>
      <c r="E50" s="118">
        <v>0</v>
      </c>
      <c r="F50" s="118">
        <v>0</v>
      </c>
      <c r="G50" s="122">
        <f t="shared" si="0"/>
        <v>0</v>
      </c>
      <c r="H50" s="118">
        <f t="shared" si="2"/>
        <v>0</v>
      </c>
      <c r="I50" s="18">
        <f t="shared" si="3"/>
        <v>0</v>
      </c>
      <c r="L50" t="s">
        <v>209</v>
      </c>
      <c r="M50" t="s">
        <v>729</v>
      </c>
      <c r="N50" s="18"/>
      <c r="O50" s="18"/>
      <c r="P50" s="18"/>
      <c r="Q50" s="18"/>
      <c r="R50" s="18"/>
    </row>
    <row r="51" spans="1:18">
      <c r="A51" s="120" t="s">
        <v>407</v>
      </c>
      <c r="B51" s="125">
        <v>20000</v>
      </c>
      <c r="C51" s="118">
        <v>8590.3700000000008</v>
      </c>
      <c r="D51" s="118">
        <v>3143.46</v>
      </c>
      <c r="E51" s="118">
        <v>8590.3700000000008</v>
      </c>
      <c r="F51" s="118">
        <v>8590.3700000000008</v>
      </c>
      <c r="G51" s="122">
        <f t="shared" si="0"/>
        <v>6.5194825282485061E-2</v>
      </c>
      <c r="H51" s="118">
        <f t="shared" si="2"/>
        <v>28914.570000000007</v>
      </c>
      <c r="I51" s="18">
        <f t="shared" si="3"/>
        <v>8914.570000000007</v>
      </c>
      <c r="L51" t="s">
        <v>10</v>
      </c>
      <c r="N51" s="18"/>
      <c r="O51" s="18"/>
      <c r="P51" s="18"/>
      <c r="Q51" s="18"/>
      <c r="R51" s="18"/>
    </row>
    <row r="52" spans="1:18">
      <c r="A52" s="120" t="s">
        <v>408</v>
      </c>
      <c r="B52" s="125">
        <v>0</v>
      </c>
      <c r="C52" s="118">
        <v>0</v>
      </c>
      <c r="D52" s="136">
        <v>0</v>
      </c>
      <c r="E52" s="118">
        <v>0</v>
      </c>
      <c r="F52" s="118">
        <v>0</v>
      </c>
      <c r="G52" s="122">
        <f t="shared" si="0"/>
        <v>0</v>
      </c>
      <c r="H52" s="118">
        <f t="shared" si="2"/>
        <v>0</v>
      </c>
      <c r="I52" s="18">
        <f t="shared" si="3"/>
        <v>0</v>
      </c>
      <c r="L52" t="s">
        <v>529</v>
      </c>
      <c r="N52" s="18"/>
      <c r="O52" s="18"/>
      <c r="P52" s="18"/>
      <c r="Q52" s="18"/>
      <c r="R52" s="18"/>
    </row>
    <row r="53" spans="1:18">
      <c r="A53" s="120" t="s">
        <v>409</v>
      </c>
      <c r="B53" s="125">
        <v>0</v>
      </c>
      <c r="C53" s="118">
        <v>0</v>
      </c>
      <c r="D53" s="118">
        <v>0</v>
      </c>
      <c r="E53" s="118">
        <v>0</v>
      </c>
      <c r="F53" s="118">
        <v>0</v>
      </c>
      <c r="G53" s="122">
        <f t="shared" si="0"/>
        <v>0</v>
      </c>
      <c r="H53" s="118">
        <f t="shared" si="2"/>
        <v>0</v>
      </c>
      <c r="I53" s="18">
        <f t="shared" si="3"/>
        <v>0</v>
      </c>
      <c r="L53" t="s">
        <v>529</v>
      </c>
      <c r="N53" s="18"/>
      <c r="O53" s="18"/>
      <c r="P53" s="18"/>
      <c r="Q53" s="18"/>
      <c r="R53" s="18"/>
    </row>
    <row r="54" spans="1:18">
      <c r="A54" s="133" t="s">
        <v>410</v>
      </c>
      <c r="B54" s="125"/>
      <c r="C54" s="118"/>
      <c r="D54" s="118"/>
      <c r="E54" s="118"/>
      <c r="F54" s="118"/>
      <c r="G54" s="122">
        <f t="shared" si="0"/>
        <v>0</v>
      </c>
      <c r="H54" s="118">
        <f t="shared" si="2"/>
        <v>0</v>
      </c>
      <c r="I54" s="18">
        <f t="shared" si="3"/>
        <v>0</v>
      </c>
      <c r="L54" t="s">
        <v>529</v>
      </c>
      <c r="N54" s="18"/>
      <c r="O54" s="18"/>
      <c r="P54" s="18"/>
      <c r="Q54" s="18"/>
      <c r="R54" s="18"/>
    </row>
    <row r="55" spans="1:18">
      <c r="A55" s="120" t="s">
        <v>411</v>
      </c>
      <c r="B55" s="125">
        <v>0</v>
      </c>
      <c r="C55" s="118">
        <v>0</v>
      </c>
      <c r="D55" s="118">
        <v>0</v>
      </c>
      <c r="E55" s="118">
        <v>0</v>
      </c>
      <c r="F55" s="118">
        <v>0</v>
      </c>
      <c r="G55" s="122">
        <f t="shared" si="0"/>
        <v>0</v>
      </c>
      <c r="H55" s="118">
        <f t="shared" si="2"/>
        <v>0</v>
      </c>
      <c r="I55" s="18">
        <f t="shared" si="3"/>
        <v>0</v>
      </c>
      <c r="L55" t="s">
        <v>529</v>
      </c>
      <c r="N55" s="18"/>
      <c r="O55" s="18"/>
      <c r="P55" s="18"/>
      <c r="Q55" s="18"/>
      <c r="R55" s="18"/>
    </row>
    <row r="56" spans="1:18">
      <c r="A56" s="120" t="s">
        <v>412</v>
      </c>
      <c r="B56" s="125">
        <v>7000</v>
      </c>
      <c r="C56" s="118">
        <v>0</v>
      </c>
      <c r="D56" s="118">
        <v>0</v>
      </c>
      <c r="E56" s="118">
        <v>0</v>
      </c>
      <c r="F56" s="118">
        <v>0</v>
      </c>
      <c r="G56" s="122">
        <f t="shared" si="0"/>
        <v>0</v>
      </c>
      <c r="H56" s="118">
        <f t="shared" si="2"/>
        <v>0</v>
      </c>
      <c r="I56" s="18">
        <f t="shared" si="3"/>
        <v>-7000</v>
      </c>
      <c r="L56" t="s">
        <v>54</v>
      </c>
      <c r="N56" s="18"/>
      <c r="O56" s="18"/>
      <c r="P56" s="18"/>
      <c r="Q56" s="18"/>
      <c r="R56" s="18"/>
    </row>
    <row r="57" spans="1:18">
      <c r="A57" s="120" t="s">
        <v>413</v>
      </c>
      <c r="B57" s="125">
        <v>2000</v>
      </c>
      <c r="C57" s="118">
        <v>0</v>
      </c>
      <c r="D57" s="118">
        <v>0</v>
      </c>
      <c r="E57" s="118">
        <v>0</v>
      </c>
      <c r="F57" s="118">
        <v>0</v>
      </c>
      <c r="G57" s="122">
        <f t="shared" si="0"/>
        <v>0</v>
      </c>
      <c r="H57" s="118">
        <f t="shared" si="2"/>
        <v>0</v>
      </c>
      <c r="I57" s="18">
        <f t="shared" si="3"/>
        <v>-2000</v>
      </c>
      <c r="L57" t="s">
        <v>44</v>
      </c>
      <c r="N57" s="18"/>
      <c r="O57" s="18"/>
      <c r="P57" s="18"/>
      <c r="Q57" s="18"/>
      <c r="R57" s="18"/>
    </row>
    <row r="58" spans="1:18">
      <c r="A58" s="120" t="s">
        <v>414</v>
      </c>
      <c r="B58" s="125">
        <v>0</v>
      </c>
      <c r="C58" s="118">
        <v>0</v>
      </c>
      <c r="D58" s="118">
        <v>0</v>
      </c>
      <c r="E58" s="118">
        <v>0</v>
      </c>
      <c r="F58" s="118">
        <v>0</v>
      </c>
      <c r="G58" s="122">
        <f t="shared" si="0"/>
        <v>0</v>
      </c>
      <c r="H58" s="118">
        <f t="shared" si="2"/>
        <v>0</v>
      </c>
      <c r="I58" s="18">
        <f t="shared" si="3"/>
        <v>0</v>
      </c>
      <c r="L58" t="s">
        <v>529</v>
      </c>
      <c r="N58" s="18"/>
      <c r="O58" s="18"/>
      <c r="P58" s="18"/>
      <c r="Q58" s="18"/>
      <c r="R58" s="18"/>
    </row>
    <row r="59" spans="1:18">
      <c r="A59" s="126" t="s">
        <v>415</v>
      </c>
      <c r="B59" s="127">
        <f>SUM(B46:B58)</f>
        <v>39500</v>
      </c>
      <c r="C59" s="127">
        <f>SUM(C46:C58)</f>
        <v>9260.27</v>
      </c>
      <c r="D59" s="127">
        <f>SUM(D46:D58)</f>
        <v>3143.46</v>
      </c>
      <c r="E59" s="127">
        <f>SUM(E46:E58)</f>
        <v>11180.380000000001</v>
      </c>
      <c r="F59" s="127">
        <f>SUM(F46:F58)</f>
        <v>9260.27</v>
      </c>
      <c r="G59" s="122">
        <f t="shared" si="0"/>
        <v>7.4055523412990279E-2</v>
      </c>
      <c r="H59" s="116">
        <f t="shared" si="2"/>
        <v>32844.380000000005</v>
      </c>
      <c r="I59" s="18">
        <f t="shared" si="3"/>
        <v>-6655.6199999999953</v>
      </c>
      <c r="L59" t="s">
        <v>529</v>
      </c>
      <c r="N59" s="18"/>
      <c r="O59" s="18"/>
      <c r="P59" s="18"/>
      <c r="Q59" s="18"/>
      <c r="R59" s="18"/>
    </row>
    <row r="60" spans="1:18">
      <c r="A60" s="130"/>
      <c r="B60" s="115"/>
      <c r="C60" s="118"/>
      <c r="D60" s="118"/>
      <c r="E60" s="118"/>
      <c r="F60" s="118"/>
      <c r="G60" s="122"/>
      <c r="H60" s="118"/>
      <c r="I60" s="18">
        <f t="shared" si="3"/>
        <v>0</v>
      </c>
      <c r="L60" t="s">
        <v>529</v>
      </c>
      <c r="N60" s="18"/>
      <c r="O60" s="18"/>
      <c r="P60" s="18"/>
      <c r="Q60" s="18"/>
      <c r="R60" s="18"/>
    </row>
    <row r="61" spans="1:18">
      <c r="A61" s="117" t="s">
        <v>416</v>
      </c>
      <c r="B61" s="115"/>
      <c r="C61" s="118"/>
      <c r="D61" s="118"/>
      <c r="E61" s="118"/>
      <c r="F61" s="118"/>
      <c r="G61" s="122"/>
      <c r="H61" s="118"/>
      <c r="I61" s="18">
        <f t="shared" si="3"/>
        <v>0</v>
      </c>
      <c r="L61" t="s">
        <v>529</v>
      </c>
      <c r="N61" s="18"/>
      <c r="O61" s="18"/>
      <c r="P61" s="18"/>
      <c r="Q61" s="18"/>
      <c r="R61" s="18"/>
    </row>
    <row r="62" spans="1:18">
      <c r="A62" s="133" t="s">
        <v>417</v>
      </c>
      <c r="B62" s="115"/>
      <c r="C62" s="118"/>
      <c r="D62" s="118"/>
      <c r="E62" s="118"/>
      <c r="F62" s="118"/>
      <c r="G62" s="122"/>
      <c r="H62" s="118"/>
      <c r="I62" s="18">
        <f t="shared" si="3"/>
        <v>0</v>
      </c>
      <c r="L62" t="s">
        <v>529</v>
      </c>
      <c r="N62" s="18"/>
      <c r="O62" s="18"/>
      <c r="P62" s="18"/>
      <c r="Q62" s="18"/>
      <c r="R62" s="18"/>
    </row>
    <row r="63" spans="1:18">
      <c r="A63" s="120" t="s">
        <v>418</v>
      </c>
      <c r="B63" s="125">
        <v>65254.421499999997</v>
      </c>
      <c r="C63" s="118">
        <v>0</v>
      </c>
      <c r="D63" s="118">
        <v>0</v>
      </c>
      <c r="E63" s="118">
        <v>0</v>
      </c>
      <c r="F63" s="118">
        <v>0</v>
      </c>
      <c r="G63" s="122">
        <f t="shared" si="0"/>
        <v>0</v>
      </c>
      <c r="H63" s="118">
        <f t="shared" si="2"/>
        <v>0</v>
      </c>
      <c r="I63" s="18">
        <f t="shared" si="3"/>
        <v>-65254.421499999997</v>
      </c>
      <c r="L63" t="s">
        <v>144</v>
      </c>
      <c r="N63" s="18"/>
      <c r="O63" s="18"/>
      <c r="P63" s="18"/>
      <c r="Q63" s="18"/>
      <c r="R63" s="18"/>
    </row>
    <row r="64" spans="1:18">
      <c r="A64" s="120" t="s">
        <v>382</v>
      </c>
      <c r="B64" s="125">
        <v>3000</v>
      </c>
      <c r="C64" s="118">
        <v>2000</v>
      </c>
      <c r="D64" s="118">
        <v>2000</v>
      </c>
      <c r="E64" s="118">
        <v>2000</v>
      </c>
      <c r="F64" s="118">
        <v>2000</v>
      </c>
      <c r="G64" s="122">
        <f t="shared" si="0"/>
        <v>1.8037916602594482E-2</v>
      </c>
      <c r="H64" s="118">
        <f t="shared" si="2"/>
        <v>8000</v>
      </c>
      <c r="I64" s="18">
        <f t="shared" si="3"/>
        <v>5000</v>
      </c>
      <c r="L64" t="s">
        <v>209</v>
      </c>
      <c r="M64" t="s">
        <v>729</v>
      </c>
      <c r="N64" s="18"/>
      <c r="O64" s="18"/>
      <c r="P64" s="18"/>
      <c r="Q64" s="18"/>
      <c r="R64" s="18"/>
    </row>
    <row r="65" spans="1:18">
      <c r="A65" s="120" t="s">
        <v>383</v>
      </c>
      <c r="B65" s="125">
        <v>0</v>
      </c>
      <c r="C65" s="118">
        <v>0</v>
      </c>
      <c r="D65" s="118">
        <v>0</v>
      </c>
      <c r="E65" s="118">
        <v>0</v>
      </c>
      <c r="F65" s="118">
        <v>0</v>
      </c>
      <c r="G65" s="122">
        <f t="shared" si="0"/>
        <v>0</v>
      </c>
      <c r="H65" s="118">
        <f t="shared" si="2"/>
        <v>0</v>
      </c>
      <c r="I65" s="18">
        <f t="shared" si="3"/>
        <v>0</v>
      </c>
      <c r="L65" t="s">
        <v>529</v>
      </c>
      <c r="N65" s="18"/>
      <c r="O65" s="18"/>
      <c r="P65" s="18"/>
      <c r="Q65" s="18"/>
      <c r="R65" s="18"/>
    </row>
    <row r="66" spans="1:18">
      <c r="A66" s="120" t="s">
        <v>384</v>
      </c>
      <c r="B66" s="125">
        <v>0</v>
      </c>
      <c r="C66" s="118">
        <v>0</v>
      </c>
      <c r="D66" s="118">
        <v>0</v>
      </c>
      <c r="E66" s="118">
        <v>0</v>
      </c>
      <c r="F66" s="118">
        <v>0</v>
      </c>
      <c r="G66" s="122">
        <f t="shared" si="0"/>
        <v>0</v>
      </c>
      <c r="H66" s="118">
        <f t="shared" si="2"/>
        <v>0</v>
      </c>
      <c r="I66" s="18">
        <f t="shared" si="3"/>
        <v>0</v>
      </c>
      <c r="L66" t="s">
        <v>529</v>
      </c>
      <c r="N66" s="18"/>
      <c r="O66" s="18"/>
      <c r="P66" s="18"/>
      <c r="Q66" s="18"/>
      <c r="R66" s="18"/>
    </row>
    <row r="67" spans="1:18">
      <c r="A67" s="120" t="s">
        <v>385</v>
      </c>
      <c r="B67" s="125">
        <v>0</v>
      </c>
      <c r="C67" s="118">
        <v>2297.81</v>
      </c>
      <c r="D67" s="118">
        <v>2297.81</v>
      </c>
      <c r="E67" s="118">
        <v>2297.81</v>
      </c>
      <c r="F67" s="118">
        <v>2297.81</v>
      </c>
      <c r="G67" s="122">
        <f t="shared" si="0"/>
        <v>2.0723852574303814E-2</v>
      </c>
      <c r="H67" s="118">
        <f t="shared" si="2"/>
        <v>9191.24</v>
      </c>
      <c r="I67" s="18">
        <f t="shared" si="3"/>
        <v>9191.24</v>
      </c>
      <c r="M67" t="s">
        <v>730</v>
      </c>
      <c r="N67" s="18"/>
      <c r="O67" s="18"/>
      <c r="P67" s="18"/>
      <c r="Q67" s="18"/>
      <c r="R67" s="18"/>
    </row>
    <row r="68" spans="1:18">
      <c r="A68" s="120" t="s">
        <v>386</v>
      </c>
      <c r="B68" s="125">
        <v>0</v>
      </c>
      <c r="C68" s="112">
        <v>0</v>
      </c>
      <c r="D68" s="118">
        <v>0</v>
      </c>
      <c r="E68" s="118">
        <v>0</v>
      </c>
      <c r="F68" s="118">
        <v>0</v>
      </c>
      <c r="G68" s="122">
        <f t="shared" si="0"/>
        <v>0</v>
      </c>
      <c r="H68" s="118">
        <f t="shared" si="2"/>
        <v>0</v>
      </c>
      <c r="I68" s="18">
        <f t="shared" si="3"/>
        <v>0</v>
      </c>
      <c r="L68" t="s">
        <v>529</v>
      </c>
      <c r="N68" s="18"/>
      <c r="O68" s="18"/>
      <c r="P68" s="18"/>
      <c r="Q68" s="18"/>
      <c r="R68" s="18"/>
    </row>
    <row r="69" spans="1:18">
      <c r="A69" s="120" t="s">
        <v>387</v>
      </c>
      <c r="B69" s="125">
        <v>733.20000000000016</v>
      </c>
      <c r="C69" s="112">
        <v>0</v>
      </c>
      <c r="D69" s="118">
        <v>0</v>
      </c>
      <c r="E69" s="118">
        <v>0</v>
      </c>
      <c r="F69" s="118">
        <v>0</v>
      </c>
      <c r="G69" s="122">
        <f t="shared" si="0"/>
        <v>0</v>
      </c>
      <c r="H69" s="118">
        <f t="shared" si="2"/>
        <v>0</v>
      </c>
      <c r="I69" s="18">
        <f t="shared" si="3"/>
        <v>-733.20000000000016</v>
      </c>
      <c r="L69" t="s">
        <v>91</v>
      </c>
      <c r="M69" t="s">
        <v>731</v>
      </c>
      <c r="N69" s="18"/>
      <c r="O69" s="18"/>
      <c r="P69" s="18"/>
      <c r="Q69" s="18"/>
      <c r="R69" s="18"/>
    </row>
    <row r="70" spans="1:18">
      <c r="A70" s="120" t="s">
        <v>152</v>
      </c>
      <c r="B70" s="125">
        <v>2403.8200000000002</v>
      </c>
      <c r="C70" s="118">
        <v>1683.72</v>
      </c>
      <c r="D70" s="118">
        <v>1683.72</v>
      </c>
      <c r="E70" s="118">
        <v>1683.72</v>
      </c>
      <c r="F70" s="118">
        <v>1683.72</v>
      </c>
      <c r="G70" s="122">
        <f t="shared" si="0"/>
        <v>1.5185400471060193E-2</v>
      </c>
      <c r="H70" s="118">
        <f t="shared" si="2"/>
        <v>6734.88</v>
      </c>
      <c r="I70" s="18">
        <f t="shared" si="3"/>
        <v>4331.0599999999995</v>
      </c>
      <c r="L70" t="s">
        <v>152</v>
      </c>
      <c r="M70" t="s">
        <v>732</v>
      </c>
      <c r="N70" s="18"/>
      <c r="O70" s="18"/>
      <c r="P70" s="18"/>
      <c r="Q70" s="18"/>
      <c r="R70" s="18"/>
    </row>
    <row r="71" spans="1:18">
      <c r="A71" s="133" t="s">
        <v>419</v>
      </c>
      <c r="B71" s="125"/>
      <c r="C71" s="118"/>
      <c r="D71" s="118"/>
      <c r="E71" s="118"/>
      <c r="F71" s="118"/>
      <c r="G71" s="122"/>
      <c r="H71" s="118"/>
      <c r="I71" s="18">
        <f t="shared" si="3"/>
        <v>0</v>
      </c>
      <c r="L71" t="s">
        <v>529</v>
      </c>
      <c r="N71" s="18"/>
      <c r="O71" s="18"/>
      <c r="P71" s="18"/>
      <c r="Q71" s="18"/>
      <c r="R71" s="18"/>
    </row>
    <row r="72" spans="1:18">
      <c r="A72" s="120" t="s">
        <v>420</v>
      </c>
      <c r="B72" s="125">
        <v>0</v>
      </c>
      <c r="C72" s="118">
        <v>0</v>
      </c>
      <c r="D72" s="118">
        <v>0</v>
      </c>
      <c r="E72" s="118">
        <v>0</v>
      </c>
      <c r="F72" s="118">
        <v>0</v>
      </c>
      <c r="G72" s="122">
        <f t="shared" ref="G72:G135" si="4">H72/$H$10</f>
        <v>0</v>
      </c>
      <c r="H72" s="118">
        <f t="shared" si="2"/>
        <v>0</v>
      </c>
      <c r="I72" s="18">
        <f t="shared" si="3"/>
        <v>0</v>
      </c>
      <c r="L72" t="s">
        <v>529</v>
      </c>
      <c r="N72" s="18"/>
      <c r="O72" s="18"/>
      <c r="P72" s="18"/>
      <c r="Q72" s="18"/>
      <c r="R72" s="18"/>
    </row>
    <row r="73" spans="1:18">
      <c r="A73" s="120" t="s">
        <v>421</v>
      </c>
      <c r="B73" s="125">
        <v>309.85000000000002</v>
      </c>
      <c r="C73" s="118">
        <v>0</v>
      </c>
      <c r="D73" s="118">
        <v>139.61000000000001</v>
      </c>
      <c r="E73" s="118">
        <v>139.61000000000001</v>
      </c>
      <c r="F73" s="118">
        <v>0</v>
      </c>
      <c r="G73" s="122">
        <f t="shared" si="4"/>
        <v>6.2956838422205397E-4</v>
      </c>
      <c r="H73" s="118">
        <f t="shared" si="2"/>
        <v>279.22000000000003</v>
      </c>
      <c r="I73" s="18">
        <f t="shared" si="3"/>
        <v>-30.629999999999995</v>
      </c>
      <c r="L73" t="s">
        <v>132</v>
      </c>
      <c r="N73" s="18"/>
      <c r="O73" s="18"/>
      <c r="P73" s="18"/>
      <c r="Q73" s="18"/>
      <c r="R73" s="18"/>
    </row>
    <row r="74" spans="1:18">
      <c r="A74" s="120" t="s">
        <v>422</v>
      </c>
      <c r="B74" s="125">
        <v>0</v>
      </c>
      <c r="C74" s="118">
        <v>0</v>
      </c>
      <c r="D74" s="118">
        <v>0</v>
      </c>
      <c r="E74" s="118">
        <v>0</v>
      </c>
      <c r="F74" s="118">
        <v>0</v>
      </c>
      <c r="G74" s="122">
        <f t="shared" si="4"/>
        <v>0</v>
      </c>
      <c r="H74" s="118">
        <f t="shared" si="2"/>
        <v>0</v>
      </c>
      <c r="I74" s="18">
        <f t="shared" si="3"/>
        <v>0</v>
      </c>
      <c r="L74" t="s">
        <v>529</v>
      </c>
      <c r="N74" s="18"/>
      <c r="O74" s="18"/>
      <c r="P74" s="18"/>
      <c r="Q74" s="18"/>
      <c r="R74" s="18"/>
    </row>
    <row r="75" spans="1:18">
      <c r="A75" s="120" t="s">
        <v>423</v>
      </c>
      <c r="B75" s="125">
        <v>869.23</v>
      </c>
      <c r="C75" s="118">
        <v>460.21</v>
      </c>
      <c r="D75" s="118">
        <v>0</v>
      </c>
      <c r="E75" s="118">
        <v>460.21</v>
      </c>
      <c r="F75" s="118">
        <v>460.21</v>
      </c>
      <c r="G75" s="122">
        <f t="shared" si="4"/>
        <v>3.1129610998800023E-3</v>
      </c>
      <c r="H75" s="118">
        <f t="shared" si="2"/>
        <v>1380.6299999999999</v>
      </c>
      <c r="I75" s="18">
        <f t="shared" si="3"/>
        <v>511.39999999999986</v>
      </c>
      <c r="L75" t="s">
        <v>89</v>
      </c>
      <c r="N75" s="18"/>
      <c r="O75" s="18"/>
      <c r="P75" s="18"/>
      <c r="Q75" s="18"/>
      <c r="R75" s="18"/>
    </row>
    <row r="76" spans="1:18">
      <c r="A76" s="120" t="s">
        <v>424</v>
      </c>
      <c r="B76" s="125">
        <v>0</v>
      </c>
      <c r="C76" s="118">
        <v>0</v>
      </c>
      <c r="D76" s="118">
        <v>0</v>
      </c>
      <c r="E76" s="118">
        <v>0</v>
      </c>
      <c r="F76" s="118">
        <v>0</v>
      </c>
      <c r="G76" s="122">
        <f t="shared" si="4"/>
        <v>0</v>
      </c>
      <c r="H76" s="118">
        <f t="shared" si="2"/>
        <v>0</v>
      </c>
      <c r="I76" s="18">
        <f t="shared" si="3"/>
        <v>0</v>
      </c>
      <c r="L76" t="s">
        <v>529</v>
      </c>
      <c r="N76" s="18"/>
      <c r="O76" s="18"/>
      <c r="P76" s="18"/>
      <c r="Q76" s="18"/>
      <c r="R76" s="18"/>
    </row>
    <row r="77" spans="1:18">
      <c r="A77" s="120" t="s">
        <v>425</v>
      </c>
      <c r="B77" s="125">
        <v>4548.3100000000004</v>
      </c>
      <c r="C77" s="118">
        <v>2328.67</v>
      </c>
      <c r="D77" s="118">
        <v>2328.67</v>
      </c>
      <c r="E77" s="118">
        <v>2328.67</v>
      </c>
      <c r="F77" s="118">
        <v>2328.67</v>
      </c>
      <c r="G77" s="122">
        <f t="shared" si="4"/>
        <v>2.1002177627481848E-2</v>
      </c>
      <c r="H77" s="118">
        <f t="shared" si="2"/>
        <v>9314.68</v>
      </c>
      <c r="I77" s="18">
        <f t="shared" si="3"/>
        <v>4766.37</v>
      </c>
      <c r="L77" t="s">
        <v>209</v>
      </c>
      <c r="M77" t="s">
        <v>729</v>
      </c>
      <c r="N77" s="18"/>
      <c r="O77" s="18"/>
      <c r="P77" s="18"/>
      <c r="Q77" s="18"/>
      <c r="R77" s="18"/>
    </row>
    <row r="78" spans="1:18">
      <c r="A78" s="120" t="s">
        <v>426</v>
      </c>
      <c r="B78" s="125">
        <v>743.73</v>
      </c>
      <c r="C78" s="118">
        <v>0</v>
      </c>
      <c r="D78" s="118">
        <v>0</v>
      </c>
      <c r="E78" s="118">
        <v>0</v>
      </c>
      <c r="F78" s="118">
        <v>0</v>
      </c>
      <c r="G78" s="122">
        <f t="shared" si="4"/>
        <v>0</v>
      </c>
      <c r="H78" s="118">
        <f t="shared" si="2"/>
        <v>0</v>
      </c>
      <c r="I78" s="18">
        <f t="shared" si="3"/>
        <v>-743.73</v>
      </c>
      <c r="L78" t="s">
        <v>209</v>
      </c>
      <c r="M78" t="s">
        <v>729</v>
      </c>
      <c r="N78" s="18"/>
      <c r="O78" s="18"/>
      <c r="P78" s="18"/>
      <c r="Q78" s="18"/>
      <c r="R78" s="18"/>
    </row>
    <row r="79" spans="1:18">
      <c r="A79" s="137" t="s">
        <v>427</v>
      </c>
      <c r="B79" s="125">
        <v>0</v>
      </c>
      <c r="C79" s="118">
        <v>0</v>
      </c>
      <c r="D79" s="118">
        <v>0</v>
      </c>
      <c r="E79" s="118">
        <v>0</v>
      </c>
      <c r="F79" s="118">
        <v>0</v>
      </c>
      <c r="G79" s="122">
        <f t="shared" si="4"/>
        <v>0</v>
      </c>
      <c r="H79" s="118">
        <f t="shared" si="2"/>
        <v>0</v>
      </c>
      <c r="I79" s="18">
        <f t="shared" si="3"/>
        <v>0</v>
      </c>
      <c r="L79" t="s">
        <v>529</v>
      </c>
      <c r="N79" s="18"/>
      <c r="O79" s="18"/>
      <c r="P79" s="18"/>
      <c r="Q79" s="18"/>
      <c r="R79" s="18"/>
    </row>
    <row r="80" spans="1:18">
      <c r="A80" s="137" t="s">
        <v>71</v>
      </c>
      <c r="B80" s="125">
        <v>345.96999999999997</v>
      </c>
      <c r="C80" s="118">
        <v>0</v>
      </c>
      <c r="D80" s="118">
        <v>0</v>
      </c>
      <c r="E80" s="118">
        <v>0</v>
      </c>
      <c r="F80" s="118">
        <v>0</v>
      </c>
      <c r="G80" s="122">
        <f t="shared" si="4"/>
        <v>0</v>
      </c>
      <c r="H80" s="118">
        <f t="shared" ref="H80:H137" si="5">SUM(C80:F80)</f>
        <v>0</v>
      </c>
      <c r="I80" s="18">
        <f t="shared" si="3"/>
        <v>-345.96999999999997</v>
      </c>
      <c r="L80" t="s">
        <v>71</v>
      </c>
      <c r="N80" s="18"/>
      <c r="O80" s="18"/>
      <c r="P80" s="18"/>
      <c r="Q80" s="18"/>
      <c r="R80" s="18"/>
    </row>
    <row r="81" spans="1:18">
      <c r="A81" s="120" t="s">
        <v>85</v>
      </c>
      <c r="B81" s="125">
        <v>3432.3599999999997</v>
      </c>
      <c r="C81" s="118">
        <v>527.75</v>
      </c>
      <c r="D81" s="118">
        <v>1074.9100000000001</v>
      </c>
      <c r="E81" s="118">
        <v>0</v>
      </c>
      <c r="F81" s="118">
        <v>0</v>
      </c>
      <c r="G81" s="122">
        <f t="shared" si="4"/>
        <v>3.6135809277892594E-3</v>
      </c>
      <c r="H81" s="118">
        <f t="shared" si="5"/>
        <v>1602.66</v>
      </c>
      <c r="I81" s="18">
        <f t="shared" si="3"/>
        <v>-1829.6999999999996</v>
      </c>
      <c r="L81" t="s">
        <v>85</v>
      </c>
      <c r="N81" s="18"/>
      <c r="O81" s="18"/>
      <c r="P81" s="18"/>
      <c r="Q81" s="18"/>
      <c r="R81" s="18"/>
    </row>
    <row r="82" spans="1:18">
      <c r="A82" s="120" t="s">
        <v>428</v>
      </c>
      <c r="B82" s="125">
        <v>1499.6899999999998</v>
      </c>
      <c r="C82" s="118">
        <v>0.63</v>
      </c>
      <c r="D82" s="118">
        <v>20.88</v>
      </c>
      <c r="E82" s="118">
        <v>0</v>
      </c>
      <c r="F82" s="118">
        <v>0</v>
      </c>
      <c r="G82" s="122">
        <f t="shared" si="4"/>
        <v>4.8499448265225914E-5</v>
      </c>
      <c r="H82" s="118">
        <f t="shared" si="5"/>
        <v>21.509999999999998</v>
      </c>
      <c r="I82" s="18">
        <f t="shared" ref="I82:I140" si="6">H82-B82</f>
        <v>-1478.1799999999998</v>
      </c>
      <c r="L82" t="s">
        <v>97</v>
      </c>
      <c r="N82" s="18"/>
      <c r="O82" s="18"/>
      <c r="P82" s="18"/>
      <c r="Q82" s="18"/>
      <c r="R82" s="18"/>
    </row>
    <row r="83" spans="1:18">
      <c r="A83" s="120" t="s">
        <v>429</v>
      </c>
      <c r="B83" s="125">
        <v>0</v>
      </c>
      <c r="C83" s="118">
        <v>0</v>
      </c>
      <c r="D83" s="118">
        <v>0</v>
      </c>
      <c r="E83" s="118">
        <v>0</v>
      </c>
      <c r="F83" s="118">
        <v>0</v>
      </c>
      <c r="G83" s="122">
        <f t="shared" si="4"/>
        <v>0</v>
      </c>
      <c r="H83" s="118">
        <f t="shared" si="5"/>
        <v>0</v>
      </c>
      <c r="I83" s="18">
        <f t="shared" si="6"/>
        <v>0</v>
      </c>
      <c r="L83" t="s">
        <v>529</v>
      </c>
      <c r="N83" s="18"/>
      <c r="O83" s="18"/>
      <c r="P83" s="18"/>
      <c r="Q83" s="18"/>
      <c r="R83" s="18"/>
    </row>
    <row r="84" spans="1:18">
      <c r="A84" s="120" t="s">
        <v>430</v>
      </c>
      <c r="B84" s="138">
        <v>750</v>
      </c>
      <c r="C84" s="134">
        <v>854.27</v>
      </c>
      <c r="D84" s="134">
        <v>854.27</v>
      </c>
      <c r="E84" s="134">
        <v>854.27</v>
      </c>
      <c r="F84" s="134">
        <v>854.27</v>
      </c>
      <c r="G84" s="135">
        <f t="shared" si="4"/>
        <v>7.7046255080491944E-3</v>
      </c>
      <c r="H84" s="134">
        <f t="shared" si="5"/>
        <v>3417.08</v>
      </c>
      <c r="I84" s="18">
        <f t="shared" si="6"/>
        <v>2667.08</v>
      </c>
      <c r="L84" t="s">
        <v>209</v>
      </c>
      <c r="M84" t="s">
        <v>729</v>
      </c>
      <c r="N84" s="18"/>
      <c r="O84" s="18"/>
      <c r="P84" s="18"/>
      <c r="Q84" s="18"/>
      <c r="R84" s="18"/>
    </row>
    <row r="85" spans="1:18">
      <c r="A85" s="131" t="s">
        <v>392</v>
      </c>
      <c r="B85" s="125">
        <v>2450.3500000000004</v>
      </c>
      <c r="C85" s="118">
        <v>1368.25</v>
      </c>
      <c r="D85" s="118">
        <v>1368.25</v>
      </c>
      <c r="E85" s="118">
        <v>1368.25</v>
      </c>
      <c r="F85" s="118">
        <v>1368.25</v>
      </c>
      <c r="G85" s="122">
        <f t="shared" si="4"/>
        <v>1.234018969574995E-2</v>
      </c>
      <c r="H85" s="118">
        <f t="shared" si="5"/>
        <v>5473</v>
      </c>
      <c r="I85" s="18">
        <f t="shared" si="6"/>
        <v>3022.6499999999996</v>
      </c>
      <c r="L85" t="s">
        <v>209</v>
      </c>
      <c r="M85" t="s">
        <v>729</v>
      </c>
      <c r="N85" s="18"/>
      <c r="O85" s="18"/>
      <c r="P85" s="18"/>
      <c r="Q85" s="18"/>
      <c r="R85" s="18"/>
    </row>
    <row r="86" spans="1:18">
      <c r="A86" s="120" t="s">
        <v>431</v>
      </c>
      <c r="B86" s="125">
        <v>23465.289999999997</v>
      </c>
      <c r="C86" s="118">
        <v>2288.77</v>
      </c>
      <c r="D86" s="118">
        <v>0</v>
      </c>
      <c r="E86" s="118">
        <v>0</v>
      </c>
      <c r="F86" s="118">
        <v>0</v>
      </c>
      <c r="G86" s="122">
        <f t="shared" si="4"/>
        <v>5.1605802978150223E-3</v>
      </c>
      <c r="H86" s="118">
        <f t="shared" si="5"/>
        <v>2288.77</v>
      </c>
      <c r="I86" s="18">
        <f t="shared" si="6"/>
        <v>-21176.519999999997</v>
      </c>
      <c r="L86" t="s">
        <v>68</v>
      </c>
      <c r="N86" s="18"/>
      <c r="O86" s="18"/>
      <c r="P86" s="18"/>
      <c r="Q86" s="18"/>
      <c r="R86" s="18"/>
    </row>
    <row r="87" spans="1:18">
      <c r="A87" s="137" t="s">
        <v>432</v>
      </c>
      <c r="B87" s="125">
        <v>2095.96</v>
      </c>
      <c r="C87" s="118">
        <v>313.61</v>
      </c>
      <c r="D87" s="118">
        <v>313.61</v>
      </c>
      <c r="E87" s="118">
        <v>313.61</v>
      </c>
      <c r="F87" s="118">
        <v>313.61</v>
      </c>
      <c r="G87" s="122">
        <f t="shared" si="4"/>
        <v>2.828435512869828E-3</v>
      </c>
      <c r="H87" s="118">
        <f t="shared" si="5"/>
        <v>1254.44</v>
      </c>
      <c r="I87" s="18">
        <f t="shared" si="6"/>
        <v>-841.52</v>
      </c>
      <c r="L87" t="s">
        <v>76</v>
      </c>
      <c r="N87" s="18"/>
      <c r="O87" s="18"/>
      <c r="P87" s="18"/>
      <c r="Q87" s="18"/>
      <c r="R87" s="18"/>
    </row>
    <row r="88" spans="1:18">
      <c r="A88" s="137" t="s">
        <v>134</v>
      </c>
      <c r="B88" s="125">
        <v>200</v>
      </c>
      <c r="C88" s="118">
        <v>0</v>
      </c>
      <c r="D88" s="118">
        <v>0</v>
      </c>
      <c r="E88" s="118">
        <v>0</v>
      </c>
      <c r="F88" s="118">
        <v>0</v>
      </c>
      <c r="G88" s="122">
        <f t="shared" si="4"/>
        <v>0</v>
      </c>
      <c r="H88" s="118">
        <f t="shared" si="5"/>
        <v>0</v>
      </c>
      <c r="I88" s="18">
        <f t="shared" si="6"/>
        <v>-200</v>
      </c>
      <c r="L88" t="s">
        <v>134</v>
      </c>
      <c r="N88" s="18"/>
      <c r="O88" s="18"/>
      <c r="P88" s="18"/>
      <c r="Q88" s="18"/>
      <c r="R88" s="18"/>
    </row>
    <row r="89" spans="1:18">
      <c r="A89" s="120" t="s">
        <v>433</v>
      </c>
      <c r="B89" s="125">
        <v>1682.6100000000001</v>
      </c>
      <c r="C89" s="118">
        <v>0</v>
      </c>
      <c r="D89" s="118">
        <v>0</v>
      </c>
      <c r="E89" s="118">
        <v>0</v>
      </c>
      <c r="F89" s="118">
        <v>0</v>
      </c>
      <c r="G89" s="122">
        <f t="shared" si="4"/>
        <v>0</v>
      </c>
      <c r="H89" s="118">
        <f t="shared" si="5"/>
        <v>0</v>
      </c>
      <c r="I89" s="18">
        <f t="shared" si="6"/>
        <v>-1682.6100000000001</v>
      </c>
      <c r="L89" t="s">
        <v>128</v>
      </c>
      <c r="N89" s="18"/>
      <c r="O89" s="18"/>
      <c r="P89" s="18"/>
      <c r="Q89" s="18"/>
      <c r="R89" s="18"/>
    </row>
    <row r="90" spans="1:18">
      <c r="A90" s="120" t="s">
        <v>434</v>
      </c>
      <c r="B90" s="125">
        <v>764.4</v>
      </c>
      <c r="C90" s="118">
        <v>0</v>
      </c>
      <c r="D90" s="118">
        <v>0</v>
      </c>
      <c r="E90" s="118">
        <v>0</v>
      </c>
      <c r="F90" s="118">
        <v>0</v>
      </c>
      <c r="G90" s="122">
        <f t="shared" si="4"/>
        <v>0</v>
      </c>
      <c r="H90" s="118">
        <f t="shared" si="5"/>
        <v>0</v>
      </c>
      <c r="I90" s="18">
        <f t="shared" si="6"/>
        <v>-764.4</v>
      </c>
      <c r="L90" t="s">
        <v>130</v>
      </c>
      <c r="N90" s="18"/>
      <c r="O90" s="18"/>
      <c r="P90" s="18"/>
      <c r="Q90" s="18"/>
      <c r="R90" s="18"/>
    </row>
    <row r="91" spans="1:18">
      <c r="A91" s="120" t="s">
        <v>435</v>
      </c>
      <c r="B91" s="125">
        <v>2312.8199999999997</v>
      </c>
      <c r="C91" s="118">
        <v>0</v>
      </c>
      <c r="D91" s="118">
        <v>394.88</v>
      </c>
      <c r="E91" s="118">
        <v>0</v>
      </c>
      <c r="F91" s="118">
        <v>0</v>
      </c>
      <c r="G91" s="122">
        <f t="shared" si="4"/>
        <v>8.9035156350406367E-4</v>
      </c>
      <c r="H91" s="118">
        <f t="shared" si="5"/>
        <v>394.88</v>
      </c>
      <c r="I91" s="18">
        <f t="shared" si="6"/>
        <v>-1917.9399999999996</v>
      </c>
      <c r="L91" t="s">
        <v>16</v>
      </c>
      <c r="N91" s="18"/>
      <c r="O91" s="18"/>
      <c r="P91" s="18"/>
      <c r="Q91" s="18"/>
      <c r="R91" s="18"/>
    </row>
    <row r="92" spans="1:18">
      <c r="A92" s="120" t="s">
        <v>436</v>
      </c>
      <c r="B92" s="125">
        <v>0</v>
      </c>
      <c r="C92" s="118">
        <v>0</v>
      </c>
      <c r="D92" s="118">
        <v>0</v>
      </c>
      <c r="E92" s="118">
        <v>0</v>
      </c>
      <c r="F92" s="118">
        <v>0</v>
      </c>
      <c r="G92" s="122">
        <f t="shared" si="4"/>
        <v>0</v>
      </c>
      <c r="H92" s="118">
        <f t="shared" si="5"/>
        <v>0</v>
      </c>
      <c r="I92" s="18">
        <f t="shared" si="6"/>
        <v>0</v>
      </c>
      <c r="L92" t="s">
        <v>529</v>
      </c>
      <c r="N92" s="18"/>
      <c r="O92" s="18"/>
      <c r="P92" s="18"/>
      <c r="Q92" s="18"/>
      <c r="R92" s="18"/>
    </row>
    <row r="93" spans="1:18">
      <c r="A93" s="120" t="s">
        <v>437</v>
      </c>
      <c r="B93" s="125">
        <v>0</v>
      </c>
      <c r="C93" s="118">
        <v>0</v>
      </c>
      <c r="D93" s="118">
        <v>0</v>
      </c>
      <c r="E93" s="118">
        <v>0</v>
      </c>
      <c r="F93" s="118">
        <v>0</v>
      </c>
      <c r="G93" s="122">
        <f t="shared" si="4"/>
        <v>0</v>
      </c>
      <c r="H93" s="118">
        <f t="shared" si="5"/>
        <v>0</v>
      </c>
      <c r="I93" s="18">
        <f t="shared" si="6"/>
        <v>0</v>
      </c>
      <c r="L93" t="s">
        <v>529</v>
      </c>
      <c r="N93" s="18"/>
      <c r="O93" s="18"/>
      <c r="P93" s="18"/>
      <c r="Q93" s="18"/>
      <c r="R93" s="18"/>
    </row>
    <row r="94" spans="1:18">
      <c r="A94" s="120" t="s">
        <v>438</v>
      </c>
      <c r="B94" s="125">
        <v>943.01</v>
      </c>
      <c r="C94" s="118">
        <v>0</v>
      </c>
      <c r="D94" s="118">
        <v>474.59</v>
      </c>
      <c r="E94" s="118">
        <v>474.59</v>
      </c>
      <c r="F94" s="118">
        <v>474.59</v>
      </c>
      <c r="G94" s="122">
        <f t="shared" si="4"/>
        <v>3.2102305651594935E-3</v>
      </c>
      <c r="H94" s="118">
        <f t="shared" si="5"/>
        <v>1423.77</v>
      </c>
      <c r="I94" s="18">
        <f t="shared" si="6"/>
        <v>480.76</v>
      </c>
      <c r="L94" t="s">
        <v>158</v>
      </c>
      <c r="N94" s="18"/>
      <c r="O94" s="18"/>
      <c r="P94" s="18"/>
      <c r="Q94" s="18"/>
      <c r="R94" s="18"/>
    </row>
    <row r="95" spans="1:18">
      <c r="A95" s="120" t="s">
        <v>439</v>
      </c>
      <c r="B95" s="125">
        <v>5256.43</v>
      </c>
      <c r="C95" s="118">
        <v>0</v>
      </c>
      <c r="D95" s="118">
        <v>0</v>
      </c>
      <c r="E95" s="118">
        <v>0</v>
      </c>
      <c r="F95" s="118">
        <v>0</v>
      </c>
      <c r="G95" s="122">
        <f t="shared" si="4"/>
        <v>0</v>
      </c>
      <c r="H95" s="118">
        <f t="shared" si="5"/>
        <v>0</v>
      </c>
      <c r="I95" s="18">
        <f t="shared" si="6"/>
        <v>-5256.43</v>
      </c>
      <c r="L95" t="s">
        <v>118</v>
      </c>
      <c r="N95" s="18"/>
      <c r="O95" s="18"/>
      <c r="P95" s="18"/>
      <c r="Q95" s="18"/>
      <c r="R95" s="18"/>
    </row>
    <row r="96" spans="1:18">
      <c r="A96" s="137" t="s">
        <v>440</v>
      </c>
      <c r="B96" s="125">
        <v>0</v>
      </c>
      <c r="C96" s="118">
        <v>0</v>
      </c>
      <c r="D96" s="118">
        <v>0</v>
      </c>
      <c r="E96" s="118">
        <v>0</v>
      </c>
      <c r="F96" s="118">
        <v>0</v>
      </c>
      <c r="G96" s="122">
        <f t="shared" si="4"/>
        <v>0</v>
      </c>
      <c r="H96" s="118">
        <f t="shared" si="5"/>
        <v>0</v>
      </c>
      <c r="I96" s="18">
        <f t="shared" si="6"/>
        <v>0</v>
      </c>
      <c r="N96" s="18"/>
      <c r="O96" s="18"/>
      <c r="P96" s="18"/>
      <c r="Q96" s="18"/>
      <c r="R96" s="18"/>
    </row>
    <row r="97" spans="1:18">
      <c r="A97" s="137" t="s">
        <v>441</v>
      </c>
      <c r="B97" s="125">
        <v>0</v>
      </c>
      <c r="C97" s="118">
        <v>0</v>
      </c>
      <c r="D97" s="118">
        <v>0</v>
      </c>
      <c r="E97" s="118">
        <v>0</v>
      </c>
      <c r="F97" s="118">
        <v>0</v>
      </c>
      <c r="G97" s="122">
        <f t="shared" si="4"/>
        <v>0</v>
      </c>
      <c r="H97" s="118">
        <f t="shared" si="5"/>
        <v>0</v>
      </c>
      <c r="I97" s="18">
        <f t="shared" si="6"/>
        <v>0</v>
      </c>
      <c r="L97" t="s">
        <v>529</v>
      </c>
      <c r="N97" s="18"/>
      <c r="O97" s="18"/>
      <c r="P97" s="18"/>
      <c r="Q97" s="18"/>
      <c r="R97" s="18"/>
    </row>
    <row r="98" spans="1:18">
      <c r="A98" s="126" t="s">
        <v>442</v>
      </c>
      <c r="B98" s="127">
        <f>SUM(B63:B97)</f>
        <v>123061.4515</v>
      </c>
      <c r="C98" s="127">
        <f>SUM(C63:C97)</f>
        <v>14123.69</v>
      </c>
      <c r="D98" s="127">
        <f>SUM(D63:D97)</f>
        <v>12951.199999999999</v>
      </c>
      <c r="E98" s="127">
        <f>SUM(E63:E97)</f>
        <v>11920.740000000002</v>
      </c>
      <c r="F98" s="127">
        <f>SUM(F63:F97)</f>
        <v>11781.130000000001</v>
      </c>
      <c r="G98" s="122">
        <f t="shared" si="4"/>
        <v>0.11448837027874445</v>
      </c>
      <c r="H98" s="116">
        <f>SUM(C98:F98)</f>
        <v>50776.760000000009</v>
      </c>
      <c r="I98" s="18">
        <f t="shared" si="6"/>
        <v>-72284.691499999986</v>
      </c>
      <c r="L98" t="s">
        <v>529</v>
      </c>
      <c r="N98" s="18"/>
      <c r="O98" s="18"/>
      <c r="P98" s="18"/>
      <c r="Q98" s="18"/>
      <c r="R98" s="18"/>
    </row>
    <row r="99" spans="1:18">
      <c r="A99" s="130" t="s">
        <v>443</v>
      </c>
      <c r="B99" s="127">
        <f>B98+B59</f>
        <v>162561.4515</v>
      </c>
      <c r="C99" s="127">
        <f>C98+C59</f>
        <v>23383.96</v>
      </c>
      <c r="D99" s="127">
        <f>D98+D59</f>
        <v>16094.66</v>
      </c>
      <c r="E99" s="127">
        <f>E98+E59</f>
        <v>23101.120000000003</v>
      </c>
      <c r="F99" s="127">
        <f>F98+F59</f>
        <v>21041.4</v>
      </c>
      <c r="G99" s="122">
        <f t="shared" si="4"/>
        <v>0.18854389369173472</v>
      </c>
      <c r="H99" s="116">
        <f>SUM(C99:F99)</f>
        <v>83621.14</v>
      </c>
      <c r="I99" s="18">
        <f t="shared" si="6"/>
        <v>-78940.311499999996</v>
      </c>
      <c r="L99" t="s">
        <v>529</v>
      </c>
      <c r="N99" s="18"/>
      <c r="O99" s="18"/>
      <c r="P99" s="18"/>
      <c r="Q99" s="18"/>
      <c r="R99" s="18"/>
    </row>
    <row r="100" spans="1:18">
      <c r="A100" s="130"/>
      <c r="B100" s="125"/>
      <c r="C100" s="118"/>
      <c r="D100" s="118"/>
      <c r="E100" s="118"/>
      <c r="F100" s="118"/>
      <c r="G100" s="122"/>
      <c r="H100" s="118"/>
      <c r="I100" s="18">
        <f t="shared" si="6"/>
        <v>0</v>
      </c>
      <c r="L100" t="s">
        <v>529</v>
      </c>
      <c r="N100" s="18"/>
      <c r="O100" s="18"/>
      <c r="P100" s="18"/>
      <c r="Q100" s="18"/>
      <c r="R100" s="18"/>
    </row>
    <row r="101" spans="1:18">
      <c r="A101" s="114" t="s">
        <v>444</v>
      </c>
      <c r="B101" s="125"/>
      <c r="C101" s="118"/>
      <c r="D101" s="118"/>
      <c r="E101" s="118"/>
      <c r="F101" s="118"/>
      <c r="G101" s="122"/>
      <c r="H101" s="118"/>
      <c r="I101" s="18">
        <f t="shared" si="6"/>
        <v>0</v>
      </c>
      <c r="L101" t="s">
        <v>529</v>
      </c>
      <c r="N101" s="18"/>
      <c r="O101" s="18"/>
      <c r="P101" s="18"/>
      <c r="Q101" s="18"/>
      <c r="R101" s="18"/>
    </row>
    <row r="102" spans="1:18">
      <c r="A102" s="133" t="s">
        <v>445</v>
      </c>
      <c r="B102" s="125"/>
      <c r="C102" s="118"/>
      <c r="D102" s="118"/>
      <c r="E102" s="118"/>
      <c r="F102" s="118"/>
      <c r="G102" s="122"/>
      <c r="H102" s="118"/>
      <c r="I102" s="18">
        <f t="shared" si="6"/>
        <v>0</v>
      </c>
      <c r="L102" t="s">
        <v>529</v>
      </c>
      <c r="N102" s="18"/>
      <c r="O102" s="18"/>
      <c r="P102" s="18"/>
      <c r="Q102" s="18"/>
      <c r="R102" s="18"/>
    </row>
    <row r="103" spans="1:18">
      <c r="A103" s="120" t="s">
        <v>446</v>
      </c>
      <c r="B103" s="125">
        <v>0</v>
      </c>
      <c r="C103" s="118">
        <v>0</v>
      </c>
      <c r="D103" s="118">
        <v>0</v>
      </c>
      <c r="E103" s="118">
        <v>0</v>
      </c>
      <c r="F103" s="118">
        <v>0</v>
      </c>
      <c r="G103" s="122">
        <f t="shared" si="4"/>
        <v>0</v>
      </c>
      <c r="H103" s="118">
        <f t="shared" si="5"/>
        <v>0</v>
      </c>
      <c r="I103" s="18">
        <f t="shared" si="6"/>
        <v>0</v>
      </c>
      <c r="L103" t="s">
        <v>529</v>
      </c>
      <c r="N103" s="18"/>
      <c r="O103" s="18"/>
      <c r="P103" s="18"/>
      <c r="Q103" s="18"/>
      <c r="R103" s="18"/>
    </row>
    <row r="104" spans="1:18">
      <c r="A104" s="120" t="s">
        <v>447</v>
      </c>
      <c r="B104" s="125">
        <v>0</v>
      </c>
      <c r="C104" s="118">
        <v>0</v>
      </c>
      <c r="D104" s="118">
        <v>0</v>
      </c>
      <c r="E104" s="118">
        <v>0</v>
      </c>
      <c r="F104" s="118">
        <v>0</v>
      </c>
      <c r="G104" s="122">
        <f t="shared" si="4"/>
        <v>0</v>
      </c>
      <c r="H104" s="118">
        <f t="shared" si="5"/>
        <v>0</v>
      </c>
      <c r="I104" s="18">
        <f t="shared" si="6"/>
        <v>0</v>
      </c>
      <c r="L104" t="s">
        <v>529</v>
      </c>
      <c r="N104" s="18"/>
      <c r="O104" s="18"/>
      <c r="P104" s="18"/>
      <c r="Q104" s="18"/>
      <c r="R104" s="18"/>
    </row>
    <row r="105" spans="1:18">
      <c r="A105" s="120" t="s">
        <v>448</v>
      </c>
      <c r="B105" s="125">
        <v>0</v>
      </c>
      <c r="C105" s="118">
        <v>0</v>
      </c>
      <c r="D105" s="118">
        <v>0</v>
      </c>
      <c r="E105" s="118">
        <v>0</v>
      </c>
      <c r="F105" s="118">
        <v>0</v>
      </c>
      <c r="G105" s="122">
        <f t="shared" si="4"/>
        <v>0</v>
      </c>
      <c r="H105" s="118">
        <f t="shared" si="5"/>
        <v>0</v>
      </c>
      <c r="I105" s="18">
        <f t="shared" si="6"/>
        <v>0</v>
      </c>
      <c r="L105" t="s">
        <v>529</v>
      </c>
      <c r="N105" s="18"/>
      <c r="O105" s="18"/>
      <c r="P105" s="18"/>
      <c r="Q105" s="18"/>
      <c r="R105" s="18"/>
    </row>
    <row r="106" spans="1:18">
      <c r="A106" s="120" t="s">
        <v>449</v>
      </c>
      <c r="B106" s="125">
        <v>0</v>
      </c>
      <c r="C106" s="118">
        <v>0</v>
      </c>
      <c r="D106" s="118">
        <v>0</v>
      </c>
      <c r="E106" s="118">
        <v>0</v>
      </c>
      <c r="F106" s="118">
        <v>0</v>
      </c>
      <c r="G106" s="122">
        <f t="shared" si="4"/>
        <v>0</v>
      </c>
      <c r="H106" s="118">
        <f t="shared" si="5"/>
        <v>0</v>
      </c>
      <c r="I106" s="18">
        <f t="shared" si="6"/>
        <v>0</v>
      </c>
      <c r="L106" t="s">
        <v>529</v>
      </c>
      <c r="N106" s="18"/>
      <c r="O106" s="18"/>
      <c r="P106" s="18"/>
      <c r="Q106" s="18"/>
      <c r="R106" s="18"/>
    </row>
    <row r="107" spans="1:18">
      <c r="A107" s="120" t="s">
        <v>450</v>
      </c>
      <c r="B107" s="125">
        <v>0</v>
      </c>
      <c r="C107" s="118">
        <v>0</v>
      </c>
      <c r="D107" s="118">
        <v>0</v>
      </c>
      <c r="E107" s="118">
        <v>0</v>
      </c>
      <c r="F107" s="118">
        <v>0</v>
      </c>
      <c r="G107" s="122">
        <f t="shared" si="4"/>
        <v>0</v>
      </c>
      <c r="H107" s="118">
        <f t="shared" si="5"/>
        <v>0</v>
      </c>
      <c r="I107" s="18">
        <f t="shared" si="6"/>
        <v>0</v>
      </c>
      <c r="L107" t="s">
        <v>529</v>
      </c>
      <c r="N107" s="18"/>
      <c r="O107" s="18"/>
      <c r="P107" s="18"/>
      <c r="Q107" s="18"/>
      <c r="R107" s="18"/>
    </row>
    <row r="108" spans="1:18">
      <c r="A108" s="120" t="s">
        <v>451</v>
      </c>
      <c r="B108" s="125">
        <v>0</v>
      </c>
      <c r="C108" s="118">
        <v>0</v>
      </c>
      <c r="D108" s="118">
        <v>0</v>
      </c>
      <c r="E108" s="118">
        <v>0</v>
      </c>
      <c r="F108" s="118">
        <v>0</v>
      </c>
      <c r="G108" s="122">
        <f t="shared" si="4"/>
        <v>0</v>
      </c>
      <c r="H108" s="118">
        <f t="shared" si="5"/>
        <v>0</v>
      </c>
      <c r="I108" s="18">
        <f t="shared" si="6"/>
        <v>0</v>
      </c>
      <c r="L108" t="s">
        <v>529</v>
      </c>
      <c r="N108" s="18"/>
      <c r="O108" s="18"/>
      <c r="P108" s="18"/>
      <c r="Q108" s="18"/>
      <c r="R108" s="18"/>
    </row>
    <row r="109" spans="1:18">
      <c r="A109" s="120" t="s">
        <v>452</v>
      </c>
      <c r="B109" s="125">
        <v>0</v>
      </c>
      <c r="C109" s="118">
        <v>0</v>
      </c>
      <c r="D109" s="118">
        <v>0</v>
      </c>
      <c r="E109" s="118">
        <v>0</v>
      </c>
      <c r="F109" s="118">
        <v>0</v>
      </c>
      <c r="G109" s="122">
        <f t="shared" si="4"/>
        <v>0</v>
      </c>
      <c r="H109" s="118">
        <f t="shared" si="5"/>
        <v>0</v>
      </c>
      <c r="I109" s="18">
        <f t="shared" si="6"/>
        <v>0</v>
      </c>
      <c r="L109" t="s">
        <v>529</v>
      </c>
      <c r="N109" s="18"/>
      <c r="O109" s="18"/>
      <c r="P109" s="18"/>
      <c r="Q109" s="18"/>
      <c r="R109" s="18"/>
    </row>
    <row r="110" spans="1:18">
      <c r="A110" s="120" t="s">
        <v>453</v>
      </c>
      <c r="B110" s="125">
        <v>0</v>
      </c>
      <c r="C110" s="118">
        <v>0</v>
      </c>
      <c r="D110" s="118">
        <v>0</v>
      </c>
      <c r="E110" s="118">
        <v>0</v>
      </c>
      <c r="F110" s="118">
        <v>0</v>
      </c>
      <c r="G110" s="122">
        <f t="shared" si="4"/>
        <v>0</v>
      </c>
      <c r="H110" s="118">
        <f t="shared" si="5"/>
        <v>0</v>
      </c>
      <c r="I110" s="18">
        <f t="shared" si="6"/>
        <v>0</v>
      </c>
      <c r="L110" t="s">
        <v>529</v>
      </c>
      <c r="N110" s="18"/>
      <c r="O110" s="18"/>
      <c r="P110" s="18"/>
      <c r="Q110" s="18"/>
      <c r="R110" s="18"/>
    </row>
    <row r="111" spans="1:18">
      <c r="A111" s="120" t="s">
        <v>454</v>
      </c>
      <c r="B111" s="125">
        <v>0</v>
      </c>
      <c r="C111" s="118">
        <v>0</v>
      </c>
      <c r="D111" s="118">
        <v>0</v>
      </c>
      <c r="E111" s="118">
        <v>0</v>
      </c>
      <c r="F111" s="118">
        <v>0</v>
      </c>
      <c r="G111" s="122">
        <f t="shared" si="4"/>
        <v>0</v>
      </c>
      <c r="H111" s="118">
        <f t="shared" si="5"/>
        <v>0</v>
      </c>
      <c r="I111" s="18">
        <f t="shared" si="6"/>
        <v>0</v>
      </c>
      <c r="L111" t="s">
        <v>529</v>
      </c>
      <c r="N111" s="18"/>
      <c r="O111" s="18"/>
      <c r="P111" s="18"/>
      <c r="Q111" s="18"/>
      <c r="R111" s="18"/>
    </row>
    <row r="112" spans="1:18">
      <c r="A112" s="120" t="s">
        <v>455</v>
      </c>
      <c r="B112" s="125">
        <v>0</v>
      </c>
      <c r="C112" s="118">
        <v>0</v>
      </c>
      <c r="D112" s="118">
        <v>0</v>
      </c>
      <c r="E112" s="118">
        <v>0</v>
      </c>
      <c r="F112" s="118">
        <v>0</v>
      </c>
      <c r="G112" s="122">
        <f t="shared" si="4"/>
        <v>0</v>
      </c>
      <c r="H112" s="118">
        <f t="shared" si="5"/>
        <v>0</v>
      </c>
      <c r="I112" s="18">
        <f t="shared" si="6"/>
        <v>0</v>
      </c>
      <c r="L112" t="s">
        <v>529</v>
      </c>
      <c r="N112" s="18"/>
      <c r="O112" s="18"/>
      <c r="P112" s="18"/>
      <c r="Q112" s="18"/>
      <c r="R112" s="18"/>
    </row>
    <row r="113" spans="1:18">
      <c r="A113" s="120" t="s">
        <v>456</v>
      </c>
      <c r="B113" s="125">
        <v>0</v>
      </c>
      <c r="C113" s="118">
        <v>0</v>
      </c>
      <c r="D113" s="118">
        <v>0</v>
      </c>
      <c r="E113" s="118">
        <v>0</v>
      </c>
      <c r="F113" s="118">
        <v>0</v>
      </c>
      <c r="G113" s="122">
        <f t="shared" si="4"/>
        <v>0</v>
      </c>
      <c r="H113" s="118">
        <f t="shared" si="5"/>
        <v>0</v>
      </c>
      <c r="I113" s="18">
        <f t="shared" si="6"/>
        <v>0</v>
      </c>
      <c r="L113" t="s">
        <v>529</v>
      </c>
      <c r="N113" s="18"/>
      <c r="O113" s="18"/>
      <c r="P113" s="18"/>
      <c r="Q113" s="18"/>
      <c r="R113" s="18"/>
    </row>
    <row r="114" spans="1:18">
      <c r="A114" s="120" t="s">
        <v>457</v>
      </c>
      <c r="B114" s="125">
        <v>0</v>
      </c>
      <c r="C114" s="118">
        <v>0</v>
      </c>
      <c r="D114" s="118">
        <v>0</v>
      </c>
      <c r="E114" s="118">
        <v>0</v>
      </c>
      <c r="F114" s="118">
        <v>0</v>
      </c>
      <c r="G114" s="122">
        <f t="shared" si="4"/>
        <v>0</v>
      </c>
      <c r="H114" s="118">
        <f t="shared" si="5"/>
        <v>0</v>
      </c>
      <c r="I114" s="18">
        <f t="shared" si="6"/>
        <v>0</v>
      </c>
      <c r="L114" t="s">
        <v>529</v>
      </c>
      <c r="N114" s="18"/>
      <c r="O114" s="18"/>
      <c r="P114" s="18"/>
      <c r="Q114" s="18"/>
      <c r="R114" s="18"/>
    </row>
    <row r="115" spans="1:18">
      <c r="A115" s="126" t="s">
        <v>458</v>
      </c>
      <c r="B115" s="127">
        <f>SUM(B103:B114)</f>
        <v>0</v>
      </c>
      <c r="C115" s="127">
        <f>SUM(C103:C114)</f>
        <v>0</v>
      </c>
      <c r="D115" s="127">
        <f>SUM(D103:D114)</f>
        <v>0</v>
      </c>
      <c r="E115" s="127">
        <f>SUM(E103:E114)</f>
        <v>0</v>
      </c>
      <c r="F115" s="127">
        <f>SUM(F103:F114)</f>
        <v>0</v>
      </c>
      <c r="G115" s="122">
        <f t="shared" si="4"/>
        <v>0</v>
      </c>
      <c r="H115" s="116">
        <f t="shared" si="5"/>
        <v>0</v>
      </c>
      <c r="I115" s="18">
        <f t="shared" si="6"/>
        <v>0</v>
      </c>
      <c r="L115" t="s">
        <v>529</v>
      </c>
      <c r="N115" s="18"/>
      <c r="O115" s="18"/>
      <c r="P115" s="18"/>
      <c r="Q115" s="18"/>
      <c r="R115" s="18"/>
    </row>
    <row r="116" spans="1:18">
      <c r="A116" s="120"/>
      <c r="B116" s="125"/>
      <c r="C116" s="118"/>
      <c r="D116" s="118"/>
      <c r="E116" s="118"/>
      <c r="F116" s="118"/>
      <c r="G116" s="122"/>
      <c r="H116" s="118"/>
      <c r="I116" s="18">
        <f t="shared" si="6"/>
        <v>0</v>
      </c>
      <c r="L116" t="s">
        <v>529</v>
      </c>
      <c r="N116" s="18"/>
      <c r="O116" s="18"/>
      <c r="P116" s="18"/>
      <c r="Q116" s="18"/>
      <c r="R116" s="18"/>
    </row>
    <row r="117" spans="1:18">
      <c r="A117" s="133" t="s">
        <v>459</v>
      </c>
      <c r="B117" s="125"/>
      <c r="C117" s="118"/>
      <c r="D117" s="118"/>
      <c r="E117" s="118"/>
      <c r="F117" s="118"/>
      <c r="G117" s="122"/>
      <c r="H117" s="118"/>
      <c r="I117" s="18">
        <f t="shared" si="6"/>
        <v>0</v>
      </c>
      <c r="L117" t="s">
        <v>529</v>
      </c>
      <c r="N117" s="18"/>
      <c r="O117" s="18"/>
      <c r="P117" s="18"/>
      <c r="Q117" s="18"/>
      <c r="R117" s="18"/>
    </row>
    <row r="118" spans="1:18">
      <c r="A118" s="120" t="s">
        <v>460</v>
      </c>
      <c r="B118" s="125">
        <v>0</v>
      </c>
      <c r="C118" s="118">
        <v>0</v>
      </c>
      <c r="D118" s="118">
        <v>0</v>
      </c>
      <c r="E118" s="118">
        <v>0</v>
      </c>
      <c r="F118" s="118">
        <v>0</v>
      </c>
      <c r="G118" s="122">
        <f t="shared" si="4"/>
        <v>0</v>
      </c>
      <c r="H118" s="118">
        <f t="shared" si="5"/>
        <v>0</v>
      </c>
      <c r="I118" s="18">
        <f t="shared" si="6"/>
        <v>0</v>
      </c>
      <c r="L118" t="s">
        <v>529</v>
      </c>
      <c r="N118" s="18"/>
      <c r="O118" s="18"/>
      <c r="P118" s="18"/>
      <c r="Q118" s="18"/>
      <c r="R118" s="18"/>
    </row>
    <row r="119" spans="1:18">
      <c r="A119" s="120" t="s">
        <v>440</v>
      </c>
      <c r="B119" s="125">
        <v>5000</v>
      </c>
      <c r="C119" s="118">
        <v>0</v>
      </c>
      <c r="D119" s="112">
        <v>0</v>
      </c>
      <c r="E119" s="112">
        <v>0</v>
      </c>
      <c r="F119" s="112">
        <v>0</v>
      </c>
      <c r="G119" s="122">
        <f t="shared" si="4"/>
        <v>0</v>
      </c>
      <c r="H119" s="118">
        <f t="shared" si="5"/>
        <v>0</v>
      </c>
      <c r="I119" s="18">
        <f t="shared" si="6"/>
        <v>-5000</v>
      </c>
      <c r="L119" t="s">
        <v>167</v>
      </c>
      <c r="N119" s="18"/>
      <c r="O119" s="18"/>
      <c r="P119" s="18"/>
      <c r="Q119" s="18"/>
      <c r="R119" s="18"/>
    </row>
    <row r="120" spans="1:18">
      <c r="A120" s="120" t="s">
        <v>461</v>
      </c>
      <c r="B120" s="125">
        <v>0</v>
      </c>
      <c r="C120" s="118">
        <v>0</v>
      </c>
      <c r="D120" s="118">
        <v>0</v>
      </c>
      <c r="E120" s="118">
        <v>0</v>
      </c>
      <c r="F120" s="118">
        <v>0</v>
      </c>
      <c r="G120" s="122">
        <f t="shared" si="4"/>
        <v>0</v>
      </c>
      <c r="H120" s="118">
        <f t="shared" si="5"/>
        <v>0</v>
      </c>
      <c r="I120" s="18">
        <f t="shared" si="6"/>
        <v>0</v>
      </c>
      <c r="L120" t="s">
        <v>529</v>
      </c>
      <c r="N120" s="18"/>
      <c r="O120" s="18"/>
      <c r="P120" s="18"/>
      <c r="Q120" s="18"/>
      <c r="R120" s="18"/>
    </row>
    <row r="121" spans="1:18">
      <c r="A121" s="120" t="s">
        <v>449</v>
      </c>
      <c r="B121" s="125">
        <v>0</v>
      </c>
      <c r="C121" s="118">
        <v>0</v>
      </c>
      <c r="D121" s="118">
        <v>0</v>
      </c>
      <c r="E121" s="118">
        <v>0</v>
      </c>
      <c r="F121" s="118">
        <v>0</v>
      </c>
      <c r="G121" s="122">
        <f t="shared" si="4"/>
        <v>0</v>
      </c>
      <c r="H121" s="118">
        <f t="shared" si="5"/>
        <v>0</v>
      </c>
      <c r="I121" s="18">
        <f t="shared" si="6"/>
        <v>0</v>
      </c>
      <c r="L121" t="s">
        <v>529</v>
      </c>
      <c r="N121" s="18"/>
      <c r="O121" s="18"/>
      <c r="P121" s="18"/>
      <c r="Q121" s="18"/>
      <c r="R121" s="18"/>
    </row>
    <row r="122" spans="1:18">
      <c r="A122" s="120" t="s">
        <v>462</v>
      </c>
      <c r="B122" s="125">
        <v>0</v>
      </c>
      <c r="C122" s="118">
        <v>0</v>
      </c>
      <c r="D122" s="118">
        <v>0</v>
      </c>
      <c r="E122" s="118">
        <v>0</v>
      </c>
      <c r="F122" s="118">
        <v>0</v>
      </c>
      <c r="G122" s="122">
        <f t="shared" si="4"/>
        <v>0</v>
      </c>
      <c r="H122" s="118">
        <f t="shared" si="5"/>
        <v>0</v>
      </c>
      <c r="I122" s="18">
        <f t="shared" si="6"/>
        <v>0</v>
      </c>
      <c r="L122" t="s">
        <v>529</v>
      </c>
      <c r="N122" s="18"/>
      <c r="O122" s="18"/>
      <c r="P122" s="18"/>
      <c r="Q122" s="18"/>
      <c r="R122" s="18"/>
    </row>
    <row r="123" spans="1:18">
      <c r="A123" s="120" t="s">
        <v>463</v>
      </c>
      <c r="B123" s="125">
        <v>0</v>
      </c>
      <c r="C123" s="118">
        <v>0</v>
      </c>
      <c r="D123" s="118">
        <v>0</v>
      </c>
      <c r="E123" s="118">
        <v>0</v>
      </c>
      <c r="F123" s="118">
        <v>0</v>
      </c>
      <c r="G123" s="122">
        <f t="shared" si="4"/>
        <v>0</v>
      </c>
      <c r="H123" s="118">
        <f t="shared" si="5"/>
        <v>0</v>
      </c>
      <c r="I123" s="18">
        <f t="shared" si="6"/>
        <v>0</v>
      </c>
      <c r="L123" t="s">
        <v>529</v>
      </c>
      <c r="N123" s="18"/>
      <c r="O123" s="18"/>
      <c r="P123" s="18"/>
      <c r="Q123" s="18"/>
      <c r="R123" s="18"/>
    </row>
    <row r="124" spans="1:18">
      <c r="A124" s="131" t="s">
        <v>464</v>
      </c>
      <c r="B124" s="125">
        <v>0</v>
      </c>
      <c r="C124" s="118">
        <v>0</v>
      </c>
      <c r="D124" s="118">
        <v>0</v>
      </c>
      <c r="E124" s="118">
        <v>0</v>
      </c>
      <c r="F124" s="118">
        <v>0</v>
      </c>
      <c r="G124" s="122">
        <f t="shared" si="4"/>
        <v>0</v>
      </c>
      <c r="H124" s="118">
        <f t="shared" si="5"/>
        <v>0</v>
      </c>
      <c r="I124" s="18">
        <f t="shared" si="6"/>
        <v>0</v>
      </c>
      <c r="L124" t="s">
        <v>529</v>
      </c>
      <c r="N124" s="18"/>
      <c r="O124" s="18"/>
      <c r="P124" s="18"/>
      <c r="Q124" s="18"/>
      <c r="R124" s="18"/>
    </row>
    <row r="125" spans="1:18">
      <c r="A125" s="131" t="s">
        <v>465</v>
      </c>
      <c r="B125" s="125">
        <v>27000</v>
      </c>
      <c r="C125" s="139">
        <v>0</v>
      </c>
      <c r="D125" s="139">
        <v>4859.3</v>
      </c>
      <c r="E125" s="139">
        <v>4859.3</v>
      </c>
      <c r="F125" s="139">
        <v>4859.3</v>
      </c>
      <c r="G125" s="122">
        <f t="shared" si="4"/>
        <v>3.2869368055120265E-2</v>
      </c>
      <c r="H125" s="118">
        <f t="shared" si="5"/>
        <v>14577.900000000001</v>
      </c>
      <c r="I125" s="18">
        <f t="shared" si="6"/>
        <v>-12422.099999999999</v>
      </c>
      <c r="L125" t="s">
        <v>162</v>
      </c>
      <c r="N125" s="18"/>
      <c r="O125" s="18"/>
      <c r="P125" s="18"/>
      <c r="Q125" s="18"/>
      <c r="R125" s="18"/>
    </row>
    <row r="126" spans="1:18">
      <c r="A126" s="120" t="s">
        <v>466</v>
      </c>
      <c r="B126" s="125">
        <v>0</v>
      </c>
      <c r="C126" s="112">
        <v>0</v>
      </c>
      <c r="D126" s="112">
        <v>0</v>
      </c>
      <c r="E126" s="112">
        <v>0</v>
      </c>
      <c r="F126" s="112">
        <v>0</v>
      </c>
      <c r="G126" s="122">
        <f t="shared" si="4"/>
        <v>0</v>
      </c>
      <c r="H126" s="118">
        <f t="shared" si="5"/>
        <v>0</v>
      </c>
      <c r="I126" s="18">
        <f t="shared" si="6"/>
        <v>0</v>
      </c>
      <c r="L126" t="s">
        <v>529</v>
      </c>
      <c r="N126" s="18"/>
      <c r="O126" s="18"/>
      <c r="P126" s="18"/>
      <c r="Q126" s="18"/>
      <c r="R126" s="18"/>
    </row>
    <row r="127" spans="1:18">
      <c r="A127" s="120" t="s">
        <v>467</v>
      </c>
      <c r="B127" s="125">
        <v>0</v>
      </c>
      <c r="C127" s="118">
        <v>0</v>
      </c>
      <c r="D127" s="118">
        <v>0</v>
      </c>
      <c r="E127" s="118">
        <v>0</v>
      </c>
      <c r="F127" s="118">
        <v>0</v>
      </c>
      <c r="G127" s="122">
        <f t="shared" si="4"/>
        <v>0</v>
      </c>
      <c r="H127" s="118">
        <f t="shared" si="5"/>
        <v>0</v>
      </c>
      <c r="I127" s="18">
        <f t="shared" si="6"/>
        <v>0</v>
      </c>
      <c r="L127" t="s">
        <v>529</v>
      </c>
      <c r="N127" s="18"/>
      <c r="O127" s="18"/>
      <c r="P127" s="18"/>
      <c r="Q127" s="18"/>
      <c r="R127" s="18"/>
    </row>
    <row r="128" spans="1:18">
      <c r="A128" s="120" t="s">
        <v>468</v>
      </c>
      <c r="B128" s="125">
        <v>0</v>
      </c>
      <c r="C128" s="118">
        <v>0</v>
      </c>
      <c r="D128" s="118">
        <v>0</v>
      </c>
      <c r="E128" s="118">
        <v>0</v>
      </c>
      <c r="F128" s="118">
        <v>0</v>
      </c>
      <c r="G128" s="122">
        <f t="shared" si="4"/>
        <v>0</v>
      </c>
      <c r="H128" s="118">
        <f t="shared" si="5"/>
        <v>0</v>
      </c>
      <c r="I128" s="18">
        <f t="shared" si="6"/>
        <v>0</v>
      </c>
      <c r="L128" t="s">
        <v>529</v>
      </c>
      <c r="N128" s="18"/>
      <c r="O128" s="18"/>
      <c r="P128" s="18"/>
      <c r="Q128" s="18"/>
      <c r="R128" s="18"/>
    </row>
    <row r="129" spans="1:18">
      <c r="A129" s="120" t="s">
        <v>469</v>
      </c>
      <c r="B129" s="125">
        <v>0</v>
      </c>
      <c r="C129" s="118">
        <v>0</v>
      </c>
      <c r="D129" s="118">
        <v>0</v>
      </c>
      <c r="E129" s="118">
        <v>0</v>
      </c>
      <c r="F129" s="118">
        <v>0</v>
      </c>
      <c r="G129" s="122">
        <f t="shared" si="4"/>
        <v>0</v>
      </c>
      <c r="H129" s="118">
        <f t="shared" si="5"/>
        <v>0</v>
      </c>
      <c r="I129" s="18">
        <f t="shared" si="6"/>
        <v>0</v>
      </c>
      <c r="L129" t="s">
        <v>529</v>
      </c>
      <c r="N129" s="18"/>
      <c r="O129" s="18"/>
      <c r="P129" s="18"/>
      <c r="Q129" s="18"/>
      <c r="R129" s="18"/>
    </row>
    <row r="130" spans="1:18">
      <c r="A130" s="120" t="s">
        <v>470</v>
      </c>
      <c r="B130" s="125">
        <v>0</v>
      </c>
      <c r="C130" s="139">
        <v>0</v>
      </c>
      <c r="D130" s="139">
        <v>0</v>
      </c>
      <c r="E130" s="139">
        <v>0</v>
      </c>
      <c r="F130" s="139">
        <v>0</v>
      </c>
      <c r="G130" s="122">
        <f t="shared" si="4"/>
        <v>0</v>
      </c>
      <c r="H130" s="118">
        <f t="shared" si="5"/>
        <v>0</v>
      </c>
      <c r="I130" s="18">
        <f t="shared" si="6"/>
        <v>0</v>
      </c>
      <c r="L130" t="s">
        <v>529</v>
      </c>
      <c r="N130" s="18"/>
      <c r="O130" s="18"/>
      <c r="P130" s="18"/>
      <c r="Q130" s="18"/>
      <c r="R130" s="18"/>
    </row>
    <row r="131" spans="1:18">
      <c r="A131" s="120" t="s">
        <v>471</v>
      </c>
      <c r="B131" s="125">
        <v>3000</v>
      </c>
      <c r="C131" s="118">
        <v>0</v>
      </c>
      <c r="D131" s="118">
        <v>452.47</v>
      </c>
      <c r="E131" s="118">
        <v>452.47</v>
      </c>
      <c r="F131" s="118">
        <v>452.47</v>
      </c>
      <c r="G131" s="122">
        <f t="shared" si="4"/>
        <v>3.0606060469409724E-3</v>
      </c>
      <c r="H131" s="118">
        <f t="shared" si="5"/>
        <v>1357.41</v>
      </c>
      <c r="I131" s="18">
        <f t="shared" si="6"/>
        <v>-1642.59</v>
      </c>
      <c r="L131" t="s">
        <v>160</v>
      </c>
      <c r="N131" s="18"/>
      <c r="O131" s="18"/>
      <c r="P131" s="18"/>
      <c r="Q131" s="18"/>
      <c r="R131" s="18"/>
    </row>
    <row r="132" spans="1:18">
      <c r="A132" s="120" t="s">
        <v>472</v>
      </c>
      <c r="B132" s="125">
        <v>0</v>
      </c>
      <c r="C132" s="118">
        <v>0</v>
      </c>
      <c r="D132" s="118">
        <v>0</v>
      </c>
      <c r="E132" s="118">
        <v>0</v>
      </c>
      <c r="F132" s="118">
        <v>0</v>
      </c>
      <c r="G132" s="122">
        <f t="shared" si="4"/>
        <v>0</v>
      </c>
      <c r="H132" s="118">
        <f t="shared" si="5"/>
        <v>0</v>
      </c>
      <c r="I132" s="18">
        <f t="shared" si="6"/>
        <v>0</v>
      </c>
      <c r="L132" t="s">
        <v>529</v>
      </c>
      <c r="N132" s="18"/>
      <c r="O132" s="18"/>
      <c r="P132" s="18"/>
      <c r="Q132" s="18"/>
      <c r="R132" s="18"/>
    </row>
    <row r="133" spans="1:18">
      <c r="A133" s="120" t="s">
        <v>473</v>
      </c>
      <c r="B133" s="125">
        <v>0</v>
      </c>
      <c r="C133" s="118">
        <v>0</v>
      </c>
      <c r="D133" s="118">
        <v>0</v>
      </c>
      <c r="E133" s="118">
        <v>0</v>
      </c>
      <c r="F133" s="118">
        <v>0</v>
      </c>
      <c r="G133" s="122">
        <f t="shared" si="4"/>
        <v>0</v>
      </c>
      <c r="H133" s="118">
        <f t="shared" si="5"/>
        <v>0</v>
      </c>
      <c r="I133" s="18">
        <f t="shared" si="6"/>
        <v>0</v>
      </c>
      <c r="L133" t="s">
        <v>529</v>
      </c>
      <c r="N133" s="18"/>
      <c r="O133" s="18"/>
      <c r="P133" s="18"/>
      <c r="Q133" s="18"/>
      <c r="R133" s="18"/>
    </row>
    <row r="134" spans="1:18">
      <c r="A134" s="120" t="s">
        <v>474</v>
      </c>
      <c r="B134" s="125">
        <v>0</v>
      </c>
      <c r="C134" s="118">
        <v>0</v>
      </c>
      <c r="D134" s="118">
        <v>0</v>
      </c>
      <c r="E134" s="118">
        <v>0</v>
      </c>
      <c r="F134" s="118">
        <v>0</v>
      </c>
      <c r="G134" s="122">
        <f t="shared" si="4"/>
        <v>0</v>
      </c>
      <c r="H134" s="118">
        <f t="shared" si="5"/>
        <v>0</v>
      </c>
      <c r="I134" s="18">
        <f t="shared" si="6"/>
        <v>0</v>
      </c>
      <c r="L134" t="s">
        <v>529</v>
      </c>
      <c r="N134" s="18"/>
      <c r="O134" s="18"/>
      <c r="P134" s="18"/>
      <c r="Q134" s="18"/>
      <c r="R134" s="18"/>
    </row>
    <row r="135" spans="1:18">
      <c r="A135" s="120" t="s">
        <v>475</v>
      </c>
      <c r="B135" s="125">
        <v>0</v>
      </c>
      <c r="C135" s="118">
        <v>0</v>
      </c>
      <c r="D135" s="118">
        <v>0</v>
      </c>
      <c r="E135" s="118">
        <v>0</v>
      </c>
      <c r="F135" s="118">
        <v>0</v>
      </c>
      <c r="G135" s="122">
        <f t="shared" si="4"/>
        <v>0</v>
      </c>
      <c r="H135" s="118">
        <f t="shared" si="5"/>
        <v>0</v>
      </c>
      <c r="I135" s="18">
        <f t="shared" si="6"/>
        <v>0</v>
      </c>
      <c r="L135" t="s">
        <v>529</v>
      </c>
      <c r="N135" s="18"/>
      <c r="O135" s="18"/>
      <c r="P135" s="18"/>
      <c r="Q135" s="18"/>
      <c r="R135" s="18"/>
    </row>
    <row r="136" spans="1:18">
      <c r="A136" s="126" t="s">
        <v>476</v>
      </c>
      <c r="B136" s="127">
        <f>SUM(B118:B135)</f>
        <v>35000</v>
      </c>
      <c r="C136" s="127">
        <f>SUM(C118:C135)</f>
        <v>0</v>
      </c>
      <c r="D136" s="127">
        <f>SUM(D118:D135)</f>
        <v>5311.77</v>
      </c>
      <c r="E136" s="127">
        <f>SUM(E118:E135)</f>
        <v>5311.77</v>
      </c>
      <c r="F136" s="127">
        <f>SUM(F118:F135)</f>
        <v>5311.77</v>
      </c>
      <c r="G136" s="122">
        <f>H136/$H$10</f>
        <v>3.5929974102061238E-2</v>
      </c>
      <c r="H136" s="116">
        <f t="shared" si="5"/>
        <v>15935.310000000001</v>
      </c>
      <c r="I136" s="18">
        <f t="shared" si="6"/>
        <v>-19064.689999999999</v>
      </c>
      <c r="L136" t="s">
        <v>529</v>
      </c>
      <c r="N136" s="18"/>
      <c r="O136" s="18"/>
      <c r="P136" s="18"/>
      <c r="Q136" s="18"/>
      <c r="R136" s="18"/>
    </row>
    <row r="137" spans="1:18">
      <c r="A137" s="130" t="s">
        <v>477</v>
      </c>
      <c r="B137" s="127">
        <f>B115+B136</f>
        <v>35000</v>
      </c>
      <c r="C137" s="127">
        <f>C115+C136</f>
        <v>0</v>
      </c>
      <c r="D137" s="127">
        <f>D115+D136</f>
        <v>5311.77</v>
      </c>
      <c r="E137" s="127">
        <f>E115+E136</f>
        <v>5311.77</v>
      </c>
      <c r="F137" s="127">
        <f>F115+F136</f>
        <v>5311.77</v>
      </c>
      <c r="G137" s="122">
        <f>H137/$H$10</f>
        <v>3.5929974102061238E-2</v>
      </c>
      <c r="H137" s="116">
        <f t="shared" si="5"/>
        <v>15935.310000000001</v>
      </c>
      <c r="I137" s="18">
        <f t="shared" si="6"/>
        <v>-19064.689999999999</v>
      </c>
      <c r="L137" t="s">
        <v>529</v>
      </c>
      <c r="N137" s="18"/>
      <c r="O137" s="18"/>
      <c r="P137" s="18"/>
      <c r="Q137" s="18"/>
      <c r="R137" s="18"/>
    </row>
    <row r="138" spans="1:18" ht="6" customHeight="1">
      <c r="A138" s="220"/>
      <c r="B138" s="220"/>
      <c r="C138" s="220"/>
      <c r="D138" s="220"/>
      <c r="E138" s="220"/>
      <c r="F138" s="220"/>
      <c r="G138" s="220"/>
      <c r="H138" s="220"/>
      <c r="I138" s="18">
        <f t="shared" si="6"/>
        <v>0</v>
      </c>
      <c r="N138" s="18"/>
      <c r="O138" s="18"/>
      <c r="Q138" s="18"/>
      <c r="R138" s="18"/>
    </row>
    <row r="139" spans="1:18">
      <c r="A139" s="108" t="s">
        <v>478</v>
      </c>
      <c r="B139" s="109">
        <f>B14+B39+B99+B137</f>
        <v>2174779.3797200001</v>
      </c>
      <c r="C139" s="109">
        <f>C14+C39+C99+C137</f>
        <v>331582.33200000005</v>
      </c>
      <c r="D139" s="109">
        <f>D14+D39+D99+D137</f>
        <v>327288.83199999999</v>
      </c>
      <c r="E139" s="109">
        <f>E14+E39+E99+E137</f>
        <v>334295.29200000002</v>
      </c>
      <c r="F139" s="109">
        <f>F14+F39+F99+F137</f>
        <v>332288.90200000006</v>
      </c>
      <c r="G139" s="110">
        <f>H139/$H$10</f>
        <v>2.9885566510082517</v>
      </c>
      <c r="H139" s="109">
        <f>H14+H39+H99+H137</f>
        <v>1325455.358</v>
      </c>
      <c r="I139" s="18">
        <f t="shared" si="6"/>
        <v>-849324.02172000008</v>
      </c>
      <c r="N139" s="18"/>
      <c r="O139" s="18"/>
      <c r="Q139" s="18"/>
      <c r="R139" s="18"/>
    </row>
    <row r="140" spans="1:18">
      <c r="A140" s="105" t="s">
        <v>479</v>
      </c>
      <c r="B140" s="106">
        <f>B10-B139</f>
        <v>-58146.039720000234</v>
      </c>
      <c r="C140" s="106">
        <f t="shared" ref="C140:H140" si="7">C10-C139</f>
        <v>111927.86799999996</v>
      </c>
      <c r="D140" s="106">
        <f t="shared" si="7"/>
        <v>116221.36800000002</v>
      </c>
      <c r="E140" s="106">
        <f t="shared" si="7"/>
        <v>109214.908</v>
      </c>
      <c r="F140" s="106">
        <f t="shared" si="7"/>
        <v>111221.29799999995</v>
      </c>
      <c r="G140" s="107">
        <f>H140/$H$10</f>
        <v>-1.988556651008252</v>
      </c>
      <c r="H140" s="106">
        <f t="shared" si="7"/>
        <v>-881945.15800000005</v>
      </c>
      <c r="I140" s="18">
        <f t="shared" si="6"/>
        <v>-823799.11827999982</v>
      </c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conditionalFormatting sqref="L1:L69 L71:L1048576">
    <cfRule type="duplicateValues" dxfId="0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70" t="s">
        <v>538</v>
      </c>
      <c r="B1" s="170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ssilalahi</cp:lastModifiedBy>
  <dcterms:created xsi:type="dcterms:W3CDTF">2024-02-06T01:47:57Z</dcterms:created>
  <dcterms:modified xsi:type="dcterms:W3CDTF">2024-02-26T09:54:31Z</dcterms:modified>
</cp:coreProperties>
</file>