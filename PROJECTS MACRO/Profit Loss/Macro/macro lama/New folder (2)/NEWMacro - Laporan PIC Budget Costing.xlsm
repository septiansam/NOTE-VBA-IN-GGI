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13_ncr:1_{61B36083-3EDA-44C3-B16D-79CB2859CD29}" xr6:coauthVersionLast="47" xr6:coauthVersionMax="47" xr10:uidLastSave="{00000000-0000-0000-0000-000000000000}"/>
  <bookViews>
    <workbookView xWindow="-120" yWindow="-120" windowWidth="20730" windowHeight="11160" tabRatio="584" activeTab="5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temp_laporan1" sheetId="14" state="hidden" r:id="rId5"/>
    <sheet name="All Costing" sheetId="1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5" hidden="1">'All Costing'!$A$5:$BB$162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E136" i="108"/>
  <c r="D136" i="108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E59" i="108"/>
  <c r="D59" i="108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H28" i="108"/>
  <c r="I28" i="108" s="1"/>
  <c r="H27" i="108"/>
  <c r="I27" i="108" s="1"/>
  <c r="I26" i="108"/>
  <c r="I25" i="108"/>
  <c r="F24" i="108"/>
  <c r="E24" i="108"/>
  <c r="D24" i="108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F10" i="108"/>
  <c r="E10" i="108"/>
  <c r="D10" i="108"/>
  <c r="C10" i="108"/>
  <c r="H9" i="108"/>
  <c r="H8" i="108"/>
  <c r="H7" i="108"/>
  <c r="H29" i="108" l="1"/>
  <c r="I29" i="108" s="1"/>
  <c r="D38" i="108"/>
  <c r="F38" i="108"/>
  <c r="E38" i="108"/>
  <c r="H10" i="108"/>
  <c r="G103" i="108" s="1"/>
  <c r="I54" i="108"/>
  <c r="I92" i="108"/>
  <c r="I112" i="108"/>
  <c r="I49" i="108"/>
  <c r="H98" i="108"/>
  <c r="I126" i="108"/>
  <c r="H136" i="108"/>
  <c r="I136" i="108" s="1"/>
  <c r="I23" i="108"/>
  <c r="H24" i="108"/>
  <c r="I24" i="108" s="1"/>
  <c r="E14" i="108"/>
  <c r="H59" i="108"/>
  <c r="I59" i="108" s="1"/>
  <c r="I84" i="108"/>
  <c r="E99" i="108"/>
  <c r="I104" i="108"/>
  <c r="I18" i="108"/>
  <c r="I77" i="108"/>
  <c r="F14" i="108"/>
  <c r="F99" i="108"/>
  <c r="B137" i="108"/>
  <c r="I133" i="108"/>
  <c r="E137" i="108"/>
  <c r="I57" i="108"/>
  <c r="I85" i="108"/>
  <c r="I105" i="108"/>
  <c r="H115" i="108"/>
  <c r="I115" i="108" s="1"/>
  <c r="F137" i="108"/>
  <c r="D14" i="108"/>
  <c r="D99" i="108"/>
  <c r="I76" i="108"/>
  <c r="D137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D139" i="108" s="1"/>
  <c r="D140" i="108" s="1"/>
  <c r="G17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F41" i="108" s="1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G23" i="108"/>
  <c r="G107" i="108"/>
  <c r="G49" i="108"/>
  <c r="G30" i="108"/>
  <c r="G33" i="108"/>
  <c r="G32" i="108"/>
  <c r="G87" i="108"/>
  <c r="G112" i="108"/>
  <c r="H13" i="108"/>
  <c r="H14" i="108" s="1"/>
  <c r="C14" i="108"/>
  <c r="G136" i="108"/>
  <c r="H137" i="108"/>
  <c r="I137" i="108" s="1"/>
  <c r="H38" i="108"/>
  <c r="I38" i="108" s="1"/>
  <c r="H99" i="108"/>
  <c r="G99" i="108" s="1"/>
  <c r="C39" i="108"/>
  <c r="D41" i="108" l="1"/>
  <c r="F139" i="108"/>
  <c r="F140" i="108" s="1"/>
  <c r="E139" i="108"/>
  <c r="E140" i="108" s="1"/>
  <c r="E41" i="108"/>
  <c r="G13" i="108"/>
  <c r="G137" i="108"/>
  <c r="I99" i="108"/>
  <c r="G38" i="108"/>
  <c r="C139" i="108"/>
  <c r="H39" i="108"/>
  <c r="C41" i="108"/>
  <c r="G14" i="108"/>
  <c r="C140" i="108" l="1"/>
  <c r="H41" i="108"/>
  <c r="G41" i="108" s="1"/>
  <c r="I39" i="108"/>
  <c r="G39" i="108"/>
  <c r="H139" i="108"/>
  <c r="G139" i="108" l="1"/>
  <c r="H140" i="108"/>
  <c r="H3" i="108" l="1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M18" i="107"/>
  <c r="K18" i="107"/>
  <c r="J18" i="107"/>
  <c r="I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L6" i="107"/>
  <c r="G6" i="107"/>
  <c r="H6" i="107" s="1"/>
  <c r="L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H37" i="107" s="1"/>
  <c r="B13" i="108" s="1"/>
  <c r="B14" i="108" s="1"/>
  <c r="B139" i="108" s="1"/>
  <c r="B10" i="108"/>
  <c r="E59" i="107"/>
  <c r="F59" i="107"/>
  <c r="I59" i="107"/>
  <c r="N6" i="1"/>
  <c r="N162" i="1"/>
  <c r="M59" i="107"/>
  <c r="K59" i="107"/>
  <c r="H58" i="107"/>
  <c r="H18" i="107"/>
  <c r="G58" i="107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6" i="1" l="1"/>
  <c r="M6" i="1" s="1"/>
  <c r="G59" i="107"/>
  <c r="H59" i="107"/>
  <c r="B140" i="108"/>
  <c r="I139" i="108"/>
  <c r="B41" i="108"/>
  <c r="I41" i="108" s="1"/>
  <c r="J154" i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B3" i="108" l="1"/>
  <c r="I140" i="108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<sst xmlns="http://schemas.openxmlformats.org/spreadsheetml/2006/main" count="2166" uniqueCount="544">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</sst>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1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2" borderId="0" xfId="3" applyFill="1"/>
    <xf numFmtId="0" fontId="10" fillId="10" borderId="0" xfId="3" applyFill="1"/>
    <xf numFmtId="0" fontId="30" fillId="11" borderId="1" xfId="0" applyFont="1" applyFill="1" applyBorder="1" applyAlignment="1">
      <alignment horizontal="center" vertical="center"/>
    </xf>
    <xf numFmtId="10" fontId="30" fillId="11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2" borderId="0" xfId="0" applyFont="1" applyFill="1"/>
    <xf numFmtId="10" fontId="32" fillId="12" borderId="0" xfId="2" applyNumberFormat="1" applyFont="1" applyFill="1" applyAlignment="1">
      <alignment horizontal="center"/>
    </xf>
    <xf numFmtId="0" fontId="32" fillId="10" borderId="0" xfId="0" applyFont="1" applyFill="1"/>
    <xf numFmtId="10" fontId="32" fillId="10" borderId="0" xfId="2" applyNumberFormat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0" borderId="0" xfId="0" applyFont="1" applyFill="1" applyAlignment="1">
      <alignment horizontal="center"/>
    </xf>
    <xf numFmtId="43" fontId="33" fillId="10" borderId="0" xfId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0" fontId="33" fillId="10" borderId="0" xfId="0" applyFont="1" applyFill="1"/>
    <xf numFmtId="0" fontId="34" fillId="0" borderId="0" xfId="0" applyFont="1"/>
    <xf numFmtId="43" fontId="35" fillId="10" borderId="0" xfId="1" applyFont="1" applyFill="1" applyAlignment="1">
      <alignment horizontal="center"/>
    </xf>
    <xf numFmtId="0" fontId="33" fillId="10" borderId="0" xfId="0" applyFont="1" applyFill="1" applyAlignment="1">
      <alignment horizontal="left"/>
    </xf>
    <xf numFmtId="0" fontId="30" fillId="11" borderId="1" xfId="0" applyFont="1" applyFill="1" applyBorder="1" applyAlignment="1">
      <alignment horizontal="left" vertical="center"/>
    </xf>
    <xf numFmtId="0" fontId="32" fillId="12" borderId="0" xfId="0" applyFont="1" applyFill="1" applyAlignment="1">
      <alignment horizontal="left"/>
    </xf>
    <xf numFmtId="0" fontId="32" fillId="10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0" borderId="0" xfId="0" applyFont="1" applyFill="1"/>
    <xf numFmtId="43" fontId="40" fillId="10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0" borderId="0" xfId="0" applyNumberFormat="1" applyFont="1" applyFill="1" applyAlignment="1">
      <alignment horizontal="center" vertical="center"/>
    </xf>
    <xf numFmtId="43" fontId="40" fillId="8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2" borderId="0" xfId="0" applyFont="1" applyFill="1"/>
    <xf numFmtId="43" fontId="40" fillId="12" borderId="0" xfId="1" applyFont="1" applyFill="1" applyBorder="1"/>
    <xf numFmtId="10" fontId="37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9" fontId="38" fillId="12" borderId="0" xfId="0" applyNumberFormat="1" applyFont="1" applyFill="1" applyAlignment="1">
      <alignment horizontal="center" vertical="center"/>
    </xf>
    <xf numFmtId="0" fontId="44" fillId="15" borderId="0" xfId="0" applyFont="1" applyFill="1"/>
    <xf numFmtId="43" fontId="44" fillId="15" borderId="0" xfId="1" applyFont="1" applyFill="1" applyBorder="1"/>
    <xf numFmtId="0" fontId="44" fillId="16" borderId="0" xfId="0" applyFont="1" applyFill="1"/>
    <xf numFmtId="43" fontId="44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0" borderId="0" xfId="0" applyNumberFormat="1" applyFont="1" applyFill="1" applyAlignment="1">
      <alignment horizontal="center"/>
    </xf>
    <xf numFmtId="10" fontId="40" fillId="12" borderId="0" xfId="0" applyNumberFormat="1" applyFont="1" applyFill="1" applyAlignment="1">
      <alignment horizontal="center"/>
    </xf>
    <xf numFmtId="0" fontId="44" fillId="15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6" borderId="0" xfId="0" applyFont="1" applyFill="1" applyAlignment="1">
      <alignment horizontal="center"/>
    </xf>
    <xf numFmtId="0" fontId="45" fillId="15" borderId="10" xfId="0" applyFont="1" applyFill="1" applyBorder="1" applyAlignment="1">
      <alignment horizontal="center" vertical="center"/>
    </xf>
    <xf numFmtId="9" fontId="45" fillId="15" borderId="10" xfId="2" applyFont="1" applyFill="1" applyBorder="1" applyAlignment="1">
      <alignment horizontal="center" vertical="center"/>
    </xf>
    <xf numFmtId="43" fontId="45" fillId="15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2" borderId="0" xfId="0" applyFont="1" applyFill="1" applyAlignment="1">
      <alignment vertical="center"/>
    </xf>
    <xf numFmtId="43" fontId="45" fillId="16" borderId="10" xfId="1" applyFont="1" applyFill="1" applyBorder="1" applyAlignment="1">
      <alignment horizontal="center"/>
    </xf>
    <xf numFmtId="43" fontId="6" fillId="16" borderId="10" xfId="1" applyFont="1" applyFill="1" applyBorder="1" applyAlignment="1">
      <alignment horizontal="center"/>
    </xf>
    <xf numFmtId="3" fontId="47" fillId="12" borderId="16" xfId="5" applyNumberFormat="1" applyFont="1" applyFill="1" applyBorder="1"/>
    <xf numFmtId="0" fontId="50" fillId="15" borderId="0" xfId="5" applyFont="1" applyFill="1" applyAlignment="1">
      <alignment horizontal="center" vertical="center"/>
    </xf>
    <xf numFmtId="10" fontId="50" fillId="15" borderId="0" xfId="5" applyNumberFormat="1" applyFont="1" applyFill="1" applyAlignment="1">
      <alignment horizontal="center" vertical="center"/>
    </xf>
    <xf numFmtId="0" fontId="30" fillId="9" borderId="0" xfId="5" applyFont="1" applyFill="1" applyAlignment="1">
      <alignment horizontal="center"/>
    </xf>
    <xf numFmtId="4" fontId="30" fillId="9" borderId="0" xfId="5" applyNumberFormat="1" applyFont="1" applyFill="1" applyAlignment="1">
      <alignment horizontal="right"/>
    </xf>
    <xf numFmtId="10" fontId="51" fillId="9" borderId="0" xfId="5" applyNumberFormat="1" applyFont="1" applyFill="1" applyAlignment="1">
      <alignment horizontal="right"/>
    </xf>
    <xf numFmtId="0" fontId="30" fillId="15" borderId="0" xfId="5" applyFont="1" applyFill="1" applyAlignment="1">
      <alignment horizontal="center"/>
    </xf>
    <xf numFmtId="4" fontId="30" fillId="15" borderId="0" xfId="5" applyNumberFormat="1" applyFont="1" applyFill="1" applyAlignment="1">
      <alignment horizontal="right"/>
    </xf>
    <xf numFmtId="10" fontId="51" fillId="15" borderId="0" xfId="5" applyNumberFormat="1" applyFont="1" applyFill="1" applyAlignment="1">
      <alignment horizontal="right"/>
    </xf>
    <xf numFmtId="4" fontId="50" fillId="15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7" borderId="21" xfId="0" applyNumberFormat="1" applyFont="1" applyFill="1" applyBorder="1"/>
    <xf numFmtId="10" fontId="53" fillId="7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7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2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0" borderId="0" xfId="2" applyNumberFormat="1" applyFont="1" applyFill="1" applyAlignment="1">
      <alignment horizontal="center"/>
    </xf>
    <xf numFmtId="0" fontId="30" fillId="11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0" borderId="0" xfId="2" applyFont="1" applyFill="1" applyAlignment="1">
      <alignment horizontal="center"/>
    </xf>
    <xf numFmtId="9" fontId="32" fillId="12" borderId="0" xfId="2" applyFont="1" applyFill="1" applyAlignment="1">
      <alignment horizontal="center"/>
    </xf>
    <xf numFmtId="9" fontId="60" fillId="10" borderId="0" xfId="2" applyFont="1" applyFill="1" applyAlignment="1">
      <alignment horizontal="center"/>
    </xf>
    <xf numFmtId="9" fontId="32" fillId="10" borderId="0" xfId="2" applyFont="1" applyFill="1" applyAlignment="1">
      <alignment horizontal="center"/>
    </xf>
    <xf numFmtId="9" fontId="40" fillId="10" borderId="0" xfId="2" applyFont="1" applyFill="1" applyBorder="1" applyAlignment="1">
      <alignment horizontal="center"/>
    </xf>
    <xf numFmtId="9" fontId="40" fillId="12" borderId="0" xfId="2" applyFont="1" applyFill="1" applyBorder="1" applyAlignment="1">
      <alignment horizontal="center"/>
    </xf>
    <xf numFmtId="0" fontId="3" fillId="12" borderId="0" xfId="0" applyFont="1" applyFill="1"/>
    <xf numFmtId="0" fontId="34" fillId="12" borderId="0" xfId="0" applyFont="1" applyFill="1"/>
    <xf numFmtId="0" fontId="4" fillId="12" borderId="0" xfId="0" applyFont="1" applyFill="1" applyAlignment="1">
      <alignment vertical="center"/>
    </xf>
    <xf numFmtId="0" fontId="62" fillId="10" borderId="0" xfId="0" applyFont="1" applyFill="1" applyAlignment="1">
      <alignment horizontal="left"/>
    </xf>
    <xf numFmtId="164" fontId="32" fillId="12" borderId="0" xfId="1" applyNumberFormat="1" applyFont="1" applyFill="1" applyAlignment="1">
      <alignment horizontal="center"/>
    </xf>
    <xf numFmtId="164" fontId="32" fillId="10" borderId="0" xfId="1" applyNumberFormat="1" applyFont="1" applyFill="1" applyAlignment="1">
      <alignment horizontal="center"/>
    </xf>
    <xf numFmtId="0" fontId="29" fillId="9" borderId="0" xfId="0" applyFont="1" applyFill="1" applyAlignment="1">
      <alignment horizontal="left" vertical="top"/>
    </xf>
    <xf numFmtId="0" fontId="0" fillId="0" borderId="22" xfId="0" applyBorder="1"/>
    <xf numFmtId="0" fontId="7" fillId="0" borderId="23" xfId="0" applyFont="1" applyBorder="1"/>
    <xf numFmtId="0" fontId="7" fillId="0" borderId="24" xfId="0" applyFont="1" applyBorder="1"/>
    <xf numFmtId="0" fontId="0" fillId="0" borderId="25" xfId="0" applyBorder="1"/>
    <xf numFmtId="0" fontId="10" fillId="0" borderId="0" xfId="3"/>
    <xf numFmtId="0" fontId="3" fillId="10" borderId="0" xfId="0" applyFont="1" applyFill="1"/>
    <xf numFmtId="0" fontId="65" fillId="11" borderId="1" xfId="0" applyFont="1" applyFill="1" applyBorder="1" applyAlignment="1">
      <alignment horizontal="left" vertical="center"/>
    </xf>
    <xf numFmtId="43" fontId="30" fillId="11" borderId="1" xfId="1" applyFont="1" applyFill="1" applyBorder="1" applyAlignment="1">
      <alignment horizontal="center" vertical="center"/>
    </xf>
    <xf numFmtId="0" fontId="66" fillId="9" borderId="0" xfId="0" applyFont="1" applyFill="1" applyAlignment="1">
      <alignment vertical="top"/>
    </xf>
    <xf numFmtId="43" fontId="3" fillId="12" borderId="0" xfId="1" applyFont="1" applyFill="1"/>
    <xf numFmtId="4" fontId="56" fillId="0" borderId="21" xfId="6" applyNumberFormat="1" applyFont="1" applyBorder="1" applyAlignment="1">
      <alignment horizontal="center"/>
    </xf>
    <xf numFmtId="0" fontId="6" fillId="17" borderId="0" xfId="0" applyFont="1" applyFill="1"/>
    <xf numFmtId="2" fontId="3" fillId="0" borderId="0" xfId="0" applyNumberFormat="1" applyFont="1"/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8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63" fillId="3" borderId="6" xfId="0" applyFont="1" applyFill="1" applyBorder="1" applyAlignment="1">
      <alignment horizontal="center" vertical="center"/>
    </xf>
    <xf numFmtId="0" fontId="63" fillId="3" borderId="0" xfId="0" applyFont="1" applyFill="1" applyAlignment="1">
      <alignment horizontal="center" vertical="center"/>
    </xf>
    <xf numFmtId="0" fontId="63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center" vertical="center"/>
    </xf>
    <xf numFmtId="0" fontId="63" fillId="3" borderId="2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45" fillId="16" borderId="13" xfId="0" applyFont="1" applyFill="1" applyBorder="1" applyAlignment="1">
      <alignment horizontal="center"/>
    </xf>
    <xf numFmtId="0" fontId="45" fillId="16" borderId="14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3" borderId="1" xfId="0" applyFont="1" applyFill="1" applyBorder="1" applyAlignment="1">
      <alignment horizontal="center" vertical="center"/>
    </xf>
    <xf numFmtId="0" fontId="61" fillId="14" borderId="1" xfId="0" applyFont="1" applyFill="1" applyBorder="1" applyAlignment="1">
      <alignment horizontal="center" vertical="center"/>
    </xf>
    <xf numFmtId="0" fontId="43" fillId="9" borderId="0" xfId="0" applyFont="1" applyFill="1" applyAlignment="1">
      <alignment horizontal="left" vertical="top"/>
    </xf>
    <xf numFmtId="0" fontId="36" fillId="9" borderId="0" xfId="0" applyFont="1" applyFill="1" applyAlignment="1">
      <alignment horizontal="center"/>
    </xf>
    <xf numFmtId="0" fontId="46" fillId="9" borderId="0" xfId="4" applyFont="1" applyFill="1" applyAlignment="1">
      <alignment horizontal="left"/>
    </xf>
    <xf numFmtId="0" fontId="42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1965368</xdr:colOff>
      <xdr:row>1</xdr:row>
      <xdr:rowOff>20758</xdr:rowOff>
    </xdr:from>
    <xdr:to>
      <xdr:col>4</xdr:col>
      <xdr:colOff>82827</xdr:colOff>
      <xdr:row>2</xdr:row>
      <xdr:rowOff>99391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241593" y="1731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436907</xdr:colOff>
      <xdr:row>1</xdr:row>
      <xdr:rowOff>13666</xdr:rowOff>
    </xdr:from>
    <xdr:to>
      <xdr:col>2</xdr:col>
      <xdr:colOff>2113722</xdr:colOff>
      <xdr:row>2</xdr:row>
      <xdr:rowOff>103324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13132" y="166066"/>
          <a:ext cx="1676815" cy="508758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12798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7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57978</xdr:colOff>
      <xdr:row>1</xdr:row>
      <xdr:rowOff>8281</xdr:rowOff>
    </xdr:from>
    <xdr:to>
      <xdr:col>4</xdr:col>
      <xdr:colOff>1441173</xdr:colOff>
      <xdr:row>2</xdr:row>
      <xdr:rowOff>107674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639378" y="160681"/>
          <a:ext cx="1497495" cy="518493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1308653</xdr:colOff>
      <xdr:row>1</xdr:row>
      <xdr:rowOff>8282</xdr:rowOff>
    </xdr:from>
    <xdr:to>
      <xdr:col>4</xdr:col>
      <xdr:colOff>2807804</xdr:colOff>
      <xdr:row>2</xdr:row>
      <xdr:rowOff>107675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979" y="157369"/>
          <a:ext cx="1499151" cy="521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1</xdr:row>
          <xdr:rowOff>76200</xdr:rowOff>
        </xdr:from>
        <xdr:to>
          <xdr:col>4</xdr:col>
          <xdr:colOff>2657475</xdr:colOff>
          <xdr:row>1</xdr:row>
          <xdr:rowOff>409575</xdr:rowOff>
        </xdr:to>
        <xdr:sp macro="" textlink="">
          <xdr:nvSpPr>
            <xdr:cNvPr id="9228" name="btn_Production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../07-02-2024/NEW%20of%20Data%20PIC%20Budget%20Th%202024-3.xlsx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../../Untuk%20Di%20Share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Remarks%20History/Remark%20History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4" Type="http://schemas.openxmlformats.org/officeDocument/2006/relationships/hyperlink" Target="..\..\..\..\Tarikan%20JD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zoomScaleNormal="100" workbookViewId="0">
      <selection activeCell="E13" sqref="E13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1.7109375" customWidth="1"/>
    <col min="5" max="5" width="54.42578125" customWidth="1"/>
    <col min="6" max="6" width="1.7109375" customWidth="1"/>
    <col min="7" max="7" width="5.5703125" customWidth="1"/>
  </cols>
  <sheetData>
    <row r="1" spans="1:6" ht="12" customHeight="1">
      <c r="C1" s="181" t="s">
        <v>316</v>
      </c>
      <c r="D1" s="181"/>
      <c r="E1" s="181"/>
      <c r="F1" s="8"/>
    </row>
    <row r="2" spans="1:6" ht="33" customHeight="1">
      <c r="C2" s="190" t="s">
        <v>326</v>
      </c>
      <c r="D2" s="191"/>
      <c r="E2" s="192"/>
      <c r="F2" s="18" t="s">
        <v>210</v>
      </c>
    </row>
    <row r="3" spans="1:6" ht="12" customHeight="1">
      <c r="C3" s="193"/>
      <c r="D3" s="194"/>
      <c r="E3" s="195"/>
      <c r="F3" s="18"/>
    </row>
    <row r="4" spans="1:6" ht="12" customHeight="1">
      <c r="C4" s="193"/>
      <c r="D4" s="194"/>
      <c r="E4" s="195"/>
      <c r="F4" s="18"/>
    </row>
    <row r="5" spans="1:6" ht="12" customHeight="1">
      <c r="B5" s="169"/>
      <c r="C5" s="193"/>
      <c r="D5" s="194"/>
      <c r="E5" s="195"/>
      <c r="F5" s="168"/>
    </row>
    <row r="6" spans="1:6" ht="5.25" customHeight="1">
      <c r="B6" s="182"/>
      <c r="C6" s="182"/>
      <c r="D6" s="182"/>
      <c r="E6" s="182"/>
      <c r="F6" s="182"/>
    </row>
    <row r="7" spans="1:6" ht="18" customHeight="1">
      <c r="B7" s="166"/>
      <c r="C7" s="184" t="s">
        <v>532</v>
      </c>
      <c r="D7" s="185"/>
      <c r="E7" s="186"/>
      <c r="F7" s="167"/>
    </row>
    <row r="8" spans="1:6" ht="12" customHeight="1">
      <c r="C8" s="184"/>
      <c r="D8" s="185"/>
      <c r="E8" s="186"/>
      <c r="F8" s="18"/>
    </row>
    <row r="9" spans="1:6" ht="6.75" customHeight="1">
      <c r="A9" s="182"/>
      <c r="B9" s="182"/>
      <c r="C9" s="187"/>
      <c r="D9" s="188"/>
      <c r="E9" s="189"/>
      <c r="F9" s="18"/>
    </row>
    <row r="10" spans="1:6" ht="18" customHeight="1">
      <c r="A10" s="182"/>
      <c r="B10" s="182"/>
      <c r="C10" s="183" t="s">
        <v>317</v>
      </c>
      <c r="D10" s="183"/>
      <c r="E10" s="183"/>
      <c r="F10" s="18"/>
    </row>
    <row r="11" spans="1:6" ht="15.75">
      <c r="C11" s="13" t="s">
        <v>318</v>
      </c>
      <c r="D11" s="14"/>
      <c r="E11" s="11" t="s">
        <v>319</v>
      </c>
      <c r="F11" s="18"/>
    </row>
    <row r="12" spans="1:6">
      <c r="C12" s="180" t="s">
        <v>536</v>
      </c>
      <c r="D12" s="180"/>
      <c r="E12" s="12" t="s">
        <v>360</v>
      </c>
      <c r="F12" s="18" t="s">
        <v>210</v>
      </c>
    </row>
    <row r="13" spans="1:6">
      <c r="C13" s="17" t="s">
        <v>535</v>
      </c>
      <c r="D13" s="17"/>
      <c r="E13" s="12" t="s">
        <v>327</v>
      </c>
      <c r="F13" s="18" t="s">
        <v>210</v>
      </c>
    </row>
    <row r="14" spans="1:6">
      <c r="C14" s="180" t="s">
        <v>533</v>
      </c>
      <c r="D14" s="180"/>
      <c r="E14" s="21" t="s">
        <v>347</v>
      </c>
      <c r="F14" s="18" t="s">
        <v>210</v>
      </c>
    </row>
    <row r="15" spans="1:6">
      <c r="C15" s="17" t="s">
        <v>534</v>
      </c>
      <c r="D15" s="17"/>
      <c r="E15" s="21" t="s">
        <v>348</v>
      </c>
      <c r="F15" s="18" t="s">
        <v>210</v>
      </c>
    </row>
    <row r="16" spans="1:6">
      <c r="C16" s="17" t="s">
        <v>537</v>
      </c>
      <c r="D16" s="17"/>
      <c r="E16" s="23" t="s">
        <v>359</v>
      </c>
      <c r="F16" s="18" t="s">
        <v>210</v>
      </c>
    </row>
    <row r="17" spans="3:6">
      <c r="C17" s="17" t="s">
        <v>538</v>
      </c>
      <c r="D17" s="17"/>
      <c r="E17" s="23" t="s">
        <v>530</v>
      </c>
      <c r="F17" s="18" t="s">
        <v>210</v>
      </c>
    </row>
    <row r="18" spans="3:6">
      <c r="C18" s="17" t="s">
        <v>540</v>
      </c>
      <c r="D18" s="17"/>
      <c r="E18" s="170" t="s">
        <v>539</v>
      </c>
      <c r="F18" s="18" t="s">
        <v>210</v>
      </c>
    </row>
    <row r="19" spans="3:6">
      <c r="C19" s="17"/>
      <c r="D19" s="17"/>
      <c r="E19" s="170"/>
      <c r="F19" s="18"/>
    </row>
    <row r="20" spans="3:6" ht="1.5" customHeight="1">
      <c r="C20" s="179"/>
      <c r="D20" s="179"/>
      <c r="E20" s="179"/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  <row r="33" spans="6:6">
      <c r="F33" s="18"/>
    </row>
    <row r="34" spans="6:6">
      <c r="F34" s="18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8" r:id="rId1" xr:uid="{EFF1BF30-25F2-435D-BF36-04D0579FFDF5}"/>
    <hyperlink ref="E16" r:id="rId2" xr:uid="{19AF7C83-3009-4B4C-9FB7-4BFC6E3435A0}"/>
    <hyperlink ref="E13" r:id="rId3" xr:uid="{24514AAD-1976-4895-9499-8629E57746EE}"/>
    <hyperlink ref="E12" r:id="rId4" xr:uid="{0007FD13-BAF9-4905-87BE-19FBE5C13B56}"/>
    <hyperlink ref="E17" r:id="rId5" xr:uid="{8B4B8F8C-C0F2-4376-9ECD-F490D178679B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ProductionCost">
          <controlPr defaultSize="0" autoLine="0" r:id="rId9">
            <anchor moveWithCells="1">
              <from>
                <xdr:col>4</xdr:col>
                <xdr:colOff>1457325</xdr:colOff>
                <xdr:row>1</xdr:row>
                <xdr:rowOff>76200</xdr:rowOff>
              </from>
              <to>
                <xdr:col>4</xdr:col>
                <xdr:colOff>2657475</xdr:colOff>
                <xdr:row>1</xdr:row>
                <xdr:rowOff>409575</xdr:rowOff>
              </to>
            </anchor>
          </controlPr>
        </control>
      </mc:Choice>
      <mc:Fallback>
        <control shapeId="9228" r:id="rId8" name="btn_Production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r:id="rId11">
            <anchor moveWithCells="1">
              <from>
                <xdr:col>4</xdr:col>
                <xdr:colOff>85725</xdr:colOff>
                <xdr:row>1</xdr:row>
                <xdr:rowOff>85725</xdr:rowOff>
              </from>
              <to>
                <xdr:col>4</xdr:col>
                <xdr:colOff>1285875</xdr:colOff>
                <xdr:row>2</xdr:row>
                <xdr:rowOff>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CommandButton1">
          <controlPr defaultSize="0" autoLine="0" r:id="rId13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638175</xdr:colOff>
                <xdr:row>7</xdr:row>
                <xdr:rowOff>104775</xdr:rowOff>
              </to>
            </anchor>
          </controlPr>
        </control>
      </mc:Choice>
      <mc:Fallback>
        <control shapeId="9225" r:id="rId12" name="CommandButton1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r:id="rId15">
            <anchor moveWithCells="1">
              <from>
                <xdr:col>2</xdr:col>
                <xdr:colOff>2124075</xdr:colOff>
                <xdr:row>1</xdr:row>
                <xdr:rowOff>114300</xdr:rowOff>
              </from>
              <to>
                <xdr:col>3</xdr:col>
                <xdr:colOff>47625</xdr:colOff>
                <xdr:row>2</xdr:row>
                <xdr:rowOff>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r:id="rId17">
            <anchor moveWithCells="1">
              <from>
                <xdr:col>2</xdr:col>
                <xdr:colOff>600075</xdr:colOff>
                <xdr:row>1</xdr:row>
                <xdr:rowOff>123825</xdr:rowOff>
              </from>
              <to>
                <xdr:col>2</xdr:col>
                <xdr:colOff>1943100</xdr:colOff>
                <xdr:row>1</xdr:row>
                <xdr:rowOff>409575</xdr:rowOff>
              </to>
            </anchor>
          </controlPr>
        </control>
      </mc:Choice>
      <mc:Fallback>
        <control shapeId="9224" r:id="rId16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335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333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353</v>
      </c>
      <c r="Y1" s="10" t="s">
        <v>354</v>
      </c>
      <c r="Z1" s="10" t="s">
        <v>352</v>
      </c>
    </row>
    <row r="2" spans="1:26">
      <c r="A2" t="s">
        <v>336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334</v>
      </c>
      <c r="Z2" t="s">
        <v>334</v>
      </c>
    </row>
    <row r="3" spans="1:26">
      <c r="A3" t="s">
        <v>337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330</v>
      </c>
    </row>
    <row r="4" spans="1:26">
      <c r="A4" t="s">
        <v>338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331</v>
      </c>
    </row>
    <row r="5" spans="1:26">
      <c r="A5" t="s">
        <v>339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332</v>
      </c>
    </row>
    <row r="6" spans="1:26">
      <c r="A6" t="s">
        <v>340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332</v>
      </c>
    </row>
    <row r="7" spans="1:26">
      <c r="A7" t="s">
        <v>341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331</v>
      </c>
    </row>
    <row r="8" spans="1:26">
      <c r="A8" t="s">
        <v>342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331</v>
      </c>
    </row>
    <row r="9" spans="1:26">
      <c r="A9" t="s">
        <v>343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331</v>
      </c>
    </row>
    <row r="10" spans="1:26">
      <c r="A10" t="s">
        <v>344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334</v>
      </c>
      <c r="Z10" t="s">
        <v>334</v>
      </c>
    </row>
    <row r="11" spans="1:26">
      <c r="A11" t="s">
        <v>345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334</v>
      </c>
      <c r="Z11" t="s">
        <v>334</v>
      </c>
    </row>
    <row r="12" spans="1:26">
      <c r="A12" t="s">
        <v>355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349</v>
      </c>
      <c r="Y12">
        <v>38</v>
      </c>
      <c r="Z12" t="s">
        <v>350</v>
      </c>
    </row>
    <row r="13" spans="1:26">
      <c r="A13" t="s">
        <v>356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349</v>
      </c>
      <c r="Y13">
        <v>38</v>
      </c>
      <c r="Z13" t="s">
        <v>351</v>
      </c>
    </row>
    <row r="14" spans="1:26">
      <c r="A14" t="s">
        <v>357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334</v>
      </c>
    </row>
    <row r="15" spans="1:26">
      <c r="A15" t="s">
        <v>358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334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98" t="s">
        <v>324</v>
      </c>
      <c r="B1" s="199"/>
      <c r="C1" s="200"/>
      <c r="D1" s="90"/>
      <c r="E1" s="90"/>
      <c r="F1" s="90"/>
      <c r="G1" s="201" t="s">
        <v>346</v>
      </c>
      <c r="H1" s="202"/>
      <c r="I1" s="202"/>
      <c r="J1" s="202"/>
      <c r="K1" s="202"/>
    </row>
    <row r="2" spans="1:12" s="102" customFormat="1" ht="21" customHeight="1">
      <c r="A2" s="99" t="s">
        <v>0</v>
      </c>
      <c r="B2" s="100" t="s">
        <v>322</v>
      </c>
      <c r="C2" s="101" t="s">
        <v>170</v>
      </c>
      <c r="D2" s="106"/>
      <c r="E2" s="106"/>
      <c r="F2" s="106"/>
      <c r="G2" s="99" t="s">
        <v>321</v>
      </c>
      <c r="H2" s="100" t="s">
        <v>322</v>
      </c>
      <c r="I2" s="101" t="s">
        <v>170</v>
      </c>
      <c r="J2" s="101" t="s">
        <v>328</v>
      </c>
      <c r="K2" s="101" t="s">
        <v>191</v>
      </c>
    </row>
    <row r="3" spans="1:12">
      <c r="A3" s="70" t="s">
        <v>9</v>
      </c>
      <c r="B3" s="103">
        <v>8.1590977598792011E-2</v>
      </c>
      <c r="C3" s="104">
        <f>SUMIF('All Costing'!$A$6:$A$1048576,RESUME!A3,'All Costing'!$G$6:$H$1048576)</f>
        <v>67897.759999999995</v>
      </c>
      <c r="D3" s="89"/>
      <c r="E3" s="89"/>
      <c r="F3" s="89"/>
      <c r="G3" s="70" t="s">
        <v>9</v>
      </c>
      <c r="H3" s="105">
        <f t="shared" ref="H3:H10" si="0">I3/$I$11</f>
        <v>8.1590977598792011E-2</v>
      </c>
      <c r="I3" s="104">
        <f>SUMIF('All Costing'!$A$6:$A$1048576,RESUME!G3,'All Costing'!$G$6:$H$1048576)</f>
        <v>67897.759999999995</v>
      </c>
      <c r="J3" s="104">
        <f>SUMIF('All Costing'!$A$6:$A$1048576,RESUME!G3,'All Costing'!$H$6:$H$1048576)</f>
        <v>49040.840000000033</v>
      </c>
      <c r="K3" s="104">
        <f t="shared" ref="K3:K10" si="1">I3-J3</f>
        <v>18856.919999999962</v>
      </c>
    </row>
    <row r="4" spans="1:12">
      <c r="A4" s="70" t="s">
        <v>35</v>
      </c>
      <c r="B4" s="103">
        <v>0.27755070800026532</v>
      </c>
      <c r="C4" s="104">
        <f>SUMIF('All Costing'!$A$6:$A$1048576,RESUME!A4,'All Costing'!$G$6:$H$1048576)</f>
        <v>230970.03999999998</v>
      </c>
      <c r="D4" s="89"/>
      <c r="E4" s="89"/>
      <c r="F4" s="89"/>
      <c r="G4" s="70" t="s">
        <v>35</v>
      </c>
      <c r="H4" s="105">
        <f t="shared" si="0"/>
        <v>0.27755070800026532</v>
      </c>
      <c r="I4" s="104">
        <f>SUMIF('All Costing'!$A$6:$A$1048576,RESUME!G4,'All Costing'!$G$6:$H$1048576)</f>
        <v>230970.03999999998</v>
      </c>
      <c r="J4" s="104">
        <f>SUMIF('All Costing'!$A$6:$A$1048576,RESUME!G4,'All Costing'!$H$6:$H$1048576)</f>
        <v>12242.990000000002</v>
      </c>
      <c r="K4" s="104">
        <f t="shared" si="1"/>
        <v>218727.05</v>
      </c>
    </row>
    <row r="5" spans="1:12">
      <c r="A5" s="70" t="s">
        <v>43</v>
      </c>
      <c r="B5" s="103">
        <v>1.0214229594462793E-2</v>
      </c>
      <c r="C5" s="104">
        <f>SUMIF('All Costing'!$A$6:$A$1048576,RESUME!A5,'All Costing'!$G$6:$H$1048576)</f>
        <v>8500</v>
      </c>
      <c r="D5" s="89"/>
      <c r="E5" s="89"/>
      <c r="F5" s="89"/>
      <c r="G5" s="70" t="s">
        <v>43</v>
      </c>
      <c r="H5" s="105">
        <f t="shared" si="0"/>
        <v>1.0214229594462793E-2</v>
      </c>
      <c r="I5" s="104">
        <f>SUMIF('All Costing'!$A$6:$A$1048576,RESUME!G5,'All Costing'!$G$6:$H$1048576)</f>
        <v>8500</v>
      </c>
      <c r="J5" s="104">
        <f>SUMIF('All Costing'!$A$6:$A$1048576,RESUME!G5,'All Costing'!$H$6:$H$1048576)</f>
        <v>386.13</v>
      </c>
      <c r="K5" s="104">
        <f t="shared" si="1"/>
        <v>8113.87</v>
      </c>
    </row>
    <row r="6" spans="1:12">
      <c r="A6" s="70" t="s">
        <v>312</v>
      </c>
      <c r="B6" s="103">
        <v>1.2016740699367992E-3</v>
      </c>
      <c r="C6" s="104">
        <f>SUMIF('All Costing'!$A$6:$A$1048576,RESUME!A6,'All Costing'!$G$6:$H$1048576)</f>
        <v>1000</v>
      </c>
      <c r="D6" s="89"/>
      <c r="E6" s="89"/>
      <c r="F6" s="89"/>
      <c r="G6" s="70" t="s">
        <v>312</v>
      </c>
      <c r="H6" s="105">
        <f t="shared" si="0"/>
        <v>1.2016740699367992E-3</v>
      </c>
      <c r="I6" s="104">
        <f>SUMIF('All Costing'!$A$6:$A$1048576,RESUME!G6,'All Costing'!$G$6:$H$1048576)</f>
        <v>1000</v>
      </c>
      <c r="J6" s="104">
        <f>SUMIF('All Costing'!$A$6:$A$1048576,RESUME!G6,'All Costing'!$H$6:$H$1048576)</f>
        <v>2723.49</v>
      </c>
      <c r="K6" s="104">
        <f t="shared" si="1"/>
        <v>-1723.4899999999998</v>
      </c>
    </row>
    <row r="7" spans="1:12">
      <c r="A7" s="70" t="s">
        <v>65</v>
      </c>
      <c r="B7" s="103">
        <v>0.1047205357286401</v>
      </c>
      <c r="C7" s="104">
        <f>SUMIF('All Costing'!$A$6:$A$1048576,RESUME!A7,'All Costing'!$G$6:$H$1048576)</f>
        <v>87145.539999999964</v>
      </c>
      <c r="D7" s="89"/>
      <c r="E7" s="89"/>
      <c r="F7" s="89"/>
      <c r="G7" s="70" t="s">
        <v>65</v>
      </c>
      <c r="H7" s="105">
        <f t="shared" si="0"/>
        <v>0.1047205357286401</v>
      </c>
      <c r="I7" s="104">
        <f>SUMIF('All Costing'!$A$6:$A$1048576,RESUME!G7,'All Costing'!$G$6:$H$1048576)</f>
        <v>87145.539999999964</v>
      </c>
      <c r="J7" s="104">
        <f>SUMIF('All Costing'!$A$6:$A$1048576,RESUME!G7,'All Costing'!$H$6:$H$1048576)</f>
        <v>32771.61</v>
      </c>
      <c r="K7" s="104">
        <f t="shared" si="1"/>
        <v>54373.929999999964</v>
      </c>
    </row>
    <row r="8" spans="1:12">
      <c r="A8" s="70" t="s">
        <v>139</v>
      </c>
      <c r="B8" s="103">
        <v>0.12076439185780972</v>
      </c>
      <c r="C8" s="104">
        <f>SUMIF('All Costing'!$A$6:$A$1048576,RESUME!A8,'All Costing'!$G$6:$H$1048576)</f>
        <v>100496.79432973135</v>
      </c>
      <c r="D8" s="89"/>
      <c r="E8" s="89"/>
      <c r="F8" s="89"/>
      <c r="G8" s="70" t="s">
        <v>139</v>
      </c>
      <c r="H8" s="105">
        <f t="shared" si="0"/>
        <v>0.12076439185780972</v>
      </c>
      <c r="I8" s="104">
        <f>SUMIF('All Costing'!$A$6:$A$1048576,RESUME!G8,'All Costing'!$G$6:$H$1048576)</f>
        <v>100496.79432973135</v>
      </c>
      <c r="J8" s="104">
        <f>SUMIF('All Costing'!$A$6:$A$1048576,RESUME!G8,'All Costing'!$H$6:$H$1048576)</f>
        <v>15400.28</v>
      </c>
      <c r="K8" s="104">
        <f t="shared" si="1"/>
        <v>85096.514329731348</v>
      </c>
    </row>
    <row r="9" spans="1:12">
      <c r="A9" s="70" t="s">
        <v>171</v>
      </c>
      <c r="B9" s="103">
        <v>0.14255002855513671</v>
      </c>
      <c r="C9" s="104">
        <f>SUMIFS('All Costing'!$G$6:$G$1048576,'All Costing'!$D$6:$D$1048576,"MAJA-1",'All Costing'!$A$6:$A$1048576,"Tony Teja")</f>
        <v>118626.19999999998</v>
      </c>
      <c r="D9" s="89"/>
      <c r="E9" s="89"/>
      <c r="F9" s="89"/>
      <c r="G9" s="70" t="s">
        <v>323</v>
      </c>
      <c r="H9" s="105">
        <f t="shared" si="0"/>
        <v>0.29780020186995526</v>
      </c>
      <c r="I9" s="104">
        <f>SUMIF('All Costing'!$A$6:$A$1048576,RESUME!G9,'All Costing'!$G$6:$H$1048576)</f>
        <v>247821.11000000002</v>
      </c>
      <c r="J9" s="104">
        <f>SUMIF('All Costing'!$A$6:$A$1048576,RESUME!G9,'All Costing'!$H$6:$H$1048576)</f>
        <v>38261.370000000003</v>
      </c>
      <c r="K9" s="104">
        <f t="shared" si="1"/>
        <v>209559.74000000002</v>
      </c>
      <c r="L9" s="19"/>
    </row>
    <row r="10" spans="1:12">
      <c r="A10" s="70" t="s">
        <v>155</v>
      </c>
      <c r="B10" s="103">
        <v>0.1552501733148185</v>
      </c>
      <c r="C10" s="104">
        <f>SUMIFS('All Costing'!$G$6:$G$1048576,'All Costing'!$D$6:$D$1048576,"MAJA-2",'All Costing'!$A$6:$A$1048576,"Tony Teja")</f>
        <v>129194.91000000002</v>
      </c>
      <c r="D10" s="89"/>
      <c r="E10" s="89"/>
      <c r="F10" s="89"/>
      <c r="G10" s="70" t="s">
        <v>157</v>
      </c>
      <c r="H10" s="105">
        <f t="shared" si="0"/>
        <v>0.10615728128013797</v>
      </c>
      <c r="I10" s="104">
        <f>SUMIF('All Costing'!$A$6:$A$1048576,RESUME!G10,'All Costing'!$G$6:$H$1048576)</f>
        <v>88341.16</v>
      </c>
      <c r="J10" s="104">
        <f>SUMIF('All Costing'!$A$6:$A$1048576,RESUME!G10,'All Costing'!$H$6:$H$1048576)</f>
        <v>6677.2400000000007</v>
      </c>
      <c r="K10" s="104">
        <f t="shared" si="1"/>
        <v>81663.92</v>
      </c>
    </row>
    <row r="11" spans="1:12">
      <c r="A11" s="70" t="s">
        <v>323</v>
      </c>
      <c r="B11" s="103">
        <v>0.29780020186995526</v>
      </c>
      <c r="C11" s="104">
        <f>SUMIF('All Costing'!$A$6:$A$1048576,RESUME!A11,'All Costing'!$G$6:$H$1048576)</f>
        <v>247821.11000000002</v>
      </c>
      <c r="D11" s="89"/>
      <c r="E11" s="89"/>
      <c r="F11" s="89"/>
      <c r="G11" s="196" t="s">
        <v>34</v>
      </c>
      <c r="H11" s="197"/>
      <c r="I11" s="107">
        <f>SUM(I3:I10)</f>
        <v>832172.40432973136</v>
      </c>
      <c r="J11" s="107">
        <f>SUM(J3:J10)</f>
        <v>157503.95000000001</v>
      </c>
      <c r="K11" s="107"/>
    </row>
    <row r="12" spans="1:12">
      <c r="A12" s="70" t="s">
        <v>157</v>
      </c>
      <c r="B12" s="103">
        <v>0.10615728128013797</v>
      </c>
      <c r="C12" s="104">
        <f>SUMIF('All Costing'!$A$6:$A$1048576,RESUME!A12,'All Costing'!$G$6:$H$1048576)</f>
        <v>88341.16</v>
      </c>
      <c r="D12" s="89"/>
      <c r="E12" s="89"/>
      <c r="F12" s="89"/>
      <c r="H12" s="22"/>
      <c r="I12"/>
      <c r="J12"/>
      <c r="K12"/>
    </row>
    <row r="13" spans="1:12">
      <c r="A13" s="196" t="s">
        <v>34</v>
      </c>
      <c r="B13" s="197"/>
      <c r="C13" s="108"/>
      <c r="D13" s="89"/>
      <c r="E13" s="89"/>
      <c r="F13" s="89"/>
      <c r="H13" s="22"/>
      <c r="I13"/>
      <c r="J13"/>
      <c r="K13"/>
    </row>
    <row r="14" spans="1:12">
      <c r="D14" s="89"/>
      <c r="E14" s="89"/>
      <c r="F14" s="89"/>
      <c r="H14" s="22"/>
      <c r="I14"/>
      <c r="J14"/>
      <c r="K14"/>
    </row>
    <row r="15" spans="1:12">
      <c r="D15" s="89"/>
      <c r="E15" s="89"/>
      <c r="F15" s="89"/>
      <c r="H15" s="22"/>
      <c r="I15"/>
      <c r="J15"/>
      <c r="K15"/>
    </row>
    <row r="16" spans="1:12">
      <c r="D16" s="89"/>
      <c r="E16" s="89"/>
      <c r="F16" s="89"/>
      <c r="H16" s="22"/>
      <c r="I16"/>
      <c r="J16"/>
      <c r="K16"/>
    </row>
    <row r="17" spans="4:9">
      <c r="D17" s="89"/>
      <c r="E17" s="89"/>
      <c r="F17" s="89"/>
      <c r="H17" s="22"/>
      <c r="I17"/>
    </row>
    <row r="18" spans="4:9">
      <c r="D18" s="89"/>
      <c r="E18" s="89"/>
      <c r="F18" s="89"/>
    </row>
    <row r="19" spans="4:9">
      <c r="D19" s="89"/>
      <c r="E19" s="89"/>
      <c r="F19" s="89"/>
    </row>
    <row r="20" spans="4:9">
      <c r="D20" s="89"/>
      <c r="E20" s="89"/>
      <c r="F20" s="89"/>
    </row>
    <row r="21" spans="4:9">
      <c r="D21" s="89"/>
      <c r="E21" s="89"/>
      <c r="F21" s="8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203" t="s">
        <v>173</v>
      </c>
      <c r="B2" s="203"/>
      <c r="C2" s="203"/>
      <c r="D2" s="203"/>
      <c r="E2" s="203"/>
      <c r="F2" s="203"/>
      <c r="G2" s="203"/>
      <c r="H2" s="203"/>
      <c r="I2" s="203"/>
      <c r="J2" s="203"/>
    </row>
    <row r="4" spans="1:17">
      <c r="G4" s="3"/>
      <c r="H4" s="3"/>
    </row>
    <row r="5" spans="1:17" s="5" customFormat="1">
      <c r="A5" s="59" t="s">
        <v>172</v>
      </c>
      <c r="B5" s="59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63" t="s">
        <v>6</v>
      </c>
      <c r="I5" s="6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4" priority="1" operator="lessThanOr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tabSelected="1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8" sqref="Q18"/>
    </sheetView>
  </sheetViews>
  <sheetFormatPr defaultColWidth="16.28515625" defaultRowHeight="15.75"/>
  <cols>
    <col min="1" max="1" width="27.5703125" style="62" bestFit="1" customWidth="1"/>
    <col min="2" max="2" width="35.42578125" style="62" customWidth="1"/>
    <col min="3" max="3" width="51.85546875" style="62" customWidth="1"/>
    <col min="4" max="4" width="19.85546875" style="44" customWidth="1"/>
    <col min="5" max="5" width="17.42578125" style="44" customWidth="1"/>
    <col min="6" max="6" width="36.85546875" style="44" customWidth="1"/>
    <col min="7" max="7" width="20.5703125" style="51" bestFit="1" customWidth="1"/>
    <col min="8" max="8" width="22.7109375" style="51" customWidth="1"/>
    <col min="9" max="9" width="24.5703125" style="51" customWidth="1"/>
    <col min="10" max="10" width="16.28515625" style="43" customWidth="1"/>
    <col min="11" max="11" width="24.28515625" style="152" hidden="1" customWidth="1"/>
    <col min="12" max="12" width="21.28515625" style="152" hidden="1" customWidth="1"/>
    <col min="13" max="13" width="26.28515625" style="152" hidden="1" customWidth="1"/>
    <col min="14" max="14" width="23.42578125" style="42" hidden="1" customWidth="1"/>
    <col min="15" max="15" width="27.28515625" style="44" hidden="1" customWidth="1"/>
    <col min="16" max="16" width="19.28515625" style="44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15.1406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74" t="str">
        <f ca="1">"MONTHLY BUDGET TH "&amp;YEAR(TODAY())</f>
        <v>MONTHLY BUDGET TH 2024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65"/>
      <c r="O1" s="165"/>
      <c r="P1" s="174"/>
      <c r="Q1" s="174"/>
      <c r="R1" s="159"/>
    </row>
    <row r="2" spans="1:27" ht="15.75" customHeight="1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65"/>
      <c r="O2" s="165"/>
      <c r="P2" s="174"/>
      <c r="Q2" s="174"/>
      <c r="R2" s="159"/>
    </row>
    <row r="3" spans="1:27" s="56" customFormat="1" ht="17.25" customHeight="1">
      <c r="A3" s="162" t="str">
        <f>"Periode : " &amp; TEXT(DATE('(HOME)'!E15, '(HOME)'!E14, 1), "mmmm-yyyy")</f>
        <v>Periode : February-2024</v>
      </c>
      <c r="B3" s="58"/>
      <c r="C3" s="58"/>
      <c r="D3" s="52"/>
      <c r="E3" s="52"/>
      <c r="F3" s="52"/>
      <c r="G3" s="53"/>
      <c r="H3" s="53"/>
      <c r="I3" s="53"/>
      <c r="J3" s="54"/>
      <c r="K3" s="54"/>
      <c r="L3" s="150"/>
      <c r="M3" s="150"/>
      <c r="N3" s="55"/>
      <c r="O3" s="52"/>
      <c r="P3" s="52"/>
      <c r="Q3" s="58"/>
      <c r="R3" s="160"/>
    </row>
    <row r="4" spans="1:27" s="56" customFormat="1" ht="16.5" customHeight="1">
      <c r="A4" s="58"/>
      <c r="B4" s="58"/>
      <c r="C4" s="58"/>
      <c r="D4" s="52"/>
      <c r="E4" s="52"/>
      <c r="F4" s="52"/>
      <c r="G4" s="57"/>
      <c r="H4" s="53" t="s">
        <v>210</v>
      </c>
      <c r="I4" s="57"/>
      <c r="J4" s="54"/>
      <c r="K4" s="155">
        <v>0.8</v>
      </c>
      <c r="L4" s="155">
        <v>1</v>
      </c>
      <c r="M4" s="153"/>
      <c r="N4" s="55"/>
      <c r="O4" s="52"/>
      <c r="P4" s="52"/>
      <c r="Q4" s="52"/>
      <c r="R4" s="160"/>
    </row>
    <row r="5" spans="1:27" s="41" customFormat="1" ht="28.5" customHeight="1">
      <c r="A5" s="59" t="s">
        <v>172</v>
      </c>
      <c r="B5" s="172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173" t="s">
        <v>6</v>
      </c>
      <c r="I5" s="17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  <c r="R5" s="161"/>
    </row>
    <row r="6" spans="1:27">
      <c r="A6" s="60" t="s">
        <v>9</v>
      </c>
      <c r="B6" s="36" t="s">
        <v>10</v>
      </c>
      <c r="C6" s="60" t="s">
        <v>11</v>
      </c>
      <c r="D6" s="45" t="s">
        <v>12</v>
      </c>
      <c r="E6" s="45" t="s">
        <v>13</v>
      </c>
      <c r="F6" s="45"/>
      <c r="G6" s="163">
        <v>10000</v>
      </c>
      <c r="H6" s="163">
        <v>15169.11</v>
      </c>
      <c r="I6" s="163">
        <f>G6-H6</f>
        <v>-5169.1100000000006</v>
      </c>
      <c r="J6" s="48">
        <f>G6/VLOOKUP(A6,RESUME!$G$3:$I$10,3,FALSE)</f>
        <v>0.14728026373771388</v>
      </c>
      <c r="K6" s="163">
        <f>G6*$K$4</f>
        <v>8000</v>
      </c>
      <c r="L6" s="163">
        <f>G6*$L$4</f>
        <v>10000</v>
      </c>
      <c r="M6" s="154">
        <f>IF(L6=0,0,IF(H6&gt;L6,0,L6/IF(H6&gt;=K6,H6,K6)*J6))</f>
        <v>0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OVER</v>
      </c>
      <c r="Q6" s="159" t="s">
        <v>531</v>
      </c>
      <c r="R6" s="175"/>
      <c r="AA6" s="178"/>
    </row>
    <row r="7" spans="1:27">
      <c r="A7" s="61" t="s">
        <v>9</v>
      </c>
      <c r="B7" s="37" t="s">
        <v>10</v>
      </c>
      <c r="C7" s="61" t="s">
        <v>11</v>
      </c>
      <c r="D7" s="46" t="s">
        <v>14</v>
      </c>
      <c r="E7" s="46" t="s">
        <v>15</v>
      </c>
      <c r="F7" s="46"/>
      <c r="G7" s="164">
        <v>10000</v>
      </c>
      <c r="H7" s="164">
        <v>7555.56</v>
      </c>
      <c r="I7" s="164">
        <f t="shared" ref="I7:I37" si="2">G7-H7</f>
        <v>2444.4399999999996</v>
      </c>
      <c r="J7" s="50">
        <f>G7/VLOOKUP(A7,RESUME!$G$3:$I$10,3,FALSE)</f>
        <v>0.14728026373771388</v>
      </c>
      <c r="K7" s="164">
        <f t="shared" ref="K7:K70" si="3">G7*$K$4</f>
        <v>8000</v>
      </c>
      <c r="L7" s="164">
        <f t="shared" ref="L7:L70" si="4">G7*$L$4</f>
        <v>10000</v>
      </c>
      <c r="M7" s="156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6" t="str">
        <f t="shared" si="1"/>
        <v>OK</v>
      </c>
      <c r="Q7" s="171" t="s">
        <v>531</v>
      </c>
      <c r="R7" s="175"/>
    </row>
    <row r="8" spans="1:27">
      <c r="A8" s="60" t="s">
        <v>9</v>
      </c>
      <c r="B8" s="36" t="s">
        <v>16</v>
      </c>
      <c r="C8" s="60" t="s">
        <v>17</v>
      </c>
      <c r="D8" s="45" t="s">
        <v>12</v>
      </c>
      <c r="E8" s="45" t="s">
        <v>18</v>
      </c>
      <c r="F8" s="45"/>
      <c r="G8" s="163">
        <v>1987.05</v>
      </c>
      <c r="H8" s="163">
        <v>2284</v>
      </c>
      <c r="I8" s="163">
        <f t="shared" si="2"/>
        <v>-296.95000000000005</v>
      </c>
      <c r="J8" s="48">
        <f>G8/VLOOKUP(A8,RESUME!$G$3:$I$10,3,FALSE)</f>
        <v>2.9265324806002437E-2</v>
      </c>
      <c r="K8" s="163">
        <f t="shared" si="3"/>
        <v>1589.64</v>
      </c>
      <c r="L8" s="163">
        <f t="shared" si="4"/>
        <v>1987.05</v>
      </c>
      <c r="M8" s="154">
        <f t="shared" si="5"/>
        <v>0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OVER</v>
      </c>
      <c r="Q8" s="159" t="s">
        <v>531</v>
      </c>
      <c r="R8" s="175"/>
    </row>
    <row r="9" spans="1:27">
      <c r="A9" s="61" t="s">
        <v>9</v>
      </c>
      <c r="B9" s="37" t="s">
        <v>16</v>
      </c>
      <c r="C9" s="61" t="s">
        <v>17</v>
      </c>
      <c r="D9" s="46" t="s">
        <v>14</v>
      </c>
      <c r="E9" s="46" t="s">
        <v>19</v>
      </c>
      <c r="F9" s="46"/>
      <c r="G9" s="164">
        <v>326</v>
      </c>
      <c r="H9" s="164">
        <v>394.88</v>
      </c>
      <c r="I9" s="164">
        <f t="shared" si="2"/>
        <v>-68.88</v>
      </c>
      <c r="J9" s="50">
        <f>G9/VLOOKUP(A9,RESUME!$G$3:$I$10,3,FALSE)</f>
        <v>4.8013365978494729E-3</v>
      </c>
      <c r="K9" s="164">
        <f t="shared" si="3"/>
        <v>260.8</v>
      </c>
      <c r="L9" s="164">
        <f t="shared" si="4"/>
        <v>326</v>
      </c>
      <c r="M9" s="156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6" t="str">
        <f t="shared" si="1"/>
        <v>OVER</v>
      </c>
      <c r="Q9" s="171" t="s">
        <v>531</v>
      </c>
      <c r="R9" s="175"/>
    </row>
    <row r="10" spans="1:27">
      <c r="A10" s="60" t="s">
        <v>9</v>
      </c>
      <c r="B10" s="36" t="s">
        <v>20</v>
      </c>
      <c r="C10" s="60" t="s">
        <v>21</v>
      </c>
      <c r="D10" s="45" t="s">
        <v>12</v>
      </c>
      <c r="E10" s="45" t="s">
        <v>22</v>
      </c>
      <c r="F10" s="45"/>
      <c r="G10" s="163">
        <v>15015.099999999999</v>
      </c>
      <c r="H10" s="163">
        <v>5880.0999999999985</v>
      </c>
      <c r="I10" s="163">
        <f t="shared" si="2"/>
        <v>9135</v>
      </c>
      <c r="J10" s="48">
        <f>G10/VLOOKUP(A10,RESUME!$G$3:$I$10,3,FALSE)</f>
        <v>0.22114278880481478</v>
      </c>
      <c r="K10" s="163">
        <f t="shared" si="3"/>
        <v>12012.08</v>
      </c>
      <c r="L10" s="163">
        <f t="shared" si="4"/>
        <v>15015.099999999999</v>
      </c>
      <c r="M10" s="154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Q10" s="159" t="s">
        <v>531</v>
      </c>
      <c r="R10" s="175"/>
    </row>
    <row r="11" spans="1:27">
      <c r="A11" s="61" t="s">
        <v>9</v>
      </c>
      <c r="B11" s="37" t="s">
        <v>20</v>
      </c>
      <c r="C11" s="61" t="s">
        <v>21</v>
      </c>
      <c r="D11" s="46" t="s">
        <v>23</v>
      </c>
      <c r="E11" s="46" t="s">
        <v>24</v>
      </c>
      <c r="F11" s="46"/>
      <c r="G11" s="164">
        <v>26.7199999999998</v>
      </c>
      <c r="H11" s="164">
        <v>706.3</v>
      </c>
      <c r="I11" s="164">
        <f t="shared" si="2"/>
        <v>-679.58000000000015</v>
      </c>
      <c r="J11" s="50">
        <f>G11/VLOOKUP(A11,RESUME!$G$3:$I$10,3,FALSE)</f>
        <v>3.9353286470716859E-4</v>
      </c>
      <c r="K11" s="164">
        <f t="shared" si="3"/>
        <v>21.375999999999841</v>
      </c>
      <c r="L11" s="164">
        <f t="shared" si="4"/>
        <v>26.7199999999998</v>
      </c>
      <c r="M11" s="156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6" t="str">
        <f t="shared" si="1"/>
        <v>OVER</v>
      </c>
      <c r="Q11" s="171" t="s">
        <v>531</v>
      </c>
      <c r="R11" s="175"/>
    </row>
    <row r="12" spans="1:27">
      <c r="A12" s="60" t="s">
        <v>9</v>
      </c>
      <c r="B12" s="36" t="s">
        <v>20</v>
      </c>
      <c r="C12" s="60" t="s">
        <v>21</v>
      </c>
      <c r="D12" s="45" t="s">
        <v>14</v>
      </c>
      <c r="E12" s="45" t="s">
        <v>24</v>
      </c>
      <c r="F12" s="45"/>
      <c r="G12" s="163">
        <v>15124.89</v>
      </c>
      <c r="H12" s="163">
        <v>5170.79000000003</v>
      </c>
      <c r="I12" s="163">
        <f t="shared" si="2"/>
        <v>9954.0999999999694</v>
      </c>
      <c r="J12" s="48">
        <f>G12/VLOOKUP(A12,RESUME!$G$3:$I$10,3,FALSE)</f>
        <v>0.22275977882039114</v>
      </c>
      <c r="K12" s="163">
        <f t="shared" si="3"/>
        <v>12099.912</v>
      </c>
      <c r="L12" s="163">
        <f t="shared" si="4"/>
        <v>15124.89</v>
      </c>
      <c r="M12" s="154">
        <f t="shared" si="5"/>
        <v>0.27844972352548891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OK</v>
      </c>
      <c r="Q12" s="159" t="s">
        <v>531</v>
      </c>
      <c r="R12" s="175"/>
    </row>
    <row r="13" spans="1:27">
      <c r="A13" s="61" t="s">
        <v>9</v>
      </c>
      <c r="B13" s="37" t="s">
        <v>25</v>
      </c>
      <c r="C13" s="61" t="s">
        <v>26</v>
      </c>
      <c r="D13" s="46" t="s">
        <v>12</v>
      </c>
      <c r="E13" s="46" t="s">
        <v>27</v>
      </c>
      <c r="F13" s="46"/>
      <c r="G13" s="164">
        <v>639</v>
      </c>
      <c r="H13" s="164">
        <v>513.23</v>
      </c>
      <c r="I13" s="164">
        <f t="shared" si="2"/>
        <v>125.76999999999998</v>
      </c>
      <c r="J13" s="50">
        <f>G13/VLOOKUP(A13,RESUME!$G$3:$I$10,3,FALSE)</f>
        <v>9.4112088528399175E-3</v>
      </c>
      <c r="K13" s="164">
        <f t="shared" si="3"/>
        <v>511.20000000000005</v>
      </c>
      <c r="L13" s="164">
        <f t="shared" si="4"/>
        <v>639</v>
      </c>
      <c r="M13" s="156">
        <f t="shared" si="5"/>
        <v>1.1717480382995358E-2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6" t="str">
        <f t="shared" si="1"/>
        <v>OK</v>
      </c>
      <c r="Q13" s="171" t="s">
        <v>531</v>
      </c>
      <c r="R13" s="175"/>
    </row>
    <row r="14" spans="1:27">
      <c r="A14" s="60" t="s">
        <v>9</v>
      </c>
      <c r="B14" s="36" t="s">
        <v>25</v>
      </c>
      <c r="C14" s="60" t="s">
        <v>26</v>
      </c>
      <c r="D14" s="45" t="s">
        <v>23</v>
      </c>
      <c r="E14" s="45" t="s">
        <v>28</v>
      </c>
      <c r="F14" s="45"/>
      <c r="G14" s="163">
        <v>1265</v>
      </c>
      <c r="H14" s="163">
        <v>839.63</v>
      </c>
      <c r="I14" s="163">
        <f t="shared" si="2"/>
        <v>425.37</v>
      </c>
      <c r="J14" s="48">
        <f>G14/VLOOKUP(A14,RESUME!$G$3:$I$10,3,FALSE)</f>
        <v>1.8630953362820807E-2</v>
      </c>
      <c r="K14" s="163">
        <f t="shared" si="3"/>
        <v>1012</v>
      </c>
      <c r="L14" s="163">
        <f t="shared" si="4"/>
        <v>1265</v>
      </c>
      <c r="M14" s="154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Q14" s="159" t="s">
        <v>531</v>
      </c>
      <c r="R14" s="175"/>
    </row>
    <row r="15" spans="1:27">
      <c r="A15" s="61" t="s">
        <v>9</v>
      </c>
      <c r="B15" s="37" t="s">
        <v>25</v>
      </c>
      <c r="C15" s="61" t="s">
        <v>26</v>
      </c>
      <c r="D15" s="46" t="s">
        <v>14</v>
      </c>
      <c r="E15" s="46" t="s">
        <v>28</v>
      </c>
      <c r="F15" s="46"/>
      <c r="G15" s="164">
        <v>2489</v>
      </c>
      <c r="H15" s="164">
        <v>457.93</v>
      </c>
      <c r="I15" s="164">
        <f t="shared" si="2"/>
        <v>2031.07</v>
      </c>
      <c r="J15" s="50">
        <f>G15/VLOOKUP(A15,RESUME!$G$3:$I$10,3,FALSE)</f>
        <v>3.6658057644316989E-2</v>
      </c>
      <c r="K15" s="164">
        <f t="shared" si="3"/>
        <v>1991.2</v>
      </c>
      <c r="L15" s="164">
        <f t="shared" si="4"/>
        <v>2489</v>
      </c>
      <c r="M15" s="156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6" t="str">
        <f t="shared" si="1"/>
        <v>OK</v>
      </c>
      <c r="Q15" s="171" t="s">
        <v>531</v>
      </c>
      <c r="R15" s="175"/>
    </row>
    <row r="16" spans="1:27">
      <c r="A16" s="60" t="s">
        <v>9</v>
      </c>
      <c r="B16" s="36" t="s">
        <v>29</v>
      </c>
      <c r="C16" s="60" t="s">
        <v>30</v>
      </c>
      <c r="D16" s="45" t="s">
        <v>12</v>
      </c>
      <c r="E16" s="45" t="s">
        <v>27</v>
      </c>
      <c r="F16" s="45"/>
      <c r="G16" s="163">
        <v>1025</v>
      </c>
      <c r="H16" s="163">
        <v>29</v>
      </c>
      <c r="I16" s="163">
        <f t="shared" si="2"/>
        <v>996</v>
      </c>
      <c r="J16" s="48">
        <f>G16/VLOOKUP(A16,RESUME!$G$3:$I$10,3,FALSE)</f>
        <v>1.5096227033115674E-2</v>
      </c>
      <c r="K16" s="163">
        <f t="shared" si="3"/>
        <v>820</v>
      </c>
      <c r="L16" s="163">
        <f t="shared" si="4"/>
        <v>1025</v>
      </c>
      <c r="M16" s="154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Q16" s="159" t="s">
        <v>531</v>
      </c>
      <c r="R16" s="175"/>
    </row>
    <row r="17" spans="1:18">
      <c r="A17" s="61" t="s">
        <v>9</v>
      </c>
      <c r="B17" s="37" t="s">
        <v>31</v>
      </c>
      <c r="C17" s="61" t="s">
        <v>32</v>
      </c>
      <c r="D17" s="46" t="s">
        <v>12</v>
      </c>
      <c r="E17" s="46" t="s">
        <v>33</v>
      </c>
      <c r="F17" s="46"/>
      <c r="G17" s="164">
        <v>8000</v>
      </c>
      <c r="H17" s="164">
        <v>7427.99</v>
      </c>
      <c r="I17" s="164">
        <f t="shared" si="2"/>
        <v>572.01000000000022</v>
      </c>
      <c r="J17" s="50">
        <f>G17/VLOOKUP(A17,RESUME!$G$3:$I$10,3,FALSE)</f>
        <v>0.11782421099017111</v>
      </c>
      <c r="K17" s="164">
        <f t="shared" si="3"/>
        <v>6400</v>
      </c>
      <c r="L17" s="164">
        <f t="shared" si="4"/>
        <v>8000</v>
      </c>
      <c r="M17" s="156">
        <f t="shared" si="5"/>
        <v>0.12689754400872497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6" t="str">
        <f t="shared" si="1"/>
        <v>OK</v>
      </c>
      <c r="Q17" s="171" t="s">
        <v>531</v>
      </c>
      <c r="R17" s="175"/>
    </row>
    <row r="18" spans="1:18">
      <c r="A18" s="60" t="s">
        <v>9</v>
      </c>
      <c r="B18" s="36" t="s">
        <v>31</v>
      </c>
      <c r="C18" s="60" t="s">
        <v>32</v>
      </c>
      <c r="D18" s="45" t="s">
        <v>23</v>
      </c>
      <c r="E18" s="45" t="s">
        <v>33</v>
      </c>
      <c r="F18" s="45"/>
      <c r="G18" s="163">
        <v>1000</v>
      </c>
      <c r="H18" s="163">
        <v>2612.3200000000002</v>
      </c>
      <c r="I18" s="163">
        <f t="shared" si="2"/>
        <v>-1612.3200000000002</v>
      </c>
      <c r="J18" s="48">
        <f>G18/VLOOKUP(A18,RESUME!$G$3:$I$10,3,FALSE)</f>
        <v>1.4728026373771389E-2</v>
      </c>
      <c r="K18" s="163">
        <f t="shared" si="3"/>
        <v>800</v>
      </c>
      <c r="L18" s="163">
        <f t="shared" si="4"/>
        <v>1000</v>
      </c>
      <c r="M18" s="154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Q18" s="159" t="s">
        <v>531</v>
      </c>
      <c r="R18" s="175"/>
    </row>
    <row r="19" spans="1:18">
      <c r="A19" s="61" t="s">
        <v>9</v>
      </c>
      <c r="B19" s="37" t="s">
        <v>31</v>
      </c>
      <c r="C19" s="61" t="s">
        <v>32</v>
      </c>
      <c r="D19" s="46" t="s">
        <v>14</v>
      </c>
      <c r="E19" s="46" t="s">
        <v>33</v>
      </c>
      <c r="F19" s="46"/>
      <c r="G19" s="164">
        <v>1000</v>
      </c>
      <c r="H19" s="164"/>
      <c r="I19" s="164">
        <f t="shared" si="2"/>
        <v>1000</v>
      </c>
      <c r="J19" s="50">
        <f>G19/VLOOKUP(A19,RESUME!$G$3:$I$10,3,FALSE)</f>
        <v>1.4728026373771389E-2</v>
      </c>
      <c r="K19" s="164">
        <f t="shared" si="3"/>
        <v>800</v>
      </c>
      <c r="L19" s="164">
        <f t="shared" si="4"/>
        <v>1000</v>
      </c>
      <c r="M19" s="156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6" t="str">
        <f t="shared" si="1"/>
        <v>OK</v>
      </c>
      <c r="Q19" s="171" t="s">
        <v>531</v>
      </c>
      <c r="R19" s="175"/>
    </row>
    <row r="20" spans="1:18">
      <c r="A20" s="60" t="s">
        <v>35</v>
      </c>
      <c r="B20" s="36" t="s">
        <v>36</v>
      </c>
      <c r="C20" s="60" t="s">
        <v>37</v>
      </c>
      <c r="D20" s="45" t="s">
        <v>12</v>
      </c>
      <c r="E20" s="45" t="s">
        <v>38</v>
      </c>
      <c r="F20" s="45"/>
      <c r="G20" s="163">
        <v>151561</v>
      </c>
      <c r="H20" s="163"/>
      <c r="I20" s="163">
        <f t="shared" si="2"/>
        <v>151561</v>
      </c>
      <c r="J20" s="48">
        <f>G20/VLOOKUP(A20,RESUME!$G$3:$I$10,3,FALSE)</f>
        <v>0.65619333139484248</v>
      </c>
      <c r="K20" s="163">
        <f t="shared" si="3"/>
        <v>121248.8</v>
      </c>
      <c r="L20" s="163">
        <f t="shared" si="4"/>
        <v>151561</v>
      </c>
      <c r="M20" s="154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Q20" s="159" t="s">
        <v>531</v>
      </c>
      <c r="R20" s="175"/>
    </row>
    <row r="21" spans="1:18">
      <c r="A21" s="61" t="s">
        <v>35</v>
      </c>
      <c r="B21" s="37" t="s">
        <v>36</v>
      </c>
      <c r="C21" s="61" t="s">
        <v>37</v>
      </c>
      <c r="D21" s="46" t="s">
        <v>23</v>
      </c>
      <c r="E21" s="46" t="s">
        <v>38</v>
      </c>
      <c r="F21" s="46"/>
      <c r="G21" s="164">
        <v>26883.15</v>
      </c>
      <c r="H21" s="164"/>
      <c r="I21" s="164">
        <f>G21-H21</f>
        <v>26883.15</v>
      </c>
      <c r="J21" s="50">
        <f>G21/VLOOKUP(A21,RESUME!$G$3:$I$10,3,FALSE)</f>
        <v>0.11639236846475848</v>
      </c>
      <c r="K21" s="164">
        <f t="shared" si="3"/>
        <v>21506.520000000004</v>
      </c>
      <c r="L21" s="164">
        <f t="shared" si="4"/>
        <v>26883.15</v>
      </c>
      <c r="M21" s="156">
        <f>IF(L21=0,0,IF(H21&gt;L21,0,L21/IF(H21&gt;=K21,H21,K21)*J21))</f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6" t="str">
        <f t="shared" si="1"/>
        <v>OK</v>
      </c>
      <c r="Q21" s="171" t="s">
        <v>531</v>
      </c>
      <c r="R21" s="175"/>
    </row>
    <row r="22" spans="1:18">
      <c r="A22" s="60" t="s">
        <v>35</v>
      </c>
      <c r="B22" s="36" t="s">
        <v>36</v>
      </c>
      <c r="C22" s="60" t="s">
        <v>37</v>
      </c>
      <c r="D22" s="45" t="s">
        <v>14</v>
      </c>
      <c r="E22" s="45" t="s">
        <v>39</v>
      </c>
      <c r="F22" s="45"/>
      <c r="G22" s="163">
        <v>32525.89</v>
      </c>
      <c r="H22" s="163"/>
      <c r="I22" s="163">
        <f t="shared" si="2"/>
        <v>32525.89</v>
      </c>
      <c r="J22" s="48">
        <f>G22/VLOOKUP(A22,RESUME!$G$3:$I$10,3,FALSE)</f>
        <v>0.14082298292886819</v>
      </c>
      <c r="K22" s="163">
        <f t="shared" si="3"/>
        <v>26020.712</v>
      </c>
      <c r="L22" s="163">
        <f t="shared" si="4"/>
        <v>32525.89</v>
      </c>
      <c r="M22" s="154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Q22" s="159" t="s">
        <v>531</v>
      </c>
      <c r="R22" s="175"/>
    </row>
    <row r="23" spans="1:18">
      <c r="A23" s="61" t="s">
        <v>35</v>
      </c>
      <c r="B23" s="37" t="s">
        <v>36</v>
      </c>
      <c r="C23" s="61" t="s">
        <v>40</v>
      </c>
      <c r="D23" s="46" t="s">
        <v>12</v>
      </c>
      <c r="E23" s="46" t="s">
        <v>41</v>
      </c>
      <c r="F23" s="46"/>
      <c r="G23" s="164">
        <v>5000</v>
      </c>
      <c r="H23" s="164">
        <v>846.54</v>
      </c>
      <c r="I23" s="164">
        <f t="shared" si="2"/>
        <v>4153.46</v>
      </c>
      <c r="J23" s="50">
        <f>G23/VLOOKUP(A23,RESUME!$G$3:$I$10,3,FALSE)</f>
        <v>2.1647829302882747E-2</v>
      </c>
      <c r="K23" s="164">
        <f t="shared" si="3"/>
        <v>4000</v>
      </c>
      <c r="L23" s="164">
        <f t="shared" si="4"/>
        <v>5000</v>
      </c>
      <c r="M23" s="156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6" t="str">
        <f t="shared" si="1"/>
        <v>OK</v>
      </c>
      <c r="Q23" s="171" t="s">
        <v>531</v>
      </c>
      <c r="R23" s="175"/>
    </row>
    <row r="24" spans="1:18">
      <c r="A24" s="60" t="s">
        <v>35</v>
      </c>
      <c r="B24" s="36" t="s">
        <v>36</v>
      </c>
      <c r="C24" s="60" t="s">
        <v>37</v>
      </c>
      <c r="D24" s="45" t="s">
        <v>23</v>
      </c>
      <c r="E24" s="45" t="s">
        <v>42</v>
      </c>
      <c r="F24" s="45"/>
      <c r="G24" s="163">
        <v>7500</v>
      </c>
      <c r="H24" s="163">
        <v>11331.25</v>
      </c>
      <c r="I24" s="163">
        <f>G24-H24</f>
        <v>-3831.25</v>
      </c>
      <c r="J24" s="48">
        <f>G24/VLOOKUP(A24,RESUME!$G$3:$I$10,3,FALSE)</f>
        <v>3.2471743954324124E-2</v>
      </c>
      <c r="K24" s="163">
        <f t="shared" si="3"/>
        <v>6000</v>
      </c>
      <c r="L24" s="163">
        <f t="shared" si="4"/>
        <v>7500</v>
      </c>
      <c r="M24" s="154">
        <f>IF(L24=0,0,IF(H24&gt;L24,0,L24/IF(H24&gt;=K24,H24,K24)*J24))</f>
        <v>0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OVER</v>
      </c>
      <c r="Q24" s="159" t="s">
        <v>531</v>
      </c>
      <c r="R24" s="175"/>
    </row>
    <row r="25" spans="1:18">
      <c r="A25" s="61" t="s">
        <v>35</v>
      </c>
      <c r="B25" s="37" t="s">
        <v>36</v>
      </c>
      <c r="C25" s="61" t="s">
        <v>37</v>
      </c>
      <c r="D25" s="46" t="s">
        <v>14</v>
      </c>
      <c r="E25" s="46" t="s">
        <v>41</v>
      </c>
      <c r="F25" s="46"/>
      <c r="G25" s="164">
        <v>7500</v>
      </c>
      <c r="H25" s="164">
        <v>65.2</v>
      </c>
      <c r="I25" s="164">
        <f t="shared" si="2"/>
        <v>7434.8</v>
      </c>
      <c r="J25" s="50">
        <f>G25/VLOOKUP(A25,RESUME!$G$3:$I$10,3,FALSE)</f>
        <v>3.2471743954324124E-2</v>
      </c>
      <c r="K25" s="164">
        <f t="shared" si="3"/>
        <v>6000</v>
      </c>
      <c r="L25" s="164">
        <f t="shared" si="4"/>
        <v>7500</v>
      </c>
      <c r="M25" s="156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6" t="str">
        <f t="shared" si="1"/>
        <v>OK</v>
      </c>
      <c r="Q25" s="171" t="s">
        <v>531</v>
      </c>
      <c r="R25" s="175"/>
    </row>
    <row r="26" spans="1:18">
      <c r="A26" s="60" t="s">
        <v>43</v>
      </c>
      <c r="B26" s="36" t="s">
        <v>44</v>
      </c>
      <c r="C26" s="60" t="s">
        <v>45</v>
      </c>
      <c r="D26" s="45" t="s">
        <v>12</v>
      </c>
      <c r="E26" s="45" t="s">
        <v>46</v>
      </c>
      <c r="F26" s="45" t="s">
        <v>47</v>
      </c>
      <c r="G26" s="163">
        <v>450</v>
      </c>
      <c r="H26" s="163"/>
      <c r="I26" s="163">
        <f t="shared" si="2"/>
        <v>450</v>
      </c>
      <c r="J26" s="48">
        <f>G26/VLOOKUP(A26,RESUME!$G$3:$I$10,3,FALSE)</f>
        <v>5.2941176470588235E-2</v>
      </c>
      <c r="K26" s="163">
        <f t="shared" si="3"/>
        <v>360</v>
      </c>
      <c r="L26" s="163">
        <f t="shared" si="4"/>
        <v>450</v>
      </c>
      <c r="M26" s="154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Q26" s="159" t="s">
        <v>531</v>
      </c>
      <c r="R26" s="175"/>
    </row>
    <row r="27" spans="1:18">
      <c r="A27" s="61" t="s">
        <v>43</v>
      </c>
      <c r="B27" s="37" t="s">
        <v>44</v>
      </c>
      <c r="C27" s="61" t="s">
        <v>45</v>
      </c>
      <c r="D27" s="46" t="s">
        <v>12</v>
      </c>
      <c r="E27" s="46" t="s">
        <v>48</v>
      </c>
      <c r="F27" s="46" t="s">
        <v>49</v>
      </c>
      <c r="G27" s="164">
        <v>450</v>
      </c>
      <c r="H27" s="164"/>
      <c r="I27" s="164">
        <f t="shared" si="2"/>
        <v>450</v>
      </c>
      <c r="J27" s="50">
        <f>G27/VLOOKUP(A27,RESUME!$G$3:$I$10,3,FALSE)</f>
        <v>5.2941176470588235E-2</v>
      </c>
      <c r="K27" s="164">
        <f t="shared" si="3"/>
        <v>360</v>
      </c>
      <c r="L27" s="164">
        <f t="shared" si="4"/>
        <v>450</v>
      </c>
      <c r="M27" s="156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6" t="str">
        <f t="shared" si="1"/>
        <v>OK</v>
      </c>
      <c r="Q27" s="171" t="s">
        <v>531</v>
      </c>
      <c r="R27" s="175"/>
    </row>
    <row r="28" spans="1:18">
      <c r="A28" s="60" t="s">
        <v>43</v>
      </c>
      <c r="B28" s="36" t="s">
        <v>44</v>
      </c>
      <c r="C28" s="60" t="s">
        <v>45</v>
      </c>
      <c r="D28" s="45" t="s">
        <v>12</v>
      </c>
      <c r="E28" s="45" t="s">
        <v>50</v>
      </c>
      <c r="F28" s="45" t="s">
        <v>51</v>
      </c>
      <c r="G28" s="163">
        <v>450</v>
      </c>
      <c r="H28" s="163"/>
      <c r="I28" s="163">
        <f t="shared" si="2"/>
        <v>450</v>
      </c>
      <c r="J28" s="48">
        <f>G28/VLOOKUP(A28,RESUME!$G$3:$I$10,3,FALSE)</f>
        <v>5.2941176470588235E-2</v>
      </c>
      <c r="K28" s="163">
        <f t="shared" si="3"/>
        <v>360</v>
      </c>
      <c r="L28" s="163">
        <f t="shared" si="4"/>
        <v>450</v>
      </c>
      <c r="M28" s="154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Q28" s="159" t="s">
        <v>531</v>
      </c>
      <c r="R28" s="175"/>
    </row>
    <row r="29" spans="1:18">
      <c r="A29" s="61" t="s">
        <v>43</v>
      </c>
      <c r="B29" s="37" t="s">
        <v>44</v>
      </c>
      <c r="C29" s="61" t="s">
        <v>45</v>
      </c>
      <c r="D29" s="46" t="s">
        <v>12</v>
      </c>
      <c r="E29" s="46" t="s">
        <v>52</v>
      </c>
      <c r="F29" s="46" t="s">
        <v>53</v>
      </c>
      <c r="G29" s="164">
        <v>450</v>
      </c>
      <c r="H29" s="164"/>
      <c r="I29" s="164">
        <f t="shared" si="2"/>
        <v>450</v>
      </c>
      <c r="J29" s="50">
        <f>G29/VLOOKUP(A29,RESUME!$G$3:$I$10,3,FALSE)</f>
        <v>5.2941176470588235E-2</v>
      </c>
      <c r="K29" s="164">
        <f t="shared" si="3"/>
        <v>360</v>
      </c>
      <c r="L29" s="164">
        <f t="shared" si="4"/>
        <v>450</v>
      </c>
      <c r="M29" s="156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6" t="str">
        <f t="shared" si="1"/>
        <v>OK</v>
      </c>
      <c r="Q29" s="171" t="s">
        <v>531</v>
      </c>
      <c r="R29" s="175"/>
    </row>
    <row r="30" spans="1:18">
      <c r="A30" s="60" t="s">
        <v>43</v>
      </c>
      <c r="B30" s="36" t="s">
        <v>54</v>
      </c>
      <c r="C30" s="60" t="s">
        <v>55</v>
      </c>
      <c r="D30" s="45" t="s">
        <v>12</v>
      </c>
      <c r="E30" s="45" t="s">
        <v>52</v>
      </c>
      <c r="F30" s="45" t="s">
        <v>56</v>
      </c>
      <c r="G30" s="163">
        <v>6300</v>
      </c>
      <c r="H30" s="163"/>
      <c r="I30" s="163">
        <f t="shared" si="2"/>
        <v>6300</v>
      </c>
      <c r="J30" s="48">
        <f>G30/VLOOKUP(A30,RESUME!$G$3:$I$10,3,FALSE)</f>
        <v>0.74117647058823533</v>
      </c>
      <c r="K30" s="163">
        <f t="shared" si="3"/>
        <v>5040</v>
      </c>
      <c r="L30" s="163">
        <f t="shared" si="4"/>
        <v>6300</v>
      </c>
      <c r="M30" s="154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Q30" s="159" t="s">
        <v>531</v>
      </c>
      <c r="R30" s="175"/>
    </row>
    <row r="31" spans="1:18">
      <c r="A31" s="61" t="s">
        <v>43</v>
      </c>
      <c r="B31" s="37" t="s">
        <v>57</v>
      </c>
      <c r="C31" s="61" t="s">
        <v>58</v>
      </c>
      <c r="D31" s="46" t="s">
        <v>12</v>
      </c>
      <c r="E31" s="46" t="s">
        <v>46</v>
      </c>
      <c r="F31" s="46" t="s">
        <v>47</v>
      </c>
      <c r="G31" s="164">
        <v>100</v>
      </c>
      <c r="H31" s="164">
        <v>357.33</v>
      </c>
      <c r="I31" s="164">
        <f t="shared" si="2"/>
        <v>-257.33</v>
      </c>
      <c r="J31" s="50">
        <f>G31/VLOOKUP(A31,RESUME!$G$3:$I$10,3,FALSE)</f>
        <v>1.1764705882352941E-2</v>
      </c>
      <c r="K31" s="164">
        <f t="shared" si="3"/>
        <v>80</v>
      </c>
      <c r="L31" s="164">
        <f t="shared" si="4"/>
        <v>100</v>
      </c>
      <c r="M31" s="156">
        <f t="shared" si="5"/>
        <v>0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6" t="str">
        <f t="shared" si="1"/>
        <v>OVER</v>
      </c>
      <c r="Q31" s="171" t="s">
        <v>531</v>
      </c>
      <c r="R31" s="175"/>
    </row>
    <row r="32" spans="1:18">
      <c r="A32" s="60" t="s">
        <v>43</v>
      </c>
      <c r="B32" s="36" t="s">
        <v>57</v>
      </c>
      <c r="C32" s="60" t="s">
        <v>58</v>
      </c>
      <c r="D32" s="45" t="s">
        <v>12</v>
      </c>
      <c r="E32" s="45" t="s">
        <v>48</v>
      </c>
      <c r="F32" s="45" t="s">
        <v>49</v>
      </c>
      <c r="G32" s="163">
        <v>100</v>
      </c>
      <c r="H32" s="163">
        <v>28.8</v>
      </c>
      <c r="I32" s="163">
        <f t="shared" si="2"/>
        <v>71.2</v>
      </c>
      <c r="J32" s="48">
        <f>G32/VLOOKUP(A32,RESUME!$G$3:$I$10,3,FALSE)</f>
        <v>1.1764705882352941E-2</v>
      </c>
      <c r="K32" s="163">
        <f t="shared" si="3"/>
        <v>80</v>
      </c>
      <c r="L32" s="163">
        <f t="shared" si="4"/>
        <v>100</v>
      </c>
      <c r="M32" s="154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Q32" s="159" t="s">
        <v>531</v>
      </c>
      <c r="R32" s="175"/>
    </row>
    <row r="33" spans="1:18">
      <c r="A33" s="61" t="s">
        <v>43</v>
      </c>
      <c r="B33" s="37" t="s">
        <v>57</v>
      </c>
      <c r="C33" s="61" t="s">
        <v>58</v>
      </c>
      <c r="D33" s="46" t="s">
        <v>12</v>
      </c>
      <c r="E33" s="46" t="s">
        <v>50</v>
      </c>
      <c r="F33" s="46" t="s">
        <v>51</v>
      </c>
      <c r="G33" s="164">
        <v>100</v>
      </c>
      <c r="H33" s="164"/>
      <c r="I33" s="164">
        <f t="shared" si="2"/>
        <v>100</v>
      </c>
      <c r="J33" s="50">
        <f>G33/VLOOKUP(A33,RESUME!$G$3:$I$10,3,FALSE)</f>
        <v>1.1764705882352941E-2</v>
      </c>
      <c r="K33" s="164">
        <f t="shared" si="3"/>
        <v>80</v>
      </c>
      <c r="L33" s="164">
        <f t="shared" si="4"/>
        <v>100</v>
      </c>
      <c r="M33" s="156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6" t="str">
        <f t="shared" si="1"/>
        <v>OK</v>
      </c>
      <c r="Q33" s="171" t="s">
        <v>531</v>
      </c>
      <c r="R33" s="175"/>
    </row>
    <row r="34" spans="1:18">
      <c r="A34" s="60" t="s">
        <v>43</v>
      </c>
      <c r="B34" s="36" t="s">
        <v>57</v>
      </c>
      <c r="C34" s="60" t="s">
        <v>58</v>
      </c>
      <c r="D34" s="45" t="s">
        <v>12</v>
      </c>
      <c r="E34" s="45" t="s">
        <v>52</v>
      </c>
      <c r="F34" s="45" t="s">
        <v>53</v>
      </c>
      <c r="G34" s="163">
        <v>100</v>
      </c>
      <c r="H34" s="163"/>
      <c r="I34" s="163">
        <f t="shared" si="2"/>
        <v>100</v>
      </c>
      <c r="J34" s="48">
        <f>G34/VLOOKUP(A34,RESUME!$G$3:$I$10,3,FALSE)</f>
        <v>1.1764705882352941E-2</v>
      </c>
      <c r="K34" s="163">
        <f t="shared" si="3"/>
        <v>80</v>
      </c>
      <c r="L34" s="163">
        <f t="shared" si="4"/>
        <v>100</v>
      </c>
      <c r="M34" s="154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Q34" s="159" t="s">
        <v>531</v>
      </c>
      <c r="R34" s="175"/>
    </row>
    <row r="35" spans="1:18">
      <c r="A35" s="61" t="s">
        <v>312</v>
      </c>
      <c r="B35" s="37" t="s">
        <v>44</v>
      </c>
      <c r="C35" s="61" t="s">
        <v>45</v>
      </c>
      <c r="D35" s="46" t="s">
        <v>12</v>
      </c>
      <c r="E35" s="46" t="s">
        <v>59</v>
      </c>
      <c r="F35" s="46" t="s">
        <v>60</v>
      </c>
      <c r="G35" s="164">
        <v>200</v>
      </c>
      <c r="H35" s="164">
        <v>632.79</v>
      </c>
      <c r="I35" s="164">
        <f t="shared" si="2"/>
        <v>-432.78999999999996</v>
      </c>
      <c r="J35" s="50">
        <f>G35/VLOOKUP(A35,RESUME!$G$3:$I$10,3,FALSE)</f>
        <v>0.2</v>
      </c>
      <c r="K35" s="164">
        <f t="shared" si="3"/>
        <v>160</v>
      </c>
      <c r="L35" s="164">
        <f t="shared" si="4"/>
        <v>200</v>
      </c>
      <c r="M35" s="156">
        <f t="shared" si="5"/>
        <v>0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6" t="str">
        <f t="shared" si="1"/>
        <v>OVER</v>
      </c>
      <c r="Q35" s="171" t="s">
        <v>531</v>
      </c>
      <c r="R35" s="175"/>
    </row>
    <row r="36" spans="1:18">
      <c r="A36" s="60" t="s">
        <v>312</v>
      </c>
      <c r="B36" s="36" t="s">
        <v>54</v>
      </c>
      <c r="C36" s="60" t="s">
        <v>55</v>
      </c>
      <c r="D36" s="45" t="s">
        <v>12</v>
      </c>
      <c r="E36" s="45" t="s">
        <v>61</v>
      </c>
      <c r="F36" s="45" t="s">
        <v>62</v>
      </c>
      <c r="G36" s="163">
        <v>700</v>
      </c>
      <c r="H36" s="163">
        <v>2090.6999999999998</v>
      </c>
      <c r="I36" s="163">
        <f t="shared" si="2"/>
        <v>-1390.6999999999998</v>
      </c>
      <c r="J36" s="48">
        <f>G36/VLOOKUP(A36,RESUME!$G$3:$I$10,3,FALSE)</f>
        <v>0.7</v>
      </c>
      <c r="K36" s="163">
        <f t="shared" si="3"/>
        <v>560</v>
      </c>
      <c r="L36" s="163">
        <f t="shared" si="4"/>
        <v>700</v>
      </c>
      <c r="M36" s="154">
        <f t="shared" si="5"/>
        <v>0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OVER</v>
      </c>
      <c r="Q36" s="159" t="s">
        <v>531</v>
      </c>
      <c r="R36" s="175"/>
    </row>
    <row r="37" spans="1:18">
      <c r="A37" s="61" t="s">
        <v>312</v>
      </c>
      <c r="B37" s="37" t="s">
        <v>57</v>
      </c>
      <c r="C37" s="61" t="s">
        <v>58</v>
      </c>
      <c r="D37" s="46" t="s">
        <v>12</v>
      </c>
      <c r="E37" s="46" t="s">
        <v>61</v>
      </c>
      <c r="F37" s="46" t="s">
        <v>60</v>
      </c>
      <c r="G37" s="164">
        <v>50</v>
      </c>
      <c r="H37" s="164"/>
      <c r="I37" s="164">
        <f t="shared" si="2"/>
        <v>50</v>
      </c>
      <c r="J37" s="50">
        <f>G37/VLOOKUP(A37,RESUME!$G$3:$I$10,3,FALSE)</f>
        <v>0.05</v>
      </c>
      <c r="K37" s="164">
        <f t="shared" si="3"/>
        <v>40</v>
      </c>
      <c r="L37" s="164">
        <f t="shared" si="4"/>
        <v>50</v>
      </c>
      <c r="M37" s="156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6" t="str">
        <f t="shared" si="1"/>
        <v>OK</v>
      </c>
      <c r="Q37" s="171" t="s">
        <v>531</v>
      </c>
      <c r="R37" s="175"/>
    </row>
    <row r="38" spans="1:18">
      <c r="A38" s="60" t="s">
        <v>312</v>
      </c>
      <c r="B38" s="36" t="s">
        <v>57</v>
      </c>
      <c r="C38" s="60" t="s">
        <v>58</v>
      </c>
      <c r="D38" s="45" t="s">
        <v>12</v>
      </c>
      <c r="E38" s="45" t="s">
        <v>63</v>
      </c>
      <c r="F38" s="45" t="s">
        <v>64</v>
      </c>
      <c r="G38" s="163">
        <v>50</v>
      </c>
      <c r="H38" s="163"/>
      <c r="I38" s="163">
        <f t="shared" ref="I38:I69" si="6">G38-H38</f>
        <v>50</v>
      </c>
      <c r="J38" s="48">
        <f>G38/VLOOKUP(A38,RESUME!$G$3:$I$10,3,FALSE)</f>
        <v>0.05</v>
      </c>
      <c r="K38" s="163">
        <f t="shared" si="3"/>
        <v>40</v>
      </c>
      <c r="L38" s="163">
        <f t="shared" si="4"/>
        <v>50</v>
      </c>
      <c r="M38" s="154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7">IF(N38="ACCOUNT TIDAK DITEMUKAN","9999",COUNTIF($N$6:$N$164,N38))</f>
        <v>6</v>
      </c>
      <c r="P38" s="45" t="str">
        <f t="shared" si="1"/>
        <v>OK</v>
      </c>
      <c r="Q38" s="159" t="s">
        <v>531</v>
      </c>
      <c r="R38" s="175"/>
    </row>
    <row r="39" spans="1:18">
      <c r="A39" s="61" t="s">
        <v>65</v>
      </c>
      <c r="B39" s="37" t="s">
        <v>66</v>
      </c>
      <c r="C39" s="61" t="s">
        <v>67</v>
      </c>
      <c r="D39" s="46" t="s">
        <v>12</v>
      </c>
      <c r="E39" s="46" t="s">
        <v>18</v>
      </c>
      <c r="F39" s="46"/>
      <c r="G39" s="164"/>
      <c r="H39" s="164">
        <v>165.91</v>
      </c>
      <c r="I39" s="164">
        <f t="shared" si="6"/>
        <v>-165.91</v>
      </c>
      <c r="J39" s="50">
        <f>G39/VLOOKUP(A39,RESUME!$G$3:$I$10,3,FALSE)</f>
        <v>0</v>
      </c>
      <c r="K39" s="164">
        <f t="shared" si="3"/>
        <v>0</v>
      </c>
      <c r="L39" s="164">
        <f t="shared" si="4"/>
        <v>0</v>
      </c>
      <c r="M39" s="156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7"/>
        <v>1</v>
      </c>
      <c r="P39" s="46" t="str">
        <f t="shared" si="1"/>
        <v>OVER</v>
      </c>
      <c r="Q39" s="171" t="s">
        <v>531</v>
      </c>
      <c r="R39" s="175"/>
    </row>
    <row r="40" spans="1:18">
      <c r="A40" s="60" t="s">
        <v>65</v>
      </c>
      <c r="B40" s="36" t="s">
        <v>68</v>
      </c>
      <c r="C40" s="60" t="s">
        <v>69</v>
      </c>
      <c r="D40" s="45" t="s">
        <v>12</v>
      </c>
      <c r="E40" s="45" t="s">
        <v>70</v>
      </c>
      <c r="F40" s="45"/>
      <c r="G40" s="163">
        <v>4917.96</v>
      </c>
      <c r="H40" s="163">
        <v>2781.48</v>
      </c>
      <c r="I40" s="163">
        <f t="shared" si="6"/>
        <v>2136.48</v>
      </c>
      <c r="J40" s="48">
        <f>G40/VLOOKUP(A40,RESUME!$G$3:$I$10,3,FALSE)</f>
        <v>5.6433869134324049E-2</v>
      </c>
      <c r="K40" s="163">
        <f t="shared" si="3"/>
        <v>3934.3680000000004</v>
      </c>
      <c r="L40" s="163">
        <f t="shared" si="4"/>
        <v>4917.96</v>
      </c>
      <c r="M40" s="154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7"/>
        <v>1</v>
      </c>
      <c r="P40" s="45" t="str">
        <f t="shared" si="1"/>
        <v>OK</v>
      </c>
      <c r="Q40" s="159" t="s">
        <v>531</v>
      </c>
      <c r="R40" s="175"/>
    </row>
    <row r="41" spans="1:18">
      <c r="A41" s="61" t="s">
        <v>65</v>
      </c>
      <c r="B41" s="37" t="s">
        <v>71</v>
      </c>
      <c r="C41" s="61" t="s">
        <v>72</v>
      </c>
      <c r="D41" s="46" t="s">
        <v>12</v>
      </c>
      <c r="E41" s="46" t="s">
        <v>73</v>
      </c>
      <c r="F41" s="46"/>
      <c r="G41" s="164">
        <v>281</v>
      </c>
      <c r="H41" s="164">
        <v>158.19999999999999</v>
      </c>
      <c r="I41" s="164">
        <f t="shared" si="6"/>
        <v>122.80000000000001</v>
      </c>
      <c r="J41" s="50">
        <f>G41/VLOOKUP(A41,RESUME!$G$3:$I$10,3,FALSE)</f>
        <v>3.2244908919033619E-3</v>
      </c>
      <c r="K41" s="164">
        <f t="shared" si="3"/>
        <v>224.8</v>
      </c>
      <c r="L41" s="164">
        <f t="shared" si="4"/>
        <v>281</v>
      </c>
      <c r="M41" s="156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7"/>
        <v>1</v>
      </c>
      <c r="P41" s="46" t="str">
        <f t="shared" si="1"/>
        <v>OK</v>
      </c>
      <c r="Q41" s="171" t="s">
        <v>531</v>
      </c>
      <c r="R41" s="175"/>
    </row>
    <row r="42" spans="1:18">
      <c r="A42" s="60" t="s">
        <v>65</v>
      </c>
      <c r="B42" s="36" t="s">
        <v>71</v>
      </c>
      <c r="C42" s="60" t="s">
        <v>72</v>
      </c>
      <c r="D42" s="45" t="s">
        <v>14</v>
      </c>
      <c r="E42" s="45" t="s">
        <v>73</v>
      </c>
      <c r="F42" s="45"/>
      <c r="G42" s="163">
        <v>64.58</v>
      </c>
      <c r="H42" s="163">
        <v>63.28</v>
      </c>
      <c r="I42" s="163">
        <f t="shared" si="6"/>
        <v>1.2999999999999972</v>
      </c>
      <c r="J42" s="48">
        <f>G42/VLOOKUP(A42,RESUME!$G$3:$I$10,3,FALSE)</f>
        <v>7.4105915231003239E-4</v>
      </c>
      <c r="K42" s="163">
        <f t="shared" si="3"/>
        <v>51.664000000000001</v>
      </c>
      <c r="L42" s="163">
        <f t="shared" si="4"/>
        <v>64.58</v>
      </c>
      <c r="M42" s="154">
        <f t="shared" si="5"/>
        <v>7.5628318672853808E-4</v>
      </c>
      <c r="N42" s="47" t="str">
        <f>_xlfn.IFNA(VLOOKUP(A42&amp;"-"&amp;B42&amp;"-"&amp;D42,Ref_Account!$A:$F,6,FALSE),"ACCOUNT TIDAK DITEMUKAN")</f>
        <v>1204.807100</v>
      </c>
      <c r="O42" s="45">
        <f t="shared" si="7"/>
        <v>1</v>
      </c>
      <c r="P42" s="45" t="s">
        <v>541</v>
      </c>
      <c r="Q42" s="159" t="s">
        <v>531</v>
      </c>
      <c r="R42" s="175"/>
    </row>
    <row r="43" spans="1:18">
      <c r="A43" s="61" t="s">
        <v>65</v>
      </c>
      <c r="B43" s="37" t="s">
        <v>74</v>
      </c>
      <c r="C43" s="61" t="s">
        <v>75</v>
      </c>
      <c r="D43" s="46" t="s">
        <v>12</v>
      </c>
      <c r="E43" s="46" t="s">
        <v>73</v>
      </c>
      <c r="F43" s="46"/>
      <c r="G43" s="164">
        <v>2027.63</v>
      </c>
      <c r="H43" s="164">
        <v>1863.9</v>
      </c>
      <c r="I43" s="164">
        <f t="shared" si="6"/>
        <v>163.73000000000002</v>
      </c>
      <c r="J43" s="50">
        <f>G43/VLOOKUP(A43,RESUME!$G$3:$I$10,3,FALSE)</f>
        <v>2.3267168922242044E-2</v>
      </c>
      <c r="K43" s="164">
        <f t="shared" si="3"/>
        <v>1622.1040000000003</v>
      </c>
      <c r="L43" s="164">
        <f t="shared" si="4"/>
        <v>2027.63</v>
      </c>
      <c r="M43" s="156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7"/>
        <v>1</v>
      </c>
      <c r="P43" s="46" t="str">
        <f t="shared" si="1"/>
        <v>OK</v>
      </c>
      <c r="Q43" s="171" t="s">
        <v>531</v>
      </c>
      <c r="R43" s="175"/>
    </row>
    <row r="44" spans="1:18">
      <c r="A44" s="60" t="s">
        <v>65</v>
      </c>
      <c r="B44" s="36" t="s">
        <v>76</v>
      </c>
      <c r="C44" s="60" t="s">
        <v>77</v>
      </c>
      <c r="D44" s="45" t="s">
        <v>12</v>
      </c>
      <c r="E44" s="45" t="s">
        <v>73</v>
      </c>
      <c r="F44" s="45"/>
      <c r="G44" s="163">
        <v>1453.67</v>
      </c>
      <c r="H44" s="163">
        <v>922.87</v>
      </c>
      <c r="I44" s="163">
        <f t="shared" si="6"/>
        <v>530.80000000000007</v>
      </c>
      <c r="J44" s="48">
        <f>G44/VLOOKUP(A44,RESUME!$G$3:$I$10,3,FALSE)</f>
        <v>1.6680945462039718E-2</v>
      </c>
      <c r="K44" s="163">
        <f t="shared" si="3"/>
        <v>1162.9360000000001</v>
      </c>
      <c r="L44" s="163">
        <f t="shared" si="4"/>
        <v>1453.67</v>
      </c>
      <c r="M44" s="154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7"/>
        <v>1</v>
      </c>
      <c r="P44" s="45" t="str">
        <f t="shared" si="1"/>
        <v>OK</v>
      </c>
      <c r="Q44" s="159" t="s">
        <v>531</v>
      </c>
      <c r="R44" s="175"/>
    </row>
    <row r="45" spans="1:18">
      <c r="A45" s="61" t="s">
        <v>65</v>
      </c>
      <c r="B45" s="37" t="s">
        <v>78</v>
      </c>
      <c r="C45" s="61" t="s">
        <v>79</v>
      </c>
      <c r="D45" s="46" t="s">
        <v>12</v>
      </c>
      <c r="E45" s="46" t="s">
        <v>80</v>
      </c>
      <c r="F45" s="46"/>
      <c r="G45" s="164">
        <v>531</v>
      </c>
      <c r="H45" s="164">
        <v>156.87</v>
      </c>
      <c r="I45" s="164">
        <f t="shared" si="6"/>
        <v>374.13</v>
      </c>
      <c r="J45" s="50">
        <f>G45/VLOOKUP(A45,RESUME!$G$3:$I$10,3,FALSE)</f>
        <v>6.0932550306074208E-3</v>
      </c>
      <c r="K45" s="164">
        <f t="shared" si="3"/>
        <v>424.8</v>
      </c>
      <c r="L45" s="164">
        <f t="shared" si="4"/>
        <v>531</v>
      </c>
      <c r="M45" s="156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7"/>
        <v>1</v>
      </c>
      <c r="P45" s="46" t="str">
        <f t="shared" si="1"/>
        <v>OK</v>
      </c>
      <c r="Q45" s="171" t="s">
        <v>531</v>
      </c>
      <c r="R45" s="175"/>
    </row>
    <row r="46" spans="1:18">
      <c r="A46" s="60" t="s">
        <v>65</v>
      </c>
      <c r="B46" s="36" t="s">
        <v>152</v>
      </c>
      <c r="C46" s="60" t="s">
        <v>81</v>
      </c>
      <c r="D46" s="45" t="s">
        <v>12</v>
      </c>
      <c r="E46" s="45" t="s">
        <v>73</v>
      </c>
      <c r="F46" s="45"/>
      <c r="G46" s="163">
        <v>2429</v>
      </c>
      <c r="H46" s="163">
        <v>91.44</v>
      </c>
      <c r="I46" s="163">
        <f t="shared" si="6"/>
        <v>2337.56</v>
      </c>
      <c r="J46" s="48">
        <f>G46/VLOOKUP(A46,RESUME!$G$3:$I$10,3,FALSE)</f>
        <v>2.7872912371648635E-2</v>
      </c>
      <c r="K46" s="163">
        <f t="shared" si="3"/>
        <v>1943.2</v>
      </c>
      <c r="L46" s="163">
        <f t="shared" si="4"/>
        <v>2429</v>
      </c>
      <c r="M46" s="154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7"/>
        <v>2</v>
      </c>
      <c r="P46" s="45" t="str">
        <f t="shared" si="1"/>
        <v>OK</v>
      </c>
      <c r="Q46" s="159" t="s">
        <v>531</v>
      </c>
      <c r="R46" s="175"/>
    </row>
    <row r="47" spans="1:18">
      <c r="A47" s="61" t="s">
        <v>65</v>
      </c>
      <c r="B47" s="37" t="s">
        <v>152</v>
      </c>
      <c r="C47" s="61" t="s">
        <v>82</v>
      </c>
      <c r="D47" s="46" t="s">
        <v>12</v>
      </c>
      <c r="E47" s="46" t="s">
        <v>73</v>
      </c>
      <c r="F47" s="46"/>
      <c r="G47" s="164">
        <v>200</v>
      </c>
      <c r="H47" s="164">
        <v>70.88</v>
      </c>
      <c r="I47" s="164">
        <f t="shared" si="6"/>
        <v>129.12</v>
      </c>
      <c r="J47" s="50">
        <f>G47/VLOOKUP(A47,RESUME!$G$3:$I$10,3,FALSE)</f>
        <v>2.2950113109632469E-3</v>
      </c>
      <c r="K47" s="164">
        <f t="shared" si="3"/>
        <v>160</v>
      </c>
      <c r="L47" s="164">
        <f t="shared" si="4"/>
        <v>200</v>
      </c>
      <c r="M47" s="156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7"/>
        <v>2</v>
      </c>
      <c r="P47" s="46" t="str">
        <f t="shared" si="1"/>
        <v>OK</v>
      </c>
      <c r="Q47" s="171" t="s">
        <v>531</v>
      </c>
      <c r="R47" s="175"/>
    </row>
    <row r="48" spans="1:18">
      <c r="A48" s="60" t="s">
        <v>65</v>
      </c>
      <c r="B48" s="36" t="s">
        <v>83</v>
      </c>
      <c r="C48" s="60" t="s">
        <v>84</v>
      </c>
      <c r="D48" s="45" t="s">
        <v>12</v>
      </c>
      <c r="E48" s="45" t="s">
        <v>73</v>
      </c>
      <c r="F48" s="45"/>
      <c r="G48" s="163">
        <v>3004.76</v>
      </c>
      <c r="H48" s="163">
        <v>8323.4</v>
      </c>
      <c r="I48" s="163">
        <f t="shared" si="6"/>
        <v>-5318.6399999999994</v>
      </c>
      <c r="J48" s="48">
        <f>G48/VLOOKUP(A48,RESUME!$G$3:$I$10,3,FALSE)</f>
        <v>3.4479790933649633E-2</v>
      </c>
      <c r="K48" s="163">
        <f t="shared" si="3"/>
        <v>2403.8080000000004</v>
      </c>
      <c r="L48" s="163">
        <f t="shared" si="4"/>
        <v>3004.76</v>
      </c>
      <c r="M48" s="154">
        <f t="shared" si="5"/>
        <v>0</v>
      </c>
      <c r="N48" s="47" t="str">
        <f>_xlfn.IFNA(VLOOKUP(A48&amp;"-"&amp;B48&amp;"-"&amp;D48,Ref_Account!$A:$F,6,FALSE),"ACCOUNT TIDAK DITEMUKAN")</f>
        <v>1201.630530</v>
      </c>
      <c r="O48" s="45">
        <f t="shared" si="7"/>
        <v>1</v>
      </c>
      <c r="P48" s="45" t="str">
        <f t="shared" si="1"/>
        <v>OVER</v>
      </c>
      <c r="Q48" s="159" t="s">
        <v>531</v>
      </c>
      <c r="R48" s="175"/>
    </row>
    <row r="49" spans="1:18">
      <c r="A49" s="61" t="s">
        <v>65</v>
      </c>
      <c r="B49" s="37" t="s">
        <v>83</v>
      </c>
      <c r="C49" s="61" t="s">
        <v>84</v>
      </c>
      <c r="D49" s="46" t="s">
        <v>14</v>
      </c>
      <c r="E49" s="46" t="s">
        <v>73</v>
      </c>
      <c r="F49" s="46"/>
      <c r="G49" s="164">
        <v>1543.55</v>
      </c>
      <c r="H49" s="164"/>
      <c r="I49" s="164">
        <f t="shared" si="6"/>
        <v>1543.55</v>
      </c>
      <c r="J49" s="50">
        <f>G49/VLOOKUP(A49,RESUME!$G$3:$I$10,3,FALSE)</f>
        <v>1.7712323545186599E-2</v>
      </c>
      <c r="K49" s="164">
        <f t="shared" si="3"/>
        <v>1234.8400000000001</v>
      </c>
      <c r="L49" s="164">
        <f t="shared" si="4"/>
        <v>1543.55</v>
      </c>
      <c r="M49" s="156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7"/>
        <v>1</v>
      </c>
      <c r="P49" s="46" t="str">
        <f t="shared" si="1"/>
        <v>OK</v>
      </c>
      <c r="Q49" s="171" t="s">
        <v>531</v>
      </c>
      <c r="R49" s="175"/>
    </row>
    <row r="50" spans="1:18">
      <c r="A50" s="60" t="s">
        <v>65</v>
      </c>
      <c r="B50" s="36" t="s">
        <v>85</v>
      </c>
      <c r="C50" s="60" t="s">
        <v>86</v>
      </c>
      <c r="D50" s="45" t="s">
        <v>12</v>
      </c>
      <c r="E50" s="45" t="s">
        <v>73</v>
      </c>
      <c r="F50" s="45"/>
      <c r="G50" s="163">
        <v>938.47</v>
      </c>
      <c r="H50" s="163">
        <v>634.54999999999995</v>
      </c>
      <c r="I50" s="163">
        <f t="shared" si="6"/>
        <v>303.92000000000007</v>
      </c>
      <c r="J50" s="48">
        <f>G50/VLOOKUP(A50,RESUME!$G$3:$I$10,3,FALSE)</f>
        <v>1.0768996324998392E-2</v>
      </c>
      <c r="K50" s="163">
        <f t="shared" si="3"/>
        <v>750.77600000000007</v>
      </c>
      <c r="L50" s="163">
        <f t="shared" si="4"/>
        <v>938.47</v>
      </c>
      <c r="M50" s="154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7"/>
        <v>1</v>
      </c>
      <c r="P50" s="45" t="str">
        <f t="shared" si="1"/>
        <v>OK</v>
      </c>
      <c r="Q50" s="159" t="s">
        <v>531</v>
      </c>
      <c r="R50" s="175"/>
    </row>
    <row r="51" spans="1:18">
      <c r="A51" s="61" t="s">
        <v>65</v>
      </c>
      <c r="B51" s="37" t="s">
        <v>85</v>
      </c>
      <c r="C51" s="61" t="s">
        <v>86</v>
      </c>
      <c r="D51" s="46" t="s">
        <v>23</v>
      </c>
      <c r="E51" s="46" t="s">
        <v>73</v>
      </c>
      <c r="F51" s="46"/>
      <c r="G51" s="164">
        <v>175.55</v>
      </c>
      <c r="H51" s="164"/>
      <c r="I51" s="164">
        <f t="shared" si="6"/>
        <v>175.55</v>
      </c>
      <c r="J51" s="50">
        <f>G51/VLOOKUP(A51,RESUME!$G$3:$I$10,3,FALSE)</f>
        <v>2.0144461781979902E-3</v>
      </c>
      <c r="K51" s="164">
        <f t="shared" si="3"/>
        <v>140.44000000000003</v>
      </c>
      <c r="L51" s="164">
        <f t="shared" si="4"/>
        <v>175.55</v>
      </c>
      <c r="M51" s="156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7"/>
        <v>1</v>
      </c>
      <c r="P51" s="46" t="str">
        <f t="shared" si="1"/>
        <v>OK</v>
      </c>
      <c r="Q51" s="171" t="s">
        <v>531</v>
      </c>
      <c r="R51" s="175"/>
    </row>
    <row r="52" spans="1:18">
      <c r="A52" s="60" t="s">
        <v>65</v>
      </c>
      <c r="B52" s="36" t="s">
        <v>85</v>
      </c>
      <c r="C52" s="60" t="s">
        <v>86</v>
      </c>
      <c r="D52" s="45" t="s">
        <v>14</v>
      </c>
      <c r="E52" s="45" t="s">
        <v>73</v>
      </c>
      <c r="F52" s="45"/>
      <c r="G52" s="163">
        <v>2294.39</v>
      </c>
      <c r="H52" s="163">
        <v>1371.93</v>
      </c>
      <c r="I52" s="163">
        <f t="shared" si="6"/>
        <v>922.45999999999981</v>
      </c>
      <c r="J52" s="48">
        <f>G52/VLOOKUP(A52,RESUME!$G$3:$I$10,3,FALSE)</f>
        <v>2.632825500880482E-2</v>
      </c>
      <c r="K52" s="163">
        <f t="shared" si="3"/>
        <v>1835.5119999999999</v>
      </c>
      <c r="L52" s="163">
        <f t="shared" si="4"/>
        <v>2294.39</v>
      </c>
      <c r="M52" s="154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7"/>
        <v>1</v>
      </c>
      <c r="P52" s="45" t="str">
        <f t="shared" si="1"/>
        <v>OK</v>
      </c>
      <c r="Q52" s="159" t="s">
        <v>531</v>
      </c>
      <c r="R52" s="175"/>
    </row>
    <row r="53" spans="1:18">
      <c r="A53" s="61" t="s">
        <v>65</v>
      </c>
      <c r="B53" s="37" t="s">
        <v>87</v>
      </c>
      <c r="C53" s="61" t="s">
        <v>88</v>
      </c>
      <c r="D53" s="46" t="s">
        <v>12</v>
      </c>
      <c r="E53" s="46" t="s">
        <v>73</v>
      </c>
      <c r="F53" s="46"/>
      <c r="G53" s="164">
        <v>1987.05</v>
      </c>
      <c r="H53" s="164"/>
      <c r="I53" s="164">
        <f t="shared" si="6"/>
        <v>1987.05</v>
      </c>
      <c r="J53" s="50">
        <f>G53/VLOOKUP(A53,RESUME!$G$3:$I$10,3,FALSE)</f>
        <v>2.2801511127247598E-2</v>
      </c>
      <c r="K53" s="164">
        <f t="shared" si="3"/>
        <v>1589.64</v>
      </c>
      <c r="L53" s="164">
        <f t="shared" si="4"/>
        <v>1987.05</v>
      </c>
      <c r="M53" s="156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7"/>
        <v>1</v>
      </c>
      <c r="P53" s="46" t="str">
        <f t="shared" si="1"/>
        <v>OK</v>
      </c>
      <c r="Q53" s="171" t="s">
        <v>531</v>
      </c>
      <c r="R53" s="175"/>
    </row>
    <row r="54" spans="1:18">
      <c r="A54" s="60" t="s">
        <v>65</v>
      </c>
      <c r="B54" s="36" t="s">
        <v>87</v>
      </c>
      <c r="C54" s="60" t="s">
        <v>88</v>
      </c>
      <c r="D54" s="45" t="s">
        <v>14</v>
      </c>
      <c r="E54" s="45" t="s">
        <v>73</v>
      </c>
      <c r="F54" s="45"/>
      <c r="G54" s="163">
        <v>1692.67</v>
      </c>
      <c r="H54" s="163"/>
      <c r="I54" s="163">
        <f t="shared" si="6"/>
        <v>1692.67</v>
      </c>
      <c r="J54" s="48">
        <f>G54/VLOOKUP(A54,RESUME!$G$3:$I$10,3,FALSE)</f>
        <v>1.9423483978640799E-2</v>
      </c>
      <c r="K54" s="163">
        <f t="shared" si="3"/>
        <v>1354.1360000000002</v>
      </c>
      <c r="L54" s="163">
        <f t="shared" si="4"/>
        <v>1692.67</v>
      </c>
      <c r="M54" s="154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7"/>
        <v>1</v>
      </c>
      <c r="P54" s="45" t="str">
        <f t="shared" si="1"/>
        <v>OK</v>
      </c>
      <c r="Q54" s="159" t="s">
        <v>531</v>
      </c>
      <c r="R54" s="175"/>
    </row>
    <row r="55" spans="1:18">
      <c r="A55" s="61" t="s">
        <v>65</v>
      </c>
      <c r="B55" s="37" t="s">
        <v>89</v>
      </c>
      <c r="C55" s="61" t="s">
        <v>90</v>
      </c>
      <c r="D55" s="46" t="s">
        <v>12</v>
      </c>
      <c r="E55" s="46" t="s">
        <v>73</v>
      </c>
      <c r="F55" s="46"/>
      <c r="G55" s="164">
        <v>569</v>
      </c>
      <c r="H55" s="164">
        <v>460.21</v>
      </c>
      <c r="I55" s="164">
        <f t="shared" si="6"/>
        <v>108.79000000000002</v>
      </c>
      <c r="J55" s="50">
        <f>G55/VLOOKUP(A55,RESUME!$G$3:$I$10,3,FALSE)</f>
        <v>6.5293071796904377E-3</v>
      </c>
      <c r="K55" s="164">
        <f t="shared" si="3"/>
        <v>455.20000000000005</v>
      </c>
      <c r="L55" s="164">
        <f t="shared" si="4"/>
        <v>569</v>
      </c>
      <c r="M55" s="156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7"/>
        <v>1</v>
      </c>
      <c r="P55" s="46" t="str">
        <f t="shared" si="1"/>
        <v>OK</v>
      </c>
      <c r="Q55" s="171" t="s">
        <v>531</v>
      </c>
      <c r="R55" s="175"/>
    </row>
    <row r="56" spans="1:18">
      <c r="A56" s="60" t="s">
        <v>65</v>
      </c>
      <c r="B56" s="36" t="s">
        <v>89</v>
      </c>
      <c r="C56" s="60" t="s">
        <v>90</v>
      </c>
      <c r="D56" s="45" t="s">
        <v>14</v>
      </c>
      <c r="E56" s="45" t="s">
        <v>73</v>
      </c>
      <c r="F56" s="45"/>
      <c r="G56" s="163">
        <v>300</v>
      </c>
      <c r="H56" s="163"/>
      <c r="I56" s="163">
        <f t="shared" si="6"/>
        <v>300</v>
      </c>
      <c r="J56" s="48">
        <f>G56/VLOOKUP(A56,RESUME!$G$3:$I$10,3,FALSE)</f>
        <v>3.4425169664448704E-3</v>
      </c>
      <c r="K56" s="163">
        <f t="shared" si="3"/>
        <v>240</v>
      </c>
      <c r="L56" s="163">
        <f t="shared" si="4"/>
        <v>300</v>
      </c>
      <c r="M56" s="154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7"/>
        <v>1</v>
      </c>
      <c r="P56" s="45" t="str">
        <f t="shared" si="1"/>
        <v>OK</v>
      </c>
      <c r="Q56" s="159" t="s">
        <v>531</v>
      </c>
      <c r="R56" s="175"/>
    </row>
    <row r="57" spans="1:18">
      <c r="A57" s="61" t="s">
        <v>65</v>
      </c>
      <c r="B57" s="37" t="s">
        <v>91</v>
      </c>
      <c r="C57" s="61" t="s">
        <v>92</v>
      </c>
      <c r="D57" s="46" t="s">
        <v>12</v>
      </c>
      <c r="E57" s="46" t="s">
        <v>93</v>
      </c>
      <c r="F57" s="46"/>
      <c r="G57" s="164">
        <v>2288.86</v>
      </c>
      <c r="H57" s="164"/>
      <c r="I57" s="164">
        <f t="shared" si="6"/>
        <v>2288.86</v>
      </c>
      <c r="J57" s="50">
        <f>G57/VLOOKUP(A57,RESUME!$G$3:$I$10,3,FALSE)</f>
        <v>2.6264797946056691E-2</v>
      </c>
      <c r="K57" s="164">
        <f t="shared" si="3"/>
        <v>1831.0880000000002</v>
      </c>
      <c r="L57" s="164">
        <f t="shared" si="4"/>
        <v>2288.86</v>
      </c>
      <c r="M57" s="156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7"/>
        <v>1</v>
      </c>
      <c r="P57" s="46" t="str">
        <f t="shared" si="1"/>
        <v>OK</v>
      </c>
      <c r="Q57" s="171" t="s">
        <v>531</v>
      </c>
      <c r="R57" s="175"/>
    </row>
    <row r="58" spans="1:18">
      <c r="A58" s="60" t="s">
        <v>65</v>
      </c>
      <c r="B58" s="36" t="s">
        <v>94</v>
      </c>
      <c r="C58" s="60" t="s">
        <v>95</v>
      </c>
      <c r="D58" s="45" t="s">
        <v>12</v>
      </c>
      <c r="E58" s="45" t="s">
        <v>96</v>
      </c>
      <c r="F58" s="45"/>
      <c r="G58" s="163">
        <v>36500.160000000003</v>
      </c>
      <c r="H58" s="163">
        <v>122.79</v>
      </c>
      <c r="I58" s="163">
        <f t="shared" si="6"/>
        <v>36377.370000000003</v>
      </c>
      <c r="J58" s="48">
        <f>G58/VLOOKUP(A58,RESUME!$G$3:$I$10,3,FALSE)</f>
        <v>0.4188414002598414</v>
      </c>
      <c r="K58" s="163">
        <f t="shared" si="3"/>
        <v>29200.128000000004</v>
      </c>
      <c r="L58" s="163">
        <f t="shared" si="4"/>
        <v>36500.160000000003</v>
      </c>
      <c r="M58" s="154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7"/>
        <v>1</v>
      </c>
      <c r="P58" s="45" t="str">
        <f t="shared" si="1"/>
        <v>OK</v>
      </c>
      <c r="Q58" s="159" t="s">
        <v>531</v>
      </c>
      <c r="R58" s="175"/>
    </row>
    <row r="59" spans="1:18">
      <c r="A59" s="61" t="s">
        <v>65</v>
      </c>
      <c r="B59" s="37" t="s">
        <v>97</v>
      </c>
      <c r="C59" s="61" t="s">
        <v>98</v>
      </c>
      <c r="D59" s="46" t="s">
        <v>12</v>
      </c>
      <c r="E59" s="46" t="s">
        <v>73</v>
      </c>
      <c r="F59" s="46"/>
      <c r="G59" s="164">
        <v>1440.17</v>
      </c>
      <c r="H59" s="164">
        <v>0.63</v>
      </c>
      <c r="I59" s="164">
        <f t="shared" si="6"/>
        <v>1439.54</v>
      </c>
      <c r="J59" s="50">
        <f>G59/VLOOKUP(A59,RESUME!$G$3:$I$10,3,FALSE)</f>
        <v>1.6526032198549697E-2</v>
      </c>
      <c r="K59" s="164">
        <f t="shared" si="3"/>
        <v>1152.1360000000002</v>
      </c>
      <c r="L59" s="164">
        <f t="shared" si="4"/>
        <v>1440.17</v>
      </c>
      <c r="M59" s="156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7"/>
        <v>1</v>
      </c>
      <c r="P59" s="46" t="str">
        <f t="shared" si="1"/>
        <v>OK</v>
      </c>
      <c r="Q59" s="171" t="s">
        <v>531</v>
      </c>
      <c r="R59" s="175"/>
    </row>
    <row r="60" spans="1:18">
      <c r="A60" s="60" t="s">
        <v>65</v>
      </c>
      <c r="B60" s="36" t="s">
        <v>97</v>
      </c>
      <c r="C60" s="60" t="s">
        <v>98</v>
      </c>
      <c r="D60" s="45" t="s">
        <v>99</v>
      </c>
      <c r="E60" s="45" t="s">
        <v>73</v>
      </c>
      <c r="F60" s="45"/>
      <c r="G60" s="163">
        <v>14.27</v>
      </c>
      <c r="H60" s="163"/>
      <c r="I60" s="163">
        <f t="shared" si="6"/>
        <v>14.27</v>
      </c>
      <c r="J60" s="48">
        <f>G60/VLOOKUP(A60,RESUME!$G$3:$I$10,3,FALSE)</f>
        <v>1.6374905703722768E-4</v>
      </c>
      <c r="K60" s="163">
        <f t="shared" si="3"/>
        <v>11.416</v>
      </c>
      <c r="L60" s="163">
        <f t="shared" si="4"/>
        <v>14.27</v>
      </c>
      <c r="M60" s="154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7"/>
        <v>1</v>
      </c>
      <c r="P60" s="45" t="str">
        <f t="shared" si="1"/>
        <v>OK</v>
      </c>
      <c r="Q60" s="159" t="s">
        <v>531</v>
      </c>
      <c r="R60" s="175"/>
    </row>
    <row r="61" spans="1:18">
      <c r="A61" s="61" t="s">
        <v>65</v>
      </c>
      <c r="B61" s="37" t="s">
        <v>97</v>
      </c>
      <c r="C61" s="61" t="s">
        <v>98</v>
      </c>
      <c r="D61" s="46" t="s">
        <v>23</v>
      </c>
      <c r="E61" s="46" t="s">
        <v>73</v>
      </c>
      <c r="F61" s="46"/>
      <c r="G61" s="164">
        <v>35.56</v>
      </c>
      <c r="H61" s="164"/>
      <c r="I61" s="164">
        <f t="shared" si="6"/>
        <v>35.56</v>
      </c>
      <c r="J61" s="50">
        <f>G61/VLOOKUP(A61,RESUME!$G$3:$I$10,3,FALSE)</f>
        <v>4.0805301108926532E-4</v>
      </c>
      <c r="K61" s="164">
        <f t="shared" si="3"/>
        <v>28.448000000000004</v>
      </c>
      <c r="L61" s="164">
        <f t="shared" si="4"/>
        <v>35.56</v>
      </c>
      <c r="M61" s="156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7"/>
        <v>1</v>
      </c>
      <c r="P61" s="46" t="str">
        <f t="shared" si="1"/>
        <v>OK</v>
      </c>
      <c r="Q61" s="171" t="s">
        <v>531</v>
      </c>
      <c r="R61" s="175"/>
    </row>
    <row r="62" spans="1:18">
      <c r="A62" s="60" t="s">
        <v>65</v>
      </c>
      <c r="B62" s="36" t="s">
        <v>97</v>
      </c>
      <c r="C62" s="60" t="s">
        <v>98</v>
      </c>
      <c r="D62" s="45" t="s">
        <v>14</v>
      </c>
      <c r="E62" s="45" t="s">
        <v>73</v>
      </c>
      <c r="F62" s="45"/>
      <c r="G62" s="163">
        <v>9.69</v>
      </c>
      <c r="H62" s="163">
        <v>20.88</v>
      </c>
      <c r="I62" s="163">
        <f t="shared" si="6"/>
        <v>-11.19</v>
      </c>
      <c r="J62" s="48">
        <f>G62/VLOOKUP(A62,RESUME!$G$3:$I$10,3,FALSE)</f>
        <v>1.1119329801616931E-4</v>
      </c>
      <c r="K62" s="163">
        <f t="shared" si="3"/>
        <v>7.7519999999999998</v>
      </c>
      <c r="L62" s="163">
        <f t="shared" si="4"/>
        <v>9.69</v>
      </c>
      <c r="M62" s="154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7"/>
        <v>1</v>
      </c>
      <c r="P62" s="45" t="str">
        <f t="shared" si="1"/>
        <v>OVER</v>
      </c>
      <c r="Q62" s="159" t="s">
        <v>531</v>
      </c>
      <c r="R62" s="175"/>
    </row>
    <row r="63" spans="1:18">
      <c r="A63" s="61" t="s">
        <v>65</v>
      </c>
      <c r="B63" s="37" t="s">
        <v>100</v>
      </c>
      <c r="C63" s="61" t="s">
        <v>101</v>
      </c>
      <c r="D63" s="46" t="s">
        <v>12</v>
      </c>
      <c r="E63" s="46" t="s">
        <v>73</v>
      </c>
      <c r="F63" s="46"/>
      <c r="G63" s="164">
        <v>400</v>
      </c>
      <c r="H63" s="164">
        <v>1454.06</v>
      </c>
      <c r="I63" s="164">
        <f t="shared" si="6"/>
        <v>-1054.06</v>
      </c>
      <c r="J63" s="50">
        <f>G63/VLOOKUP(A63,RESUME!$G$3:$I$10,3,FALSE)</f>
        <v>4.5900226219264938E-3</v>
      </c>
      <c r="K63" s="164">
        <f t="shared" si="3"/>
        <v>320</v>
      </c>
      <c r="L63" s="164">
        <f t="shared" si="4"/>
        <v>400</v>
      </c>
      <c r="M63" s="156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7"/>
        <v>1</v>
      </c>
      <c r="P63" s="46" t="str">
        <f t="shared" si="1"/>
        <v>OVER</v>
      </c>
      <c r="Q63" s="171" t="s">
        <v>531</v>
      </c>
      <c r="R63" s="175"/>
    </row>
    <row r="64" spans="1:18">
      <c r="A64" s="60" t="s">
        <v>65</v>
      </c>
      <c r="B64" s="36" t="s">
        <v>102</v>
      </c>
      <c r="C64" s="60" t="s">
        <v>103</v>
      </c>
      <c r="D64" s="45" t="s">
        <v>12</v>
      </c>
      <c r="E64" s="45" t="s">
        <v>80</v>
      </c>
      <c r="F64" s="45"/>
      <c r="G64" s="163">
        <v>100</v>
      </c>
      <c r="H64" s="163"/>
      <c r="I64" s="163">
        <f t="shared" si="6"/>
        <v>100</v>
      </c>
      <c r="J64" s="48">
        <f>G64/VLOOKUP(A64,RESUME!$G$3:$I$10,3,FALSE)</f>
        <v>1.1475056554816235E-3</v>
      </c>
      <c r="K64" s="163">
        <f t="shared" si="3"/>
        <v>80</v>
      </c>
      <c r="L64" s="163">
        <f t="shared" si="4"/>
        <v>100</v>
      </c>
      <c r="M64" s="154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7"/>
        <v>1</v>
      </c>
      <c r="P64" s="45" t="str">
        <f t="shared" si="1"/>
        <v>OK</v>
      </c>
      <c r="Q64" s="159" t="s">
        <v>531</v>
      </c>
      <c r="R64" s="175"/>
    </row>
    <row r="65" spans="1:18">
      <c r="A65" s="61" t="s">
        <v>65</v>
      </c>
      <c r="B65" s="37" t="s">
        <v>104</v>
      </c>
      <c r="C65" s="61" t="s">
        <v>105</v>
      </c>
      <c r="D65" s="46" t="s">
        <v>12</v>
      </c>
      <c r="E65" s="46" t="s">
        <v>80</v>
      </c>
      <c r="F65" s="46"/>
      <c r="G65" s="164">
        <v>100</v>
      </c>
      <c r="H65" s="164"/>
      <c r="I65" s="164">
        <f t="shared" si="6"/>
        <v>100</v>
      </c>
      <c r="J65" s="50">
        <f>G65/VLOOKUP(A65,RESUME!$G$3:$I$10,3,FALSE)</f>
        <v>1.1475056554816235E-3</v>
      </c>
      <c r="K65" s="164">
        <f t="shared" si="3"/>
        <v>80</v>
      </c>
      <c r="L65" s="164">
        <f t="shared" si="4"/>
        <v>100</v>
      </c>
      <c r="M65" s="156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7"/>
        <v>1</v>
      </c>
      <c r="P65" s="46" t="str">
        <f t="shared" si="1"/>
        <v>OK</v>
      </c>
      <c r="Q65" s="171" t="s">
        <v>531</v>
      </c>
      <c r="R65" s="175"/>
    </row>
    <row r="66" spans="1:18">
      <c r="A66" s="60" t="s">
        <v>65</v>
      </c>
      <c r="B66" s="36" t="s">
        <v>106</v>
      </c>
      <c r="C66" s="60" t="s">
        <v>107</v>
      </c>
      <c r="D66" s="45" t="s">
        <v>12</v>
      </c>
      <c r="E66" s="45" t="s">
        <v>80</v>
      </c>
      <c r="F66" s="45"/>
      <c r="G66" s="163">
        <v>100</v>
      </c>
      <c r="H66" s="163">
        <v>510.61</v>
      </c>
      <c r="I66" s="163">
        <f t="shared" si="6"/>
        <v>-410.61</v>
      </c>
      <c r="J66" s="48">
        <f>G66/VLOOKUP(A66,RESUME!$G$3:$I$10,3,FALSE)</f>
        <v>1.1475056554816235E-3</v>
      </c>
      <c r="K66" s="163">
        <f t="shared" si="3"/>
        <v>80</v>
      </c>
      <c r="L66" s="163">
        <f t="shared" si="4"/>
        <v>100</v>
      </c>
      <c r="M66" s="154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7"/>
        <v>1</v>
      </c>
      <c r="P66" s="45" t="str">
        <f t="shared" si="1"/>
        <v>OVER</v>
      </c>
      <c r="Q66" s="159" t="s">
        <v>531</v>
      </c>
      <c r="R66" s="175"/>
    </row>
    <row r="67" spans="1:18">
      <c r="A67" s="61" t="s">
        <v>65</v>
      </c>
      <c r="B67" s="37" t="s">
        <v>108</v>
      </c>
      <c r="C67" s="61" t="s">
        <v>109</v>
      </c>
      <c r="D67" s="46" t="s">
        <v>12</v>
      </c>
      <c r="E67" s="46" t="s">
        <v>80</v>
      </c>
      <c r="F67" s="46"/>
      <c r="G67" s="164">
        <v>100</v>
      </c>
      <c r="H67" s="164"/>
      <c r="I67" s="164">
        <f t="shared" si="6"/>
        <v>100</v>
      </c>
      <c r="J67" s="50">
        <f>G67/VLOOKUP(A67,RESUME!$G$3:$I$10,3,FALSE)</f>
        <v>1.1475056554816235E-3</v>
      </c>
      <c r="K67" s="164">
        <f t="shared" si="3"/>
        <v>80</v>
      </c>
      <c r="L67" s="164">
        <f t="shared" si="4"/>
        <v>100</v>
      </c>
      <c r="M67" s="156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7"/>
        <v>1</v>
      </c>
      <c r="P67" s="46" t="str">
        <f t="shared" si="1"/>
        <v>OK</v>
      </c>
      <c r="Q67" s="171" t="s">
        <v>531</v>
      </c>
      <c r="R67" s="175"/>
    </row>
    <row r="68" spans="1:18">
      <c r="A68" s="60" t="s">
        <v>65</v>
      </c>
      <c r="B68" s="36" t="s">
        <v>108</v>
      </c>
      <c r="C68" s="60" t="s">
        <v>109</v>
      </c>
      <c r="D68" s="45" t="s">
        <v>23</v>
      </c>
      <c r="E68" s="45" t="s">
        <v>73</v>
      </c>
      <c r="F68" s="45"/>
      <c r="G68" s="163">
        <v>250</v>
      </c>
      <c r="H68" s="163"/>
      <c r="I68" s="163">
        <f t="shared" si="6"/>
        <v>250</v>
      </c>
      <c r="J68" s="48">
        <f>G68/VLOOKUP(A68,RESUME!$G$3:$I$10,3,FALSE)</f>
        <v>2.8687641387040589E-3</v>
      </c>
      <c r="K68" s="163">
        <f t="shared" si="3"/>
        <v>200</v>
      </c>
      <c r="L68" s="163">
        <f t="shared" si="4"/>
        <v>250</v>
      </c>
      <c r="M68" s="154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7"/>
        <v>1</v>
      </c>
      <c r="P68" s="45" t="str">
        <f t="shared" si="1"/>
        <v>OK</v>
      </c>
      <c r="Q68" s="159" t="s">
        <v>531</v>
      </c>
      <c r="R68" s="175"/>
    </row>
    <row r="69" spans="1:18">
      <c r="A69" s="61" t="s">
        <v>65</v>
      </c>
      <c r="B69" s="37" t="s">
        <v>108</v>
      </c>
      <c r="C69" s="61" t="s">
        <v>109</v>
      </c>
      <c r="D69" s="46" t="s">
        <v>14</v>
      </c>
      <c r="E69" s="46" t="s">
        <v>73</v>
      </c>
      <c r="F69" s="46"/>
      <c r="G69" s="164">
        <v>300</v>
      </c>
      <c r="H69" s="164"/>
      <c r="I69" s="164">
        <f t="shared" si="6"/>
        <v>300</v>
      </c>
      <c r="J69" s="50">
        <f>G69/VLOOKUP(A69,RESUME!$G$3:$I$10,3,FALSE)</f>
        <v>3.4425169664448704E-3</v>
      </c>
      <c r="K69" s="164">
        <f t="shared" si="3"/>
        <v>240</v>
      </c>
      <c r="L69" s="164">
        <f t="shared" si="4"/>
        <v>300</v>
      </c>
      <c r="M69" s="156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7"/>
        <v>1</v>
      </c>
      <c r="P69" s="46" t="str">
        <f t="shared" si="1"/>
        <v>OK</v>
      </c>
      <c r="Q69" s="171" t="s">
        <v>531</v>
      </c>
      <c r="R69" s="175"/>
    </row>
    <row r="70" spans="1:18">
      <c r="A70" s="60" t="s">
        <v>65</v>
      </c>
      <c r="B70" s="36" t="s">
        <v>110</v>
      </c>
      <c r="C70" s="60" t="s">
        <v>111</v>
      </c>
      <c r="D70" s="45" t="s">
        <v>12</v>
      </c>
      <c r="E70" s="45" t="s">
        <v>80</v>
      </c>
      <c r="F70" s="45"/>
      <c r="G70" s="163">
        <v>100</v>
      </c>
      <c r="H70" s="163"/>
      <c r="I70" s="163">
        <f t="shared" ref="I70:I101" si="8">G70-H70</f>
        <v>100</v>
      </c>
      <c r="J70" s="48">
        <f>G70/VLOOKUP(A70,RESUME!$G$3:$I$10,3,FALSE)</f>
        <v>1.1475056554816235E-3</v>
      </c>
      <c r="K70" s="163">
        <f t="shared" si="3"/>
        <v>80</v>
      </c>
      <c r="L70" s="163">
        <f t="shared" si="4"/>
        <v>100</v>
      </c>
      <c r="M70" s="154">
        <f t="shared" ref="M70:M133" si="9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0">IF(N70="ACCOUNT TIDAK DITEMUKAN","9999",COUNTIF($N$6:$N$164,N70))</f>
        <v>1</v>
      </c>
      <c r="P70" s="45" t="str">
        <f t="shared" ref="P70:P133" si="11">IF(I70&gt;0,"OK","OVER")</f>
        <v>OK</v>
      </c>
      <c r="Q70" s="159" t="s">
        <v>531</v>
      </c>
      <c r="R70" s="175"/>
    </row>
    <row r="71" spans="1:18">
      <c r="A71" s="61" t="s">
        <v>65</v>
      </c>
      <c r="B71" s="37" t="s">
        <v>112</v>
      </c>
      <c r="C71" s="61" t="s">
        <v>113</v>
      </c>
      <c r="D71" s="46" t="s">
        <v>12</v>
      </c>
      <c r="E71" s="46" t="s">
        <v>80</v>
      </c>
      <c r="F71" s="46"/>
      <c r="G71" s="164">
        <v>100</v>
      </c>
      <c r="H71" s="164"/>
      <c r="I71" s="164">
        <f t="shared" si="8"/>
        <v>100</v>
      </c>
      <c r="J71" s="50">
        <f>G71/VLOOKUP(A71,RESUME!$G$3:$I$10,3,FALSE)</f>
        <v>1.1475056554816235E-3</v>
      </c>
      <c r="K71" s="164">
        <f t="shared" ref="K71:K134" si="12">G71*$K$4</f>
        <v>80</v>
      </c>
      <c r="L71" s="164">
        <f t="shared" ref="L71:L134" si="13">G71*$L$4</f>
        <v>100</v>
      </c>
      <c r="M71" s="156">
        <f t="shared" si="9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0"/>
        <v>1</v>
      </c>
      <c r="P71" s="46" t="str">
        <f t="shared" si="11"/>
        <v>OK</v>
      </c>
      <c r="Q71" s="171" t="s">
        <v>531</v>
      </c>
      <c r="R71" s="175"/>
    </row>
    <row r="72" spans="1:18">
      <c r="A72" s="60" t="s">
        <v>65</v>
      </c>
      <c r="B72" s="36" t="s">
        <v>114</v>
      </c>
      <c r="C72" s="60" t="s">
        <v>115</v>
      </c>
      <c r="D72" s="45" t="s">
        <v>12</v>
      </c>
      <c r="E72" s="45" t="s">
        <v>73</v>
      </c>
      <c r="F72" s="45"/>
      <c r="G72" s="163">
        <v>328.75</v>
      </c>
      <c r="H72" s="163">
        <v>854.27</v>
      </c>
      <c r="I72" s="163">
        <f t="shared" si="8"/>
        <v>-525.52</v>
      </c>
      <c r="J72" s="48">
        <f>G72/VLOOKUP(A72,RESUME!$G$3:$I$10,3,FALSE)</f>
        <v>3.7724248423958375E-3</v>
      </c>
      <c r="K72" s="163">
        <f t="shared" si="12"/>
        <v>263</v>
      </c>
      <c r="L72" s="163">
        <f t="shared" si="13"/>
        <v>328.75</v>
      </c>
      <c r="M72" s="154">
        <f t="shared" si="9"/>
        <v>0</v>
      </c>
      <c r="N72" s="47" t="str">
        <f>_xlfn.IFNA(VLOOKUP(A72&amp;"-"&amp;B72&amp;"-"&amp;D72,Ref_Account!$A:$F,6,FALSE),"ACCOUNT TIDAK DITEMUKAN")</f>
        <v>1201.810110</v>
      </c>
      <c r="O72" s="45">
        <f t="shared" si="10"/>
        <v>1</v>
      </c>
      <c r="P72" s="45" t="str">
        <f t="shared" si="11"/>
        <v>OVER</v>
      </c>
      <c r="Q72" s="159" t="s">
        <v>531</v>
      </c>
      <c r="R72" s="175"/>
    </row>
    <row r="73" spans="1:18">
      <c r="A73" s="61" t="s">
        <v>65</v>
      </c>
      <c r="B73" s="37" t="s">
        <v>114</v>
      </c>
      <c r="C73" s="61" t="s">
        <v>115</v>
      </c>
      <c r="D73" s="46" t="s">
        <v>99</v>
      </c>
      <c r="E73" s="46" t="s">
        <v>73</v>
      </c>
      <c r="F73" s="46"/>
      <c r="G73" s="164">
        <v>109.79</v>
      </c>
      <c r="H73" s="164"/>
      <c r="I73" s="164">
        <f t="shared" si="8"/>
        <v>109.79</v>
      </c>
      <c r="J73" s="50">
        <f>G73/VLOOKUP(A73,RESUME!$G$3:$I$10,3,FALSE)</f>
        <v>1.2598464591532744E-3</v>
      </c>
      <c r="K73" s="164">
        <f t="shared" si="12"/>
        <v>87.832000000000008</v>
      </c>
      <c r="L73" s="164">
        <f t="shared" si="13"/>
        <v>109.79</v>
      </c>
      <c r="M73" s="156">
        <f t="shared" si="9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0"/>
        <v>1</v>
      </c>
      <c r="P73" s="46" t="str">
        <f t="shared" si="11"/>
        <v>OK</v>
      </c>
      <c r="Q73" s="171" t="s">
        <v>531</v>
      </c>
      <c r="R73" s="175"/>
    </row>
    <row r="74" spans="1:18">
      <c r="A74" s="60" t="s">
        <v>65</v>
      </c>
      <c r="B74" s="36" t="s">
        <v>114</v>
      </c>
      <c r="C74" s="60" t="s">
        <v>115</v>
      </c>
      <c r="D74" s="45" t="s">
        <v>23</v>
      </c>
      <c r="E74" s="45" t="s">
        <v>73</v>
      </c>
      <c r="F74" s="45"/>
      <c r="G74" s="163">
        <v>169.38</v>
      </c>
      <c r="H74" s="163">
        <v>50.62</v>
      </c>
      <c r="I74" s="163">
        <f t="shared" si="8"/>
        <v>118.75999999999999</v>
      </c>
      <c r="J74" s="48">
        <f>G74/VLOOKUP(A74,RESUME!$G$3:$I$10,3,FALSE)</f>
        <v>1.9436450792547739E-3</v>
      </c>
      <c r="K74" s="163">
        <f t="shared" si="12"/>
        <v>135.50399999999999</v>
      </c>
      <c r="L74" s="163">
        <f t="shared" si="13"/>
        <v>169.38</v>
      </c>
      <c r="M74" s="154">
        <f t="shared" si="9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0"/>
        <v>1</v>
      </c>
      <c r="P74" s="45" t="str">
        <f t="shared" si="11"/>
        <v>OK</v>
      </c>
      <c r="Q74" s="159" t="s">
        <v>531</v>
      </c>
      <c r="R74" s="175"/>
    </row>
    <row r="75" spans="1:18">
      <c r="A75" s="61" t="s">
        <v>65</v>
      </c>
      <c r="B75" s="37" t="s">
        <v>114</v>
      </c>
      <c r="C75" s="61" t="s">
        <v>115</v>
      </c>
      <c r="D75" s="46" t="s">
        <v>14</v>
      </c>
      <c r="E75" s="46" t="s">
        <v>73</v>
      </c>
      <c r="F75" s="46"/>
      <c r="G75" s="164">
        <v>142.08000000000001</v>
      </c>
      <c r="H75" s="164">
        <v>60.12</v>
      </c>
      <c r="I75" s="164">
        <f t="shared" si="8"/>
        <v>81.960000000000008</v>
      </c>
      <c r="J75" s="50">
        <f>G75/VLOOKUP(A75,RESUME!$G$3:$I$10,3,FALSE)</f>
        <v>1.6303760353082908E-3</v>
      </c>
      <c r="K75" s="164">
        <f t="shared" si="12"/>
        <v>113.66400000000002</v>
      </c>
      <c r="L75" s="164">
        <f t="shared" si="13"/>
        <v>142.08000000000001</v>
      </c>
      <c r="M75" s="156">
        <f t="shared" si="9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0"/>
        <v>1</v>
      </c>
      <c r="P75" s="46" t="str">
        <f t="shared" si="11"/>
        <v>OK</v>
      </c>
      <c r="Q75" s="171" t="s">
        <v>531</v>
      </c>
      <c r="R75" s="175"/>
    </row>
    <row r="76" spans="1:18">
      <c r="A76" s="60" t="s">
        <v>65</v>
      </c>
      <c r="B76" s="36" t="s">
        <v>116</v>
      </c>
      <c r="C76" s="60" t="s">
        <v>117</v>
      </c>
      <c r="D76" s="45" t="s">
        <v>12</v>
      </c>
      <c r="E76" s="45" t="s">
        <v>73</v>
      </c>
      <c r="F76" s="45"/>
      <c r="G76" s="163">
        <v>4300</v>
      </c>
      <c r="H76" s="163">
        <v>2655.51</v>
      </c>
      <c r="I76" s="163">
        <f t="shared" si="8"/>
        <v>1644.4899999999998</v>
      </c>
      <c r="J76" s="48">
        <f>G76/VLOOKUP(A76,RESUME!$G$3:$I$10,3,FALSE)</f>
        <v>4.934274318570981E-2</v>
      </c>
      <c r="K76" s="163">
        <f t="shared" si="12"/>
        <v>3440</v>
      </c>
      <c r="L76" s="163">
        <f t="shared" si="13"/>
        <v>4300</v>
      </c>
      <c r="M76" s="154">
        <f t="shared" si="9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0"/>
        <v>1</v>
      </c>
      <c r="P76" s="45" t="str">
        <f t="shared" si="11"/>
        <v>OK</v>
      </c>
      <c r="Q76" s="159" t="s">
        <v>531</v>
      </c>
      <c r="R76" s="175"/>
    </row>
    <row r="77" spans="1:18">
      <c r="A77" s="61" t="s">
        <v>65</v>
      </c>
      <c r="B77" s="37" t="s">
        <v>118</v>
      </c>
      <c r="C77" s="61" t="s">
        <v>119</v>
      </c>
      <c r="D77" s="46" t="s">
        <v>12</v>
      </c>
      <c r="E77" s="46" t="s">
        <v>120</v>
      </c>
      <c r="F77" s="46"/>
      <c r="G77" s="164">
        <v>1495.98</v>
      </c>
      <c r="H77" s="164">
        <v>402.21</v>
      </c>
      <c r="I77" s="164">
        <f t="shared" si="8"/>
        <v>1093.77</v>
      </c>
      <c r="J77" s="50">
        <f>G77/VLOOKUP(A77,RESUME!$G$3:$I$10,3,FALSE)</f>
        <v>1.7166455104873992E-2</v>
      </c>
      <c r="K77" s="164">
        <f t="shared" si="12"/>
        <v>1196.7840000000001</v>
      </c>
      <c r="L77" s="164">
        <f t="shared" si="13"/>
        <v>1495.98</v>
      </c>
      <c r="M77" s="156">
        <f t="shared" si="9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0"/>
        <v>1</v>
      </c>
      <c r="P77" s="46" t="str">
        <f t="shared" si="11"/>
        <v>OK</v>
      </c>
      <c r="Q77" s="171" t="s">
        <v>531</v>
      </c>
      <c r="R77" s="175"/>
    </row>
    <row r="78" spans="1:18">
      <c r="A78" s="60" t="s">
        <v>65</v>
      </c>
      <c r="B78" s="36" t="s">
        <v>118</v>
      </c>
      <c r="C78" s="60" t="s">
        <v>119</v>
      </c>
      <c r="D78" s="45" t="s">
        <v>99</v>
      </c>
      <c r="E78" s="45" t="s">
        <v>120</v>
      </c>
      <c r="F78" s="45"/>
      <c r="G78" s="163">
        <v>516.97</v>
      </c>
      <c r="H78" s="163">
        <v>562.23</v>
      </c>
      <c r="I78" s="163">
        <f t="shared" si="8"/>
        <v>-45.259999999999991</v>
      </c>
      <c r="J78" s="48">
        <f>G78/VLOOKUP(A78,RESUME!$G$3:$I$10,3,FALSE)</f>
        <v>5.9322599871433493E-3</v>
      </c>
      <c r="K78" s="163">
        <f t="shared" si="12"/>
        <v>413.57600000000002</v>
      </c>
      <c r="L78" s="163">
        <f t="shared" si="13"/>
        <v>516.97</v>
      </c>
      <c r="M78" s="154">
        <f t="shared" si="9"/>
        <v>0</v>
      </c>
      <c r="N78" s="47" t="str">
        <f>_xlfn.IFNA(VLOOKUP(A78&amp;"-"&amp;B78&amp;"-"&amp;D78,Ref_Account!$A:$F,6,FALSE),"ACCOUNT TIDAK DITEMUKAN")</f>
        <v>1206.816130</v>
      </c>
      <c r="O78" s="45">
        <f t="shared" si="10"/>
        <v>1</v>
      </c>
      <c r="P78" s="45" t="str">
        <f t="shared" si="11"/>
        <v>OVER</v>
      </c>
      <c r="Q78" s="159" t="s">
        <v>531</v>
      </c>
      <c r="R78" s="175"/>
    </row>
    <row r="79" spans="1:18">
      <c r="A79" s="61" t="s">
        <v>65</v>
      </c>
      <c r="B79" s="37" t="s">
        <v>118</v>
      </c>
      <c r="C79" s="61" t="s">
        <v>119</v>
      </c>
      <c r="D79" s="46" t="s">
        <v>23</v>
      </c>
      <c r="E79" s="46" t="s">
        <v>120</v>
      </c>
      <c r="F79" s="46"/>
      <c r="G79" s="164">
        <v>1463.62</v>
      </c>
      <c r="H79" s="164">
        <v>1068.93</v>
      </c>
      <c r="I79" s="164">
        <f t="shared" si="8"/>
        <v>394.68999999999983</v>
      </c>
      <c r="J79" s="50">
        <f>G79/VLOOKUP(A79,RESUME!$G$3:$I$10,3,FALSE)</f>
        <v>1.6795122274760137E-2</v>
      </c>
      <c r="K79" s="164">
        <f t="shared" si="12"/>
        <v>1170.896</v>
      </c>
      <c r="L79" s="164">
        <f t="shared" si="13"/>
        <v>1463.62</v>
      </c>
      <c r="M79" s="156">
        <f t="shared" si="9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0"/>
        <v>1</v>
      </c>
      <c r="P79" s="46" t="str">
        <f t="shared" si="11"/>
        <v>OK</v>
      </c>
      <c r="Q79" s="171" t="s">
        <v>531</v>
      </c>
      <c r="R79" s="175"/>
    </row>
    <row r="80" spans="1:18">
      <c r="A80" s="60" t="s">
        <v>65</v>
      </c>
      <c r="B80" s="36" t="s">
        <v>118</v>
      </c>
      <c r="C80" s="60" t="s">
        <v>119</v>
      </c>
      <c r="D80" s="45" t="s">
        <v>14</v>
      </c>
      <c r="E80" s="45" t="s">
        <v>120</v>
      </c>
      <c r="F80" s="45"/>
      <c r="G80" s="163">
        <v>1779.8599999999997</v>
      </c>
      <c r="H80" s="163">
        <v>1304.79</v>
      </c>
      <c r="I80" s="163">
        <f t="shared" si="8"/>
        <v>475.06999999999971</v>
      </c>
      <c r="J80" s="48">
        <f>G80/VLOOKUP(A80,RESUME!$G$3:$I$10,3,FALSE)</f>
        <v>2.042399415965522E-2</v>
      </c>
      <c r="K80" s="163">
        <f t="shared" si="12"/>
        <v>1423.8879999999999</v>
      </c>
      <c r="L80" s="163">
        <f t="shared" si="13"/>
        <v>1779.8599999999997</v>
      </c>
      <c r="M80" s="154">
        <f t="shared" si="9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0"/>
        <v>1</v>
      </c>
      <c r="P80" s="45" t="str">
        <f t="shared" si="11"/>
        <v>OK</v>
      </c>
      <c r="Q80" s="159" t="s">
        <v>531</v>
      </c>
      <c r="R80" s="175"/>
    </row>
    <row r="81" spans="1:18">
      <c r="A81" s="61" t="s">
        <v>65</v>
      </c>
      <c r="B81" s="37" t="s">
        <v>20</v>
      </c>
      <c r="C81" s="61" t="s">
        <v>121</v>
      </c>
      <c r="D81" s="46" t="s">
        <v>99</v>
      </c>
      <c r="E81" s="46" t="s">
        <v>73</v>
      </c>
      <c r="F81" s="46"/>
      <c r="G81" s="164">
        <v>1115.46</v>
      </c>
      <c r="H81" s="164">
        <v>1165.8</v>
      </c>
      <c r="I81" s="164">
        <f t="shared" si="8"/>
        <v>-50.339999999999918</v>
      </c>
      <c r="J81" s="50">
        <f>G81/VLOOKUP(A81,RESUME!$G$3:$I$10,3,FALSE)</f>
        <v>1.2799966584635319E-2</v>
      </c>
      <c r="K81" s="164">
        <f t="shared" si="12"/>
        <v>892.36800000000005</v>
      </c>
      <c r="L81" s="164">
        <f t="shared" si="13"/>
        <v>1115.46</v>
      </c>
      <c r="M81" s="156">
        <f t="shared" si="9"/>
        <v>0</v>
      </c>
      <c r="N81" s="49" t="str">
        <f>_xlfn.IFNA(VLOOKUP(A81&amp;"-"&amp;B81&amp;"-"&amp;D81,Ref_Account!$A:$F,6,FALSE),"ACCOUNT TIDAK DITEMUKAN")</f>
        <v>1206.631100</v>
      </c>
      <c r="O81" s="46">
        <f t="shared" si="10"/>
        <v>1</v>
      </c>
      <c r="P81" s="46" t="str">
        <f t="shared" si="11"/>
        <v>OVER</v>
      </c>
      <c r="Q81" s="171" t="s">
        <v>531</v>
      </c>
      <c r="R81" s="175"/>
    </row>
    <row r="82" spans="1:18">
      <c r="A82" s="60" t="s">
        <v>65</v>
      </c>
      <c r="B82" s="36" t="s">
        <v>122</v>
      </c>
      <c r="C82" s="60" t="s">
        <v>123</v>
      </c>
      <c r="D82" s="45" t="s">
        <v>12</v>
      </c>
      <c r="E82" s="45" t="s">
        <v>80</v>
      </c>
      <c r="F82" s="45"/>
      <c r="G82" s="163">
        <v>651</v>
      </c>
      <c r="H82" s="163">
        <v>121.46</v>
      </c>
      <c r="I82" s="163">
        <f t="shared" si="8"/>
        <v>529.54</v>
      </c>
      <c r="J82" s="48">
        <f>G82/VLOOKUP(A82,RESUME!$G$3:$I$10,3,FALSE)</f>
        <v>7.4702618171853695E-3</v>
      </c>
      <c r="K82" s="163">
        <f t="shared" si="12"/>
        <v>520.80000000000007</v>
      </c>
      <c r="L82" s="163">
        <f t="shared" si="13"/>
        <v>651</v>
      </c>
      <c r="M82" s="154">
        <f t="shared" si="9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0"/>
        <v>1</v>
      </c>
      <c r="P82" s="45" t="str">
        <f t="shared" si="11"/>
        <v>OK</v>
      </c>
      <c r="Q82" s="159" t="s">
        <v>531</v>
      </c>
      <c r="R82" s="175"/>
    </row>
    <row r="83" spans="1:18">
      <c r="A83" s="61" t="s">
        <v>65</v>
      </c>
      <c r="B83" s="37" t="s">
        <v>124</v>
      </c>
      <c r="C83" s="61" t="s">
        <v>125</v>
      </c>
      <c r="D83" s="46" t="s">
        <v>12</v>
      </c>
      <c r="E83" s="46" t="s">
        <v>80</v>
      </c>
      <c r="F83" s="46"/>
      <c r="G83" s="164">
        <v>466</v>
      </c>
      <c r="H83" s="164"/>
      <c r="I83" s="164">
        <f t="shared" si="8"/>
        <v>466</v>
      </c>
      <c r="J83" s="50">
        <f>G83/VLOOKUP(A83,RESUME!$G$3:$I$10,3,FALSE)</f>
        <v>5.3473763545443653E-3</v>
      </c>
      <c r="K83" s="164">
        <f t="shared" si="12"/>
        <v>372.8</v>
      </c>
      <c r="L83" s="164">
        <f t="shared" si="13"/>
        <v>466</v>
      </c>
      <c r="M83" s="156">
        <f t="shared" si="9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0"/>
        <v>1</v>
      </c>
      <c r="P83" s="46" t="str">
        <f t="shared" si="11"/>
        <v>OK</v>
      </c>
      <c r="Q83" s="171" t="s">
        <v>531</v>
      </c>
      <c r="R83" s="175"/>
    </row>
    <row r="84" spans="1:18">
      <c r="A84" s="60" t="s">
        <v>65</v>
      </c>
      <c r="B84" s="36" t="s">
        <v>126</v>
      </c>
      <c r="C84" s="60" t="s">
        <v>127</v>
      </c>
      <c r="D84" s="45" t="s">
        <v>12</v>
      </c>
      <c r="E84" s="45" t="s">
        <v>73</v>
      </c>
      <c r="F84" s="45"/>
      <c r="G84" s="163">
        <v>1388.61</v>
      </c>
      <c r="H84" s="163"/>
      <c r="I84" s="163">
        <f t="shared" si="8"/>
        <v>1388.61</v>
      </c>
      <c r="J84" s="48">
        <f>G84/VLOOKUP(A84,RESUME!$G$3:$I$10,3,FALSE)</f>
        <v>1.5934378282583372E-2</v>
      </c>
      <c r="K84" s="163">
        <f t="shared" si="12"/>
        <v>1110.8879999999999</v>
      </c>
      <c r="L84" s="163">
        <f t="shared" si="13"/>
        <v>1388.61</v>
      </c>
      <c r="M84" s="154">
        <f t="shared" si="9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0"/>
        <v>1</v>
      </c>
      <c r="P84" s="45" t="str">
        <f t="shared" si="11"/>
        <v>OK</v>
      </c>
      <c r="Q84" s="159" t="s">
        <v>531</v>
      </c>
      <c r="R84" s="175"/>
    </row>
    <row r="85" spans="1:18">
      <c r="A85" s="61" t="s">
        <v>65</v>
      </c>
      <c r="B85" s="37" t="s">
        <v>128</v>
      </c>
      <c r="C85" s="61" t="s">
        <v>129</v>
      </c>
      <c r="D85" s="46" t="s">
        <v>12</v>
      </c>
      <c r="E85" s="46" t="s">
        <v>73</v>
      </c>
      <c r="F85" s="46"/>
      <c r="G85" s="164">
        <v>221.29</v>
      </c>
      <c r="H85" s="164"/>
      <c r="I85" s="164">
        <f t="shared" si="8"/>
        <v>221.29</v>
      </c>
      <c r="J85" s="50">
        <f>G85/VLOOKUP(A85,RESUME!$G$3:$I$10,3,FALSE)</f>
        <v>2.5393152650152848E-3</v>
      </c>
      <c r="K85" s="164">
        <f t="shared" si="12"/>
        <v>177.03200000000001</v>
      </c>
      <c r="L85" s="164">
        <f t="shared" si="13"/>
        <v>221.29</v>
      </c>
      <c r="M85" s="156">
        <f t="shared" si="9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0"/>
        <v>1</v>
      </c>
      <c r="P85" s="46" t="str">
        <f t="shared" si="11"/>
        <v>OK</v>
      </c>
      <c r="Q85" s="171" t="s">
        <v>531</v>
      </c>
      <c r="R85" s="175"/>
    </row>
    <row r="86" spans="1:18">
      <c r="A86" s="60" t="s">
        <v>65</v>
      </c>
      <c r="B86" s="36" t="s">
        <v>130</v>
      </c>
      <c r="C86" s="60" t="s">
        <v>131</v>
      </c>
      <c r="D86" s="45" t="s">
        <v>12</v>
      </c>
      <c r="E86" s="45" t="s">
        <v>73</v>
      </c>
      <c r="F86" s="45"/>
      <c r="G86" s="163">
        <v>764.4</v>
      </c>
      <c r="H86" s="163"/>
      <c r="I86" s="163">
        <f t="shared" si="8"/>
        <v>764.4</v>
      </c>
      <c r="J86" s="48">
        <f>G86/VLOOKUP(A86,RESUME!$G$3:$I$10,3,FALSE)</f>
        <v>8.7715332305015291E-3</v>
      </c>
      <c r="K86" s="163">
        <f t="shared" si="12"/>
        <v>611.52</v>
      </c>
      <c r="L86" s="163">
        <f t="shared" si="13"/>
        <v>764.4</v>
      </c>
      <c r="M86" s="154">
        <f t="shared" si="9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0"/>
        <v>1</v>
      </c>
      <c r="P86" s="45" t="str">
        <f t="shared" si="11"/>
        <v>OK</v>
      </c>
      <c r="Q86" s="159" t="s">
        <v>531</v>
      </c>
      <c r="R86" s="175"/>
    </row>
    <row r="87" spans="1:18">
      <c r="A87" s="61" t="s">
        <v>65</v>
      </c>
      <c r="B87" s="37" t="s">
        <v>132</v>
      </c>
      <c r="C87" s="61" t="s">
        <v>133</v>
      </c>
      <c r="D87" s="46" t="s">
        <v>12</v>
      </c>
      <c r="E87" s="46" t="s">
        <v>73</v>
      </c>
      <c r="F87" s="46"/>
      <c r="G87" s="164">
        <v>255</v>
      </c>
      <c r="H87" s="164">
        <v>139.61000000000001</v>
      </c>
      <c r="I87" s="164">
        <f t="shared" si="8"/>
        <v>115.38999999999999</v>
      </c>
      <c r="J87" s="50">
        <f>G87/VLOOKUP(A87,RESUME!$G$3:$I$10,3,FALSE)</f>
        <v>2.9261394214781401E-3</v>
      </c>
      <c r="K87" s="164">
        <f t="shared" si="12"/>
        <v>204</v>
      </c>
      <c r="L87" s="164">
        <f t="shared" si="13"/>
        <v>255</v>
      </c>
      <c r="M87" s="156">
        <f t="shared" si="9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0"/>
        <v>1</v>
      </c>
      <c r="P87" s="46" t="str">
        <f t="shared" si="11"/>
        <v>OK</v>
      </c>
      <c r="Q87" s="171" t="s">
        <v>531</v>
      </c>
      <c r="R87" s="175"/>
    </row>
    <row r="88" spans="1:18">
      <c r="A88" s="60" t="s">
        <v>65</v>
      </c>
      <c r="B88" s="36" t="s">
        <v>134</v>
      </c>
      <c r="C88" s="60" t="s">
        <v>135</v>
      </c>
      <c r="D88" s="45" t="s">
        <v>12</v>
      </c>
      <c r="E88" s="45" t="s">
        <v>73</v>
      </c>
      <c r="F88" s="45"/>
      <c r="G88" s="163">
        <v>200</v>
      </c>
      <c r="H88" s="163"/>
      <c r="I88" s="163">
        <f t="shared" si="8"/>
        <v>200</v>
      </c>
      <c r="J88" s="48">
        <f>G88/VLOOKUP(A88,RESUME!$G$3:$I$10,3,FALSE)</f>
        <v>2.2950113109632469E-3</v>
      </c>
      <c r="K88" s="163">
        <f t="shared" si="12"/>
        <v>160</v>
      </c>
      <c r="L88" s="163">
        <f t="shared" si="13"/>
        <v>200</v>
      </c>
      <c r="M88" s="154">
        <f t="shared" si="9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0"/>
        <v>1</v>
      </c>
      <c r="P88" s="45" t="str">
        <f t="shared" si="11"/>
        <v>OK</v>
      </c>
      <c r="Q88" s="159" t="s">
        <v>531</v>
      </c>
      <c r="R88" s="175"/>
    </row>
    <row r="89" spans="1:18">
      <c r="A89" s="61" t="s">
        <v>65</v>
      </c>
      <c r="B89" s="37" t="s">
        <v>136</v>
      </c>
      <c r="C89" s="61" t="s">
        <v>137</v>
      </c>
      <c r="D89" s="46" t="s">
        <v>12</v>
      </c>
      <c r="E89" s="46" t="s">
        <v>73</v>
      </c>
      <c r="F89" s="46"/>
      <c r="G89" s="164">
        <v>464.37</v>
      </c>
      <c r="H89" s="164">
        <v>73.55</v>
      </c>
      <c r="I89" s="164">
        <f t="shared" si="8"/>
        <v>390.82</v>
      </c>
      <c r="J89" s="50">
        <f>G89/VLOOKUP(A89,RESUME!$G$3:$I$10,3,FALSE)</f>
        <v>5.3286720123600154E-3</v>
      </c>
      <c r="K89" s="164">
        <f t="shared" si="12"/>
        <v>371.49600000000004</v>
      </c>
      <c r="L89" s="164">
        <f t="shared" si="13"/>
        <v>464.37</v>
      </c>
      <c r="M89" s="156">
        <f t="shared" si="9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0"/>
        <v>1</v>
      </c>
      <c r="P89" s="46" t="str">
        <f t="shared" si="11"/>
        <v>OK</v>
      </c>
      <c r="Q89" s="171" t="s">
        <v>531</v>
      </c>
      <c r="R89" s="175"/>
    </row>
    <row r="90" spans="1:18">
      <c r="A90" s="60" t="s">
        <v>65</v>
      </c>
      <c r="B90" s="36" t="s">
        <v>20</v>
      </c>
      <c r="C90" s="60" t="s">
        <v>138</v>
      </c>
      <c r="D90" s="45" t="s">
        <v>12</v>
      </c>
      <c r="E90" s="45" t="s">
        <v>73</v>
      </c>
      <c r="F90" s="45"/>
      <c r="G90" s="163">
        <v>515.79999999999995</v>
      </c>
      <c r="H90" s="163">
        <v>442.95</v>
      </c>
      <c r="I90" s="163">
        <f t="shared" si="8"/>
        <v>72.849999999999966</v>
      </c>
      <c r="J90" s="48">
        <f>G90/VLOOKUP(A90,RESUME!$G$3:$I$10,3,FALSE)</f>
        <v>5.9188341709742135E-3</v>
      </c>
      <c r="K90" s="163">
        <f t="shared" si="12"/>
        <v>412.64</v>
      </c>
      <c r="L90" s="163">
        <f t="shared" si="13"/>
        <v>515.79999999999995</v>
      </c>
      <c r="M90" s="154">
        <f t="shared" si="9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0"/>
        <v>3</v>
      </c>
      <c r="P90" s="45" t="str">
        <f t="shared" si="11"/>
        <v>OK</v>
      </c>
      <c r="Q90" s="159" t="s">
        <v>531</v>
      </c>
      <c r="R90" s="175"/>
    </row>
    <row r="91" spans="1:18">
      <c r="A91" s="61" t="s">
        <v>65</v>
      </c>
      <c r="B91" s="37" t="s">
        <v>20</v>
      </c>
      <c r="C91" s="61" t="s">
        <v>121</v>
      </c>
      <c r="D91" s="46" t="s">
        <v>12</v>
      </c>
      <c r="E91" s="46" t="s">
        <v>73</v>
      </c>
      <c r="F91" s="46"/>
      <c r="G91" s="164">
        <v>1891.43</v>
      </c>
      <c r="H91" s="164">
        <v>1881.2</v>
      </c>
      <c r="I91" s="164">
        <f t="shared" si="8"/>
        <v>10.230000000000018</v>
      </c>
      <c r="J91" s="50">
        <f>G91/VLOOKUP(A91,RESUME!$G$3:$I$10,3,FALSE)</f>
        <v>2.1704266219476073E-2</v>
      </c>
      <c r="K91" s="164">
        <f t="shared" si="12"/>
        <v>1513.1440000000002</v>
      </c>
      <c r="L91" s="164">
        <f t="shared" si="13"/>
        <v>1891.43</v>
      </c>
      <c r="M91" s="156">
        <f t="shared" si="9"/>
        <v>2.1822294416066146E-2</v>
      </c>
      <c r="N91" s="49" t="str">
        <f>_xlfn.IFNA(VLOOKUP(A91&amp;"-"&amp;B91&amp;"-"&amp;D91,Ref_Account!$A:$F,6,FALSE),"ACCOUNT TIDAK DITEMUKAN")</f>
        <v>1201.631100</v>
      </c>
      <c r="O91" s="46">
        <f t="shared" si="10"/>
        <v>3</v>
      </c>
      <c r="P91" s="46" t="str">
        <f t="shared" si="11"/>
        <v>OK</v>
      </c>
      <c r="Q91" s="171" t="s">
        <v>531</v>
      </c>
      <c r="R91" s="175"/>
    </row>
    <row r="92" spans="1:18" ht="16.5" customHeight="1">
      <c r="A92" s="60" t="s">
        <v>65</v>
      </c>
      <c r="B92" s="36" t="s">
        <v>20</v>
      </c>
      <c r="C92" s="60" t="s">
        <v>121</v>
      </c>
      <c r="D92" s="45" t="s">
        <v>23</v>
      </c>
      <c r="E92" s="45" t="s">
        <v>73</v>
      </c>
      <c r="F92" s="45"/>
      <c r="G92" s="163">
        <v>1328.48</v>
      </c>
      <c r="H92" s="163">
        <v>1436.85</v>
      </c>
      <c r="I92" s="163">
        <f t="shared" si="8"/>
        <v>-108.36999999999989</v>
      </c>
      <c r="J92" s="48">
        <f>G92/VLOOKUP(A92,RESUME!$G$3:$I$10,3,FALSE)</f>
        <v>1.5244383131942272E-2</v>
      </c>
      <c r="K92" s="163">
        <f t="shared" si="12"/>
        <v>1062.7840000000001</v>
      </c>
      <c r="L92" s="163">
        <f t="shared" si="13"/>
        <v>1328.48</v>
      </c>
      <c r="M92" s="154">
        <f t="shared" si="9"/>
        <v>0</v>
      </c>
      <c r="N92" s="47" t="str">
        <f>_xlfn.IFNA(VLOOKUP(A92&amp;"-"&amp;B92&amp;"-"&amp;D92,Ref_Account!$A:$F,6,FALSE),"ACCOUNT TIDAK DITEMUKAN")</f>
        <v>1205.631100</v>
      </c>
      <c r="O92" s="45">
        <f t="shared" si="10"/>
        <v>3</v>
      </c>
      <c r="P92" s="45" t="str">
        <f t="shared" si="11"/>
        <v>OVER</v>
      </c>
      <c r="Q92" s="159" t="s">
        <v>531</v>
      </c>
      <c r="R92" s="175"/>
    </row>
    <row r="93" spans="1:18">
      <c r="A93" s="61" t="s">
        <v>65</v>
      </c>
      <c r="B93" s="37" t="s">
        <v>20</v>
      </c>
      <c r="C93" s="61" t="s">
        <v>121</v>
      </c>
      <c r="D93" s="46" t="s">
        <v>14</v>
      </c>
      <c r="E93" s="46" t="s">
        <v>73</v>
      </c>
      <c r="F93" s="46"/>
      <c r="G93" s="164">
        <v>1328.28</v>
      </c>
      <c r="H93" s="164">
        <v>1377.62</v>
      </c>
      <c r="I93" s="164">
        <f t="shared" si="8"/>
        <v>-49.339999999999918</v>
      </c>
      <c r="J93" s="50">
        <f>G93/VLOOKUP(A93,RESUME!$G$3:$I$10,3,FALSE)</f>
        <v>1.5242088120631308E-2</v>
      </c>
      <c r="K93" s="164">
        <f t="shared" si="12"/>
        <v>1062.624</v>
      </c>
      <c r="L93" s="164">
        <f t="shared" si="13"/>
        <v>1328.28</v>
      </c>
      <c r="M93" s="156">
        <f t="shared" si="9"/>
        <v>0</v>
      </c>
      <c r="N93" s="49" t="str">
        <f>_xlfn.IFNA(VLOOKUP(A93&amp;"-"&amp;B93&amp;"-"&amp;D93,Ref_Account!$A:$F,6,FALSE),"ACCOUNT TIDAK DITEMUKAN")</f>
        <v>1204.631100</v>
      </c>
      <c r="O93" s="46">
        <f t="shared" si="10"/>
        <v>3</v>
      </c>
      <c r="P93" s="46" t="str">
        <f t="shared" si="11"/>
        <v>OVER</v>
      </c>
      <c r="Q93" s="171" t="s">
        <v>531</v>
      </c>
      <c r="R93" s="175"/>
    </row>
    <row r="94" spans="1:18">
      <c r="A94" s="60" t="s">
        <v>139</v>
      </c>
      <c r="B94" s="36" t="s">
        <v>91</v>
      </c>
      <c r="C94" s="60" t="s">
        <v>92</v>
      </c>
      <c r="D94" s="45" t="s">
        <v>99</v>
      </c>
      <c r="E94" s="45" t="s">
        <v>93</v>
      </c>
      <c r="F94" s="45"/>
      <c r="G94" s="163">
        <v>2736.7799999999997</v>
      </c>
      <c r="H94" s="163"/>
      <c r="I94" s="163">
        <f t="shared" si="8"/>
        <v>2736.7799999999997</v>
      </c>
      <c r="J94" s="48">
        <f>G94/VLOOKUP(A94,RESUME!$G$3:$I$10,3,FALSE)</f>
        <v>2.7232510432328692E-2</v>
      </c>
      <c r="K94" s="163">
        <f t="shared" si="12"/>
        <v>2189.424</v>
      </c>
      <c r="L94" s="163">
        <f t="shared" si="13"/>
        <v>2736.7799999999997</v>
      </c>
      <c r="M94" s="154">
        <f t="shared" si="9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0"/>
        <v>1</v>
      </c>
      <c r="P94" s="45" t="str">
        <f t="shared" si="11"/>
        <v>OK</v>
      </c>
      <c r="Q94" s="159" t="s">
        <v>531</v>
      </c>
      <c r="R94" s="175"/>
    </row>
    <row r="95" spans="1:18">
      <c r="A95" s="61" t="s">
        <v>139</v>
      </c>
      <c r="B95" s="37" t="s">
        <v>100</v>
      </c>
      <c r="C95" s="61" t="s">
        <v>101</v>
      </c>
      <c r="D95" s="46" t="s">
        <v>99</v>
      </c>
      <c r="E95" s="46" t="s">
        <v>73</v>
      </c>
      <c r="F95" s="46"/>
      <c r="G95" s="164">
        <v>200</v>
      </c>
      <c r="H95" s="164"/>
      <c r="I95" s="164">
        <f t="shared" si="8"/>
        <v>200</v>
      </c>
      <c r="J95" s="50">
        <f>G95/VLOOKUP(A95,RESUME!$G$3:$I$10,3,FALSE)</f>
        <v>1.990113230316554E-3</v>
      </c>
      <c r="K95" s="164">
        <f t="shared" si="12"/>
        <v>160</v>
      </c>
      <c r="L95" s="164">
        <f t="shared" si="13"/>
        <v>200</v>
      </c>
      <c r="M95" s="156">
        <f t="shared" si="9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0"/>
        <v>1</v>
      </c>
      <c r="P95" s="46" t="str">
        <f t="shared" si="11"/>
        <v>OK</v>
      </c>
      <c r="Q95" s="171" t="s">
        <v>531</v>
      </c>
      <c r="R95" s="175"/>
    </row>
    <row r="96" spans="1:18">
      <c r="A96" s="60" t="s">
        <v>139</v>
      </c>
      <c r="B96" s="36" t="s">
        <v>116</v>
      </c>
      <c r="C96" s="60" t="s">
        <v>117</v>
      </c>
      <c r="D96" s="45" t="s">
        <v>99</v>
      </c>
      <c r="E96" s="45" t="s">
        <v>93</v>
      </c>
      <c r="F96" s="45"/>
      <c r="G96" s="163">
        <v>1460</v>
      </c>
      <c r="H96" s="163">
        <v>2181.4299999999998</v>
      </c>
      <c r="I96" s="163">
        <f t="shared" si="8"/>
        <v>-721.42999999999984</v>
      </c>
      <c r="J96" s="48">
        <f>G96/VLOOKUP(A96,RESUME!$G$3:$I$10,3,FALSE)</f>
        <v>1.4527826581310844E-2</v>
      </c>
      <c r="K96" s="163">
        <f t="shared" si="12"/>
        <v>1168</v>
      </c>
      <c r="L96" s="163">
        <f t="shared" si="13"/>
        <v>1460</v>
      </c>
      <c r="M96" s="154">
        <f t="shared" si="9"/>
        <v>0</v>
      </c>
      <c r="N96" s="47" t="str">
        <f>_xlfn.IFNA(VLOOKUP(A96&amp;"-"&amp;B96&amp;"-"&amp;D96,Ref_Account!$A:$F,6,FALSE),"ACCOUNT TIDAK DITEMUKAN")</f>
        <v>1206.630130</v>
      </c>
      <c r="O96" s="45">
        <f t="shared" si="10"/>
        <v>1</v>
      </c>
      <c r="P96" s="45" t="str">
        <f t="shared" si="11"/>
        <v>OVER</v>
      </c>
      <c r="Q96" s="159" t="s">
        <v>531</v>
      </c>
      <c r="R96" s="175"/>
    </row>
    <row r="97" spans="1:18">
      <c r="A97" s="61" t="s">
        <v>139</v>
      </c>
      <c r="B97" s="37" t="s">
        <v>126</v>
      </c>
      <c r="C97" s="61" t="s">
        <v>127</v>
      </c>
      <c r="D97" s="46" t="s">
        <v>99</v>
      </c>
      <c r="E97" s="46" t="s">
        <v>73</v>
      </c>
      <c r="F97" s="46"/>
      <c r="G97" s="164">
        <v>4235.2299999999996</v>
      </c>
      <c r="H97" s="164"/>
      <c r="I97" s="164">
        <f t="shared" si="8"/>
        <v>4235.2299999999996</v>
      </c>
      <c r="J97" s="50">
        <f>G97/VLOOKUP(A97,RESUME!$G$3:$I$10,3,FALSE)</f>
        <v>4.2142936282167892E-2</v>
      </c>
      <c r="K97" s="164">
        <f t="shared" si="12"/>
        <v>3388.1839999999997</v>
      </c>
      <c r="L97" s="164">
        <f t="shared" si="13"/>
        <v>4235.2299999999996</v>
      </c>
      <c r="M97" s="156">
        <f t="shared" si="9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0"/>
        <v>1</v>
      </c>
      <c r="P97" s="46" t="str">
        <f t="shared" si="11"/>
        <v>OK</v>
      </c>
      <c r="Q97" s="171" t="s">
        <v>531</v>
      </c>
      <c r="R97" s="175"/>
    </row>
    <row r="98" spans="1:18">
      <c r="A98" s="60" t="s">
        <v>139</v>
      </c>
      <c r="B98" s="36" t="s">
        <v>128</v>
      </c>
      <c r="C98" s="60" t="s">
        <v>140</v>
      </c>
      <c r="D98" s="45" t="s">
        <v>99</v>
      </c>
      <c r="E98" s="45" t="s">
        <v>73</v>
      </c>
      <c r="F98" s="45"/>
      <c r="G98" s="163">
        <v>821.62</v>
      </c>
      <c r="H98" s="163"/>
      <c r="I98" s="163">
        <f t="shared" si="8"/>
        <v>821.62</v>
      </c>
      <c r="J98" s="48">
        <f>G98/VLOOKUP(A98,RESUME!$G$3:$I$10,3,FALSE)</f>
        <v>8.175584161463436E-3</v>
      </c>
      <c r="K98" s="163">
        <f t="shared" si="12"/>
        <v>657.29600000000005</v>
      </c>
      <c r="L98" s="163">
        <f t="shared" si="13"/>
        <v>821.62</v>
      </c>
      <c r="M98" s="154">
        <f t="shared" si="9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0"/>
        <v>1</v>
      </c>
      <c r="P98" s="45" t="str">
        <f t="shared" si="11"/>
        <v>OK</v>
      </c>
      <c r="Q98" s="159" t="s">
        <v>531</v>
      </c>
      <c r="R98" s="175"/>
    </row>
    <row r="99" spans="1:18">
      <c r="A99" s="61" t="s">
        <v>139</v>
      </c>
      <c r="B99" s="37" t="s">
        <v>132</v>
      </c>
      <c r="C99" s="61" t="s">
        <v>133</v>
      </c>
      <c r="D99" s="46" t="s">
        <v>99</v>
      </c>
      <c r="E99" s="46" t="s">
        <v>73</v>
      </c>
      <c r="F99" s="46"/>
      <c r="G99" s="164">
        <v>55</v>
      </c>
      <c r="H99" s="164"/>
      <c r="I99" s="164">
        <f t="shared" si="8"/>
        <v>55</v>
      </c>
      <c r="J99" s="50">
        <f>G99/VLOOKUP(A99,RESUME!$G$3:$I$10,3,FALSE)</f>
        <v>5.4728113833705236E-4</v>
      </c>
      <c r="K99" s="164">
        <f t="shared" si="12"/>
        <v>44</v>
      </c>
      <c r="L99" s="164">
        <f t="shared" si="13"/>
        <v>55</v>
      </c>
      <c r="M99" s="156">
        <f t="shared" si="9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0"/>
        <v>1</v>
      </c>
      <c r="P99" s="46" t="str">
        <f t="shared" si="11"/>
        <v>OK</v>
      </c>
      <c r="Q99" s="171" t="s">
        <v>531</v>
      </c>
      <c r="R99" s="175"/>
    </row>
    <row r="100" spans="1:18">
      <c r="A100" s="60" t="s">
        <v>139</v>
      </c>
      <c r="B100" s="36" t="s">
        <v>136</v>
      </c>
      <c r="C100" s="60" t="s">
        <v>137</v>
      </c>
      <c r="D100" s="45" t="s">
        <v>99</v>
      </c>
      <c r="E100" s="45" t="s">
        <v>73</v>
      </c>
      <c r="F100" s="45"/>
      <c r="G100" s="163">
        <v>20.09</v>
      </c>
      <c r="H100" s="163"/>
      <c r="I100" s="163">
        <f t="shared" si="8"/>
        <v>20.09</v>
      </c>
      <c r="J100" s="48">
        <f>G100/VLOOKUP(A100,RESUME!$G$3:$I$10,3,FALSE)</f>
        <v>1.9990687398529784E-4</v>
      </c>
      <c r="K100" s="163">
        <f t="shared" si="12"/>
        <v>16.071999999999999</v>
      </c>
      <c r="L100" s="163">
        <f t="shared" si="13"/>
        <v>20.09</v>
      </c>
      <c r="M100" s="154">
        <f t="shared" si="9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0"/>
        <v>1</v>
      </c>
      <c r="P100" s="45" t="str">
        <f t="shared" si="11"/>
        <v>OK</v>
      </c>
      <c r="Q100" s="159" t="s">
        <v>531</v>
      </c>
      <c r="R100" s="175"/>
    </row>
    <row r="101" spans="1:18">
      <c r="A101" s="61" t="s">
        <v>139</v>
      </c>
      <c r="B101" s="37" t="s">
        <v>78</v>
      </c>
      <c r="C101" s="61" t="s">
        <v>79</v>
      </c>
      <c r="D101" s="46" t="s">
        <v>99</v>
      </c>
      <c r="E101" s="46" t="s">
        <v>141</v>
      </c>
      <c r="F101" s="46"/>
      <c r="G101" s="164">
        <v>563</v>
      </c>
      <c r="H101" s="164">
        <v>84.77</v>
      </c>
      <c r="I101" s="164">
        <f t="shared" si="8"/>
        <v>478.23</v>
      </c>
      <c r="J101" s="50">
        <f>G101/VLOOKUP(A101,RESUME!$G$3:$I$10,3,FALSE)</f>
        <v>5.6021687433410999E-3</v>
      </c>
      <c r="K101" s="164">
        <f t="shared" si="12"/>
        <v>450.40000000000003</v>
      </c>
      <c r="L101" s="164">
        <f t="shared" si="13"/>
        <v>563</v>
      </c>
      <c r="M101" s="156">
        <f t="shared" si="9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0"/>
        <v>1</v>
      </c>
      <c r="P101" s="46" t="str">
        <f t="shared" si="11"/>
        <v>OK</v>
      </c>
      <c r="Q101" s="171" t="s">
        <v>531</v>
      </c>
      <c r="R101" s="175"/>
    </row>
    <row r="102" spans="1:18">
      <c r="A102" s="60" t="s">
        <v>139</v>
      </c>
      <c r="B102" s="36" t="s">
        <v>102</v>
      </c>
      <c r="C102" s="60" t="s">
        <v>103</v>
      </c>
      <c r="D102" s="45" t="s">
        <v>99</v>
      </c>
      <c r="E102" s="45" t="s">
        <v>141</v>
      </c>
      <c r="F102" s="45"/>
      <c r="G102" s="163">
        <v>50</v>
      </c>
      <c r="H102" s="163"/>
      <c r="I102" s="163">
        <f t="shared" ref="I102:I133" si="14">G102-H102</f>
        <v>50</v>
      </c>
      <c r="J102" s="48">
        <f>G102/VLOOKUP(A102,RESUME!$G$3:$I$10,3,FALSE)</f>
        <v>4.9752830757913849E-4</v>
      </c>
      <c r="K102" s="163">
        <f t="shared" si="12"/>
        <v>40</v>
      </c>
      <c r="L102" s="163">
        <f t="shared" si="13"/>
        <v>50</v>
      </c>
      <c r="M102" s="154">
        <f t="shared" si="9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5">IF(N102="ACCOUNT TIDAK DITEMUKAN","9999",COUNTIF($N$6:$N$164,N102))</f>
        <v>1</v>
      </c>
      <c r="P102" s="45" t="str">
        <f t="shared" si="11"/>
        <v>OK</v>
      </c>
      <c r="Q102" s="159" t="s">
        <v>531</v>
      </c>
      <c r="R102" s="175"/>
    </row>
    <row r="103" spans="1:18">
      <c r="A103" s="61" t="s">
        <v>139</v>
      </c>
      <c r="B103" s="37" t="s">
        <v>104</v>
      </c>
      <c r="C103" s="61" t="s">
        <v>105</v>
      </c>
      <c r="D103" s="46" t="s">
        <v>99</v>
      </c>
      <c r="E103" s="46" t="s">
        <v>141</v>
      </c>
      <c r="F103" s="46"/>
      <c r="G103" s="164">
        <v>50</v>
      </c>
      <c r="H103" s="164"/>
      <c r="I103" s="164">
        <f t="shared" si="14"/>
        <v>50</v>
      </c>
      <c r="J103" s="50">
        <f>G103/VLOOKUP(A103,RESUME!$G$3:$I$10,3,FALSE)</f>
        <v>4.9752830757913849E-4</v>
      </c>
      <c r="K103" s="164">
        <f t="shared" si="12"/>
        <v>40</v>
      </c>
      <c r="L103" s="164">
        <f t="shared" si="13"/>
        <v>50</v>
      </c>
      <c r="M103" s="156">
        <f t="shared" si="9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5"/>
        <v>1</v>
      </c>
      <c r="P103" s="46" t="str">
        <f t="shared" si="11"/>
        <v>OK</v>
      </c>
      <c r="Q103" s="171" t="s">
        <v>531</v>
      </c>
      <c r="R103" s="175"/>
    </row>
    <row r="104" spans="1:18">
      <c r="A104" s="60" t="s">
        <v>139</v>
      </c>
      <c r="B104" s="36" t="s">
        <v>106</v>
      </c>
      <c r="C104" s="60" t="s">
        <v>107</v>
      </c>
      <c r="D104" s="45" t="s">
        <v>99</v>
      </c>
      <c r="E104" s="45" t="s">
        <v>141</v>
      </c>
      <c r="F104" s="45"/>
      <c r="G104" s="163">
        <v>50</v>
      </c>
      <c r="H104" s="163">
        <v>1313.04</v>
      </c>
      <c r="I104" s="163">
        <f t="shared" si="14"/>
        <v>-1263.04</v>
      </c>
      <c r="J104" s="48">
        <f>G104/VLOOKUP(A104,RESUME!$G$3:$I$10,3,FALSE)</f>
        <v>4.9752830757913849E-4</v>
      </c>
      <c r="K104" s="163">
        <f t="shared" si="12"/>
        <v>40</v>
      </c>
      <c r="L104" s="163">
        <f t="shared" si="13"/>
        <v>50</v>
      </c>
      <c r="M104" s="154">
        <f t="shared" si="9"/>
        <v>0</v>
      </c>
      <c r="N104" s="47" t="str">
        <f>_xlfn.IFNA(VLOOKUP(A104&amp;"-"&amp;B104&amp;"-"&amp;D104,Ref_Account!$A:$F,6,FALSE),"ACCOUNT TIDAK DITEMUKAN")</f>
        <v>1206.630720</v>
      </c>
      <c r="O104" s="45">
        <f t="shared" si="15"/>
        <v>1</v>
      </c>
      <c r="P104" s="45" t="str">
        <f t="shared" si="11"/>
        <v>OVER</v>
      </c>
      <c r="Q104" s="159" t="s">
        <v>531</v>
      </c>
      <c r="R104" s="175"/>
    </row>
    <row r="105" spans="1:18">
      <c r="A105" s="61" t="s">
        <v>139</v>
      </c>
      <c r="B105" s="37" t="s">
        <v>108</v>
      </c>
      <c r="C105" s="61" t="s">
        <v>109</v>
      </c>
      <c r="D105" s="46" t="s">
        <v>99</v>
      </c>
      <c r="E105" s="46" t="s">
        <v>141</v>
      </c>
      <c r="F105" s="46"/>
      <c r="G105" s="164">
        <v>50</v>
      </c>
      <c r="H105" s="164"/>
      <c r="I105" s="164">
        <f t="shared" si="14"/>
        <v>50</v>
      </c>
      <c r="J105" s="50">
        <f>G105/VLOOKUP(A105,RESUME!$G$3:$I$10,3,FALSE)</f>
        <v>4.9752830757913849E-4</v>
      </c>
      <c r="K105" s="164">
        <f t="shared" si="12"/>
        <v>40</v>
      </c>
      <c r="L105" s="164">
        <f t="shared" si="13"/>
        <v>50</v>
      </c>
      <c r="M105" s="156">
        <f t="shared" si="9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5"/>
        <v>1</v>
      </c>
      <c r="P105" s="46" t="str">
        <f t="shared" si="11"/>
        <v>OK</v>
      </c>
      <c r="Q105" s="171" t="s">
        <v>531</v>
      </c>
      <c r="R105" s="175"/>
    </row>
    <row r="106" spans="1:18">
      <c r="A106" s="60" t="s">
        <v>139</v>
      </c>
      <c r="B106" s="36" t="s">
        <v>110</v>
      </c>
      <c r="C106" s="60" t="s">
        <v>111</v>
      </c>
      <c r="D106" s="45" t="s">
        <v>99</v>
      </c>
      <c r="E106" s="45" t="s">
        <v>141</v>
      </c>
      <c r="F106" s="45"/>
      <c r="G106" s="163">
        <v>50</v>
      </c>
      <c r="H106" s="163"/>
      <c r="I106" s="163">
        <f t="shared" si="14"/>
        <v>50</v>
      </c>
      <c r="J106" s="48">
        <f>G106/VLOOKUP(A106,RESUME!$G$3:$I$10,3,FALSE)</f>
        <v>4.9752830757913849E-4</v>
      </c>
      <c r="K106" s="163">
        <f t="shared" si="12"/>
        <v>40</v>
      </c>
      <c r="L106" s="163">
        <f t="shared" si="13"/>
        <v>50</v>
      </c>
      <c r="M106" s="154">
        <f t="shared" si="9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5"/>
        <v>1</v>
      </c>
      <c r="P106" s="45" t="str">
        <f t="shared" si="11"/>
        <v>OK</v>
      </c>
      <c r="Q106" s="159" t="s">
        <v>531</v>
      </c>
      <c r="R106" s="175"/>
    </row>
    <row r="107" spans="1:18">
      <c r="A107" s="61" t="s">
        <v>139</v>
      </c>
      <c r="B107" s="37" t="s">
        <v>112</v>
      </c>
      <c r="C107" s="61" t="s">
        <v>113</v>
      </c>
      <c r="D107" s="46" t="s">
        <v>99</v>
      </c>
      <c r="E107" s="46" t="s">
        <v>141</v>
      </c>
      <c r="F107" s="46"/>
      <c r="G107" s="164">
        <v>50</v>
      </c>
      <c r="H107" s="164"/>
      <c r="I107" s="164">
        <f t="shared" si="14"/>
        <v>50</v>
      </c>
      <c r="J107" s="50">
        <f>G107/VLOOKUP(A107,RESUME!$G$3:$I$10,3,FALSE)</f>
        <v>4.9752830757913849E-4</v>
      </c>
      <c r="K107" s="164">
        <f t="shared" si="12"/>
        <v>40</v>
      </c>
      <c r="L107" s="164">
        <f t="shared" si="13"/>
        <v>50</v>
      </c>
      <c r="M107" s="156">
        <f t="shared" si="9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5"/>
        <v>1</v>
      </c>
      <c r="P107" s="46" t="str">
        <f t="shared" si="11"/>
        <v>OK</v>
      </c>
      <c r="Q107" s="171" t="s">
        <v>531</v>
      </c>
      <c r="R107" s="175"/>
    </row>
    <row r="108" spans="1:18">
      <c r="A108" s="60" t="s">
        <v>139</v>
      </c>
      <c r="B108" s="36" t="s">
        <v>122</v>
      </c>
      <c r="C108" s="60" t="s">
        <v>123</v>
      </c>
      <c r="D108" s="45" t="s">
        <v>99</v>
      </c>
      <c r="E108" s="45" t="s">
        <v>141</v>
      </c>
      <c r="F108" s="45"/>
      <c r="G108" s="163">
        <v>3978</v>
      </c>
      <c r="H108" s="163">
        <v>4309.0600000000004</v>
      </c>
      <c r="I108" s="163">
        <f t="shared" si="14"/>
        <v>-331.0600000000004</v>
      </c>
      <c r="J108" s="48">
        <f>G108/VLOOKUP(A108,RESUME!$G$3:$I$10,3,FALSE)</f>
        <v>3.9583352150996259E-2</v>
      </c>
      <c r="K108" s="163">
        <f t="shared" si="12"/>
        <v>3182.4</v>
      </c>
      <c r="L108" s="163">
        <f t="shared" si="13"/>
        <v>3978</v>
      </c>
      <c r="M108" s="154">
        <f t="shared" si="9"/>
        <v>0</v>
      </c>
      <c r="N108" s="47" t="str">
        <f>_xlfn.IFNA(VLOOKUP(A108&amp;"-"&amp;B108&amp;"-"&amp;D108,Ref_Account!$A:$F,6,FALSE),"ACCOUNT TIDAK DITEMUKAN")</f>
        <v>1206.631110</v>
      </c>
      <c r="O108" s="45">
        <f t="shared" si="15"/>
        <v>1</v>
      </c>
      <c r="P108" s="45" t="str">
        <f t="shared" si="11"/>
        <v>OVER</v>
      </c>
      <c r="Q108" s="159" t="s">
        <v>531</v>
      </c>
      <c r="R108" s="175"/>
    </row>
    <row r="109" spans="1:18">
      <c r="A109" s="61" t="s">
        <v>139</v>
      </c>
      <c r="B109" s="37" t="s">
        <v>68</v>
      </c>
      <c r="C109" s="61" t="s">
        <v>69</v>
      </c>
      <c r="D109" s="46" t="s">
        <v>99</v>
      </c>
      <c r="E109" s="46" t="s">
        <v>142</v>
      </c>
      <c r="F109" s="46"/>
      <c r="G109" s="164">
        <v>5000</v>
      </c>
      <c r="H109" s="164">
        <v>3055.97</v>
      </c>
      <c r="I109" s="164">
        <f t="shared" si="14"/>
        <v>1944.0300000000002</v>
      </c>
      <c r="J109" s="50">
        <f>G109/VLOOKUP(A109,RESUME!$G$3:$I$10,3,FALSE)</f>
        <v>4.9752830757913848E-2</v>
      </c>
      <c r="K109" s="164">
        <f t="shared" si="12"/>
        <v>4000</v>
      </c>
      <c r="L109" s="164">
        <f t="shared" si="13"/>
        <v>5000</v>
      </c>
      <c r="M109" s="156">
        <f t="shared" si="9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5"/>
        <v>1</v>
      </c>
      <c r="P109" s="46" t="str">
        <f t="shared" si="11"/>
        <v>OK</v>
      </c>
      <c r="Q109" s="171" t="s">
        <v>531</v>
      </c>
      <c r="R109" s="175"/>
    </row>
    <row r="110" spans="1:18">
      <c r="A110" s="60" t="s">
        <v>139</v>
      </c>
      <c r="B110" s="36" t="s">
        <v>74</v>
      </c>
      <c r="C110" s="60" t="s">
        <v>75</v>
      </c>
      <c r="D110" s="45" t="s">
        <v>99</v>
      </c>
      <c r="E110" s="45" t="s">
        <v>73</v>
      </c>
      <c r="F110" s="45"/>
      <c r="G110" s="163">
        <v>3463.43</v>
      </c>
      <c r="H110" s="163">
        <v>3779.14</v>
      </c>
      <c r="I110" s="163">
        <f t="shared" si="14"/>
        <v>-315.71000000000004</v>
      </c>
      <c r="J110" s="48">
        <f>G110/VLOOKUP(A110,RESUME!$G$3:$I$10,3,FALSE)</f>
        <v>3.446308932637631E-2</v>
      </c>
      <c r="K110" s="163">
        <f t="shared" si="12"/>
        <v>2770.7440000000001</v>
      </c>
      <c r="L110" s="163">
        <f t="shared" si="13"/>
        <v>3463.43</v>
      </c>
      <c r="M110" s="154">
        <f t="shared" si="9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5"/>
        <v>1</v>
      </c>
      <c r="P110" s="45" t="str">
        <f t="shared" si="11"/>
        <v>OVER</v>
      </c>
      <c r="Q110" s="159" t="s">
        <v>531</v>
      </c>
      <c r="R110" s="175"/>
    </row>
    <row r="111" spans="1:18">
      <c r="A111" s="61" t="s">
        <v>139</v>
      </c>
      <c r="B111" s="37" t="s">
        <v>85</v>
      </c>
      <c r="C111" s="61" t="s">
        <v>86</v>
      </c>
      <c r="D111" s="46" t="s">
        <v>99</v>
      </c>
      <c r="E111" s="46" t="s">
        <v>73</v>
      </c>
      <c r="F111" s="46"/>
      <c r="G111" s="164">
        <v>23.95</v>
      </c>
      <c r="H111" s="164"/>
      <c r="I111" s="164">
        <f t="shared" si="14"/>
        <v>23.95</v>
      </c>
      <c r="J111" s="50">
        <f>G111/VLOOKUP(A111,RESUME!$G$3:$I$10,3,FALSE)</f>
        <v>2.3831605933040734E-4</v>
      </c>
      <c r="K111" s="164">
        <f t="shared" si="12"/>
        <v>19.16</v>
      </c>
      <c r="L111" s="164">
        <f t="shared" si="13"/>
        <v>23.95</v>
      </c>
      <c r="M111" s="156">
        <f t="shared" si="9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5"/>
        <v>1</v>
      </c>
      <c r="P111" s="46" t="str">
        <f t="shared" si="11"/>
        <v>OK</v>
      </c>
      <c r="Q111" s="171" t="s">
        <v>531</v>
      </c>
      <c r="R111" s="175"/>
    </row>
    <row r="112" spans="1:18">
      <c r="A112" s="60" t="s">
        <v>139</v>
      </c>
      <c r="B112" s="36" t="s">
        <v>94</v>
      </c>
      <c r="C112" s="60" t="s">
        <v>95</v>
      </c>
      <c r="D112" s="45" t="s">
        <v>99</v>
      </c>
      <c r="E112" s="45" t="s">
        <v>143</v>
      </c>
      <c r="F112" s="45"/>
      <c r="G112" s="163">
        <v>47747.46</v>
      </c>
      <c r="H112" s="163"/>
      <c r="I112" s="163">
        <f t="shared" si="14"/>
        <v>47747.46</v>
      </c>
      <c r="J112" s="48">
        <f>G112/VLOOKUP(A112,RESUME!$G$3:$I$10,3,FALSE)</f>
        <v>0.47511425930005224</v>
      </c>
      <c r="K112" s="163">
        <f t="shared" si="12"/>
        <v>38197.968000000001</v>
      </c>
      <c r="L112" s="163">
        <f t="shared" si="13"/>
        <v>47747.46</v>
      </c>
      <c r="M112" s="154">
        <f t="shared" si="9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5"/>
        <v>1</v>
      </c>
      <c r="P112" s="45" t="str">
        <f t="shared" si="11"/>
        <v>OK</v>
      </c>
      <c r="Q112" s="159" t="s">
        <v>531</v>
      </c>
      <c r="R112" s="175"/>
    </row>
    <row r="113" spans="1:18">
      <c r="A113" s="61" t="s">
        <v>139</v>
      </c>
      <c r="B113" s="37" t="s">
        <v>144</v>
      </c>
      <c r="C113" s="61" t="s">
        <v>145</v>
      </c>
      <c r="D113" s="46" t="s">
        <v>99</v>
      </c>
      <c r="E113" s="46" t="s">
        <v>146</v>
      </c>
      <c r="F113" s="46"/>
      <c r="G113" s="164">
        <v>2800</v>
      </c>
      <c r="H113" s="164"/>
      <c r="I113" s="164">
        <f t="shared" si="14"/>
        <v>2800</v>
      </c>
      <c r="J113" s="50">
        <f>G113/VLOOKUP(A113,RESUME!$G$3:$I$10,3,FALSE)</f>
        <v>2.7861585224431756E-2</v>
      </c>
      <c r="K113" s="164">
        <f t="shared" si="12"/>
        <v>2240</v>
      </c>
      <c r="L113" s="164">
        <f t="shared" si="13"/>
        <v>2800</v>
      </c>
      <c r="M113" s="156">
        <f t="shared" si="9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5"/>
        <v>1</v>
      </c>
      <c r="P113" s="46" t="str">
        <f t="shared" si="11"/>
        <v>OK</v>
      </c>
      <c r="Q113" s="171" t="s">
        <v>531</v>
      </c>
      <c r="R113" s="175"/>
    </row>
    <row r="114" spans="1:18">
      <c r="A114" s="60" t="s">
        <v>139</v>
      </c>
      <c r="B114" s="36" t="s">
        <v>25</v>
      </c>
      <c r="C114" s="60" t="s">
        <v>26</v>
      </c>
      <c r="D114" s="45" t="s">
        <v>99</v>
      </c>
      <c r="E114" s="45" t="s">
        <v>147</v>
      </c>
      <c r="F114" s="45"/>
      <c r="G114" s="163">
        <v>812</v>
      </c>
      <c r="H114" s="163">
        <v>676.87</v>
      </c>
      <c r="I114" s="163">
        <f t="shared" si="14"/>
        <v>135.13</v>
      </c>
      <c r="J114" s="48">
        <f>G114/VLOOKUP(A114,RESUME!$G$3:$I$10,3,FALSE)</f>
        <v>8.0798597150852098E-3</v>
      </c>
      <c r="K114" s="163">
        <f t="shared" si="12"/>
        <v>649.6</v>
      </c>
      <c r="L114" s="163">
        <f t="shared" si="13"/>
        <v>812</v>
      </c>
      <c r="M114" s="154">
        <f t="shared" si="9"/>
        <v>9.6929190075630348E-3</v>
      </c>
      <c r="N114" s="47" t="str">
        <f>_xlfn.IFNA(VLOOKUP(A114&amp;"-"&amp;B114&amp;"-"&amp;D114,Ref_Account!$A:$F,6,FALSE),"ACCOUNT TIDAK DITEMUKAN")</f>
        <v>1206.631180</v>
      </c>
      <c r="O114" s="45">
        <f t="shared" si="15"/>
        <v>1</v>
      </c>
      <c r="P114" s="45" t="str">
        <f t="shared" si="11"/>
        <v>OK</v>
      </c>
      <c r="Q114" s="159" t="s">
        <v>531</v>
      </c>
      <c r="R114" s="175"/>
    </row>
    <row r="115" spans="1:18">
      <c r="A115" s="61" t="s">
        <v>139</v>
      </c>
      <c r="B115" s="37" t="s">
        <v>36</v>
      </c>
      <c r="C115" s="61" t="s">
        <v>37</v>
      </c>
      <c r="D115" s="46" t="s">
        <v>148</v>
      </c>
      <c r="E115" s="46" t="s">
        <v>149</v>
      </c>
      <c r="F115" s="46"/>
      <c r="G115" s="164">
        <v>26280.234329731342</v>
      </c>
      <c r="H115" s="164"/>
      <c r="I115" s="164">
        <f t="shared" si="14"/>
        <v>26280.234329731342</v>
      </c>
      <c r="J115" s="50">
        <f>G115/VLOOKUP(A115,RESUME!$G$3:$I$10,3,FALSE)</f>
        <v>0.26150321017708822</v>
      </c>
      <c r="K115" s="164">
        <f t="shared" si="12"/>
        <v>21024.187463785074</v>
      </c>
      <c r="L115" s="164">
        <f t="shared" si="13"/>
        <v>26280.234329731342</v>
      </c>
      <c r="M115" s="156">
        <f t="shared" si="9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5"/>
        <v>1</v>
      </c>
      <c r="P115" s="46" t="str">
        <f t="shared" si="11"/>
        <v>OK</v>
      </c>
      <c r="Q115" s="171" t="s">
        <v>531</v>
      </c>
      <c r="R115" s="175"/>
    </row>
    <row r="116" spans="1:18">
      <c r="A116" s="60" t="s">
        <v>323</v>
      </c>
      <c r="B116" s="36" t="s">
        <v>76</v>
      </c>
      <c r="C116" s="60" t="s">
        <v>77</v>
      </c>
      <c r="D116" s="45" t="s">
        <v>23</v>
      </c>
      <c r="E116" s="45" t="s">
        <v>70</v>
      </c>
      <c r="F116" s="45"/>
      <c r="G116" s="163">
        <v>137.53</v>
      </c>
      <c r="H116" s="163"/>
      <c r="I116" s="163">
        <f t="shared" si="14"/>
        <v>137.53</v>
      </c>
      <c r="J116" s="48">
        <f>G116/VLOOKUP(A116,RESUME!$G$3:$I$10,3,FALSE)</f>
        <v>5.5495675892985874E-4</v>
      </c>
      <c r="K116" s="163">
        <f t="shared" si="12"/>
        <v>110.024</v>
      </c>
      <c r="L116" s="163">
        <f t="shared" si="13"/>
        <v>137.53</v>
      </c>
      <c r="M116" s="154">
        <f t="shared" si="9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5"/>
        <v>1</v>
      </c>
      <c r="P116" s="45" t="str">
        <f t="shared" si="11"/>
        <v>OK</v>
      </c>
      <c r="Q116" s="159" t="s">
        <v>531</v>
      </c>
      <c r="R116" s="175"/>
    </row>
    <row r="117" spans="1:18">
      <c r="A117" s="61" t="s">
        <v>323</v>
      </c>
      <c r="B117" s="37" t="s">
        <v>91</v>
      </c>
      <c r="C117" s="61" t="s">
        <v>92</v>
      </c>
      <c r="D117" s="46" t="s">
        <v>23</v>
      </c>
      <c r="E117" s="46" t="s">
        <v>93</v>
      </c>
      <c r="F117" s="46"/>
      <c r="G117" s="164">
        <v>5157.3999999999996</v>
      </c>
      <c r="H117" s="164"/>
      <c r="I117" s="164">
        <f t="shared" si="14"/>
        <v>5157.3999999999996</v>
      </c>
      <c r="J117" s="50">
        <f>G117/VLOOKUP(A117,RESUME!$G$3:$I$10,3,FALSE)</f>
        <v>2.0810979339088584E-2</v>
      </c>
      <c r="K117" s="164">
        <f t="shared" si="12"/>
        <v>4125.92</v>
      </c>
      <c r="L117" s="164">
        <f t="shared" si="13"/>
        <v>5157.3999999999996</v>
      </c>
      <c r="M117" s="156">
        <f t="shared" si="9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5"/>
        <v>1</v>
      </c>
      <c r="P117" s="46" t="str">
        <f t="shared" si="11"/>
        <v>OK</v>
      </c>
      <c r="Q117" s="171" t="s">
        <v>531</v>
      </c>
      <c r="R117" s="175"/>
    </row>
    <row r="118" spans="1:18">
      <c r="A118" s="60" t="s">
        <v>323</v>
      </c>
      <c r="B118" s="36" t="s">
        <v>100</v>
      </c>
      <c r="C118" s="60" t="s">
        <v>101</v>
      </c>
      <c r="D118" s="45" t="s">
        <v>23</v>
      </c>
      <c r="E118" s="45" t="s">
        <v>73</v>
      </c>
      <c r="F118" s="45"/>
      <c r="G118" s="163">
        <v>500</v>
      </c>
      <c r="H118" s="163">
        <v>90.17</v>
      </c>
      <c r="I118" s="163">
        <f t="shared" si="14"/>
        <v>409.83</v>
      </c>
      <c r="J118" s="48">
        <f>G118/VLOOKUP(A118,RESUME!$G$3:$I$10,3,FALSE)</f>
        <v>2.0175843776988971E-3</v>
      </c>
      <c r="K118" s="163">
        <f t="shared" si="12"/>
        <v>400</v>
      </c>
      <c r="L118" s="163">
        <f t="shared" si="13"/>
        <v>500</v>
      </c>
      <c r="M118" s="154">
        <f t="shared" si="9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5"/>
        <v>1</v>
      </c>
      <c r="P118" s="45" t="str">
        <f t="shared" si="11"/>
        <v>OK</v>
      </c>
      <c r="Q118" s="159" t="s">
        <v>531</v>
      </c>
      <c r="R118" s="175"/>
    </row>
    <row r="119" spans="1:18">
      <c r="A119" s="61" t="s">
        <v>323</v>
      </c>
      <c r="B119" s="37" t="s">
        <v>112</v>
      </c>
      <c r="C119" s="61" t="s">
        <v>113</v>
      </c>
      <c r="D119" s="46" t="s">
        <v>23</v>
      </c>
      <c r="E119" s="46" t="s">
        <v>73</v>
      </c>
      <c r="F119" s="46"/>
      <c r="G119" s="164">
        <v>250</v>
      </c>
      <c r="H119" s="164"/>
      <c r="I119" s="164">
        <f t="shared" si="14"/>
        <v>250</v>
      </c>
      <c r="J119" s="50">
        <f>G119/VLOOKUP(A119,RESUME!$G$3:$I$10,3,FALSE)</f>
        <v>1.0087921888494486E-3</v>
      </c>
      <c r="K119" s="164">
        <f t="shared" si="12"/>
        <v>200</v>
      </c>
      <c r="L119" s="164">
        <f t="shared" si="13"/>
        <v>250</v>
      </c>
      <c r="M119" s="156">
        <f t="shared" si="9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5"/>
        <v>1</v>
      </c>
      <c r="P119" s="46" t="str">
        <f t="shared" si="11"/>
        <v>OK</v>
      </c>
      <c r="Q119" s="171" t="s">
        <v>531</v>
      </c>
      <c r="R119" s="175"/>
    </row>
    <row r="120" spans="1:18">
      <c r="A120" s="60" t="s">
        <v>323</v>
      </c>
      <c r="B120" s="36" t="s">
        <v>116</v>
      </c>
      <c r="C120" s="60" t="s">
        <v>117</v>
      </c>
      <c r="D120" s="45" t="s">
        <v>23</v>
      </c>
      <c r="E120" s="45" t="s">
        <v>93</v>
      </c>
      <c r="F120" s="45"/>
      <c r="G120" s="163">
        <v>3183.98</v>
      </c>
      <c r="H120" s="163">
        <v>3929.89</v>
      </c>
      <c r="I120" s="163">
        <f t="shared" si="14"/>
        <v>-745.90999999999985</v>
      </c>
      <c r="J120" s="48">
        <f>G120/VLOOKUP(A120,RESUME!$G$3:$I$10,3,FALSE)</f>
        <v>1.284789661381147E-2</v>
      </c>
      <c r="K120" s="163">
        <f t="shared" si="12"/>
        <v>2547.1840000000002</v>
      </c>
      <c r="L120" s="163">
        <f t="shared" si="13"/>
        <v>3183.98</v>
      </c>
      <c r="M120" s="154">
        <f t="shared" si="9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5"/>
        <v>1</v>
      </c>
      <c r="P120" s="45" t="str">
        <f t="shared" si="11"/>
        <v>OVER</v>
      </c>
      <c r="Q120" s="159" t="s">
        <v>531</v>
      </c>
      <c r="R120" s="175"/>
    </row>
    <row r="121" spans="1:18">
      <c r="A121" s="61" t="s">
        <v>323</v>
      </c>
      <c r="B121" s="37" t="s">
        <v>128</v>
      </c>
      <c r="C121" s="61" t="s">
        <v>140</v>
      </c>
      <c r="D121" s="46" t="s">
        <v>23</v>
      </c>
      <c r="E121" s="46" t="s">
        <v>73</v>
      </c>
      <c r="F121" s="46"/>
      <c r="G121" s="164">
        <v>126.99</v>
      </c>
      <c r="H121" s="164"/>
      <c r="I121" s="164">
        <f t="shared" si="14"/>
        <v>126.99</v>
      </c>
      <c r="J121" s="50">
        <f>G121/VLOOKUP(A121,RESUME!$G$3:$I$10,3,FALSE)</f>
        <v>5.124260802479659E-4</v>
      </c>
      <c r="K121" s="164">
        <f t="shared" si="12"/>
        <v>101.592</v>
      </c>
      <c r="L121" s="164">
        <f t="shared" si="13"/>
        <v>126.99</v>
      </c>
      <c r="M121" s="156">
        <f t="shared" si="9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5"/>
        <v>1</v>
      </c>
      <c r="P121" s="46" t="str">
        <f t="shared" si="11"/>
        <v>OK</v>
      </c>
      <c r="Q121" s="171" t="s">
        <v>531</v>
      </c>
      <c r="R121" s="175"/>
    </row>
    <row r="122" spans="1:18">
      <c r="A122" s="60" t="s">
        <v>323</v>
      </c>
      <c r="B122" s="36" t="s">
        <v>20</v>
      </c>
      <c r="C122" s="60" t="s">
        <v>150</v>
      </c>
      <c r="D122" s="45" t="s">
        <v>23</v>
      </c>
      <c r="E122" s="45" t="s">
        <v>73</v>
      </c>
      <c r="F122" s="45"/>
      <c r="G122" s="163">
        <v>754.58</v>
      </c>
      <c r="H122" s="163">
        <v>182.02</v>
      </c>
      <c r="I122" s="163">
        <f t="shared" si="14"/>
        <v>572.56000000000006</v>
      </c>
      <c r="J122" s="48">
        <f>G122/VLOOKUP(A122,RESUME!$G$3:$I$10,3,FALSE)</f>
        <v>3.0448576394480681E-3</v>
      </c>
      <c r="K122" s="163">
        <f t="shared" si="12"/>
        <v>603.6640000000001</v>
      </c>
      <c r="L122" s="163">
        <f t="shared" si="13"/>
        <v>754.58</v>
      </c>
      <c r="M122" s="154">
        <f t="shared" si="9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5"/>
        <v>3</v>
      </c>
      <c r="P122" s="45" t="str">
        <f t="shared" si="11"/>
        <v>OK</v>
      </c>
      <c r="Q122" s="159" t="s">
        <v>531</v>
      </c>
      <c r="R122" s="175"/>
    </row>
    <row r="123" spans="1:18">
      <c r="A123" s="61" t="s">
        <v>323</v>
      </c>
      <c r="B123" s="37" t="s">
        <v>68</v>
      </c>
      <c r="C123" s="61" t="s">
        <v>69</v>
      </c>
      <c r="D123" s="46" t="s">
        <v>23</v>
      </c>
      <c r="E123" s="46" t="s">
        <v>70</v>
      </c>
      <c r="F123" s="46"/>
      <c r="G123" s="164">
        <v>6722.26</v>
      </c>
      <c r="H123" s="164">
        <v>3755.27</v>
      </c>
      <c r="I123" s="164">
        <f t="shared" si="14"/>
        <v>2966.9900000000002</v>
      </c>
      <c r="J123" s="50">
        <f>G123/VLOOKUP(A123,RESUME!$G$3:$I$10,3,FALSE)</f>
        <v>2.7125453517660381E-2</v>
      </c>
      <c r="K123" s="164">
        <f t="shared" si="12"/>
        <v>5377.8080000000009</v>
      </c>
      <c r="L123" s="164">
        <f t="shared" si="13"/>
        <v>6722.26</v>
      </c>
      <c r="M123" s="156">
        <f t="shared" si="9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5"/>
        <v>1</v>
      </c>
      <c r="P123" s="46" t="str">
        <f t="shared" si="11"/>
        <v>OK</v>
      </c>
      <c r="Q123" s="171" t="s">
        <v>531</v>
      </c>
      <c r="R123" s="175"/>
    </row>
    <row r="124" spans="1:18">
      <c r="A124" s="60" t="s">
        <v>323</v>
      </c>
      <c r="B124" s="36" t="s">
        <v>74</v>
      </c>
      <c r="C124" s="60" t="s">
        <v>75</v>
      </c>
      <c r="D124" s="45" t="s">
        <v>23</v>
      </c>
      <c r="E124" s="45" t="s">
        <v>73</v>
      </c>
      <c r="F124" s="45"/>
      <c r="G124" s="163">
        <v>5152.29</v>
      </c>
      <c r="H124" s="163">
        <v>4098.6000000000004</v>
      </c>
      <c r="I124" s="163">
        <f t="shared" si="14"/>
        <v>1053.6899999999996</v>
      </c>
      <c r="J124" s="48">
        <f>G124/VLOOKUP(A124,RESUME!$G$3:$I$10,3,FALSE)</f>
        <v>2.0790359626748502E-2</v>
      </c>
      <c r="K124" s="163">
        <f t="shared" si="12"/>
        <v>4121.8320000000003</v>
      </c>
      <c r="L124" s="163">
        <f t="shared" si="13"/>
        <v>5152.29</v>
      </c>
      <c r="M124" s="154">
        <f t="shared" si="9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5"/>
        <v>1</v>
      </c>
      <c r="P124" s="45" t="str">
        <f t="shared" si="11"/>
        <v>OK</v>
      </c>
      <c r="Q124" s="159" t="s">
        <v>531</v>
      </c>
      <c r="R124" s="175"/>
    </row>
    <row r="125" spans="1:18">
      <c r="A125" s="61" t="s">
        <v>323</v>
      </c>
      <c r="B125" s="37" t="s">
        <v>78</v>
      </c>
      <c r="C125" s="61" t="s">
        <v>79</v>
      </c>
      <c r="D125" s="46" t="s">
        <v>23</v>
      </c>
      <c r="E125" s="46" t="s">
        <v>151</v>
      </c>
      <c r="F125" s="46"/>
      <c r="G125" s="164">
        <v>3188</v>
      </c>
      <c r="H125" s="164">
        <v>827.12</v>
      </c>
      <c r="I125" s="164">
        <f t="shared" si="14"/>
        <v>2360.88</v>
      </c>
      <c r="J125" s="50">
        <f>G125/VLOOKUP(A125,RESUME!$G$3:$I$10,3,FALSE)</f>
        <v>1.2864117992208169E-2</v>
      </c>
      <c r="K125" s="164">
        <f t="shared" si="12"/>
        <v>2550.4</v>
      </c>
      <c r="L125" s="164">
        <f t="shared" si="13"/>
        <v>3188</v>
      </c>
      <c r="M125" s="156">
        <f t="shared" si="9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5"/>
        <v>1</v>
      </c>
      <c r="P125" s="46" t="str">
        <f t="shared" si="11"/>
        <v>OK</v>
      </c>
      <c r="Q125" s="171" t="s">
        <v>531</v>
      </c>
      <c r="R125" s="175"/>
    </row>
    <row r="126" spans="1:18">
      <c r="A126" s="60" t="s">
        <v>323</v>
      </c>
      <c r="B126" s="36" t="s">
        <v>152</v>
      </c>
      <c r="C126" s="60" t="s">
        <v>82</v>
      </c>
      <c r="D126" s="45" t="s">
        <v>23</v>
      </c>
      <c r="E126" s="45" t="s">
        <v>73</v>
      </c>
      <c r="F126" s="45"/>
      <c r="G126" s="163">
        <v>2043.4899999999998</v>
      </c>
      <c r="H126" s="163"/>
      <c r="I126" s="163">
        <f t="shared" si="14"/>
        <v>2043.4899999999998</v>
      </c>
      <c r="J126" s="48">
        <f>G126/VLOOKUP(A126,RESUME!$G$3:$I$10,3,FALSE)</f>
        <v>8.2458269999678389E-3</v>
      </c>
      <c r="K126" s="163">
        <f t="shared" si="12"/>
        <v>1634.7919999999999</v>
      </c>
      <c r="L126" s="163">
        <f t="shared" si="13"/>
        <v>2043.4899999999998</v>
      </c>
      <c r="M126" s="154">
        <f t="shared" si="9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5"/>
        <v>1</v>
      </c>
      <c r="P126" s="45" t="str">
        <f t="shared" si="11"/>
        <v>OK</v>
      </c>
      <c r="Q126" s="159" t="s">
        <v>531</v>
      </c>
      <c r="R126" s="175"/>
    </row>
    <row r="127" spans="1:18">
      <c r="A127" s="61" t="s">
        <v>323</v>
      </c>
      <c r="B127" s="37" t="s">
        <v>94</v>
      </c>
      <c r="C127" s="61" t="s">
        <v>95</v>
      </c>
      <c r="D127" s="46" t="s">
        <v>23</v>
      </c>
      <c r="E127" s="46" t="s">
        <v>153</v>
      </c>
      <c r="F127" s="46"/>
      <c r="G127" s="164">
        <v>78109.679999999993</v>
      </c>
      <c r="H127" s="164">
        <v>901.67</v>
      </c>
      <c r="I127" s="164">
        <f t="shared" si="14"/>
        <v>77208.009999999995</v>
      </c>
      <c r="J127" s="50">
        <f>G127/VLOOKUP(A127,RESUME!$G$3:$I$10,3,FALSE)</f>
        <v>0.31518574023011997</v>
      </c>
      <c r="K127" s="164">
        <f t="shared" si="12"/>
        <v>62487.743999999999</v>
      </c>
      <c r="L127" s="164">
        <f t="shared" si="13"/>
        <v>78109.679999999993</v>
      </c>
      <c r="M127" s="156">
        <f t="shared" si="9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5"/>
        <v>1</v>
      </c>
      <c r="P127" s="46" t="str">
        <f t="shared" si="11"/>
        <v>OK</v>
      </c>
      <c r="Q127" s="171" t="s">
        <v>531</v>
      </c>
      <c r="R127" s="175"/>
    </row>
    <row r="128" spans="1:18">
      <c r="A128" s="60" t="s">
        <v>323</v>
      </c>
      <c r="B128" s="36" t="s">
        <v>102</v>
      </c>
      <c r="C128" s="60" t="s">
        <v>103</v>
      </c>
      <c r="D128" s="45" t="s">
        <v>23</v>
      </c>
      <c r="E128" s="45" t="s">
        <v>151</v>
      </c>
      <c r="F128" s="45"/>
      <c r="G128" s="163">
        <v>250</v>
      </c>
      <c r="H128" s="163"/>
      <c r="I128" s="163">
        <f t="shared" si="14"/>
        <v>250</v>
      </c>
      <c r="J128" s="48">
        <f>G128/VLOOKUP(A128,RESUME!$G$3:$I$10,3,FALSE)</f>
        <v>1.0087921888494486E-3</v>
      </c>
      <c r="K128" s="163">
        <f t="shared" si="12"/>
        <v>200</v>
      </c>
      <c r="L128" s="163">
        <f t="shared" si="13"/>
        <v>250</v>
      </c>
      <c r="M128" s="154">
        <f t="shared" si="9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5"/>
        <v>1</v>
      </c>
      <c r="P128" s="45" t="str">
        <f t="shared" si="11"/>
        <v>OK</v>
      </c>
      <c r="Q128" s="159" t="s">
        <v>531</v>
      </c>
      <c r="R128" s="175"/>
    </row>
    <row r="129" spans="1:18">
      <c r="A129" s="61" t="s">
        <v>323</v>
      </c>
      <c r="B129" s="37" t="s">
        <v>104</v>
      </c>
      <c r="C129" s="61" t="s">
        <v>105</v>
      </c>
      <c r="D129" s="46" t="s">
        <v>23</v>
      </c>
      <c r="E129" s="46" t="s">
        <v>151</v>
      </c>
      <c r="F129" s="46"/>
      <c r="G129" s="164">
        <v>250</v>
      </c>
      <c r="H129" s="164"/>
      <c r="I129" s="164">
        <f t="shared" si="14"/>
        <v>250</v>
      </c>
      <c r="J129" s="50">
        <f>G129/VLOOKUP(A129,RESUME!$G$3:$I$10,3,FALSE)</f>
        <v>1.0087921888494486E-3</v>
      </c>
      <c r="K129" s="164">
        <f t="shared" si="12"/>
        <v>200</v>
      </c>
      <c r="L129" s="164">
        <f t="shared" si="13"/>
        <v>250</v>
      </c>
      <c r="M129" s="156">
        <f t="shared" si="9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5"/>
        <v>1</v>
      </c>
      <c r="P129" s="46" t="str">
        <f t="shared" si="11"/>
        <v>OK</v>
      </c>
      <c r="Q129" s="171" t="s">
        <v>531</v>
      </c>
      <c r="R129" s="175"/>
    </row>
    <row r="130" spans="1:18">
      <c r="A130" s="60" t="s">
        <v>323</v>
      </c>
      <c r="B130" s="36" t="s">
        <v>106</v>
      </c>
      <c r="C130" s="60" t="s">
        <v>107</v>
      </c>
      <c r="D130" s="45" t="s">
        <v>23</v>
      </c>
      <c r="E130" s="45" t="s">
        <v>151</v>
      </c>
      <c r="F130" s="45"/>
      <c r="G130" s="163">
        <v>250</v>
      </c>
      <c r="H130" s="163">
        <v>158.19999999999999</v>
      </c>
      <c r="I130" s="163">
        <f t="shared" si="14"/>
        <v>91.800000000000011</v>
      </c>
      <c r="J130" s="48">
        <f>G130/VLOOKUP(A130,RESUME!$G$3:$I$10,3,FALSE)</f>
        <v>1.0087921888494486E-3</v>
      </c>
      <c r="K130" s="163">
        <f t="shared" si="12"/>
        <v>200</v>
      </c>
      <c r="L130" s="163">
        <f t="shared" si="13"/>
        <v>250</v>
      </c>
      <c r="M130" s="154">
        <f t="shared" si="9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5"/>
        <v>1</v>
      </c>
      <c r="P130" s="45" t="str">
        <f t="shared" si="11"/>
        <v>OK</v>
      </c>
      <c r="Q130" s="159" t="s">
        <v>531</v>
      </c>
      <c r="R130" s="175"/>
    </row>
    <row r="131" spans="1:18">
      <c r="A131" s="61" t="s">
        <v>323</v>
      </c>
      <c r="B131" s="37" t="s">
        <v>110</v>
      </c>
      <c r="C131" s="61" t="s">
        <v>111</v>
      </c>
      <c r="D131" s="46" t="s">
        <v>23</v>
      </c>
      <c r="E131" s="46" t="s">
        <v>151</v>
      </c>
      <c r="F131" s="46"/>
      <c r="G131" s="164">
        <v>250</v>
      </c>
      <c r="H131" s="164">
        <v>471.43</v>
      </c>
      <c r="I131" s="164">
        <f t="shared" si="14"/>
        <v>-221.43</v>
      </c>
      <c r="J131" s="50">
        <f>G131/VLOOKUP(A131,RESUME!$G$3:$I$10,3,FALSE)</f>
        <v>1.0087921888494486E-3</v>
      </c>
      <c r="K131" s="164">
        <f t="shared" si="12"/>
        <v>200</v>
      </c>
      <c r="L131" s="164">
        <f t="shared" si="13"/>
        <v>250</v>
      </c>
      <c r="M131" s="156">
        <f t="shared" si="9"/>
        <v>0</v>
      </c>
      <c r="N131" s="49" t="str">
        <f>_xlfn.IFNA(VLOOKUP(A131&amp;"-"&amp;B131&amp;"-"&amp;D131,Ref_Account!$A:$F,6,FALSE),"ACCOUNT TIDAK DITEMUKAN")</f>
        <v>1205.630730</v>
      </c>
      <c r="O131" s="46">
        <f t="shared" si="15"/>
        <v>1</v>
      </c>
      <c r="P131" s="46" t="str">
        <f t="shared" si="11"/>
        <v>OVER</v>
      </c>
      <c r="Q131" s="171" t="s">
        <v>531</v>
      </c>
      <c r="R131" s="175"/>
    </row>
    <row r="132" spans="1:18">
      <c r="A132" s="60" t="s">
        <v>323</v>
      </c>
      <c r="B132" s="36" t="s">
        <v>144</v>
      </c>
      <c r="C132" s="60" t="s">
        <v>145</v>
      </c>
      <c r="D132" s="45" t="s">
        <v>23</v>
      </c>
      <c r="E132" s="45" t="s">
        <v>146</v>
      </c>
      <c r="F132" s="45"/>
      <c r="G132" s="163">
        <v>10800</v>
      </c>
      <c r="H132" s="163"/>
      <c r="I132" s="163">
        <f t="shared" si="14"/>
        <v>10800</v>
      </c>
      <c r="J132" s="48">
        <f>G132/VLOOKUP(A132,RESUME!$G$3:$I$10,3,FALSE)</f>
        <v>4.3579822558296184E-2</v>
      </c>
      <c r="K132" s="163">
        <f t="shared" si="12"/>
        <v>8640</v>
      </c>
      <c r="L132" s="163">
        <f t="shared" si="13"/>
        <v>10800</v>
      </c>
      <c r="M132" s="154">
        <f t="shared" si="9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5"/>
        <v>1</v>
      </c>
      <c r="P132" s="45" t="str">
        <f t="shared" si="11"/>
        <v>OK</v>
      </c>
      <c r="Q132" s="159" t="s">
        <v>531</v>
      </c>
      <c r="R132" s="175"/>
    </row>
    <row r="133" spans="1:18">
      <c r="A133" s="61" t="s">
        <v>323</v>
      </c>
      <c r="B133" s="37" t="s">
        <v>122</v>
      </c>
      <c r="C133" s="61" t="s">
        <v>123</v>
      </c>
      <c r="D133" s="46" t="s">
        <v>23</v>
      </c>
      <c r="E133" s="46" t="s">
        <v>151</v>
      </c>
      <c r="F133" s="46"/>
      <c r="G133" s="164">
        <v>1500</v>
      </c>
      <c r="H133" s="164">
        <v>3525.46</v>
      </c>
      <c r="I133" s="164">
        <f t="shared" si="14"/>
        <v>-2025.46</v>
      </c>
      <c r="J133" s="50">
        <f>G133/VLOOKUP(A133,RESUME!$G$3:$I$10,3,FALSE)</f>
        <v>6.0527531330966918E-3</v>
      </c>
      <c r="K133" s="164">
        <f t="shared" si="12"/>
        <v>1200</v>
      </c>
      <c r="L133" s="164">
        <f t="shared" si="13"/>
        <v>1500</v>
      </c>
      <c r="M133" s="156">
        <f t="shared" si="9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5"/>
        <v>1</v>
      </c>
      <c r="P133" s="46" t="str">
        <f t="shared" si="11"/>
        <v>OVER</v>
      </c>
      <c r="Q133" s="171" t="s">
        <v>531</v>
      </c>
      <c r="R133" s="175"/>
    </row>
    <row r="134" spans="1:18">
      <c r="A134" s="60" t="s">
        <v>323</v>
      </c>
      <c r="B134" s="36" t="s">
        <v>76</v>
      </c>
      <c r="C134" s="60" t="s">
        <v>77</v>
      </c>
      <c r="D134" s="45" t="s">
        <v>14</v>
      </c>
      <c r="E134" s="45" t="s">
        <v>70</v>
      </c>
      <c r="F134" s="45"/>
      <c r="G134" s="163">
        <v>504.76</v>
      </c>
      <c r="H134" s="163"/>
      <c r="I134" s="163">
        <f t="shared" ref="I134:I162" si="16">G134-H134</f>
        <v>504.76</v>
      </c>
      <c r="J134" s="48">
        <f>G134/VLOOKUP(A134,RESUME!$G$3:$I$10,3,FALSE)</f>
        <v>2.0367917809745906E-3</v>
      </c>
      <c r="K134" s="163">
        <f t="shared" si="12"/>
        <v>403.80799999999999</v>
      </c>
      <c r="L134" s="163">
        <f t="shared" si="13"/>
        <v>504.76</v>
      </c>
      <c r="M134" s="154">
        <f t="shared" ref="M134:M162" si="17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18">IF(N134="ACCOUNT TIDAK DITEMUKAN","9999",COUNTIF($N$6:$N$164,N134))</f>
        <v>1</v>
      </c>
      <c r="P134" s="45" t="str">
        <f t="shared" ref="P134:P162" si="19">IF(I134&gt;0,"OK","OVER")</f>
        <v>OK</v>
      </c>
      <c r="Q134" s="159" t="s">
        <v>531</v>
      </c>
      <c r="R134" s="175"/>
    </row>
    <row r="135" spans="1:18">
      <c r="A135" s="61" t="s">
        <v>323</v>
      </c>
      <c r="B135" s="37" t="s">
        <v>91</v>
      </c>
      <c r="C135" s="61" t="s">
        <v>92</v>
      </c>
      <c r="D135" s="46" t="s">
        <v>14</v>
      </c>
      <c r="E135" s="46" t="s">
        <v>93</v>
      </c>
      <c r="F135" s="46"/>
      <c r="G135" s="164">
        <v>5702.68</v>
      </c>
      <c r="H135" s="164"/>
      <c r="I135" s="164">
        <f t="shared" si="16"/>
        <v>5702.68</v>
      </c>
      <c r="J135" s="50">
        <f>G135/VLOOKUP(A135,RESUME!$G$3:$I$10,3,FALSE)</f>
        <v>2.3011276158031897E-2</v>
      </c>
      <c r="K135" s="164">
        <f t="shared" ref="K135:K162" si="20">G135*$K$4</f>
        <v>4562.1440000000002</v>
      </c>
      <c r="L135" s="164">
        <f t="shared" ref="L135:L162" si="21">G135*$L$4</f>
        <v>5702.68</v>
      </c>
      <c r="M135" s="156">
        <f t="shared" si="17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18"/>
        <v>1</v>
      </c>
      <c r="P135" s="46" t="str">
        <f t="shared" si="19"/>
        <v>OK</v>
      </c>
      <c r="Q135" s="171" t="s">
        <v>531</v>
      </c>
      <c r="R135" s="175"/>
    </row>
    <row r="136" spans="1:18">
      <c r="A136" s="60" t="s">
        <v>323</v>
      </c>
      <c r="B136" s="36" t="s">
        <v>100</v>
      </c>
      <c r="C136" s="60" t="s">
        <v>101</v>
      </c>
      <c r="D136" s="45" t="s">
        <v>14</v>
      </c>
      <c r="E136" s="45" t="s">
        <v>73</v>
      </c>
      <c r="F136" s="45"/>
      <c r="G136" s="163">
        <v>700</v>
      </c>
      <c r="H136" s="163">
        <v>443.59</v>
      </c>
      <c r="I136" s="163">
        <f t="shared" si="16"/>
        <v>256.41000000000003</v>
      </c>
      <c r="J136" s="48">
        <f>G136/VLOOKUP(A136,RESUME!$G$3:$I$10,3,FALSE)</f>
        <v>2.8246181287784563E-3</v>
      </c>
      <c r="K136" s="163">
        <f t="shared" si="20"/>
        <v>560</v>
      </c>
      <c r="L136" s="163">
        <f t="shared" si="21"/>
        <v>700</v>
      </c>
      <c r="M136" s="154">
        <f t="shared" si="17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18"/>
        <v>1</v>
      </c>
      <c r="P136" s="45" t="str">
        <f t="shared" si="19"/>
        <v>OK</v>
      </c>
      <c r="Q136" s="159" t="s">
        <v>531</v>
      </c>
      <c r="R136" s="175"/>
    </row>
    <row r="137" spans="1:18">
      <c r="A137" s="61" t="s">
        <v>323</v>
      </c>
      <c r="B137" s="37" t="s">
        <v>112</v>
      </c>
      <c r="C137" s="61" t="s">
        <v>113</v>
      </c>
      <c r="D137" s="46" t="s">
        <v>14</v>
      </c>
      <c r="E137" s="46" t="s">
        <v>73</v>
      </c>
      <c r="F137" s="46"/>
      <c r="G137" s="164">
        <v>300</v>
      </c>
      <c r="H137" s="164"/>
      <c r="I137" s="164">
        <f t="shared" si="16"/>
        <v>300</v>
      </c>
      <c r="J137" s="50">
        <f>G137/VLOOKUP(A137,RESUME!$G$3:$I$10,3,FALSE)</f>
        <v>1.2105506266193384E-3</v>
      </c>
      <c r="K137" s="164">
        <f t="shared" si="20"/>
        <v>240</v>
      </c>
      <c r="L137" s="164">
        <f t="shared" si="21"/>
        <v>300</v>
      </c>
      <c r="M137" s="156">
        <f t="shared" si="17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18"/>
        <v>1</v>
      </c>
      <c r="P137" s="46" t="str">
        <f t="shared" si="19"/>
        <v>OK</v>
      </c>
      <c r="Q137" s="171" t="s">
        <v>531</v>
      </c>
      <c r="R137" s="175"/>
    </row>
    <row r="138" spans="1:18">
      <c r="A138" s="60" t="s">
        <v>323</v>
      </c>
      <c r="B138" s="36" t="s">
        <v>116</v>
      </c>
      <c r="C138" s="60" t="s">
        <v>117</v>
      </c>
      <c r="D138" s="45" t="s">
        <v>14</v>
      </c>
      <c r="E138" s="45" t="s">
        <v>93</v>
      </c>
      <c r="F138" s="45"/>
      <c r="G138" s="163">
        <v>3500</v>
      </c>
      <c r="H138" s="163">
        <v>4436.3599999999997</v>
      </c>
      <c r="I138" s="163">
        <f t="shared" si="16"/>
        <v>-936.35999999999967</v>
      </c>
      <c r="J138" s="48">
        <f>G138/VLOOKUP(A138,RESUME!$G$3:$I$10,3,FALSE)</f>
        <v>1.4123090643892281E-2</v>
      </c>
      <c r="K138" s="163">
        <f t="shared" si="20"/>
        <v>2800</v>
      </c>
      <c r="L138" s="163">
        <f t="shared" si="21"/>
        <v>3500</v>
      </c>
      <c r="M138" s="154">
        <f t="shared" si="17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18"/>
        <v>1</v>
      </c>
      <c r="P138" s="45" t="str">
        <f t="shared" si="19"/>
        <v>OVER</v>
      </c>
      <c r="Q138" s="159" t="s">
        <v>531</v>
      </c>
      <c r="R138" s="175"/>
    </row>
    <row r="139" spans="1:18">
      <c r="A139" s="61" t="s">
        <v>323</v>
      </c>
      <c r="B139" s="37" t="s">
        <v>128</v>
      </c>
      <c r="C139" s="61" t="s">
        <v>154</v>
      </c>
      <c r="D139" s="46" t="s">
        <v>14</v>
      </c>
      <c r="E139" s="46" t="s">
        <v>73</v>
      </c>
      <c r="F139" s="46"/>
      <c r="G139" s="164">
        <v>512.71</v>
      </c>
      <c r="H139" s="164"/>
      <c r="I139" s="164">
        <f t="shared" si="16"/>
        <v>512.71</v>
      </c>
      <c r="J139" s="50">
        <f>G139/VLOOKUP(A139,RESUME!$G$3:$I$10,3,FALSE)</f>
        <v>2.0688713725800032E-3</v>
      </c>
      <c r="K139" s="164">
        <f t="shared" si="20"/>
        <v>410.16800000000006</v>
      </c>
      <c r="L139" s="164">
        <f t="shared" si="21"/>
        <v>512.71</v>
      </c>
      <c r="M139" s="156">
        <f t="shared" si="17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18"/>
        <v>1</v>
      </c>
      <c r="P139" s="46" t="str">
        <f t="shared" si="19"/>
        <v>OK</v>
      </c>
      <c r="Q139" s="171" t="s">
        <v>531</v>
      </c>
      <c r="R139" s="175"/>
    </row>
    <row r="140" spans="1:18">
      <c r="A140" s="60" t="s">
        <v>323</v>
      </c>
      <c r="B140" s="36" t="s">
        <v>20</v>
      </c>
      <c r="C140" s="60" t="s">
        <v>150</v>
      </c>
      <c r="D140" s="45" t="s">
        <v>14</v>
      </c>
      <c r="E140" s="45" t="s">
        <v>73</v>
      </c>
      <c r="F140" s="45"/>
      <c r="G140" s="163">
        <v>754.58</v>
      </c>
      <c r="H140" s="163">
        <v>729.12999999999988</v>
      </c>
      <c r="I140" s="163">
        <f t="shared" si="16"/>
        <v>25.450000000000159</v>
      </c>
      <c r="J140" s="48">
        <f>G140/VLOOKUP(A140,RESUME!$G$3:$I$10,3,FALSE)</f>
        <v>3.0448576394480681E-3</v>
      </c>
      <c r="K140" s="163">
        <f t="shared" si="20"/>
        <v>603.6640000000001</v>
      </c>
      <c r="L140" s="163">
        <f t="shared" si="21"/>
        <v>754.58</v>
      </c>
      <c r="M140" s="154">
        <f t="shared" si="17"/>
        <v>3.1511372150024326E-3</v>
      </c>
      <c r="N140" s="47" t="str">
        <f>_xlfn.IFNA(VLOOKUP(A140&amp;"-"&amp;B140&amp;"-"&amp;D140,Ref_Account!$A:$F,6,FALSE),"ACCOUNT TIDAK DITEMUKAN")</f>
        <v>1204.631100</v>
      </c>
      <c r="O140" s="45">
        <f t="shared" si="18"/>
        <v>3</v>
      </c>
      <c r="P140" s="45" t="str">
        <f t="shared" si="19"/>
        <v>OK</v>
      </c>
      <c r="Q140" s="159" t="s">
        <v>531</v>
      </c>
      <c r="R140" s="175"/>
    </row>
    <row r="141" spans="1:18">
      <c r="A141" s="61" t="s">
        <v>323</v>
      </c>
      <c r="B141" s="37" t="s">
        <v>66</v>
      </c>
      <c r="C141" s="61" t="s">
        <v>67</v>
      </c>
      <c r="D141" s="46" t="s">
        <v>14</v>
      </c>
      <c r="E141" s="46" t="s">
        <v>155</v>
      </c>
      <c r="F141" s="46"/>
      <c r="G141" s="164"/>
      <c r="H141" s="164">
        <v>529.23</v>
      </c>
      <c r="I141" s="164">
        <f t="shared" si="16"/>
        <v>-529.23</v>
      </c>
      <c r="J141" s="50">
        <f>G141/VLOOKUP(A141,RESUME!$G$3:$I$10,3,FALSE)</f>
        <v>0</v>
      </c>
      <c r="K141" s="164">
        <f t="shared" si="20"/>
        <v>0</v>
      </c>
      <c r="L141" s="164">
        <f t="shared" si="21"/>
        <v>0</v>
      </c>
      <c r="M141" s="156">
        <f t="shared" si="17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18"/>
        <v>1</v>
      </c>
      <c r="P141" s="46" t="str">
        <f t="shared" si="19"/>
        <v>OVER</v>
      </c>
      <c r="Q141" s="171" t="s">
        <v>531</v>
      </c>
      <c r="R141" s="175"/>
    </row>
    <row r="142" spans="1:18">
      <c r="A142" s="60" t="s">
        <v>323</v>
      </c>
      <c r="B142" s="36" t="s">
        <v>68</v>
      </c>
      <c r="C142" s="60" t="s">
        <v>69</v>
      </c>
      <c r="D142" s="45" t="s">
        <v>14</v>
      </c>
      <c r="E142" s="45" t="s">
        <v>70</v>
      </c>
      <c r="F142" s="45"/>
      <c r="G142" s="163">
        <v>5672.9500000000007</v>
      </c>
      <c r="H142" s="163">
        <v>2872.63</v>
      </c>
      <c r="I142" s="163">
        <f t="shared" si="16"/>
        <v>2800.3200000000006</v>
      </c>
      <c r="J142" s="48">
        <f>G142/VLOOKUP(A142,RESUME!$G$3:$I$10,3,FALSE)</f>
        <v>2.2891310590933921E-2</v>
      </c>
      <c r="K142" s="163">
        <f t="shared" si="20"/>
        <v>4538.3600000000006</v>
      </c>
      <c r="L142" s="163">
        <f t="shared" si="21"/>
        <v>5672.9500000000007</v>
      </c>
      <c r="M142" s="154">
        <f t="shared" si="17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18"/>
        <v>1</v>
      </c>
      <c r="P142" s="45" t="str">
        <f t="shared" si="19"/>
        <v>OK</v>
      </c>
      <c r="Q142" s="159" t="s">
        <v>531</v>
      </c>
      <c r="R142" s="175"/>
    </row>
    <row r="143" spans="1:18">
      <c r="A143" s="61" t="s">
        <v>323</v>
      </c>
      <c r="B143" s="37" t="s">
        <v>74</v>
      </c>
      <c r="C143" s="61" t="s">
        <v>75</v>
      </c>
      <c r="D143" s="46" t="s">
        <v>14</v>
      </c>
      <c r="E143" s="46" t="s">
        <v>73</v>
      </c>
      <c r="F143" s="46"/>
      <c r="G143" s="164">
        <v>4918.54</v>
      </c>
      <c r="H143" s="164">
        <v>5107.6000000000004</v>
      </c>
      <c r="I143" s="164">
        <f t="shared" si="16"/>
        <v>-189.0600000000004</v>
      </c>
      <c r="J143" s="50">
        <f>G143/VLOOKUP(A143,RESUME!$G$3:$I$10,3,FALSE)</f>
        <v>1.9847138930174268E-2</v>
      </c>
      <c r="K143" s="164">
        <f t="shared" si="20"/>
        <v>3934.8320000000003</v>
      </c>
      <c r="L143" s="164">
        <f t="shared" si="21"/>
        <v>4918.54</v>
      </c>
      <c r="M143" s="156">
        <f t="shared" si="17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18"/>
        <v>1</v>
      </c>
      <c r="P143" s="46" t="str">
        <f t="shared" si="19"/>
        <v>OVER</v>
      </c>
      <c r="Q143" s="171" t="s">
        <v>531</v>
      </c>
      <c r="R143" s="175"/>
    </row>
    <row r="144" spans="1:18">
      <c r="A144" s="60" t="s">
        <v>323</v>
      </c>
      <c r="B144" s="36" t="s">
        <v>78</v>
      </c>
      <c r="C144" s="60" t="s">
        <v>79</v>
      </c>
      <c r="D144" s="45" t="s">
        <v>14</v>
      </c>
      <c r="E144" s="45" t="s">
        <v>156</v>
      </c>
      <c r="F144" s="45"/>
      <c r="G144" s="163">
        <v>1600</v>
      </c>
      <c r="H144" s="163">
        <v>436.66</v>
      </c>
      <c r="I144" s="163">
        <f t="shared" si="16"/>
        <v>1163.3399999999999</v>
      </c>
      <c r="J144" s="48">
        <f>G144/VLOOKUP(A144,RESUME!$G$3:$I$10,3,FALSE)</f>
        <v>6.4562700086364709E-3</v>
      </c>
      <c r="K144" s="163">
        <f t="shared" si="20"/>
        <v>1280</v>
      </c>
      <c r="L144" s="163">
        <f t="shared" si="21"/>
        <v>1600</v>
      </c>
      <c r="M144" s="154">
        <f t="shared" si="17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18"/>
        <v>1</v>
      </c>
      <c r="P144" s="45" t="str">
        <f t="shared" si="19"/>
        <v>OK</v>
      </c>
      <c r="Q144" s="159" t="s">
        <v>531</v>
      </c>
      <c r="R144" s="175"/>
    </row>
    <row r="145" spans="1:18">
      <c r="A145" s="61" t="s">
        <v>323</v>
      </c>
      <c r="B145" s="37" t="s">
        <v>152</v>
      </c>
      <c r="C145" s="61" t="s">
        <v>82</v>
      </c>
      <c r="D145" s="46" t="s">
        <v>14</v>
      </c>
      <c r="E145" s="46" t="s">
        <v>73</v>
      </c>
      <c r="F145" s="46"/>
      <c r="G145" s="164">
        <v>3106.38</v>
      </c>
      <c r="H145" s="164">
        <v>160.61000000000001</v>
      </c>
      <c r="I145" s="164">
        <f t="shared" si="16"/>
        <v>2945.77</v>
      </c>
      <c r="J145" s="50">
        <f>G145/VLOOKUP(A145,RESUME!$G$3:$I$10,3,FALSE)</f>
        <v>1.2534767518392602E-2</v>
      </c>
      <c r="K145" s="164">
        <f t="shared" si="20"/>
        <v>2485.1040000000003</v>
      </c>
      <c r="L145" s="164">
        <f t="shared" si="21"/>
        <v>3106.38</v>
      </c>
      <c r="M145" s="156">
        <f t="shared" si="17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18"/>
        <v>1</v>
      </c>
      <c r="P145" s="46" t="str">
        <f t="shared" si="19"/>
        <v>OK</v>
      </c>
      <c r="Q145" s="171" t="s">
        <v>531</v>
      </c>
      <c r="R145" s="175"/>
    </row>
    <row r="146" spans="1:18">
      <c r="A146" s="60" t="s">
        <v>323</v>
      </c>
      <c r="B146" s="36" t="s">
        <v>94</v>
      </c>
      <c r="C146" s="60" t="s">
        <v>95</v>
      </c>
      <c r="D146" s="45" t="s">
        <v>14</v>
      </c>
      <c r="E146" s="45" t="s">
        <v>155</v>
      </c>
      <c r="F146" s="45"/>
      <c r="G146" s="163">
        <v>97892.700000000012</v>
      </c>
      <c r="H146" s="163">
        <v>901.66</v>
      </c>
      <c r="I146" s="163">
        <f t="shared" si="16"/>
        <v>96991.040000000008</v>
      </c>
      <c r="J146" s="48">
        <f>G146/VLOOKUP(A146,RESUME!$G$3:$I$10,3,FALSE)</f>
        <v>0.39501356442152974</v>
      </c>
      <c r="K146" s="163">
        <f t="shared" si="20"/>
        <v>78314.160000000018</v>
      </c>
      <c r="L146" s="163">
        <f t="shared" si="21"/>
        <v>97892.700000000012</v>
      </c>
      <c r="M146" s="154">
        <f t="shared" si="17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18"/>
        <v>1</v>
      </c>
      <c r="P146" s="45" t="str">
        <f t="shared" si="19"/>
        <v>OK</v>
      </c>
      <c r="Q146" s="159" t="s">
        <v>531</v>
      </c>
      <c r="R146" s="175"/>
    </row>
    <row r="147" spans="1:18">
      <c r="A147" s="61" t="s">
        <v>323</v>
      </c>
      <c r="B147" s="37" t="s">
        <v>102</v>
      </c>
      <c r="C147" s="61" t="s">
        <v>103</v>
      </c>
      <c r="D147" s="46" t="s">
        <v>14</v>
      </c>
      <c r="E147" s="46" t="s">
        <v>156</v>
      </c>
      <c r="F147" s="46"/>
      <c r="G147" s="164">
        <v>300</v>
      </c>
      <c r="H147" s="164"/>
      <c r="I147" s="164">
        <f t="shared" si="16"/>
        <v>300</v>
      </c>
      <c r="J147" s="50">
        <f>G147/VLOOKUP(A147,RESUME!$G$3:$I$10,3,FALSE)</f>
        <v>1.2105506266193384E-3</v>
      </c>
      <c r="K147" s="164">
        <f t="shared" si="20"/>
        <v>240</v>
      </c>
      <c r="L147" s="164">
        <f t="shared" si="21"/>
        <v>300</v>
      </c>
      <c r="M147" s="156">
        <f t="shared" si="17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18"/>
        <v>1</v>
      </c>
      <c r="P147" s="46" t="str">
        <f t="shared" si="19"/>
        <v>OK</v>
      </c>
      <c r="Q147" s="171" t="s">
        <v>531</v>
      </c>
      <c r="R147" s="175"/>
    </row>
    <row r="148" spans="1:18">
      <c r="A148" s="60" t="s">
        <v>323</v>
      </c>
      <c r="B148" s="36" t="s">
        <v>104</v>
      </c>
      <c r="C148" s="60" t="s">
        <v>105</v>
      </c>
      <c r="D148" s="45" t="s">
        <v>14</v>
      </c>
      <c r="E148" s="45" t="s">
        <v>156</v>
      </c>
      <c r="F148" s="45"/>
      <c r="G148" s="163">
        <v>300</v>
      </c>
      <c r="H148" s="163"/>
      <c r="I148" s="163">
        <f t="shared" si="16"/>
        <v>300</v>
      </c>
      <c r="J148" s="48">
        <f>G148/VLOOKUP(A148,RESUME!$G$3:$I$10,3,FALSE)</f>
        <v>1.2105506266193384E-3</v>
      </c>
      <c r="K148" s="163">
        <f t="shared" si="20"/>
        <v>240</v>
      </c>
      <c r="L148" s="163">
        <f t="shared" si="21"/>
        <v>300</v>
      </c>
      <c r="M148" s="154">
        <f t="shared" si="17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18"/>
        <v>1</v>
      </c>
      <c r="P148" s="45" t="str">
        <f t="shared" si="19"/>
        <v>OK</v>
      </c>
      <c r="Q148" s="159" t="s">
        <v>531</v>
      </c>
      <c r="R148" s="175"/>
    </row>
    <row r="149" spans="1:18">
      <c r="A149" s="61" t="s">
        <v>323</v>
      </c>
      <c r="B149" s="37" t="s">
        <v>106</v>
      </c>
      <c r="C149" s="61" t="s">
        <v>107</v>
      </c>
      <c r="D149" s="46" t="s">
        <v>14</v>
      </c>
      <c r="E149" s="46" t="s">
        <v>156</v>
      </c>
      <c r="F149" s="46"/>
      <c r="G149" s="164">
        <v>300</v>
      </c>
      <c r="H149" s="164">
        <v>538.35</v>
      </c>
      <c r="I149" s="164">
        <f t="shared" si="16"/>
        <v>-238.35000000000002</v>
      </c>
      <c r="J149" s="50">
        <f>G149/VLOOKUP(A149,RESUME!$G$3:$I$10,3,FALSE)</f>
        <v>1.2105506266193384E-3</v>
      </c>
      <c r="K149" s="164">
        <f t="shared" si="20"/>
        <v>240</v>
      </c>
      <c r="L149" s="164">
        <f t="shared" si="21"/>
        <v>300</v>
      </c>
      <c r="M149" s="156">
        <f t="shared" si="17"/>
        <v>0</v>
      </c>
      <c r="N149" s="49" t="str">
        <f>_xlfn.IFNA(VLOOKUP(A149&amp;"-"&amp;B149&amp;"-"&amp;D149,Ref_Account!$A:$F,6,FALSE),"ACCOUNT TIDAK DITEMUKAN")</f>
        <v>1204.630720</v>
      </c>
      <c r="O149" s="46">
        <f t="shared" si="18"/>
        <v>1</v>
      </c>
      <c r="P149" s="46" t="str">
        <f t="shared" si="19"/>
        <v>OVER</v>
      </c>
      <c r="Q149" s="171" t="s">
        <v>531</v>
      </c>
      <c r="R149" s="175"/>
    </row>
    <row r="150" spans="1:18">
      <c r="A150" s="60" t="s">
        <v>323</v>
      </c>
      <c r="B150" s="36" t="s">
        <v>110</v>
      </c>
      <c r="C150" s="60" t="s">
        <v>111</v>
      </c>
      <c r="D150" s="45" t="s">
        <v>14</v>
      </c>
      <c r="E150" s="45" t="s">
        <v>156</v>
      </c>
      <c r="F150" s="45"/>
      <c r="G150" s="163">
        <v>300</v>
      </c>
      <c r="H150" s="163">
        <v>120.24</v>
      </c>
      <c r="I150" s="163">
        <f t="shared" si="16"/>
        <v>179.76</v>
      </c>
      <c r="J150" s="48">
        <f>G150/VLOOKUP(A150,RESUME!$G$3:$I$10,3,FALSE)</f>
        <v>1.2105506266193384E-3</v>
      </c>
      <c r="K150" s="163">
        <f t="shared" si="20"/>
        <v>240</v>
      </c>
      <c r="L150" s="163">
        <f t="shared" si="21"/>
        <v>300</v>
      </c>
      <c r="M150" s="154">
        <f t="shared" si="17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18"/>
        <v>1</v>
      </c>
      <c r="P150" s="45" t="str">
        <f t="shared" si="19"/>
        <v>OK</v>
      </c>
      <c r="Q150" s="159" t="s">
        <v>531</v>
      </c>
      <c r="R150" s="175"/>
    </row>
    <row r="151" spans="1:18">
      <c r="A151" s="61" t="s">
        <v>323</v>
      </c>
      <c r="B151" s="37" t="s">
        <v>122</v>
      </c>
      <c r="C151" s="61" t="s">
        <v>123</v>
      </c>
      <c r="D151" s="46" t="s">
        <v>14</v>
      </c>
      <c r="E151" s="46" t="s">
        <v>156</v>
      </c>
      <c r="F151" s="46"/>
      <c r="G151" s="164">
        <v>2346.61</v>
      </c>
      <c r="H151" s="164">
        <v>4045.48</v>
      </c>
      <c r="I151" s="164">
        <f t="shared" si="16"/>
        <v>-1698.87</v>
      </c>
      <c r="J151" s="50">
        <f>G151/VLOOKUP(A151,RESUME!$G$3:$I$10,3,FALSE)</f>
        <v>9.46896735310402E-3</v>
      </c>
      <c r="K151" s="164">
        <f t="shared" si="20"/>
        <v>1877.2880000000002</v>
      </c>
      <c r="L151" s="164">
        <f t="shared" si="21"/>
        <v>2346.61</v>
      </c>
      <c r="M151" s="156">
        <f t="shared" si="17"/>
        <v>0</v>
      </c>
      <c r="N151" s="49" t="str">
        <f>_xlfn.IFNA(VLOOKUP(A151&amp;"-"&amp;B151&amp;"-"&amp;D151,Ref_Account!$A:$F,6,FALSE),"ACCOUNT TIDAK DITEMUKAN")</f>
        <v>1204.631110</v>
      </c>
      <c r="O151" s="46">
        <f t="shared" si="18"/>
        <v>1</v>
      </c>
      <c r="P151" s="46" t="str">
        <f t="shared" si="19"/>
        <v>OVER</v>
      </c>
      <c r="Q151" s="171" t="s">
        <v>531</v>
      </c>
      <c r="R151" s="175"/>
    </row>
    <row r="152" spans="1:18">
      <c r="A152" s="60" t="s">
        <v>323</v>
      </c>
      <c r="B152" s="36" t="s">
        <v>124</v>
      </c>
      <c r="C152" s="60" t="s">
        <v>125</v>
      </c>
      <c r="D152" s="45" t="s">
        <v>14</v>
      </c>
      <c r="E152" s="45" t="s">
        <v>156</v>
      </c>
      <c r="F152" s="45"/>
      <c r="G152" s="163">
        <v>483</v>
      </c>
      <c r="H152" s="163"/>
      <c r="I152" s="163">
        <f t="shared" si="16"/>
        <v>483</v>
      </c>
      <c r="J152" s="48">
        <f>G152/VLOOKUP(A152,RESUME!$G$3:$I$10,3,FALSE)</f>
        <v>1.9489865088571348E-3</v>
      </c>
      <c r="K152" s="163">
        <f t="shared" si="20"/>
        <v>386.40000000000003</v>
      </c>
      <c r="L152" s="163">
        <f t="shared" si="21"/>
        <v>483</v>
      </c>
      <c r="M152" s="154">
        <f t="shared" si="17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18"/>
        <v>1</v>
      </c>
      <c r="P152" s="45" t="str">
        <f t="shared" si="19"/>
        <v>OK</v>
      </c>
      <c r="Q152" s="159" t="s">
        <v>531</v>
      </c>
      <c r="R152" s="175"/>
    </row>
    <row r="153" spans="1:18">
      <c r="A153" s="61" t="s">
        <v>157</v>
      </c>
      <c r="B153" s="37" t="s">
        <v>158</v>
      </c>
      <c r="C153" s="61" t="s">
        <v>159</v>
      </c>
      <c r="D153" s="46" t="s">
        <v>12</v>
      </c>
      <c r="E153" s="46" t="s">
        <v>73</v>
      </c>
      <c r="F153" s="46"/>
      <c r="G153" s="164">
        <v>943.01</v>
      </c>
      <c r="H153" s="164">
        <v>474.59</v>
      </c>
      <c r="I153" s="164">
        <f t="shared" si="16"/>
        <v>468.42</v>
      </c>
      <c r="J153" s="50">
        <f>G153/VLOOKUP(A153,RESUME!$G$3:$I$10,3,FALSE)</f>
        <v>1.0674639092355137E-2</v>
      </c>
      <c r="K153" s="164">
        <f t="shared" si="20"/>
        <v>754.40800000000002</v>
      </c>
      <c r="L153" s="164">
        <f t="shared" si="21"/>
        <v>943.01</v>
      </c>
      <c r="M153" s="156">
        <f t="shared" si="17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18"/>
        <v>1</v>
      </c>
      <c r="P153" s="46" t="str">
        <f t="shared" si="19"/>
        <v>OK</v>
      </c>
      <c r="Q153" s="171" t="s">
        <v>531</v>
      </c>
      <c r="R153" s="175"/>
    </row>
    <row r="154" spans="1:18">
      <c r="A154" s="60" t="s">
        <v>157</v>
      </c>
      <c r="B154" s="36" t="s">
        <v>160</v>
      </c>
      <c r="C154" s="60" t="s">
        <v>161</v>
      </c>
      <c r="D154" s="45" t="s">
        <v>12</v>
      </c>
      <c r="E154" s="45" t="s">
        <v>70</v>
      </c>
      <c r="F154" s="45"/>
      <c r="G154" s="163">
        <v>3000</v>
      </c>
      <c r="H154" s="163">
        <v>680.2</v>
      </c>
      <c r="I154" s="163">
        <f t="shared" si="16"/>
        <v>2319.8000000000002</v>
      </c>
      <c r="J154" s="48">
        <f>G154/VLOOKUP(A154,RESUME!$G$3:$I$10,3,FALSE)</f>
        <v>3.3959255232781635E-2</v>
      </c>
      <c r="K154" s="163">
        <f t="shared" si="20"/>
        <v>2400</v>
      </c>
      <c r="L154" s="163">
        <f t="shared" si="21"/>
        <v>3000</v>
      </c>
      <c r="M154" s="154">
        <f t="shared" si="17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18"/>
        <v>1</v>
      </c>
      <c r="P154" s="45" t="str">
        <f t="shared" si="19"/>
        <v>OK</v>
      </c>
      <c r="Q154" s="159" t="s">
        <v>531</v>
      </c>
      <c r="R154" s="175"/>
    </row>
    <row r="155" spans="1:18">
      <c r="A155" s="61" t="s">
        <v>157</v>
      </c>
      <c r="B155" s="37" t="s">
        <v>162</v>
      </c>
      <c r="C155" s="61" t="s">
        <v>163</v>
      </c>
      <c r="D155" s="46" t="s">
        <v>12</v>
      </c>
      <c r="E155" s="46" t="s">
        <v>164</v>
      </c>
      <c r="F155" s="46"/>
      <c r="G155" s="164">
        <v>27000</v>
      </c>
      <c r="H155" s="164">
        <v>4859.3</v>
      </c>
      <c r="I155" s="164">
        <f t="shared" si="16"/>
        <v>22140.7</v>
      </c>
      <c r="J155" s="50">
        <f>G155/VLOOKUP(A155,RESUME!$G$3:$I$10,3,FALSE)</f>
        <v>0.30563329709503473</v>
      </c>
      <c r="K155" s="164">
        <f t="shared" si="20"/>
        <v>21600</v>
      </c>
      <c r="L155" s="164">
        <f t="shared" si="21"/>
        <v>27000</v>
      </c>
      <c r="M155" s="156">
        <f t="shared" si="17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18"/>
        <v>1</v>
      </c>
      <c r="P155" s="46" t="str">
        <f t="shared" si="19"/>
        <v>OK</v>
      </c>
      <c r="Q155" s="171" t="s">
        <v>531</v>
      </c>
      <c r="R155" s="175"/>
    </row>
    <row r="156" spans="1:18">
      <c r="A156" s="60" t="s">
        <v>157</v>
      </c>
      <c r="B156" s="36" t="s">
        <v>165</v>
      </c>
      <c r="C156" s="60" t="s">
        <v>166</v>
      </c>
      <c r="D156" s="45" t="s">
        <v>12</v>
      </c>
      <c r="E156" s="45" t="s">
        <v>70</v>
      </c>
      <c r="F156" s="45"/>
      <c r="G156" s="163">
        <v>743.73</v>
      </c>
      <c r="H156" s="163"/>
      <c r="I156" s="163">
        <f t="shared" si="16"/>
        <v>743.73</v>
      </c>
      <c r="J156" s="48">
        <f>G156/VLOOKUP(A156,RESUME!$G$3:$I$10,3,FALSE)</f>
        <v>8.4188389647588957E-3</v>
      </c>
      <c r="K156" s="163">
        <f t="shared" si="20"/>
        <v>594.98400000000004</v>
      </c>
      <c r="L156" s="163">
        <f t="shared" si="21"/>
        <v>743.73</v>
      </c>
      <c r="M156" s="154">
        <f t="shared" si="17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18"/>
        <v>1</v>
      </c>
      <c r="P156" s="45" t="str">
        <f t="shared" si="19"/>
        <v>OK</v>
      </c>
      <c r="Q156" s="159" t="s">
        <v>531</v>
      </c>
      <c r="R156" s="175"/>
    </row>
    <row r="157" spans="1:18">
      <c r="A157" s="61" t="s">
        <v>157</v>
      </c>
      <c r="B157" s="37" t="s">
        <v>167</v>
      </c>
      <c r="C157" s="61" t="s">
        <v>168</v>
      </c>
      <c r="D157" s="46" t="s">
        <v>12</v>
      </c>
      <c r="E157" s="46" t="s">
        <v>169</v>
      </c>
      <c r="F157" s="46"/>
      <c r="G157" s="164">
        <v>2000</v>
      </c>
      <c r="H157" s="164">
        <v>171.94</v>
      </c>
      <c r="I157" s="164">
        <f t="shared" si="16"/>
        <v>1828.06</v>
      </c>
      <c r="J157" s="50">
        <f>G157/VLOOKUP(A157,RESUME!$G$3:$I$10,3,FALSE)</f>
        <v>2.263950348852109E-2</v>
      </c>
      <c r="K157" s="164">
        <f t="shared" si="20"/>
        <v>1600</v>
      </c>
      <c r="L157" s="164">
        <f t="shared" si="21"/>
        <v>2000</v>
      </c>
      <c r="M157" s="156">
        <f t="shared" si="17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18"/>
        <v>1</v>
      </c>
      <c r="P157" s="46" t="str">
        <f t="shared" si="19"/>
        <v>OK</v>
      </c>
      <c r="Q157" s="171" t="s">
        <v>531</v>
      </c>
      <c r="R157" s="175"/>
    </row>
    <row r="158" spans="1:18">
      <c r="A158" s="60" t="s">
        <v>157</v>
      </c>
      <c r="B158" s="36" t="s">
        <v>167</v>
      </c>
      <c r="C158" s="60" t="s">
        <v>168</v>
      </c>
      <c r="D158" s="45" t="s">
        <v>99</v>
      </c>
      <c r="E158" s="45" t="s">
        <v>169</v>
      </c>
      <c r="F158" s="45"/>
      <c r="G158" s="163">
        <v>1000</v>
      </c>
      <c r="H158" s="163">
        <v>91.72</v>
      </c>
      <c r="I158" s="163">
        <f t="shared" si="16"/>
        <v>908.28</v>
      </c>
      <c r="J158" s="48">
        <f>G158/VLOOKUP(A158,RESUME!$G$3:$I$10,3,FALSE)</f>
        <v>1.1319751744260545E-2</v>
      </c>
      <c r="K158" s="163">
        <f t="shared" si="20"/>
        <v>800</v>
      </c>
      <c r="L158" s="163">
        <f t="shared" si="21"/>
        <v>1000</v>
      </c>
      <c r="M158" s="154">
        <f t="shared" si="17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18"/>
        <v>1</v>
      </c>
      <c r="P158" s="45" t="str">
        <f t="shared" si="19"/>
        <v>OK</v>
      </c>
      <c r="Q158" s="159" t="s">
        <v>531</v>
      </c>
      <c r="R158" s="175"/>
    </row>
    <row r="159" spans="1:18">
      <c r="A159" s="61" t="s">
        <v>157</v>
      </c>
      <c r="B159" s="37" t="s">
        <v>167</v>
      </c>
      <c r="C159" s="61" t="s">
        <v>168</v>
      </c>
      <c r="D159" s="46" t="s">
        <v>23</v>
      </c>
      <c r="E159" s="46" t="s">
        <v>169</v>
      </c>
      <c r="F159" s="46"/>
      <c r="G159" s="164">
        <v>1000</v>
      </c>
      <c r="H159" s="164">
        <v>212.18</v>
      </c>
      <c r="I159" s="164">
        <f t="shared" si="16"/>
        <v>787.81999999999994</v>
      </c>
      <c r="J159" s="50">
        <f>G159/VLOOKUP(A159,RESUME!$G$3:$I$10,3,FALSE)</f>
        <v>1.1319751744260545E-2</v>
      </c>
      <c r="K159" s="164">
        <f t="shared" si="20"/>
        <v>800</v>
      </c>
      <c r="L159" s="164">
        <f t="shared" si="21"/>
        <v>1000</v>
      </c>
      <c r="M159" s="156">
        <f t="shared" si="17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18"/>
        <v>1</v>
      </c>
      <c r="P159" s="46" t="str">
        <f t="shared" si="19"/>
        <v>OK</v>
      </c>
      <c r="Q159" s="171" t="s">
        <v>531</v>
      </c>
      <c r="R159" s="175"/>
    </row>
    <row r="160" spans="1:18">
      <c r="A160" s="60" t="s">
        <v>157</v>
      </c>
      <c r="B160" s="36" t="s">
        <v>167</v>
      </c>
      <c r="C160" s="60" t="s">
        <v>168</v>
      </c>
      <c r="D160" s="45" t="s">
        <v>14</v>
      </c>
      <c r="E160" s="45" t="s">
        <v>169</v>
      </c>
      <c r="F160" s="45"/>
      <c r="G160" s="163">
        <v>1000</v>
      </c>
      <c r="H160" s="163">
        <v>187.31</v>
      </c>
      <c r="I160" s="163">
        <f t="shared" si="16"/>
        <v>812.69</v>
      </c>
      <c r="J160" s="48">
        <f>G160/VLOOKUP(A160,RESUME!$G$3:$I$10,3,FALSE)</f>
        <v>1.1319751744260545E-2</v>
      </c>
      <c r="K160" s="163">
        <f t="shared" si="20"/>
        <v>800</v>
      </c>
      <c r="L160" s="163">
        <f t="shared" si="21"/>
        <v>1000</v>
      </c>
      <c r="M160" s="154">
        <f t="shared" si="17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18"/>
        <v>1</v>
      </c>
      <c r="P160" s="45" t="str">
        <f t="shared" si="19"/>
        <v>OK</v>
      </c>
      <c r="Q160" s="159" t="s">
        <v>531</v>
      </c>
      <c r="R160" s="175"/>
    </row>
    <row r="161" spans="1:18">
      <c r="A161" s="61" t="s">
        <v>157</v>
      </c>
      <c r="B161" s="37" t="s">
        <v>144</v>
      </c>
      <c r="C161" s="61" t="s">
        <v>145</v>
      </c>
      <c r="D161" s="46" t="s">
        <v>12</v>
      </c>
      <c r="E161" s="46" t="s">
        <v>146</v>
      </c>
      <c r="F161" s="46"/>
      <c r="G161" s="164">
        <v>45654.420000000006</v>
      </c>
      <c r="H161" s="164"/>
      <c r="I161" s="164">
        <f t="shared" si="16"/>
        <v>45654.420000000006</v>
      </c>
      <c r="J161" s="50">
        <f>G161/VLOOKUP(A161,RESUME!$G$3:$I$10,3,FALSE)</f>
        <v>0.51679670042820358</v>
      </c>
      <c r="K161" s="164">
        <f t="shared" si="20"/>
        <v>36523.536000000007</v>
      </c>
      <c r="L161" s="164">
        <f t="shared" si="21"/>
        <v>45654.420000000006</v>
      </c>
      <c r="M161" s="156">
        <f t="shared" si="17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18"/>
        <v>1</v>
      </c>
      <c r="P161" s="46" t="str">
        <f t="shared" si="19"/>
        <v>OK</v>
      </c>
      <c r="Q161" s="171" t="s">
        <v>531</v>
      </c>
      <c r="R161" s="175"/>
    </row>
    <row r="162" spans="1:18">
      <c r="A162" s="60" t="s">
        <v>157</v>
      </c>
      <c r="B162" s="36" t="s">
        <v>144</v>
      </c>
      <c r="C162" s="60" t="s">
        <v>145</v>
      </c>
      <c r="D162" s="45" t="s">
        <v>14</v>
      </c>
      <c r="E162" s="45" t="s">
        <v>146</v>
      </c>
      <c r="F162" s="45"/>
      <c r="G162" s="163">
        <v>6000</v>
      </c>
      <c r="H162" s="163"/>
      <c r="I162" s="163">
        <f t="shared" si="16"/>
        <v>6000</v>
      </c>
      <c r="J162" s="48">
        <f>G162/VLOOKUP(A162,RESUME!$G$3:$I$10,3,FALSE)</f>
        <v>6.791851046556327E-2</v>
      </c>
      <c r="K162" s="163">
        <f t="shared" si="20"/>
        <v>4800</v>
      </c>
      <c r="L162" s="163">
        <f t="shared" si="21"/>
        <v>6000</v>
      </c>
      <c r="M162" s="154">
        <f t="shared" si="17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18"/>
        <v>1</v>
      </c>
      <c r="P162" s="45" t="str">
        <f t="shared" si="19"/>
        <v>OK</v>
      </c>
      <c r="Q162" s="159" t="s">
        <v>531</v>
      </c>
      <c r="R162" s="175"/>
    </row>
  </sheetData>
  <conditionalFormatting sqref="P6:P1048576">
    <cfRule type="containsText" dxfId="3" priority="2" operator="containsText" text="OVER">
      <formula>NOT(ISERROR(SEARCH("OVER",P6)))</formula>
    </cfRule>
  </conditionalFormatting>
  <conditionalFormatting sqref="I3:I1048576">
    <cfRule type="cellIs" dxfId="2" priority="1" operator="lessThanOrEqual">
      <formula>0</formula>
    </cfRule>
  </conditionalFormatting>
  <hyperlinks>
    <hyperlink ref="B6" r:id="rId1" xr:uid="{FD26A99B-6F11-4C88-AD97-4CC65ABDACBC}"/>
    <hyperlink ref="B7" r:id="rId2" xr:uid="{8785FB44-852C-41C6-B27E-A74D1F5C0B47}"/>
    <hyperlink ref="B8" r:id="rId3" xr:uid="{09FCA246-9232-4A99-B969-1DB16EFF0DA8}"/>
    <hyperlink ref="B9" r:id="rId4" xr:uid="{902EED5B-59DF-4362-81BE-11DA102E9292}"/>
    <hyperlink ref="B10" r:id="rId5" xr:uid="{1B33B079-4969-4584-B461-FE5531621CFC}"/>
    <hyperlink ref="B11" r:id="rId6" xr:uid="{5A309FC2-BEFC-4C0F-980E-886B28F57B70}"/>
    <hyperlink ref="B12" r:id="rId7" xr:uid="{3B3C9D3B-DF6C-4CAD-A1E8-0D8296C1AF2F}"/>
    <hyperlink ref="B13" r:id="rId8" xr:uid="{2CA86E14-D011-4DC3-B93B-DD31F7F375F0}"/>
    <hyperlink ref="B14" r:id="rId9" xr:uid="{D5D3F5E2-3FA9-4D9C-9E13-7127A1759BBE}"/>
    <hyperlink ref="B15" r:id="rId10" xr:uid="{9B414B58-AE1E-4798-9ECB-DC2969CE73BD}"/>
    <hyperlink ref="B16" r:id="rId11" xr:uid="{A1F9EB32-5726-492B-8AB5-6E186D4A2F66}"/>
    <hyperlink ref="B17" r:id="rId12" xr:uid="{C188A524-90DD-44FE-9285-1FCB8E362213}"/>
    <hyperlink ref="B18" r:id="rId13" xr:uid="{E21E42B0-BC84-44CD-9DE1-6EB9D1E68F6C}"/>
    <hyperlink ref="B19" r:id="rId14" xr:uid="{9480D90A-8BCD-48B1-8A36-61DB5BEB0011}"/>
    <hyperlink ref="B20" r:id="rId15" xr:uid="{CB8D7E7B-79AA-4207-9A01-BFFC6086FFEA}"/>
    <hyperlink ref="B21" r:id="rId16" xr:uid="{1BF046C7-360F-4455-9F4A-8A2AFB452595}"/>
    <hyperlink ref="B22" r:id="rId17" xr:uid="{3897B05C-9735-4705-80CE-37543566BCA9}"/>
    <hyperlink ref="B23" r:id="rId18" xr:uid="{E24542C3-D87A-454B-AECC-C02B85609AA6}"/>
    <hyperlink ref="B24" r:id="rId19" xr:uid="{D1548AB5-A5E2-4C5F-954E-3FA7F50E7619}"/>
    <hyperlink ref="B25" r:id="rId20" xr:uid="{B3A58956-AE4A-457B-BD25-7758551277DC}"/>
    <hyperlink ref="B26" r:id="rId21" xr:uid="{6CAC769D-10A0-42B3-9BF8-81F8E765E92D}"/>
    <hyperlink ref="B27" r:id="rId22" xr:uid="{3BEF049A-3922-4B0D-94C5-744A74011CF7}"/>
    <hyperlink ref="B28" r:id="rId23" xr:uid="{84F79DF8-3BA8-4278-A2C3-3EE6E3CC3901}"/>
    <hyperlink ref="B29" r:id="rId24" xr:uid="{F1577EE2-B84C-4C34-9C0F-6C0018889D70}"/>
    <hyperlink ref="B30" r:id="rId25" xr:uid="{66A7630C-C1D4-43E4-A6E0-A71ED8B5E882}"/>
    <hyperlink ref="B31" r:id="rId26" xr:uid="{C94EFB06-0A08-4850-9731-ACAC413B0DDB}"/>
    <hyperlink ref="B32" r:id="rId27" xr:uid="{1B5F1D5F-E11D-49F5-A79B-7BF41518B16E}"/>
    <hyperlink ref="B33" r:id="rId28" xr:uid="{99E15FE0-BA64-4A75-B90A-0B392FFBB99D}"/>
    <hyperlink ref="B34" r:id="rId29" xr:uid="{A651387F-BA86-4CF5-A254-087326ABE1AE}"/>
    <hyperlink ref="B35" r:id="rId30" xr:uid="{57BBC883-A3FF-4A38-969C-3E166C693209}"/>
    <hyperlink ref="B36" r:id="rId31" xr:uid="{4649D87B-20B4-449C-85AE-E5774CCB681A}"/>
    <hyperlink ref="B37" r:id="rId32" xr:uid="{B11560AA-128E-40F5-A902-ED628CAA5BC5}"/>
    <hyperlink ref="B38" r:id="rId33" xr:uid="{4EB44F6F-484B-431A-B8A2-17F40BACAA8B}"/>
    <hyperlink ref="B39" r:id="rId34" xr:uid="{85A63C53-3576-4CED-BBB2-439E571B394F}"/>
    <hyperlink ref="B40" r:id="rId35" xr:uid="{F6F60D66-4318-413E-82FE-A7ED6E06F685}"/>
    <hyperlink ref="B41" r:id="rId36" xr:uid="{3BBF9388-D58D-409F-BC27-EA0C94641605}"/>
    <hyperlink ref="B42" r:id="rId37" xr:uid="{69C93D01-99E8-403E-8983-2EC3349F1C91}"/>
    <hyperlink ref="B43" r:id="rId38" xr:uid="{BA348D98-06B8-4F1A-BD92-7C8C698FAC74}"/>
    <hyperlink ref="B44" r:id="rId39" xr:uid="{2018A584-D880-4987-9756-74343192275D}"/>
    <hyperlink ref="B45" r:id="rId40" xr:uid="{AFC615EF-CF3F-4AA6-8814-AE8108084803}"/>
    <hyperlink ref="B46" r:id="rId41" xr:uid="{2120EA4B-88D9-4F7B-BE5B-E9DB85F6B1BE}"/>
    <hyperlink ref="B47" r:id="rId42" xr:uid="{FD206F71-7DBD-4FDD-9DBE-C4C6C79820E7}"/>
    <hyperlink ref="B48" r:id="rId43" xr:uid="{DAFE3385-5FF8-4E18-B31A-6FEF25D19F76}"/>
    <hyperlink ref="B49" r:id="rId44" xr:uid="{9A398779-C7FB-4158-8553-78385B6B3705}"/>
    <hyperlink ref="B50" r:id="rId45" xr:uid="{F570AD9C-E6B8-4B41-B326-1D8B119E5F08}"/>
    <hyperlink ref="B51" r:id="rId46" xr:uid="{70FD5005-884D-4E09-83F4-49C2F374C8F3}"/>
    <hyperlink ref="B52" r:id="rId47" xr:uid="{0E3E1CD6-0C96-41C7-B8E7-3F3BF17CD990}"/>
    <hyperlink ref="B53" r:id="rId48" xr:uid="{97C89006-FF58-410E-A4AD-807EDFE12DBE}"/>
    <hyperlink ref="B54" r:id="rId49" xr:uid="{4F2FAC40-2CB0-45F8-AAD0-BE2345E49B46}"/>
    <hyperlink ref="B55" r:id="rId50" xr:uid="{51739AC5-E184-46D9-9EDE-6DA3E8194E27}"/>
    <hyperlink ref="B56" r:id="rId51" xr:uid="{9EF27814-EBD7-4972-866E-931B3539F9AD}"/>
    <hyperlink ref="B57" r:id="rId52" xr:uid="{39AB2301-40A3-4E4E-B75D-A04691E0A37D}"/>
    <hyperlink ref="B58" r:id="rId53" xr:uid="{01AC3E28-D5B6-4DE6-A940-0A6AC223A718}"/>
    <hyperlink ref="B59" r:id="rId54" xr:uid="{3E37A370-29F0-4F33-A091-B913F640114D}"/>
    <hyperlink ref="B60" r:id="rId55" xr:uid="{243C8281-5DBB-49F1-8399-3495D63151B7}"/>
    <hyperlink ref="B61" r:id="rId56" xr:uid="{DC12DA68-BF99-4AC0-818E-D11BCF827299}"/>
    <hyperlink ref="B62" r:id="rId57" xr:uid="{8519AD0C-D29D-410A-B6E7-00BDAE84B7F8}"/>
    <hyperlink ref="B63" r:id="rId58" xr:uid="{2F45E79A-F156-4753-9853-A4056DF1DE0A}"/>
    <hyperlink ref="B64" r:id="rId59" xr:uid="{919BF38D-BE19-4799-89F6-5ACF68A2E480}"/>
    <hyperlink ref="B65" r:id="rId60" xr:uid="{2876558C-C5EC-427E-84B0-87DD77B74A30}"/>
    <hyperlink ref="B66" r:id="rId61" xr:uid="{47A31480-DBE7-4B88-8B99-89F32D20D6D8}"/>
    <hyperlink ref="B67" r:id="rId62" xr:uid="{9E24D874-0EE7-478B-BB22-64F60004DBD4}"/>
    <hyperlink ref="B68" r:id="rId63" xr:uid="{BFC627F2-C5B2-4C52-9243-C1B551D5A596}"/>
    <hyperlink ref="B69" r:id="rId64" xr:uid="{1398D0DA-48F9-4E1A-BDD4-6E71DC525ECD}"/>
    <hyperlink ref="B70" r:id="rId65" xr:uid="{E9CC2446-4297-45C7-ABB3-72923603FB76}"/>
    <hyperlink ref="B71" r:id="rId66" xr:uid="{2B550A8F-2AD8-40E5-B816-40643BB53159}"/>
    <hyperlink ref="B72" r:id="rId67" xr:uid="{A38EC791-755E-4DCB-9F7E-A96F4092A987}"/>
    <hyperlink ref="B73" r:id="rId68" xr:uid="{E36D6504-B499-4A22-BACE-EF48652D687C}"/>
    <hyperlink ref="B74" r:id="rId69" xr:uid="{9E267896-25C5-4705-AE1C-C3DDBB105349}"/>
    <hyperlink ref="B75" r:id="rId70" xr:uid="{82026D13-242D-4004-AEB6-E76BE43158D5}"/>
    <hyperlink ref="B76" r:id="rId71" xr:uid="{01C2AA8E-EFB2-4708-8532-C1C632AE5007}"/>
    <hyperlink ref="B77" r:id="rId72" xr:uid="{19EAEAAA-CAA7-4C75-8BE9-DA72416E28FA}"/>
    <hyperlink ref="B78" r:id="rId73" xr:uid="{C0B705A5-9281-4FF5-96DE-087B56B69C6A}"/>
    <hyperlink ref="B79" r:id="rId74" xr:uid="{80EEB2BB-A751-4FC9-BD4E-ADCDF9268FAA}"/>
    <hyperlink ref="B80" r:id="rId75" xr:uid="{5B892A9F-A742-438C-BCD9-266AD2670562}"/>
    <hyperlink ref="B81" r:id="rId76" xr:uid="{95BD9653-F531-47D6-8071-5C8AF5D2A272}"/>
    <hyperlink ref="B82" r:id="rId77" xr:uid="{9E4265F2-3FC4-44BE-88A7-AC8205330E56}"/>
    <hyperlink ref="B83" r:id="rId78" xr:uid="{42DC06CC-91C8-443D-935F-8885823C15A7}"/>
    <hyperlink ref="B84" r:id="rId79" xr:uid="{5761B826-62EA-4CA4-A7FE-4548EB9F15FD}"/>
    <hyperlink ref="B85" r:id="rId80" xr:uid="{62B3C527-A56C-4811-853B-265F28489AD4}"/>
    <hyperlink ref="B86" r:id="rId81" xr:uid="{306677E8-B3D2-4D60-A7E1-EBA079E0A8FE}"/>
    <hyperlink ref="B87" r:id="rId82" xr:uid="{DC232A92-90BC-4DBF-9E2F-75D6A4134006}"/>
    <hyperlink ref="B88" r:id="rId83" xr:uid="{35180467-739D-4C35-91C1-1F8C500A7CC4}"/>
    <hyperlink ref="B89" r:id="rId84" xr:uid="{A494A4E3-3FA1-453A-8F72-64F76A8B2AC8}"/>
    <hyperlink ref="B90" r:id="rId85" xr:uid="{C32ED7F3-FAC3-43CB-BE9E-E823319DB3E8}"/>
    <hyperlink ref="B91" r:id="rId86" xr:uid="{6577032C-8894-40C1-B152-E106FB62BBD5}"/>
    <hyperlink ref="B92" r:id="rId87" xr:uid="{D2E53E77-6B92-42B6-BBC8-19147A9B7E19}"/>
    <hyperlink ref="B93" r:id="rId88" xr:uid="{B9220BDF-6A27-4276-AE85-75CFAD239C2A}"/>
    <hyperlink ref="B94" r:id="rId89" xr:uid="{352065D8-2913-4271-8B47-4EC9FFF5CD65}"/>
    <hyperlink ref="B95" r:id="rId90" xr:uid="{3AED852D-902B-47CD-A8DC-7EEBC18C3870}"/>
    <hyperlink ref="B96" r:id="rId91" xr:uid="{195485CA-48D7-4622-9AFC-0A1BDC17914B}"/>
    <hyperlink ref="B97" r:id="rId92" xr:uid="{20FD5B40-1803-40E3-B557-7BEC0A53040E}"/>
    <hyperlink ref="B98" r:id="rId93" xr:uid="{98CDEAE4-40A1-4DAB-AB40-2E81BBBE7B02}"/>
    <hyperlink ref="B99" r:id="rId94" xr:uid="{5E37A9E4-DD42-4249-991A-FA9D70FB3E88}"/>
    <hyperlink ref="B100" r:id="rId95" xr:uid="{8C28ED0A-DAA5-43C9-AC49-4ACAEAAE01E2}"/>
    <hyperlink ref="B101" r:id="rId96" xr:uid="{96D44441-F12F-4059-A534-1A347D05F8B3}"/>
    <hyperlink ref="B102" r:id="rId97" xr:uid="{72C95AA7-C94C-4DBA-9DB5-8FD427123394}"/>
    <hyperlink ref="B103" r:id="rId98" xr:uid="{974458E0-EACB-492B-A5DD-114B9B866B08}"/>
    <hyperlink ref="B104" r:id="rId99" xr:uid="{DEB1BC61-8972-4127-9275-19CC0C32D7E0}"/>
    <hyperlink ref="B105" r:id="rId100" xr:uid="{46CAE2D2-2F9A-487F-BBFE-0B5D3A2C81C6}"/>
    <hyperlink ref="B106" r:id="rId101" xr:uid="{4D0EE49F-AEFA-48A7-9442-DA00AE06AD09}"/>
    <hyperlink ref="B107" r:id="rId102" xr:uid="{FBDA3FCE-CE7C-487F-8965-CD0576AF0BD8}"/>
    <hyperlink ref="B108" r:id="rId103" xr:uid="{665332DB-D69B-4AD2-B930-DF86F4D458A8}"/>
    <hyperlink ref="B109" r:id="rId104" xr:uid="{5B718D36-F439-4279-AA97-7BFE5C08C11E}"/>
    <hyperlink ref="B110" r:id="rId105" xr:uid="{3C6BCCAF-0DF4-44EC-8088-331B49BA8FE8}"/>
    <hyperlink ref="B111" r:id="rId106" xr:uid="{D1CF9244-77BD-4779-A0AE-DB2AE2F9FF30}"/>
    <hyperlink ref="B112" r:id="rId107" xr:uid="{87D67E40-A5E2-40D1-A75E-31B5E266EDED}"/>
    <hyperlink ref="B113" r:id="rId108" xr:uid="{46EE4432-772F-4658-82C1-BF318A3FF8F6}"/>
    <hyperlink ref="B114" r:id="rId109" xr:uid="{A2ABC50F-BC94-4319-86D7-868F552C01F0}"/>
    <hyperlink ref="B115" r:id="rId110" xr:uid="{68F06619-3EA2-4764-B338-D0EC47FEA625}"/>
    <hyperlink ref="B116" r:id="rId111" xr:uid="{9F5AD524-4D00-4654-A2EC-A9234CCD810A}"/>
    <hyperlink ref="B117" r:id="rId112" xr:uid="{00FD8FB7-3FB1-461C-BF0F-AD68B08F424E}"/>
    <hyperlink ref="B118" r:id="rId113" xr:uid="{8555FB89-8D93-4451-9217-950516A61C83}"/>
    <hyperlink ref="B119" r:id="rId114" xr:uid="{CE7ADB4C-C712-4570-B48F-197826AE5133}"/>
    <hyperlink ref="B120" r:id="rId115" xr:uid="{21685B7F-CA9D-48C6-8D33-57273B4664D8}"/>
    <hyperlink ref="B121" r:id="rId116" xr:uid="{F0CDE3E6-6A30-4D3B-8E00-A39D9A3F6437}"/>
    <hyperlink ref="B122" r:id="rId117" xr:uid="{19CE81C4-3001-4DE4-99E2-67777FE6F0B2}"/>
    <hyperlink ref="B123" r:id="rId118" xr:uid="{64CA0273-7764-4C53-A689-1B8DA53426B2}"/>
    <hyperlink ref="B124" r:id="rId119" xr:uid="{AD34CF5F-1A69-404F-8683-4979E2DC9147}"/>
    <hyperlink ref="B125" r:id="rId120" xr:uid="{0CA996F1-43E1-43F6-A75D-E23F4DB2B90A}"/>
    <hyperlink ref="B126" r:id="rId121" xr:uid="{89224A9A-41FF-42AC-B74E-083F7A7E9851}"/>
    <hyperlink ref="B127" r:id="rId122" xr:uid="{ADF25960-7FB6-4653-9792-4F240C0C8071}"/>
    <hyperlink ref="B128" r:id="rId123" xr:uid="{A045FCB5-5D79-4519-8746-349836EF7178}"/>
    <hyperlink ref="B129" r:id="rId124" xr:uid="{80CE27FC-E8B4-48E0-B884-CAEB04BBE881}"/>
    <hyperlink ref="B130" r:id="rId125" xr:uid="{FCCBEC7C-9AF1-462E-81CB-4823C87A3645}"/>
    <hyperlink ref="B131" r:id="rId126" xr:uid="{FEA6804D-DE97-4A31-8D2E-B2C539D57A62}"/>
    <hyperlink ref="B132" r:id="rId127" xr:uid="{9478AEDD-F107-4B33-9205-7081073B0A5B}"/>
    <hyperlink ref="B133" r:id="rId128" xr:uid="{4517A119-4EB3-42DB-88E6-33DC4DE72801}"/>
    <hyperlink ref="B134" r:id="rId129" xr:uid="{D23F3D90-DE28-4DC1-AB8A-EA744A2BE891}"/>
    <hyperlink ref="B135" r:id="rId130" xr:uid="{AB79D450-2A93-480B-BC78-B8A70A86A43B}"/>
    <hyperlink ref="B136" r:id="rId131" xr:uid="{8C1A469C-A4C6-4DD6-B20D-A61441C95A4A}"/>
    <hyperlink ref="B137" r:id="rId132" xr:uid="{D75AD584-1FEA-482B-8C7C-E2F3349BF3FC}"/>
    <hyperlink ref="B138" r:id="rId133" xr:uid="{B016C0FC-C639-4F54-9960-2A68B4DC2967}"/>
    <hyperlink ref="B139" r:id="rId134" xr:uid="{BE7B95FE-BCF8-4F0C-932F-56A72B5A255A}"/>
    <hyperlink ref="B140" r:id="rId135" xr:uid="{58165954-855D-4C4D-BA09-FD93B9E48621}"/>
    <hyperlink ref="B141" r:id="rId136" xr:uid="{C5E48AC7-3B95-4B93-A2CD-F04DE9A9C0CA}"/>
    <hyperlink ref="B142" r:id="rId137" xr:uid="{6D7AF512-A6D1-4F87-8481-93645D648352}"/>
    <hyperlink ref="B143" r:id="rId138" xr:uid="{F332DB11-476B-4828-A8F6-E403C5ACD4E3}"/>
    <hyperlink ref="B144" r:id="rId139" xr:uid="{E1259545-1D85-4302-B0A8-DEAB1F7B9367}"/>
    <hyperlink ref="B145" r:id="rId140" xr:uid="{15D0BFA0-D8DF-440B-AD3E-F58E9F0F5671}"/>
    <hyperlink ref="B146" r:id="rId141" xr:uid="{A47C8FF6-C395-482E-ADB5-82031D20C484}"/>
    <hyperlink ref="B147" r:id="rId142" xr:uid="{8385C431-E371-4D7C-98F6-7BCF318F35C6}"/>
    <hyperlink ref="B148" r:id="rId143" xr:uid="{2C947823-1A40-4A0E-BD1F-F2CB0AF41A56}"/>
    <hyperlink ref="B149" r:id="rId144" xr:uid="{77798368-485E-46E5-8238-1D41C4CF3DCA}"/>
    <hyperlink ref="B150" r:id="rId145" xr:uid="{B7B8EAAE-86C4-4686-9056-4C74D248C99C}"/>
    <hyperlink ref="B151" r:id="rId146" xr:uid="{D4706D98-AF9F-4CEF-BA25-BCFDB5D1CDD5}"/>
    <hyperlink ref="B152" r:id="rId147" xr:uid="{93EAAA18-37CC-4167-9427-909719E571D0}"/>
    <hyperlink ref="B153" r:id="rId148" xr:uid="{A05F8758-1BE4-4734-861C-CC7E38E666C8}"/>
    <hyperlink ref="B154" r:id="rId149" xr:uid="{3571516E-F5AB-4C9C-8DB2-04ACB0E6DB2B}"/>
    <hyperlink ref="B155" r:id="rId150" xr:uid="{998C1D8E-D7D8-46E7-B147-B2ECD93ABF51}"/>
    <hyperlink ref="B156" r:id="rId151" xr:uid="{6FA0C1A9-91E6-4DBD-8A9A-067EC22D0A85}"/>
    <hyperlink ref="B157" r:id="rId152" xr:uid="{D2A8D5CF-0341-4C26-A9B6-A05A510A5175}"/>
    <hyperlink ref="B158" r:id="rId153" xr:uid="{D13D5806-9A8F-40AA-8CAE-0F46847AD70B}"/>
    <hyperlink ref="B159" r:id="rId154" xr:uid="{9C094212-9767-42D7-9B13-7CDEA673B962}"/>
    <hyperlink ref="B160" r:id="rId155" xr:uid="{0EAFADBD-6825-4B4E-8071-C6387D79678C}"/>
    <hyperlink ref="B161" r:id="rId156" xr:uid="{4B45E1D9-3E0B-42D3-83BA-7CA6A2614B38}"/>
    <hyperlink ref="B162" r:id="rId157" xr:uid="{2356370B-2913-44F2-93C4-75EC96772DCC}"/>
  </hyperlinks>
  <pageMargins left="0.7" right="0.7" top="0.75" bottom="0.75" header="0.3" footer="0.3"/>
  <pageSetup paperSize="9" orientation="portrait" r:id="rId15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F5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9"/>
      <c r="B1" s="206" t="s">
        <v>481</v>
      </c>
      <c r="C1" s="206"/>
      <c r="D1" s="206"/>
      <c r="E1" s="207"/>
      <c r="F1" s="207"/>
      <c r="G1" s="207"/>
      <c r="H1" s="207"/>
      <c r="I1" s="207"/>
      <c r="J1" s="207"/>
      <c r="K1" s="207"/>
      <c r="L1" s="207"/>
      <c r="M1" s="207"/>
      <c r="N1" s="89"/>
    </row>
    <row r="2" spans="1:14">
      <c r="A2" s="89"/>
      <c r="B2" s="206"/>
      <c r="C2" s="206"/>
      <c r="D2" s="206"/>
      <c r="E2" s="207"/>
      <c r="F2" s="207"/>
      <c r="G2" s="207"/>
      <c r="H2" s="207"/>
      <c r="I2" s="207"/>
      <c r="J2" s="207"/>
      <c r="K2" s="207"/>
      <c r="L2" s="207"/>
      <c r="M2" s="207"/>
      <c r="N2" s="89"/>
    </row>
    <row r="3" spans="1:14">
      <c r="A3" s="89"/>
      <c r="B3" s="206"/>
      <c r="C3" s="206"/>
      <c r="D3" s="206"/>
      <c r="E3" s="204" t="s">
        <v>526</v>
      </c>
      <c r="F3" s="204"/>
      <c r="G3" s="204"/>
      <c r="H3" s="204"/>
      <c r="I3" s="205" t="s">
        <v>6</v>
      </c>
      <c r="J3" s="205"/>
      <c r="K3" s="205"/>
      <c r="L3" s="205"/>
      <c r="M3" s="205"/>
      <c r="N3" s="89"/>
    </row>
    <row r="4" spans="1:14" s="64" customFormat="1" ht="24" customHeight="1">
      <c r="A4" s="90"/>
      <c r="B4" s="59" t="s">
        <v>482</v>
      </c>
      <c r="C4" s="59" t="s">
        <v>483</v>
      </c>
      <c r="D4" s="38" t="s">
        <v>370</v>
      </c>
      <c r="E4" s="38" t="s">
        <v>375</v>
      </c>
      <c r="F4" s="38" t="s">
        <v>484</v>
      </c>
      <c r="G4" s="38" t="s">
        <v>485</v>
      </c>
      <c r="H4" s="38" t="s">
        <v>486</v>
      </c>
      <c r="I4" s="38" t="s">
        <v>375</v>
      </c>
      <c r="J4" s="38" t="s">
        <v>484</v>
      </c>
      <c r="K4" s="38" t="s">
        <v>485</v>
      </c>
      <c r="L4" s="38" t="s">
        <v>487</v>
      </c>
      <c r="M4" s="38" t="s">
        <v>486</v>
      </c>
      <c r="N4" s="90"/>
    </row>
    <row r="5" spans="1:14" hidden="1">
      <c r="A5" s="89"/>
      <c r="B5" s="27" t="s">
        <v>488</v>
      </c>
      <c r="C5" s="27" t="s">
        <v>489</v>
      </c>
      <c r="D5" s="91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89"/>
    </row>
    <row r="6" spans="1:14" hidden="1">
      <c r="A6" s="89"/>
      <c r="B6" s="27"/>
      <c r="C6" s="27" t="s">
        <v>490</v>
      </c>
      <c r="D6" s="91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89"/>
    </row>
    <row r="7" spans="1:14" hidden="1">
      <c r="A7" s="89"/>
      <c r="B7" s="27"/>
      <c r="C7" s="27" t="s">
        <v>491</v>
      </c>
      <c r="D7" s="91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89"/>
    </row>
    <row r="8" spans="1:14" hidden="1">
      <c r="A8" s="89"/>
      <c r="B8" s="27"/>
      <c r="C8" s="27" t="s">
        <v>492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89"/>
    </row>
    <row r="9" spans="1:14" hidden="1">
      <c r="A9" s="89"/>
      <c r="B9" s="27"/>
      <c r="C9" s="27" t="s">
        <v>493</v>
      </c>
      <c r="D9" s="91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89"/>
    </row>
    <row r="10" spans="1:14" hidden="1">
      <c r="A10" s="89"/>
      <c r="B10" s="27"/>
      <c r="C10" s="27" t="s">
        <v>494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89"/>
    </row>
    <row r="11" spans="1:14" hidden="1">
      <c r="A11" s="89"/>
      <c r="B11" s="27"/>
      <c r="C11" s="27" t="s">
        <v>495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89"/>
    </row>
    <row r="12" spans="1:14" hidden="1">
      <c r="A12" s="89"/>
      <c r="B12" s="27"/>
      <c r="C12" s="27" t="s">
        <v>496</v>
      </c>
      <c r="D12" s="91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89"/>
    </row>
    <row r="13" spans="1:14" hidden="1">
      <c r="A13" s="89"/>
      <c r="B13" s="27"/>
      <c r="C13" s="27" t="s">
        <v>497</v>
      </c>
      <c r="D13" s="91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89"/>
    </row>
    <row r="14" spans="1:14" hidden="1">
      <c r="A14" s="89"/>
      <c r="B14" s="27"/>
      <c r="C14" s="27" t="s">
        <v>498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89"/>
    </row>
    <row r="15" spans="1:14" hidden="1">
      <c r="A15" s="89"/>
      <c r="B15" s="27"/>
      <c r="C15" s="27" t="s">
        <v>499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89"/>
    </row>
    <row r="16" spans="1:14" hidden="1">
      <c r="A16" s="89"/>
      <c r="B16" s="27"/>
      <c r="C16" s="27" t="s">
        <v>500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89"/>
    </row>
    <row r="17" spans="1:14" hidden="1">
      <c r="A17" s="89"/>
      <c r="B17" s="27"/>
      <c r="C17" s="27" t="s">
        <v>501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89"/>
    </row>
    <row r="18" spans="1:14" hidden="1">
      <c r="A18" s="89"/>
      <c r="B18" s="65" t="s">
        <v>502</v>
      </c>
      <c r="C18" s="66"/>
      <c r="D18" s="92"/>
      <c r="E18" s="67">
        <f t="shared" ref="E18:K18" si="2">SUM(E5:E17)</f>
        <v>178564.09</v>
      </c>
      <c r="F18" s="67">
        <f t="shared" si="2"/>
        <v>2582489.3300000005</v>
      </c>
      <c r="G18" s="67">
        <f t="shared" si="2"/>
        <v>2761053.4200000009</v>
      </c>
      <c r="H18" s="67">
        <f t="shared" si="2"/>
        <v>1612298.0089500002</v>
      </c>
      <c r="I18" s="67">
        <f t="shared" si="2"/>
        <v>0</v>
      </c>
      <c r="J18" s="67">
        <f t="shared" si="2"/>
        <v>0</v>
      </c>
      <c r="K18" s="67">
        <f t="shared" si="2"/>
        <v>201</v>
      </c>
      <c r="L18" s="67"/>
      <c r="M18" s="67">
        <f>SUM(M5:M17)</f>
        <v>135</v>
      </c>
      <c r="N18" s="89"/>
    </row>
    <row r="19" spans="1:14">
      <c r="A19" s="89"/>
      <c r="B19" s="68" t="s">
        <v>503</v>
      </c>
      <c r="C19" s="68" t="s">
        <v>489</v>
      </c>
      <c r="D19" s="93">
        <v>0.61</v>
      </c>
      <c r="E19" s="69"/>
      <c r="F19" s="69">
        <v>1450597.52</v>
      </c>
      <c r="G19" s="69">
        <f t="shared" si="0"/>
        <v>1450597.52</v>
      </c>
      <c r="H19" s="69">
        <f t="shared" ref="H19:H57" si="3">D19*G19</f>
        <v>884864.48719999997</v>
      </c>
      <c r="I19" s="69"/>
      <c r="J19" s="69"/>
      <c r="K19" s="69"/>
      <c r="L19" s="157">
        <f>IFERROR(M19/K19,0)</f>
        <v>0</v>
      </c>
      <c r="M19" s="69"/>
      <c r="N19" s="89"/>
    </row>
    <row r="20" spans="1:14">
      <c r="A20" s="89"/>
      <c r="B20" s="80"/>
      <c r="C20" s="80" t="s">
        <v>504</v>
      </c>
      <c r="D20" s="94">
        <v>0.61</v>
      </c>
      <c r="E20" s="81"/>
      <c r="F20" s="81">
        <v>65338.92</v>
      </c>
      <c r="G20" s="81">
        <f t="shared" si="0"/>
        <v>65338.92</v>
      </c>
      <c r="H20" s="81">
        <f>D20*G20</f>
        <v>39856.741199999997</v>
      </c>
      <c r="I20" s="81"/>
      <c r="J20" s="81"/>
      <c r="K20" s="81"/>
      <c r="L20" s="158">
        <f t="shared" ref="L20:L36" si="4">IFERROR(M20/K20,0)</f>
        <v>0</v>
      </c>
      <c r="M20" s="81"/>
      <c r="N20" s="89"/>
    </row>
    <row r="21" spans="1:14">
      <c r="A21" s="89"/>
      <c r="B21" s="68"/>
      <c r="C21" s="68" t="s">
        <v>505</v>
      </c>
      <c r="D21" s="93">
        <v>0.7</v>
      </c>
      <c r="E21" s="69"/>
      <c r="F21" s="69">
        <v>836.76</v>
      </c>
      <c r="G21" s="69">
        <f t="shared" si="0"/>
        <v>836.76</v>
      </c>
      <c r="H21" s="69">
        <f>D21*G21</f>
        <v>585.73199999999997</v>
      </c>
      <c r="I21" s="69"/>
      <c r="J21" s="69"/>
      <c r="K21" s="69"/>
      <c r="L21" s="157">
        <f t="shared" si="4"/>
        <v>0</v>
      </c>
      <c r="M21" s="69"/>
      <c r="N21" s="89"/>
    </row>
    <row r="22" spans="1:14">
      <c r="A22" s="89"/>
      <c r="B22" s="80"/>
      <c r="C22" s="80" t="s">
        <v>506</v>
      </c>
      <c r="D22" s="94">
        <v>0.7</v>
      </c>
      <c r="E22" s="81"/>
      <c r="F22" s="81">
        <v>64138</v>
      </c>
      <c r="G22" s="81">
        <f t="shared" si="0"/>
        <v>64138</v>
      </c>
      <c r="H22" s="81">
        <f t="shared" si="3"/>
        <v>44896.6</v>
      </c>
      <c r="I22" s="81"/>
      <c r="J22" s="81"/>
      <c r="K22" s="81"/>
      <c r="L22" s="158">
        <f t="shared" si="4"/>
        <v>0</v>
      </c>
      <c r="M22" s="81"/>
      <c r="N22" s="89"/>
    </row>
    <row r="23" spans="1:14">
      <c r="A23" s="89"/>
      <c r="B23" s="68"/>
      <c r="C23" s="68" t="s">
        <v>490</v>
      </c>
      <c r="D23" s="93">
        <v>0.7</v>
      </c>
      <c r="E23" s="69"/>
      <c r="F23" s="69">
        <v>70044</v>
      </c>
      <c r="G23" s="69">
        <f t="shared" si="0"/>
        <v>70044</v>
      </c>
      <c r="H23" s="69">
        <f t="shared" si="3"/>
        <v>49030.799999999996</v>
      </c>
      <c r="I23" s="69"/>
      <c r="J23" s="69"/>
      <c r="K23" s="69"/>
      <c r="L23" s="157">
        <f t="shared" si="4"/>
        <v>0</v>
      </c>
      <c r="M23" s="69"/>
      <c r="N23" s="89"/>
    </row>
    <row r="24" spans="1:14">
      <c r="A24" s="89"/>
      <c r="B24" s="80"/>
      <c r="C24" s="80" t="s">
        <v>491</v>
      </c>
      <c r="D24" s="94">
        <v>0.63</v>
      </c>
      <c r="E24" s="81"/>
      <c r="F24" s="81">
        <v>17403.52</v>
      </c>
      <c r="G24" s="81">
        <f t="shared" si="0"/>
        <v>17403.52</v>
      </c>
      <c r="H24" s="81">
        <f t="shared" si="3"/>
        <v>10964.2176</v>
      </c>
      <c r="I24" s="81"/>
      <c r="J24" s="81"/>
      <c r="K24" s="81"/>
      <c r="L24" s="158">
        <f t="shared" si="4"/>
        <v>0</v>
      </c>
      <c r="M24" s="81"/>
      <c r="N24" s="89"/>
    </row>
    <row r="25" spans="1:14">
      <c r="A25" s="89"/>
      <c r="B25" s="68"/>
      <c r="C25" s="68" t="s">
        <v>493</v>
      </c>
      <c r="D25" s="93">
        <v>0.45</v>
      </c>
      <c r="E25" s="69"/>
      <c r="F25" s="69">
        <v>95918.720000000001</v>
      </c>
      <c r="G25" s="69">
        <f t="shared" si="0"/>
        <v>95918.720000000001</v>
      </c>
      <c r="H25" s="69">
        <f t="shared" si="3"/>
        <v>43163.423999999999</v>
      </c>
      <c r="I25" s="69"/>
      <c r="J25" s="69"/>
      <c r="K25" s="69"/>
      <c r="L25" s="157">
        <f t="shared" si="4"/>
        <v>0</v>
      </c>
      <c r="M25" s="69"/>
      <c r="N25" s="89"/>
    </row>
    <row r="26" spans="1:14">
      <c r="A26" s="89"/>
      <c r="B26" s="80"/>
      <c r="C26" s="80" t="s">
        <v>494</v>
      </c>
      <c r="D26" s="82">
        <v>5.5E-2</v>
      </c>
      <c r="E26" s="81">
        <v>30458.5</v>
      </c>
      <c r="F26" s="81"/>
      <c r="G26" s="81">
        <f t="shared" si="0"/>
        <v>30458.5</v>
      </c>
      <c r="H26" s="81">
        <f t="shared" si="3"/>
        <v>1675.2175</v>
      </c>
      <c r="I26" s="81"/>
      <c r="J26" s="81"/>
      <c r="K26" s="81"/>
      <c r="L26" s="158">
        <f t="shared" si="4"/>
        <v>0</v>
      </c>
      <c r="M26" s="81"/>
      <c r="N26" s="89"/>
    </row>
    <row r="27" spans="1:14">
      <c r="A27" s="89"/>
      <c r="B27" s="68"/>
      <c r="C27" s="68" t="s">
        <v>507</v>
      </c>
      <c r="D27" s="73">
        <v>5.5E-2</v>
      </c>
      <c r="E27" s="69"/>
      <c r="F27" s="69"/>
      <c r="G27" s="69">
        <f t="shared" si="0"/>
        <v>0</v>
      </c>
      <c r="H27" s="69">
        <f t="shared" si="3"/>
        <v>0</v>
      </c>
      <c r="I27" s="69"/>
      <c r="J27" s="69"/>
      <c r="K27" s="69"/>
      <c r="L27" s="157">
        <f t="shared" si="4"/>
        <v>0</v>
      </c>
      <c r="M27" s="69"/>
      <c r="N27" s="89"/>
    </row>
    <row r="28" spans="1:14">
      <c r="A28" s="89"/>
      <c r="B28" s="80"/>
      <c r="C28" s="80" t="s">
        <v>495</v>
      </c>
      <c r="D28" s="82">
        <v>5.5E-2</v>
      </c>
      <c r="E28" s="81">
        <v>7793.7</v>
      </c>
      <c r="F28" s="81"/>
      <c r="G28" s="81">
        <f t="shared" si="0"/>
        <v>7793.7</v>
      </c>
      <c r="H28" s="81">
        <f t="shared" si="3"/>
        <v>428.65350000000001</v>
      </c>
      <c r="I28" s="81"/>
      <c r="J28" s="81"/>
      <c r="K28" s="81"/>
      <c r="L28" s="158">
        <f t="shared" si="4"/>
        <v>0</v>
      </c>
      <c r="M28" s="81"/>
      <c r="N28" s="89"/>
    </row>
    <row r="29" spans="1:14">
      <c r="A29" s="89"/>
      <c r="B29" s="68"/>
      <c r="C29" s="68" t="s">
        <v>508</v>
      </c>
      <c r="D29" s="93">
        <v>0.63349999999999995</v>
      </c>
      <c r="E29" s="69"/>
      <c r="F29" s="69">
        <v>262667.52000000002</v>
      </c>
      <c r="G29" s="69">
        <f t="shared" si="0"/>
        <v>262667.52000000002</v>
      </c>
      <c r="H29" s="69">
        <f t="shared" si="3"/>
        <v>166399.87392000001</v>
      </c>
      <c r="I29" s="69"/>
      <c r="J29" s="69"/>
      <c r="K29" s="69"/>
      <c r="L29" s="157">
        <f t="shared" si="4"/>
        <v>0</v>
      </c>
      <c r="M29" s="69"/>
      <c r="N29" s="89"/>
    </row>
    <row r="30" spans="1:14">
      <c r="A30" s="89"/>
      <c r="B30" s="80"/>
      <c r="C30" s="80" t="s">
        <v>509</v>
      </c>
      <c r="D30" s="94"/>
      <c r="E30" s="81"/>
      <c r="F30" s="81"/>
      <c r="G30" s="81">
        <f t="shared" si="0"/>
        <v>0</v>
      </c>
      <c r="H30" s="81"/>
      <c r="I30" s="81"/>
      <c r="J30" s="81"/>
      <c r="K30" s="81"/>
      <c r="L30" s="158">
        <f t="shared" si="4"/>
        <v>0</v>
      </c>
      <c r="M30" s="81"/>
      <c r="N30" s="89"/>
    </row>
    <row r="31" spans="1:14">
      <c r="A31" s="89"/>
      <c r="B31" s="68"/>
      <c r="C31" s="68" t="s">
        <v>510</v>
      </c>
      <c r="D31" s="93">
        <v>0.61</v>
      </c>
      <c r="E31" s="69"/>
      <c r="F31" s="69">
        <v>20103.18</v>
      </c>
      <c r="G31" s="69">
        <f t="shared" si="0"/>
        <v>20103.18</v>
      </c>
      <c r="H31" s="69">
        <f t="shared" si="3"/>
        <v>12262.9398</v>
      </c>
      <c r="I31" s="69"/>
      <c r="J31" s="69"/>
      <c r="K31" s="69"/>
      <c r="L31" s="157">
        <f t="shared" si="4"/>
        <v>0</v>
      </c>
      <c r="M31" s="69"/>
      <c r="N31" s="89"/>
    </row>
    <row r="32" spans="1:14">
      <c r="A32" s="89"/>
      <c r="B32" s="80"/>
      <c r="C32" s="80" t="s">
        <v>511</v>
      </c>
      <c r="D32" s="82">
        <v>0.6</v>
      </c>
      <c r="E32" s="81"/>
      <c r="F32" s="81">
        <v>2760</v>
      </c>
      <c r="G32" s="81">
        <f t="shared" si="0"/>
        <v>2760</v>
      </c>
      <c r="H32" s="81">
        <f t="shared" si="3"/>
        <v>1656</v>
      </c>
      <c r="I32" s="81"/>
      <c r="J32" s="81"/>
      <c r="K32" s="81"/>
      <c r="L32" s="158">
        <f t="shared" si="4"/>
        <v>0</v>
      </c>
      <c r="M32" s="81"/>
      <c r="N32" s="89"/>
    </row>
    <row r="33" spans="1:14">
      <c r="A33" s="89"/>
      <c r="B33" s="68"/>
      <c r="C33" s="68" t="s">
        <v>497</v>
      </c>
      <c r="D33" s="93">
        <v>0.61</v>
      </c>
      <c r="E33" s="69"/>
      <c r="F33" s="69">
        <v>10000</v>
      </c>
      <c r="G33" s="69">
        <f t="shared" si="0"/>
        <v>10000</v>
      </c>
      <c r="H33" s="69">
        <f t="shared" si="3"/>
        <v>6100</v>
      </c>
      <c r="I33" s="69"/>
      <c r="J33" s="69"/>
      <c r="K33" s="69"/>
      <c r="L33" s="157">
        <f t="shared" si="4"/>
        <v>0</v>
      </c>
      <c r="M33" s="69"/>
      <c r="N33" s="89"/>
    </row>
    <row r="34" spans="1:14">
      <c r="A34" s="89"/>
      <c r="B34" s="80"/>
      <c r="C34" s="80" t="s">
        <v>512</v>
      </c>
      <c r="D34" s="83">
        <v>0.35</v>
      </c>
      <c r="E34" s="81"/>
      <c r="F34" s="81"/>
      <c r="G34" s="81">
        <f t="shared" si="0"/>
        <v>0</v>
      </c>
      <c r="H34" s="81">
        <f t="shared" si="3"/>
        <v>0</v>
      </c>
      <c r="I34" s="81"/>
      <c r="J34" s="81"/>
      <c r="K34" s="81"/>
      <c r="L34" s="158">
        <f t="shared" si="4"/>
        <v>0</v>
      </c>
      <c r="M34" s="81"/>
      <c r="N34" s="89"/>
    </row>
    <row r="35" spans="1:14">
      <c r="A35" s="89"/>
      <c r="B35" s="68"/>
      <c r="C35" s="68" t="s">
        <v>500</v>
      </c>
      <c r="D35" s="73">
        <v>2.3E-2</v>
      </c>
      <c r="E35" s="69">
        <v>18573</v>
      </c>
      <c r="F35" s="69"/>
      <c r="G35" s="69">
        <f t="shared" si="0"/>
        <v>18573</v>
      </c>
      <c r="H35" s="69">
        <f t="shared" si="3"/>
        <v>427.17899999999997</v>
      </c>
      <c r="I35" s="69"/>
      <c r="J35" s="69"/>
      <c r="K35" s="69"/>
      <c r="L35" s="157">
        <f t="shared" si="4"/>
        <v>0</v>
      </c>
      <c r="M35" s="69"/>
      <c r="N35" s="89"/>
    </row>
    <row r="36" spans="1:14">
      <c r="A36" s="89"/>
      <c r="B36" s="80"/>
      <c r="C36" s="80" t="s">
        <v>513</v>
      </c>
      <c r="D36" s="84">
        <v>0.7</v>
      </c>
      <c r="E36" s="81"/>
      <c r="F36" s="81"/>
      <c r="G36" s="81">
        <f t="shared" si="0"/>
        <v>0</v>
      </c>
      <c r="H36" s="81">
        <f t="shared" si="3"/>
        <v>0</v>
      </c>
      <c r="I36" s="81"/>
      <c r="J36" s="81"/>
      <c r="K36" s="81"/>
      <c r="L36" s="158">
        <f t="shared" si="4"/>
        <v>0</v>
      </c>
      <c r="M36" s="81"/>
      <c r="N36" s="89"/>
    </row>
    <row r="37" spans="1:14">
      <c r="A37" s="89"/>
      <c r="B37" s="85" t="s">
        <v>514</v>
      </c>
      <c r="C37" s="85"/>
      <c r="D37" s="95"/>
      <c r="E37" s="86">
        <f t="shared" ref="E37:K37" si="5">SUM(E19:E36)</f>
        <v>56825.2</v>
      </c>
      <c r="F37" s="86">
        <f t="shared" si="5"/>
        <v>2059808.14</v>
      </c>
      <c r="G37" s="86">
        <f t="shared" si="5"/>
        <v>2116633.34</v>
      </c>
      <c r="H37" s="86">
        <f t="shared" si="5"/>
        <v>1262311.8657199999</v>
      </c>
      <c r="I37" s="86">
        <f t="shared" si="5"/>
        <v>0</v>
      </c>
      <c r="J37" s="86">
        <f t="shared" si="5"/>
        <v>0</v>
      </c>
      <c r="K37" s="86">
        <f t="shared" si="5"/>
        <v>0</v>
      </c>
      <c r="L37" s="86"/>
      <c r="M37" s="86">
        <f>SUM(M19:M36)</f>
        <v>0</v>
      </c>
      <c r="N37" s="89"/>
    </row>
    <row r="38" spans="1:14" hidden="1">
      <c r="A38" s="89"/>
      <c r="B38" s="70" t="s">
        <v>515</v>
      </c>
      <c r="C38" s="70" t="s">
        <v>489</v>
      </c>
      <c r="D38" s="96">
        <v>0.61</v>
      </c>
      <c r="E38" s="71"/>
      <c r="F38" s="71">
        <v>1457803.8</v>
      </c>
      <c r="G38" s="71">
        <f t="shared" si="0"/>
        <v>1457803.8</v>
      </c>
      <c r="H38" s="71">
        <f t="shared" si="3"/>
        <v>889260.31799999997</v>
      </c>
      <c r="I38" s="71"/>
      <c r="J38" s="71"/>
      <c r="K38" s="71"/>
      <c r="L38" s="71"/>
      <c r="M38" s="71"/>
      <c r="N38" s="89"/>
    </row>
    <row r="39" spans="1:14" hidden="1">
      <c r="A39" s="89"/>
      <c r="B39" s="70"/>
      <c r="C39" s="70" t="s">
        <v>504</v>
      </c>
      <c r="D39" s="96">
        <v>0.61</v>
      </c>
      <c r="E39" s="71"/>
      <c r="F39" s="71">
        <v>73096.56</v>
      </c>
      <c r="G39" s="71">
        <f t="shared" si="0"/>
        <v>73096.56</v>
      </c>
      <c r="H39" s="71">
        <f t="shared" si="3"/>
        <v>44588.901599999997</v>
      </c>
      <c r="I39" s="71"/>
      <c r="J39" s="71"/>
      <c r="K39" s="71"/>
      <c r="L39" s="71"/>
      <c r="M39" s="71"/>
      <c r="N39" s="89"/>
    </row>
    <row r="40" spans="1:14" hidden="1">
      <c r="A40" s="89"/>
      <c r="B40" s="70"/>
      <c r="C40" s="70" t="s">
        <v>506</v>
      </c>
      <c r="D40" s="96">
        <v>0.7</v>
      </c>
      <c r="E40" s="71"/>
      <c r="F40" s="71">
        <v>34122</v>
      </c>
      <c r="G40" s="71">
        <f t="shared" si="0"/>
        <v>34122</v>
      </c>
      <c r="H40" s="71">
        <f t="shared" si="3"/>
        <v>23885.399999999998</v>
      </c>
      <c r="I40" s="71"/>
      <c r="J40" s="71"/>
      <c r="K40" s="71"/>
      <c r="L40" s="71"/>
      <c r="M40" s="71"/>
      <c r="N40" s="89"/>
    </row>
    <row r="41" spans="1:14" hidden="1">
      <c r="A41" s="89"/>
      <c r="B41" s="70"/>
      <c r="C41" s="70" t="s">
        <v>505</v>
      </c>
      <c r="D41" s="76">
        <v>0.7</v>
      </c>
      <c r="E41" s="71"/>
      <c r="F41" s="71">
        <v>425.80645161290323</v>
      </c>
      <c r="G41" s="71">
        <f t="shared" si="0"/>
        <v>425.80645161290323</v>
      </c>
      <c r="H41" s="71">
        <f t="shared" si="3"/>
        <v>298.06451612903226</v>
      </c>
      <c r="I41" s="71"/>
      <c r="J41" s="71"/>
      <c r="K41" s="71"/>
      <c r="L41" s="71"/>
      <c r="M41" s="71"/>
      <c r="N41" s="89"/>
    </row>
    <row r="42" spans="1:14" hidden="1">
      <c r="A42" s="89"/>
      <c r="B42" s="70"/>
      <c r="C42" s="70" t="s">
        <v>516</v>
      </c>
      <c r="D42" s="96">
        <v>0.7</v>
      </c>
      <c r="E42" s="71"/>
      <c r="F42" s="71">
        <v>20873.5</v>
      </c>
      <c r="G42" s="71">
        <f t="shared" si="0"/>
        <v>20873.5</v>
      </c>
      <c r="H42" s="71">
        <f t="shared" si="3"/>
        <v>14611.449999999999</v>
      </c>
      <c r="I42" s="71"/>
      <c r="J42" s="71"/>
      <c r="K42" s="71"/>
      <c r="L42" s="71"/>
      <c r="M42" s="71"/>
      <c r="N42" s="89"/>
    </row>
    <row r="43" spans="1:14" hidden="1">
      <c r="A43" s="89"/>
      <c r="B43" s="70"/>
      <c r="C43" s="70" t="s">
        <v>490</v>
      </c>
      <c r="D43" s="96">
        <v>0.7</v>
      </c>
      <c r="E43" s="71"/>
      <c r="F43" s="71">
        <v>41792</v>
      </c>
      <c r="G43" s="71">
        <f t="shared" si="0"/>
        <v>41792</v>
      </c>
      <c r="H43" s="71">
        <f t="shared" si="3"/>
        <v>29254.399999999998</v>
      </c>
      <c r="I43" s="71"/>
      <c r="J43" s="71"/>
      <c r="K43" s="71"/>
      <c r="L43" s="71"/>
      <c r="M43" s="71"/>
      <c r="N43" s="89"/>
    </row>
    <row r="44" spans="1:14" hidden="1">
      <c r="A44" s="89"/>
      <c r="B44" s="70"/>
      <c r="C44" s="70" t="s">
        <v>517</v>
      </c>
      <c r="D44" s="79">
        <v>0.7</v>
      </c>
      <c r="E44" s="71"/>
      <c r="F44" s="71"/>
      <c r="G44" s="71">
        <f t="shared" si="0"/>
        <v>0</v>
      </c>
      <c r="H44" s="71">
        <f t="shared" si="3"/>
        <v>0</v>
      </c>
      <c r="I44" s="71"/>
      <c r="J44" s="71"/>
      <c r="K44" s="71"/>
      <c r="L44" s="71"/>
      <c r="M44" s="71"/>
      <c r="N44" s="89"/>
    </row>
    <row r="45" spans="1:14" hidden="1">
      <c r="A45" s="89"/>
      <c r="B45" s="70"/>
      <c r="C45" s="70" t="s">
        <v>491</v>
      </c>
      <c r="D45" s="96">
        <v>0.63</v>
      </c>
      <c r="E45" s="71"/>
      <c r="F45" s="71">
        <v>7651.35</v>
      </c>
      <c r="G45" s="71">
        <f t="shared" si="0"/>
        <v>7651.35</v>
      </c>
      <c r="H45" s="71">
        <f t="shared" si="3"/>
        <v>4820.3505000000005</v>
      </c>
      <c r="I45" s="71"/>
      <c r="J45" s="71"/>
      <c r="K45" s="71"/>
      <c r="L45" s="71"/>
      <c r="M45" s="71"/>
      <c r="N45" s="89"/>
    </row>
    <row r="46" spans="1:14" hidden="1">
      <c r="A46" s="89"/>
      <c r="B46" s="70"/>
      <c r="C46" s="70" t="s">
        <v>518</v>
      </c>
      <c r="D46" s="75">
        <v>0.02</v>
      </c>
      <c r="E46" s="74">
        <v>51610</v>
      </c>
      <c r="F46" s="71"/>
      <c r="G46" s="71">
        <f t="shared" si="0"/>
        <v>51610</v>
      </c>
      <c r="H46" s="71">
        <f t="shared" si="3"/>
        <v>1032.2</v>
      </c>
      <c r="I46" s="74"/>
      <c r="J46" s="71"/>
      <c r="K46" s="71"/>
      <c r="L46" s="71"/>
      <c r="M46" s="71"/>
      <c r="N46" s="89"/>
    </row>
    <row r="47" spans="1:14" hidden="1">
      <c r="A47" s="89"/>
      <c r="B47" s="70"/>
      <c r="C47" s="70" t="s">
        <v>508</v>
      </c>
      <c r="D47" s="96">
        <v>0.63349999999999995</v>
      </c>
      <c r="E47" s="74"/>
      <c r="F47" s="71">
        <v>132980</v>
      </c>
      <c r="G47" s="71">
        <f t="shared" si="0"/>
        <v>132980</v>
      </c>
      <c r="H47" s="71">
        <f t="shared" si="3"/>
        <v>84242.829999999987</v>
      </c>
      <c r="I47" s="74"/>
      <c r="J47" s="71"/>
      <c r="K47" s="71"/>
      <c r="L47" s="71"/>
      <c r="M47" s="71"/>
      <c r="N47" s="89"/>
    </row>
    <row r="48" spans="1:14" hidden="1">
      <c r="A48" s="89"/>
      <c r="B48" s="70"/>
      <c r="C48" s="70" t="s">
        <v>494</v>
      </c>
      <c r="D48" s="72">
        <v>5.5E-2</v>
      </c>
      <c r="E48" s="71">
        <v>48912.75</v>
      </c>
      <c r="F48" s="71"/>
      <c r="G48" s="71">
        <f t="shared" si="0"/>
        <v>48912.75</v>
      </c>
      <c r="H48" s="71">
        <f t="shared" si="3"/>
        <v>2690.2012500000001</v>
      </c>
      <c r="I48" s="71"/>
      <c r="J48" s="71"/>
      <c r="K48" s="71"/>
      <c r="L48" s="71"/>
      <c r="M48" s="71"/>
      <c r="N48" s="89"/>
    </row>
    <row r="49" spans="1:14" hidden="1">
      <c r="A49" s="89"/>
      <c r="B49" s="70"/>
      <c r="C49" s="70" t="s">
        <v>495</v>
      </c>
      <c r="D49" s="72">
        <v>5.5E-2</v>
      </c>
      <c r="E49" s="74">
        <v>41747.5</v>
      </c>
      <c r="F49" s="71"/>
      <c r="G49" s="71">
        <f t="shared" si="0"/>
        <v>41747.5</v>
      </c>
      <c r="H49" s="71">
        <f t="shared" si="3"/>
        <v>2296.1125000000002</v>
      </c>
      <c r="I49" s="74"/>
      <c r="J49" s="71"/>
      <c r="K49" s="71"/>
      <c r="L49" s="71"/>
      <c r="M49" s="71"/>
      <c r="N49" s="89"/>
    </row>
    <row r="50" spans="1:14" hidden="1">
      <c r="A50" s="89"/>
      <c r="B50" s="70"/>
      <c r="C50" s="70" t="s">
        <v>519</v>
      </c>
      <c r="D50" s="72">
        <v>5.5E-2</v>
      </c>
      <c r="E50" s="74">
        <v>28000</v>
      </c>
      <c r="F50" s="71"/>
      <c r="G50" s="71">
        <f t="shared" si="0"/>
        <v>28000</v>
      </c>
      <c r="H50" s="71">
        <f t="shared" si="3"/>
        <v>1540</v>
      </c>
      <c r="I50" s="74"/>
      <c r="J50" s="71"/>
      <c r="K50" s="71"/>
      <c r="L50" s="71"/>
      <c r="M50" s="71"/>
      <c r="N50" s="89"/>
    </row>
    <row r="51" spans="1:14" hidden="1">
      <c r="A51" s="89"/>
      <c r="B51" s="70"/>
      <c r="C51" s="70" t="s">
        <v>509</v>
      </c>
      <c r="D51" s="72">
        <v>0.64</v>
      </c>
      <c r="E51" s="71"/>
      <c r="F51" s="71">
        <v>88000</v>
      </c>
      <c r="G51" s="71">
        <f t="shared" si="0"/>
        <v>88000</v>
      </c>
      <c r="H51" s="71">
        <f t="shared" si="3"/>
        <v>56320</v>
      </c>
      <c r="I51" s="71"/>
      <c r="J51" s="71"/>
      <c r="K51" s="71"/>
      <c r="L51" s="71"/>
      <c r="M51" s="71"/>
      <c r="N51" s="89"/>
    </row>
    <row r="52" spans="1:14" hidden="1">
      <c r="A52" s="89"/>
      <c r="B52" s="70"/>
      <c r="C52" s="70" t="s">
        <v>511</v>
      </c>
      <c r="D52" s="76">
        <v>0.6</v>
      </c>
      <c r="E52" s="71"/>
      <c r="F52" s="71">
        <v>17636.55</v>
      </c>
      <c r="G52" s="71">
        <f t="shared" si="0"/>
        <v>17636.55</v>
      </c>
      <c r="H52" s="71">
        <f t="shared" si="3"/>
        <v>10581.929999999998</v>
      </c>
      <c r="I52" s="71"/>
      <c r="J52" s="71"/>
      <c r="K52" s="71"/>
      <c r="L52" s="71"/>
      <c r="M52" s="71"/>
      <c r="N52" s="89"/>
    </row>
    <row r="53" spans="1:14" hidden="1">
      <c r="A53" s="89"/>
      <c r="B53" s="70"/>
      <c r="C53" s="70" t="s">
        <v>510</v>
      </c>
      <c r="D53" s="76">
        <v>0.6</v>
      </c>
      <c r="E53" s="71"/>
      <c r="F53" s="71">
        <v>44129.03</v>
      </c>
      <c r="G53" s="71">
        <f t="shared" si="0"/>
        <v>44129.03</v>
      </c>
      <c r="H53" s="71">
        <f t="shared" si="3"/>
        <v>26477.417999999998</v>
      </c>
      <c r="I53" s="71"/>
      <c r="J53" s="71"/>
      <c r="K53" s="71"/>
      <c r="L53" s="71"/>
      <c r="M53" s="71"/>
      <c r="N53" s="89"/>
    </row>
    <row r="54" spans="1:14" hidden="1">
      <c r="A54" s="89"/>
      <c r="B54" s="70"/>
      <c r="C54" s="70" t="s">
        <v>512</v>
      </c>
      <c r="D54" s="75">
        <v>0.35</v>
      </c>
      <c r="E54" s="74">
        <v>80960</v>
      </c>
      <c r="F54" s="71"/>
      <c r="G54" s="71">
        <f t="shared" si="0"/>
        <v>80960</v>
      </c>
      <c r="H54" s="71">
        <f t="shared" si="3"/>
        <v>28336</v>
      </c>
      <c r="I54" s="74"/>
      <c r="J54" s="71"/>
      <c r="K54" s="71"/>
      <c r="L54" s="71"/>
      <c r="M54" s="71"/>
      <c r="N54" s="89"/>
    </row>
    <row r="55" spans="1:14" hidden="1">
      <c r="A55" s="89"/>
      <c r="B55" s="70"/>
      <c r="C55" s="70" t="s">
        <v>500</v>
      </c>
      <c r="D55" s="72">
        <v>2.3E-2</v>
      </c>
      <c r="E55" s="74">
        <v>9600</v>
      </c>
      <c r="F55" s="71"/>
      <c r="G55" s="71">
        <f t="shared" si="0"/>
        <v>9600</v>
      </c>
      <c r="H55" s="71">
        <f t="shared" si="3"/>
        <v>220.79999999999998</v>
      </c>
      <c r="I55" s="74"/>
      <c r="J55" s="71"/>
      <c r="K55" s="71"/>
      <c r="L55" s="71"/>
      <c r="M55" s="71"/>
      <c r="N55" s="89"/>
    </row>
    <row r="56" spans="1:14" hidden="1">
      <c r="A56" s="89"/>
      <c r="B56" s="70"/>
      <c r="C56" s="70" t="s">
        <v>520</v>
      </c>
      <c r="D56" s="75">
        <v>0.65</v>
      </c>
      <c r="E56" s="71"/>
      <c r="F56" s="71">
        <v>41012.5</v>
      </c>
      <c r="G56" s="71">
        <f t="shared" si="0"/>
        <v>41012.5</v>
      </c>
      <c r="H56" s="71">
        <f t="shared" si="3"/>
        <v>26658.125</v>
      </c>
      <c r="I56" s="71"/>
      <c r="J56" s="71"/>
      <c r="K56" s="71"/>
      <c r="L56" s="71"/>
      <c r="M56" s="71"/>
      <c r="N56" s="89"/>
    </row>
    <row r="57" spans="1:14" hidden="1">
      <c r="A57" s="89"/>
      <c r="B57" s="70"/>
      <c r="C57" s="70" t="s">
        <v>521</v>
      </c>
      <c r="D57" s="79">
        <v>0.05</v>
      </c>
      <c r="E57" s="74">
        <v>48000</v>
      </c>
      <c r="F57" s="71"/>
      <c r="G57" s="71">
        <f t="shared" si="0"/>
        <v>48000</v>
      </c>
      <c r="H57" s="71">
        <f t="shared" si="3"/>
        <v>2400</v>
      </c>
      <c r="I57" s="74"/>
      <c r="J57" s="71"/>
      <c r="K57" s="71"/>
      <c r="L57" s="71"/>
      <c r="M57" s="71"/>
      <c r="N57" s="89"/>
    </row>
    <row r="58" spans="1:14" hidden="1">
      <c r="A58" s="89"/>
      <c r="B58" s="77" t="s">
        <v>522</v>
      </c>
      <c r="C58" s="77"/>
      <c r="D58" s="97"/>
      <c r="E58" s="78">
        <f t="shared" ref="E58:K58" si="6">SUM(E38:E57)</f>
        <v>308830.25</v>
      </c>
      <c r="F58" s="78">
        <f t="shared" si="6"/>
        <v>1959523.0964516131</v>
      </c>
      <c r="G58" s="78">
        <f t="shared" si="6"/>
        <v>2268353.3464516131</v>
      </c>
      <c r="H58" s="78">
        <f t="shared" si="6"/>
        <v>1249514.5013661291</v>
      </c>
      <c r="I58" s="78">
        <f t="shared" si="6"/>
        <v>0</v>
      </c>
      <c r="J58" s="78">
        <f t="shared" si="6"/>
        <v>0</v>
      </c>
      <c r="K58" s="78">
        <f t="shared" si="6"/>
        <v>0</v>
      </c>
      <c r="L58" s="78"/>
      <c r="M58" s="78">
        <f>SUM(M38:M57)</f>
        <v>0</v>
      </c>
      <c r="N58" s="89"/>
    </row>
    <row r="59" spans="1:14">
      <c r="A59" s="89"/>
      <c r="B59" s="87" t="s">
        <v>485</v>
      </c>
      <c r="C59" s="87"/>
      <c r="D59" s="98"/>
      <c r="E59" s="88">
        <f t="shared" ref="E59:K59" si="7">E58+E37+E18</f>
        <v>544219.54</v>
      </c>
      <c r="F59" s="88">
        <f t="shared" si="7"/>
        <v>6601820.5664516129</v>
      </c>
      <c r="G59" s="88">
        <f t="shared" si="7"/>
        <v>7146040.1064516138</v>
      </c>
      <c r="H59" s="88">
        <f t="shared" si="7"/>
        <v>4124124.3760361294</v>
      </c>
      <c r="I59" s="88">
        <f t="shared" si="7"/>
        <v>0</v>
      </c>
      <c r="J59" s="88">
        <f t="shared" si="7"/>
        <v>0</v>
      </c>
      <c r="K59" s="88">
        <f t="shared" si="7"/>
        <v>201</v>
      </c>
      <c r="L59" s="88"/>
      <c r="M59" s="88">
        <f>M58+M37+M18</f>
        <v>135</v>
      </c>
      <c r="N59" s="89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D26" sqref="D26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08" t="s">
        <v>361</v>
      </c>
      <c r="B1" s="208"/>
      <c r="C1" s="208"/>
      <c r="D1" s="208"/>
      <c r="E1" s="208"/>
      <c r="F1" s="208"/>
      <c r="G1" s="208"/>
      <c r="H1" s="208"/>
    </row>
    <row r="2" spans="1:18" ht="15.75">
      <c r="A2" s="209" t="s">
        <v>362</v>
      </c>
      <c r="B2" s="209"/>
      <c r="C2" s="209"/>
      <c r="D2" s="209"/>
      <c r="E2" s="209"/>
      <c r="F2" s="209"/>
      <c r="G2" s="209"/>
      <c r="H2" s="209"/>
    </row>
    <row r="3" spans="1:18">
      <c r="A3" s="109" t="s">
        <v>363</v>
      </c>
      <c r="B3" s="148">
        <f>B140</f>
        <v>-58146.039720000234</v>
      </c>
      <c r="C3" s="210"/>
      <c r="D3" s="182"/>
      <c r="E3" s="182"/>
      <c r="F3" s="182"/>
      <c r="G3" s="211"/>
      <c r="H3" s="148">
        <f>H140</f>
        <v>-928821.28799999994</v>
      </c>
    </row>
    <row r="4" spans="1:18" ht="24.75" customHeight="1">
      <c r="A4" s="110" t="s">
        <v>364</v>
      </c>
      <c r="B4" s="118" t="s">
        <v>365</v>
      </c>
      <c r="C4" s="110" t="s">
        <v>366</v>
      </c>
      <c r="D4" s="110" t="s">
        <v>367</v>
      </c>
      <c r="E4" s="110" t="s">
        <v>368</v>
      </c>
      <c r="F4" s="110" t="s">
        <v>369</v>
      </c>
      <c r="G4" s="111" t="s">
        <v>370</v>
      </c>
      <c r="H4" s="118" t="s">
        <v>371</v>
      </c>
      <c r="L4" s="22"/>
      <c r="M4" s="22"/>
      <c r="N4" s="22"/>
      <c r="O4" s="22"/>
      <c r="P4" s="22"/>
      <c r="Q4" s="22"/>
    </row>
    <row r="5" spans="1:18" ht="15.75">
      <c r="A5" s="147" t="s">
        <v>372</v>
      </c>
      <c r="B5" s="122"/>
      <c r="C5" s="123"/>
      <c r="D5" s="123"/>
      <c r="E5" s="123"/>
      <c r="F5" s="119"/>
      <c r="G5" s="119"/>
      <c r="H5" s="123"/>
      <c r="M5" s="24"/>
      <c r="N5" s="24"/>
      <c r="O5" s="24"/>
      <c r="P5" s="24"/>
      <c r="Q5" s="24"/>
      <c r="R5" s="24"/>
    </row>
    <row r="6" spans="1:18">
      <c r="A6" s="124" t="s">
        <v>373</v>
      </c>
      <c r="B6" s="122"/>
      <c r="C6" s="125"/>
      <c r="D6" s="125"/>
      <c r="E6" s="125"/>
      <c r="F6" s="123"/>
      <c r="G6" s="126"/>
      <c r="H6" s="125"/>
      <c r="M6" s="24"/>
      <c r="N6" s="24"/>
      <c r="O6" s="24"/>
      <c r="P6" s="24"/>
      <c r="Q6" s="24"/>
      <c r="R6" s="24"/>
    </row>
    <row r="7" spans="1:18">
      <c r="A7" s="127" t="s">
        <v>374</v>
      </c>
      <c r="B7" s="176">
        <f>Material_Cost!F37</f>
        <v>2059808.14</v>
      </c>
      <c r="C7" s="128">
        <v>386555.96</v>
      </c>
      <c r="D7" s="125">
        <v>386555.96</v>
      </c>
      <c r="E7" s="125">
        <v>386555.96</v>
      </c>
      <c r="F7" s="125">
        <v>386555.96</v>
      </c>
      <c r="G7" s="129">
        <f>H7/$H$10</f>
        <v>0.87158302108948116</v>
      </c>
      <c r="H7" s="128">
        <f>C7</f>
        <v>386555.96</v>
      </c>
      <c r="M7" s="24"/>
      <c r="N7" s="24"/>
      <c r="O7" s="24"/>
      <c r="P7" s="24"/>
      <c r="Q7" s="24"/>
      <c r="R7" s="24"/>
    </row>
    <row r="8" spans="1:18">
      <c r="A8" s="127" t="s">
        <v>375</v>
      </c>
      <c r="B8" s="176">
        <f>Material_Cost!E37</f>
        <v>56825.2</v>
      </c>
      <c r="C8" s="130">
        <v>56954.239999999998</v>
      </c>
      <c r="D8" s="125">
        <v>56954.239999999998</v>
      </c>
      <c r="E8" s="125">
        <v>56954.239999999998</v>
      </c>
      <c r="F8" s="125">
        <v>56954.239999999998</v>
      </c>
      <c r="G8" s="129">
        <f t="shared" ref="G8:G70" si="0">H8/$H$10</f>
        <v>0.12841697891051884</v>
      </c>
      <c r="H8" s="128">
        <f>C8</f>
        <v>56954.239999999998</v>
      </c>
      <c r="M8" s="24"/>
      <c r="N8" s="24"/>
      <c r="O8" s="24"/>
      <c r="P8" s="24"/>
      <c r="Q8" s="24"/>
      <c r="R8" s="24"/>
    </row>
    <row r="9" spans="1:18">
      <c r="A9" s="127" t="s">
        <v>376</v>
      </c>
      <c r="B9" s="131"/>
      <c r="C9" s="132">
        <v>0</v>
      </c>
      <c r="D9" s="125">
        <v>0</v>
      </c>
      <c r="E9" s="125">
        <v>0</v>
      </c>
      <c r="F9" s="125">
        <v>0</v>
      </c>
      <c r="G9" s="129">
        <f t="shared" si="0"/>
        <v>0</v>
      </c>
      <c r="H9" s="128">
        <f>C9</f>
        <v>0</v>
      </c>
      <c r="M9" s="24"/>
      <c r="N9" s="24"/>
      <c r="O9" s="24"/>
      <c r="P9" s="24"/>
      <c r="Q9" s="24"/>
      <c r="R9" s="24"/>
    </row>
    <row r="10" spans="1:18" ht="15.75">
      <c r="A10" s="120" t="s">
        <v>377</v>
      </c>
      <c r="B10" s="134">
        <f t="shared" ref="B10:H10" si="1">B7+B8+B9</f>
        <v>2116633.34</v>
      </c>
      <c r="C10" s="134">
        <f t="shared" si="1"/>
        <v>443510.2</v>
      </c>
      <c r="D10" s="134">
        <f t="shared" si="1"/>
        <v>443510.2</v>
      </c>
      <c r="E10" s="134">
        <f t="shared" si="1"/>
        <v>443510.2</v>
      </c>
      <c r="F10" s="134">
        <f t="shared" si="1"/>
        <v>443510.2</v>
      </c>
      <c r="G10" s="129">
        <f t="shared" si="0"/>
        <v>1</v>
      </c>
      <c r="H10" s="134">
        <f t="shared" si="1"/>
        <v>443510.2</v>
      </c>
      <c r="M10" s="24"/>
      <c r="N10" s="24"/>
      <c r="O10" s="24"/>
      <c r="P10" s="24"/>
      <c r="Q10" s="24"/>
      <c r="R10" s="24"/>
    </row>
    <row r="11" spans="1:18">
      <c r="A11" s="133"/>
      <c r="B11" s="122"/>
      <c r="C11" s="125"/>
      <c r="D11" s="125"/>
      <c r="E11" s="125"/>
      <c r="F11" s="125"/>
      <c r="G11" s="129"/>
      <c r="H11" s="125"/>
      <c r="M11" s="24"/>
      <c r="N11" s="24"/>
      <c r="O11" s="24"/>
      <c r="P11" s="24"/>
      <c r="Q11" s="24"/>
      <c r="R11" s="24"/>
    </row>
    <row r="12" spans="1:18">
      <c r="A12" s="124" t="s">
        <v>378</v>
      </c>
      <c r="B12" s="122"/>
      <c r="C12" s="125"/>
      <c r="D12" s="125"/>
      <c r="E12" s="125"/>
      <c r="F12" s="125"/>
      <c r="G12" s="129"/>
      <c r="H12" s="125"/>
      <c r="M12" s="24"/>
      <c r="N12" s="24"/>
      <c r="O12" s="24"/>
      <c r="P12" s="24"/>
      <c r="Q12" s="24"/>
      <c r="R12" s="24"/>
    </row>
    <row r="13" spans="1:18">
      <c r="A13" s="127" t="s">
        <v>379</v>
      </c>
      <c r="B13" s="122">
        <f>Material_Cost!H37</f>
        <v>1262311.8657199999</v>
      </c>
      <c r="C13" s="122">
        <v>270541.22200000001</v>
      </c>
      <c r="D13" s="122">
        <v>270541.22200000001</v>
      </c>
      <c r="E13" s="122">
        <v>270541.22200000001</v>
      </c>
      <c r="F13" s="122">
        <v>270541.22200000001</v>
      </c>
      <c r="G13" s="129">
        <f t="shared" si="0"/>
        <v>2.44</v>
      </c>
      <c r="H13" s="125">
        <f>SUM(C13:F13)</f>
        <v>1082164.888</v>
      </c>
      <c r="M13" s="24"/>
      <c r="N13" s="24"/>
      <c r="O13" s="24"/>
      <c r="P13" s="24"/>
      <c r="Q13" s="24"/>
      <c r="R13" s="24"/>
    </row>
    <row r="14" spans="1:18">
      <c r="A14" s="133" t="s">
        <v>380</v>
      </c>
      <c r="B14" s="134">
        <f>B13</f>
        <v>1262311.8657199999</v>
      </c>
      <c r="C14" s="134">
        <f>C13</f>
        <v>270541.22200000001</v>
      </c>
      <c r="D14" s="134">
        <f>D13</f>
        <v>270541.22200000001</v>
      </c>
      <c r="E14" s="134">
        <f>E13</f>
        <v>270541.22200000001</v>
      </c>
      <c r="F14" s="134">
        <f>F13</f>
        <v>270541.22200000001</v>
      </c>
      <c r="G14" s="129">
        <f t="shared" si="0"/>
        <v>2.44</v>
      </c>
      <c r="H14" s="134">
        <f>H13</f>
        <v>1082164.888</v>
      </c>
      <c r="M14" s="24"/>
      <c r="N14" s="24"/>
      <c r="O14" s="24"/>
      <c r="P14" s="24"/>
      <c r="Q14" s="24"/>
      <c r="R14" s="24"/>
    </row>
    <row r="15" spans="1:18">
      <c r="A15" s="135"/>
      <c r="B15" s="122"/>
      <c r="C15" s="125"/>
      <c r="D15" s="125"/>
      <c r="E15" s="125"/>
      <c r="F15" s="125"/>
      <c r="G15" s="129"/>
      <c r="H15" s="136"/>
      <c r="M15" s="24"/>
      <c r="N15" s="24"/>
      <c r="O15" s="24"/>
      <c r="P15" s="24"/>
      <c r="Q15" s="24"/>
      <c r="R15" s="24"/>
    </row>
    <row r="16" spans="1:18">
      <c r="A16" s="124" t="s">
        <v>381</v>
      </c>
      <c r="B16" s="122"/>
      <c r="C16" s="125"/>
      <c r="D16" s="125"/>
      <c r="E16" s="125"/>
      <c r="F16" s="125"/>
      <c r="G16" s="129"/>
      <c r="H16" s="125">
        <f t="shared" ref="H16:H79" si="2">SUM(C16:F16)</f>
        <v>0</v>
      </c>
      <c r="M16" s="24"/>
      <c r="N16" s="24"/>
      <c r="O16" s="24"/>
      <c r="P16" s="24"/>
      <c r="Q16" s="24"/>
      <c r="R16" s="24"/>
    </row>
    <row r="17" spans="1:18">
      <c r="A17" s="127" t="s">
        <v>382</v>
      </c>
      <c r="B17" s="132">
        <v>260250</v>
      </c>
      <c r="C17" s="125">
        <v>122.79</v>
      </c>
      <c r="D17" s="125">
        <v>901.66</v>
      </c>
      <c r="E17" s="125">
        <v>901.67</v>
      </c>
      <c r="F17" s="125">
        <v>0</v>
      </c>
      <c r="G17" s="129">
        <f t="shared" si="0"/>
        <v>4.3428989908236605E-3</v>
      </c>
      <c r="H17" s="125">
        <f t="shared" si="2"/>
        <v>1926.12</v>
      </c>
      <c r="I17" s="24">
        <f>H17-B17</f>
        <v>-258323.88</v>
      </c>
      <c r="M17" s="24"/>
      <c r="N17" s="24"/>
      <c r="O17" s="24"/>
      <c r="P17" s="24"/>
      <c r="Q17" s="24"/>
      <c r="R17" s="24"/>
    </row>
    <row r="18" spans="1:18">
      <c r="A18" s="127" t="s">
        <v>383</v>
      </c>
      <c r="B18" s="132">
        <v>20600</v>
      </c>
      <c r="C18" s="125">
        <v>2700</v>
      </c>
      <c r="D18" s="125">
        <v>2700</v>
      </c>
      <c r="E18" s="125">
        <v>2700</v>
      </c>
      <c r="F18" s="125">
        <v>2700</v>
      </c>
      <c r="G18" s="129">
        <f t="shared" si="0"/>
        <v>2.4351187413502551E-2</v>
      </c>
      <c r="H18" s="125">
        <f t="shared" si="2"/>
        <v>10800</v>
      </c>
      <c r="I18" s="24">
        <f t="shared" ref="I18:I81" si="3">H18-B18</f>
        <v>-9800</v>
      </c>
      <c r="M18" s="24"/>
      <c r="N18" s="24"/>
      <c r="O18" s="24"/>
      <c r="P18" s="24"/>
      <c r="Q18" s="24"/>
      <c r="R18" s="24"/>
    </row>
    <row r="19" spans="1:18">
      <c r="A19" s="127" t="s">
        <v>384</v>
      </c>
      <c r="B19" s="132">
        <v>0</v>
      </c>
      <c r="C19" s="125">
        <v>0</v>
      </c>
      <c r="D19" s="125">
        <v>0</v>
      </c>
      <c r="E19" s="125">
        <v>0</v>
      </c>
      <c r="F19" s="125">
        <v>0</v>
      </c>
      <c r="G19" s="129">
        <f t="shared" si="0"/>
        <v>0</v>
      </c>
      <c r="H19" s="125">
        <f t="shared" si="2"/>
        <v>0</v>
      </c>
      <c r="I19" s="24">
        <f t="shared" si="3"/>
        <v>0</v>
      </c>
      <c r="M19" s="24"/>
      <c r="N19" s="24"/>
      <c r="O19" s="24"/>
      <c r="P19" s="24"/>
      <c r="Q19" s="24"/>
      <c r="R19" s="24"/>
    </row>
    <row r="20" spans="1:18">
      <c r="A20" s="127" t="s">
        <v>385</v>
      </c>
      <c r="B20" s="132">
        <v>0</v>
      </c>
      <c r="C20" s="125">
        <v>0</v>
      </c>
      <c r="D20" s="125">
        <v>0</v>
      </c>
      <c r="E20" s="125">
        <v>0</v>
      </c>
      <c r="F20" s="125">
        <v>0</v>
      </c>
      <c r="G20" s="129">
        <f t="shared" si="0"/>
        <v>0</v>
      </c>
      <c r="H20" s="125">
        <f t="shared" si="2"/>
        <v>0</v>
      </c>
      <c r="I20" s="24">
        <f t="shared" si="3"/>
        <v>0</v>
      </c>
      <c r="J20" s="16"/>
      <c r="M20" s="24"/>
      <c r="N20" s="24"/>
      <c r="O20" s="24"/>
      <c r="P20" s="24"/>
      <c r="Q20" s="24"/>
      <c r="R20" s="24"/>
    </row>
    <row r="21" spans="1:18">
      <c r="A21" s="127" t="s">
        <v>386</v>
      </c>
      <c r="B21" s="132">
        <v>10343.979499999999</v>
      </c>
      <c r="C21" s="125">
        <v>2655.51</v>
      </c>
      <c r="D21" s="125">
        <v>4436.3599999999997</v>
      </c>
      <c r="E21" s="125">
        <v>3929.89</v>
      </c>
      <c r="F21" s="125">
        <v>2181.4299999999998</v>
      </c>
      <c r="G21" s="129">
        <f t="shared" si="0"/>
        <v>2.9769755013526182E-2</v>
      </c>
      <c r="H21" s="125">
        <f t="shared" si="2"/>
        <v>13203.19</v>
      </c>
      <c r="I21" s="24">
        <f t="shared" si="3"/>
        <v>2859.210500000001</v>
      </c>
      <c r="M21" s="24"/>
      <c r="N21" s="24"/>
      <c r="O21" s="24"/>
      <c r="P21" s="24"/>
      <c r="Q21" s="24"/>
      <c r="R21" s="24"/>
    </row>
    <row r="22" spans="1:18">
      <c r="A22" s="127" t="s">
        <v>387</v>
      </c>
      <c r="B22" s="132">
        <v>0</v>
      </c>
      <c r="C22" s="125">
        <v>0</v>
      </c>
      <c r="D22" s="125">
        <v>0</v>
      </c>
      <c r="E22" s="125">
        <v>0</v>
      </c>
      <c r="F22" s="125">
        <v>0</v>
      </c>
      <c r="G22" s="129">
        <f t="shared" si="0"/>
        <v>0</v>
      </c>
      <c r="H22" s="125">
        <f t="shared" si="2"/>
        <v>0</v>
      </c>
      <c r="I22" s="24">
        <f t="shared" si="3"/>
        <v>0</v>
      </c>
      <c r="M22" s="24"/>
      <c r="N22" s="24"/>
      <c r="O22" s="24"/>
      <c r="P22" s="24"/>
      <c r="Q22" s="24"/>
      <c r="R22" s="24"/>
    </row>
    <row r="23" spans="1:18">
      <c r="A23" s="127" t="s">
        <v>388</v>
      </c>
      <c r="B23" s="132">
        <v>15885.723</v>
      </c>
      <c r="C23" s="125">
        <v>0</v>
      </c>
      <c r="D23" s="125">
        <v>0</v>
      </c>
      <c r="E23" s="125">
        <v>0</v>
      </c>
      <c r="F23" s="125">
        <v>0</v>
      </c>
      <c r="G23" s="129">
        <f t="shared" si="0"/>
        <v>0</v>
      </c>
      <c r="H23" s="125">
        <f t="shared" si="2"/>
        <v>0</v>
      </c>
      <c r="I23" s="24">
        <f t="shared" si="3"/>
        <v>-15885.723</v>
      </c>
      <c r="M23" s="24"/>
      <c r="N23" s="24"/>
      <c r="O23" s="24"/>
      <c r="P23" s="24"/>
      <c r="Q23" s="24"/>
      <c r="R23" s="24"/>
    </row>
    <row r="24" spans="1:18">
      <c r="A24" s="137" t="s">
        <v>389</v>
      </c>
      <c r="B24" s="134">
        <f>SUM(B17:B23)</f>
        <v>307079.70250000001</v>
      </c>
      <c r="C24" s="134">
        <f>SUM(C17:C23)</f>
        <v>5478.3</v>
      </c>
      <c r="D24" s="134">
        <f>SUM(D17:D23)</f>
        <v>8038.0199999999995</v>
      </c>
      <c r="E24" s="134">
        <f>SUM(E17:E23)</f>
        <v>7531.5599999999995</v>
      </c>
      <c r="F24" s="134">
        <f>SUM(F17:F23)</f>
        <v>4881.43</v>
      </c>
      <c r="G24" s="129">
        <f t="shared" si="0"/>
        <v>5.8463841417852387E-2</v>
      </c>
      <c r="H24" s="123">
        <f t="shared" si="2"/>
        <v>25929.309999999998</v>
      </c>
      <c r="I24" s="24">
        <f t="shared" si="3"/>
        <v>-281150.39250000002</v>
      </c>
      <c r="M24" s="24"/>
      <c r="N24" s="24"/>
      <c r="O24" s="24"/>
      <c r="P24" s="24"/>
      <c r="Q24" s="24"/>
      <c r="R24" s="24"/>
    </row>
    <row r="25" spans="1:18">
      <c r="A25" s="137"/>
      <c r="B25" s="122"/>
      <c r="C25" s="125"/>
      <c r="D25" s="125"/>
      <c r="E25" s="125"/>
      <c r="F25" s="125"/>
      <c r="G25" s="129"/>
      <c r="H25" s="125"/>
      <c r="I25" s="24">
        <f t="shared" si="3"/>
        <v>0</v>
      </c>
      <c r="M25" s="24"/>
      <c r="N25" s="24"/>
      <c r="O25" s="24"/>
      <c r="P25" s="24"/>
      <c r="Q25" s="24"/>
      <c r="R25" s="24"/>
    </row>
    <row r="26" spans="1:18">
      <c r="A26" s="124" t="s">
        <v>390</v>
      </c>
      <c r="B26" s="122"/>
      <c r="C26" s="125"/>
      <c r="D26" s="125"/>
      <c r="E26" s="125"/>
      <c r="F26" s="125"/>
      <c r="G26" s="129"/>
      <c r="H26" s="125"/>
      <c r="I26" s="24">
        <f t="shared" si="3"/>
        <v>0</v>
      </c>
      <c r="M26" s="24"/>
      <c r="N26" s="24"/>
      <c r="O26" s="24"/>
      <c r="P26" s="24"/>
      <c r="Q26" s="24"/>
      <c r="R26" s="24"/>
    </row>
    <row r="27" spans="1:18">
      <c r="A27" s="127" t="s">
        <v>152</v>
      </c>
      <c r="B27" s="132">
        <v>5375.03</v>
      </c>
      <c r="C27" s="125">
        <v>126.88</v>
      </c>
      <c r="D27" s="125">
        <v>126.43</v>
      </c>
      <c r="E27" s="125">
        <v>0</v>
      </c>
      <c r="F27" s="125">
        <v>126.88</v>
      </c>
      <c r="G27" s="129">
        <f t="shared" si="0"/>
        <v>8.5722943914254951E-4</v>
      </c>
      <c r="H27" s="125">
        <f t="shared" si="2"/>
        <v>380.19</v>
      </c>
      <c r="I27" s="24">
        <f t="shared" si="3"/>
        <v>-4994.84</v>
      </c>
      <c r="M27" s="24"/>
      <c r="N27" s="24"/>
      <c r="O27" s="24"/>
      <c r="P27" s="24"/>
      <c r="Q27" s="24"/>
      <c r="R27" s="24"/>
    </row>
    <row r="28" spans="1:18">
      <c r="A28" s="127" t="s">
        <v>83</v>
      </c>
      <c r="B28" s="132">
        <v>25000</v>
      </c>
      <c r="C28" s="125">
        <v>7633.95</v>
      </c>
      <c r="D28" s="125">
        <v>7633.95</v>
      </c>
      <c r="E28" s="125">
        <v>7633.95</v>
      </c>
      <c r="F28" s="125">
        <v>7633.95</v>
      </c>
      <c r="G28" s="129">
        <f t="shared" si="0"/>
        <v>6.8850276724188073E-2</v>
      </c>
      <c r="H28" s="125">
        <f t="shared" si="2"/>
        <v>30535.8</v>
      </c>
      <c r="I28" s="24">
        <f t="shared" si="3"/>
        <v>5535.7999999999993</v>
      </c>
      <c r="M28" s="24"/>
      <c r="N28" s="24"/>
      <c r="O28" s="24"/>
      <c r="P28" s="24"/>
      <c r="Q28" s="24"/>
      <c r="R28" s="24"/>
    </row>
    <row r="29" spans="1:18">
      <c r="A29" s="127" t="s">
        <v>78</v>
      </c>
      <c r="B29" s="132">
        <v>21536.61</v>
      </c>
      <c r="C29" s="125">
        <v>76.62</v>
      </c>
      <c r="D29" s="125">
        <v>254.14</v>
      </c>
      <c r="E29" s="125">
        <v>779.6</v>
      </c>
      <c r="F29" s="125">
        <v>84.77</v>
      </c>
      <c r="G29" s="129">
        <f t="shared" si="0"/>
        <v>2.6947069086573432E-3</v>
      </c>
      <c r="H29" s="125">
        <f t="shared" si="2"/>
        <v>1195.1300000000001</v>
      </c>
      <c r="I29" s="24">
        <f t="shared" si="3"/>
        <v>-20341.48</v>
      </c>
      <c r="M29" s="24"/>
      <c r="N29" s="24"/>
      <c r="O29" s="24"/>
      <c r="P29" s="24"/>
      <c r="Q29" s="24"/>
      <c r="R29" s="24"/>
    </row>
    <row r="30" spans="1:18">
      <c r="A30" s="127" t="s">
        <v>391</v>
      </c>
      <c r="B30" s="132">
        <v>257250</v>
      </c>
      <c r="C30" s="125">
        <v>199.33</v>
      </c>
      <c r="D30" s="125">
        <v>0</v>
      </c>
      <c r="E30" s="125">
        <v>0</v>
      </c>
      <c r="F30" s="125">
        <v>0</v>
      </c>
      <c r="G30" s="129">
        <f t="shared" si="0"/>
        <v>4.4943723954939482E-4</v>
      </c>
      <c r="H30" s="125">
        <f t="shared" si="2"/>
        <v>199.33</v>
      </c>
      <c r="I30" s="24">
        <f t="shared" si="3"/>
        <v>-257050.67</v>
      </c>
      <c r="M30" s="24"/>
      <c r="N30" s="24"/>
      <c r="O30" s="24"/>
      <c r="P30" s="24"/>
      <c r="Q30" s="24"/>
      <c r="R30" s="24"/>
    </row>
    <row r="31" spans="1:18">
      <c r="A31" s="127" t="s">
        <v>74</v>
      </c>
      <c r="B31" s="132">
        <v>15561.89</v>
      </c>
      <c r="C31" s="125">
        <v>1863.9</v>
      </c>
      <c r="D31" s="125">
        <v>5107.6000000000004</v>
      </c>
      <c r="E31" s="125">
        <v>4098.6000000000004</v>
      </c>
      <c r="F31" s="125">
        <v>3779.14</v>
      </c>
      <c r="G31" s="129">
        <f t="shared" si="0"/>
        <v>3.3481169091488759E-2</v>
      </c>
      <c r="H31" s="125">
        <f t="shared" si="2"/>
        <v>14849.24</v>
      </c>
      <c r="I31" s="24">
        <f t="shared" si="3"/>
        <v>-712.64999999999964</v>
      </c>
      <c r="M31" s="24"/>
      <c r="N31" s="24"/>
      <c r="O31" s="24"/>
      <c r="P31" s="24"/>
      <c r="Q31" s="24"/>
      <c r="R31" s="24"/>
    </row>
    <row r="32" spans="1:18">
      <c r="A32" s="127" t="s">
        <v>392</v>
      </c>
      <c r="B32" s="132">
        <v>6000</v>
      </c>
      <c r="C32" s="125">
        <v>1667.26</v>
      </c>
      <c r="D32" s="125">
        <v>1667.26</v>
      </c>
      <c r="E32" s="125">
        <v>1667.26</v>
      </c>
      <c r="F32" s="125">
        <v>1667.26</v>
      </c>
      <c r="G32" s="129">
        <f t="shared" si="0"/>
        <v>1.5036948417420839E-2</v>
      </c>
      <c r="H32" s="125">
        <f t="shared" si="2"/>
        <v>6669.04</v>
      </c>
      <c r="I32" s="24">
        <f t="shared" si="3"/>
        <v>669.04</v>
      </c>
      <c r="M32" s="24"/>
      <c r="N32" s="24"/>
      <c r="O32" s="24"/>
      <c r="P32" s="24"/>
      <c r="Q32" s="24"/>
      <c r="R32" s="24"/>
    </row>
    <row r="33" spans="1:18">
      <c r="A33" s="138" t="s">
        <v>393</v>
      </c>
      <c r="B33" s="132">
        <v>54459.64</v>
      </c>
      <c r="C33" s="125">
        <v>16128.62</v>
      </c>
      <c r="D33" s="125">
        <v>16128.62</v>
      </c>
      <c r="E33" s="125">
        <v>16128.62</v>
      </c>
      <c r="F33" s="125">
        <v>16128.62</v>
      </c>
      <c r="G33" s="129">
        <f t="shared" si="0"/>
        <v>0.14546335123746873</v>
      </c>
      <c r="H33" s="125">
        <f t="shared" si="2"/>
        <v>64514.48</v>
      </c>
      <c r="I33" s="24">
        <f t="shared" si="3"/>
        <v>10054.840000000004</v>
      </c>
      <c r="M33" s="24"/>
      <c r="N33" s="24"/>
      <c r="O33" s="24"/>
      <c r="P33" s="24"/>
      <c r="Q33" s="24"/>
      <c r="R33" s="24"/>
    </row>
    <row r="34" spans="1:18">
      <c r="A34" s="127" t="s">
        <v>394</v>
      </c>
      <c r="B34" s="132">
        <v>3679.7200000000003</v>
      </c>
      <c r="C34" s="125">
        <v>999.88</v>
      </c>
      <c r="D34" s="125">
        <v>999.88</v>
      </c>
      <c r="E34" s="125">
        <v>999.88</v>
      </c>
      <c r="F34" s="125">
        <v>999.88</v>
      </c>
      <c r="G34" s="129">
        <f t="shared" si="0"/>
        <v>9.0178760263010856E-3</v>
      </c>
      <c r="H34" s="125">
        <f t="shared" si="2"/>
        <v>3999.52</v>
      </c>
      <c r="I34" s="24">
        <f t="shared" si="3"/>
        <v>319.79999999999973</v>
      </c>
      <c r="M34" s="24"/>
      <c r="N34" s="24"/>
      <c r="O34" s="24"/>
      <c r="P34" s="24"/>
      <c r="Q34" s="24"/>
      <c r="R34" s="24"/>
    </row>
    <row r="35" spans="1:18">
      <c r="A35" s="127" t="s">
        <v>395</v>
      </c>
      <c r="B35" s="132">
        <v>5623.8399999999992</v>
      </c>
      <c r="C35" s="125">
        <v>0</v>
      </c>
      <c r="D35" s="125">
        <v>0</v>
      </c>
      <c r="E35" s="125">
        <v>0</v>
      </c>
      <c r="F35" s="125">
        <v>0</v>
      </c>
      <c r="G35" s="129">
        <f t="shared" si="0"/>
        <v>0</v>
      </c>
      <c r="H35" s="125">
        <f t="shared" si="2"/>
        <v>0</v>
      </c>
      <c r="I35" s="24">
        <f t="shared" si="3"/>
        <v>-5623.8399999999992</v>
      </c>
      <c r="M35" s="24"/>
      <c r="N35" s="24"/>
      <c r="O35" s="24"/>
      <c r="P35" s="24"/>
      <c r="Q35" s="24"/>
      <c r="R35" s="24"/>
    </row>
    <row r="36" spans="1:18">
      <c r="A36" s="127" t="s">
        <v>136</v>
      </c>
      <c r="B36" s="132">
        <v>484.46</v>
      </c>
      <c r="C36" s="125">
        <v>73.55</v>
      </c>
      <c r="D36" s="125">
        <v>73.55</v>
      </c>
      <c r="E36" s="125">
        <v>73.55</v>
      </c>
      <c r="F36" s="125">
        <v>0</v>
      </c>
      <c r="G36" s="129">
        <f t="shared" si="0"/>
        <v>4.9750828729530909E-4</v>
      </c>
      <c r="H36" s="125">
        <f t="shared" si="2"/>
        <v>220.64999999999998</v>
      </c>
      <c r="I36" s="24">
        <f t="shared" si="3"/>
        <v>-263.81</v>
      </c>
      <c r="M36" s="24"/>
      <c r="N36" s="24"/>
      <c r="O36" s="24"/>
      <c r="P36" s="24"/>
      <c r="Q36" s="24"/>
      <c r="R36" s="24"/>
    </row>
    <row r="37" spans="1:18">
      <c r="A37" s="127" t="s">
        <v>396</v>
      </c>
      <c r="B37" s="132">
        <v>12855.169999999998</v>
      </c>
      <c r="C37" s="125">
        <v>6137.92</v>
      </c>
      <c r="D37" s="125">
        <v>6137.92</v>
      </c>
      <c r="E37" s="125">
        <v>6137.92</v>
      </c>
      <c r="F37" s="125">
        <v>6137.92</v>
      </c>
      <c r="G37" s="129">
        <f t="shared" si="0"/>
        <v>5.5357644536698364E-2</v>
      </c>
      <c r="H37" s="125">
        <f t="shared" si="2"/>
        <v>24551.68</v>
      </c>
      <c r="I37" s="24">
        <f t="shared" si="3"/>
        <v>11696.510000000002</v>
      </c>
      <c r="M37" s="24"/>
      <c r="N37" s="24"/>
      <c r="O37" s="24"/>
      <c r="P37" s="24"/>
      <c r="Q37" s="24"/>
      <c r="R37" s="24"/>
    </row>
    <row r="38" spans="1:18">
      <c r="A38" s="133" t="s">
        <v>397</v>
      </c>
      <c r="B38" s="134">
        <f>SUM(B27:B37)</f>
        <v>407826.36000000004</v>
      </c>
      <c r="C38" s="134">
        <f>SUM(C27:C37)</f>
        <v>34907.910000000003</v>
      </c>
      <c r="D38" s="134">
        <f>SUM(D27:D37)</f>
        <v>38129.35</v>
      </c>
      <c r="E38" s="134">
        <f>SUM(E27:E37)</f>
        <v>37519.379999999997</v>
      </c>
      <c r="F38" s="134">
        <f>SUM(F27:F37)</f>
        <v>36558.420000000006</v>
      </c>
      <c r="G38" s="129">
        <f t="shared" si="0"/>
        <v>0.33170614790821051</v>
      </c>
      <c r="H38" s="123">
        <f t="shared" si="2"/>
        <v>147115.06000000003</v>
      </c>
      <c r="I38" s="24">
        <f t="shared" si="3"/>
        <v>-260711.30000000002</v>
      </c>
      <c r="M38" s="24"/>
      <c r="N38" s="24"/>
      <c r="O38" s="24"/>
      <c r="P38" s="24"/>
      <c r="Q38" s="24"/>
      <c r="R38" s="24"/>
    </row>
    <row r="39" spans="1:18">
      <c r="A39" s="137" t="s">
        <v>398</v>
      </c>
      <c r="B39" s="134">
        <f>B24+B38</f>
        <v>714906.0625</v>
      </c>
      <c r="C39" s="134">
        <f>C24+C38</f>
        <v>40386.210000000006</v>
      </c>
      <c r="D39" s="134">
        <f>D24+D38</f>
        <v>46167.369999999995</v>
      </c>
      <c r="E39" s="134">
        <f>E24+E38</f>
        <v>45050.939999999995</v>
      </c>
      <c r="F39" s="134">
        <f>F24+F38</f>
        <v>41439.850000000006</v>
      </c>
      <c r="G39" s="129">
        <f t="shared" si="0"/>
        <v>0.39016998932606284</v>
      </c>
      <c r="H39" s="123">
        <f t="shared" si="2"/>
        <v>173044.37</v>
      </c>
      <c r="I39" s="24">
        <f t="shared" si="3"/>
        <v>-541861.6925</v>
      </c>
      <c r="M39" s="24"/>
      <c r="N39" s="24"/>
      <c r="O39" s="24"/>
      <c r="P39" s="24"/>
      <c r="Q39" s="24"/>
      <c r="R39" s="24"/>
    </row>
    <row r="40" spans="1:18">
      <c r="A40" s="137"/>
      <c r="B40" s="119"/>
      <c r="C40" s="119"/>
      <c r="D40" s="119"/>
      <c r="E40" s="119"/>
      <c r="F40" s="119"/>
      <c r="G40" s="129"/>
      <c r="H40" s="123"/>
      <c r="I40" s="24">
        <f t="shared" si="3"/>
        <v>0</v>
      </c>
      <c r="M40" s="24"/>
      <c r="N40" s="24"/>
      <c r="O40" s="24"/>
      <c r="P40" s="24"/>
      <c r="Q40" s="24"/>
      <c r="R40" s="24"/>
    </row>
    <row r="41" spans="1:18">
      <c r="A41" s="121" t="s">
        <v>399</v>
      </c>
      <c r="B41" s="134">
        <f>B10-B14-B39</f>
        <v>139415.41177999997</v>
      </c>
      <c r="C41" s="134">
        <f>C10-C14-C39</f>
        <v>132582.76799999998</v>
      </c>
      <c r="D41" s="134">
        <f>D10-D14-D39</f>
        <v>126801.60800000001</v>
      </c>
      <c r="E41" s="134">
        <f>E10-E14-E39</f>
        <v>127918.038</v>
      </c>
      <c r="F41" s="134">
        <f>F10-F14-F39</f>
        <v>131529.128</v>
      </c>
      <c r="G41" s="129">
        <f t="shared" si="0"/>
        <v>1.1698300106739372</v>
      </c>
      <c r="H41" s="123">
        <f t="shared" si="2"/>
        <v>518831.54200000002</v>
      </c>
      <c r="I41" s="24">
        <f t="shared" si="3"/>
        <v>379416.13022000005</v>
      </c>
      <c r="M41" s="24"/>
      <c r="N41" s="24"/>
      <c r="O41" s="24"/>
      <c r="P41" s="24"/>
      <c r="Q41" s="24"/>
      <c r="R41" s="24"/>
    </row>
    <row r="42" spans="1:18">
      <c r="A42" s="137"/>
      <c r="B42" s="122"/>
      <c r="C42" s="125"/>
      <c r="D42" s="125"/>
      <c r="E42" s="125"/>
      <c r="F42" s="125"/>
      <c r="G42" s="129"/>
      <c r="H42" s="125"/>
      <c r="I42" s="24">
        <f t="shared" si="3"/>
        <v>0</v>
      </c>
      <c r="M42" s="24"/>
      <c r="N42" s="24"/>
      <c r="O42" s="24"/>
      <c r="P42" s="24"/>
      <c r="Q42" s="24"/>
      <c r="R42" s="24"/>
    </row>
    <row r="43" spans="1:18">
      <c r="A43" s="121" t="s">
        <v>400</v>
      </c>
      <c r="B43" s="122"/>
      <c r="C43" s="139"/>
      <c r="D43" s="125"/>
      <c r="E43" s="125"/>
      <c r="F43" s="125"/>
      <c r="G43" s="129"/>
      <c r="H43" s="125"/>
      <c r="I43" s="24">
        <f t="shared" si="3"/>
        <v>0</v>
      </c>
      <c r="M43" s="24"/>
      <c r="N43" s="24"/>
      <c r="O43" s="24"/>
      <c r="P43" s="24"/>
      <c r="Q43" s="24"/>
      <c r="R43" s="24"/>
    </row>
    <row r="44" spans="1:18">
      <c r="A44" s="124" t="s">
        <v>401</v>
      </c>
      <c r="B44" s="122"/>
      <c r="C44" s="139"/>
      <c r="D44" s="125"/>
      <c r="E44" s="125"/>
      <c r="F44" s="125"/>
      <c r="G44" s="129"/>
      <c r="H44" s="125"/>
      <c r="I44" s="24">
        <f t="shared" si="3"/>
        <v>0</v>
      </c>
      <c r="M44" s="24"/>
      <c r="N44" s="24"/>
      <c r="O44" s="24"/>
      <c r="P44" s="24"/>
      <c r="Q44" s="24"/>
      <c r="R44" s="24"/>
    </row>
    <row r="45" spans="1:18">
      <c r="A45" s="140" t="s">
        <v>402</v>
      </c>
      <c r="B45" s="122"/>
      <c r="C45" s="139"/>
      <c r="D45" s="125"/>
      <c r="E45" s="125"/>
      <c r="F45" s="125"/>
      <c r="G45" s="129"/>
      <c r="H45" s="125"/>
      <c r="I45" s="24">
        <f t="shared" si="3"/>
        <v>0</v>
      </c>
      <c r="M45" s="24"/>
      <c r="N45" s="24"/>
      <c r="O45" s="24"/>
      <c r="P45" s="24"/>
      <c r="Q45" s="24"/>
      <c r="R45" s="24"/>
    </row>
    <row r="46" spans="1:18">
      <c r="A46" s="127" t="s">
        <v>403</v>
      </c>
      <c r="B46" s="132">
        <v>0</v>
      </c>
      <c r="C46" s="139">
        <v>0</v>
      </c>
      <c r="D46" s="125">
        <v>0</v>
      </c>
      <c r="E46" s="125">
        <v>0</v>
      </c>
      <c r="F46" s="125">
        <v>0</v>
      </c>
      <c r="G46" s="129">
        <f t="shared" si="0"/>
        <v>0</v>
      </c>
      <c r="H46" s="125">
        <f t="shared" si="2"/>
        <v>0</v>
      </c>
      <c r="I46" s="24">
        <f t="shared" si="3"/>
        <v>0</v>
      </c>
      <c r="M46" s="24"/>
      <c r="N46" s="24"/>
      <c r="O46" s="24"/>
      <c r="P46" s="24"/>
      <c r="Q46" s="24"/>
      <c r="R46" s="24"/>
    </row>
    <row r="47" spans="1:18">
      <c r="A47" s="127" t="s">
        <v>404</v>
      </c>
      <c r="B47" s="132">
        <v>500</v>
      </c>
      <c r="C47" s="125">
        <v>0</v>
      </c>
      <c r="D47" s="125">
        <v>0</v>
      </c>
      <c r="E47" s="125">
        <v>0</v>
      </c>
      <c r="F47" s="125">
        <v>0</v>
      </c>
      <c r="G47" s="129">
        <f t="shared" si="0"/>
        <v>0</v>
      </c>
      <c r="H47" s="125">
        <f t="shared" si="2"/>
        <v>0</v>
      </c>
      <c r="I47" s="24">
        <f t="shared" si="3"/>
        <v>-500</v>
      </c>
      <c r="M47" s="24"/>
      <c r="N47" s="24"/>
      <c r="O47" s="24"/>
      <c r="P47" s="24"/>
      <c r="Q47" s="24"/>
      <c r="R47" s="24"/>
    </row>
    <row r="48" spans="1:18">
      <c r="A48" s="140" t="s">
        <v>405</v>
      </c>
      <c r="B48" s="132">
        <v>0</v>
      </c>
      <c r="C48" s="125"/>
      <c r="D48" s="125"/>
      <c r="E48" s="125"/>
      <c r="F48" s="125"/>
      <c r="G48" s="129">
        <f t="shared" si="0"/>
        <v>0</v>
      </c>
      <c r="H48" s="125">
        <f t="shared" si="2"/>
        <v>0</v>
      </c>
      <c r="I48" s="24">
        <f t="shared" si="3"/>
        <v>0</v>
      </c>
      <c r="M48" s="24"/>
      <c r="N48" s="24"/>
      <c r="O48" s="24"/>
      <c r="P48" s="24"/>
      <c r="Q48" s="24"/>
      <c r="R48" s="24"/>
    </row>
    <row r="49" spans="1:18">
      <c r="A49" s="127" t="s">
        <v>406</v>
      </c>
      <c r="B49" s="132">
        <v>10000</v>
      </c>
      <c r="C49" s="125">
        <v>669.9</v>
      </c>
      <c r="D49" s="125">
        <v>0</v>
      </c>
      <c r="E49" s="125">
        <v>2590.0100000000002</v>
      </c>
      <c r="F49" s="125">
        <v>669.9</v>
      </c>
      <c r="G49" s="129">
        <f t="shared" si="0"/>
        <v>8.8606981305052283E-3</v>
      </c>
      <c r="H49" s="125">
        <f t="shared" si="2"/>
        <v>3929.8100000000004</v>
      </c>
      <c r="I49" s="24">
        <f t="shared" si="3"/>
        <v>-6070.19</v>
      </c>
      <c r="M49" s="24"/>
      <c r="N49" s="24"/>
      <c r="O49" s="24"/>
      <c r="P49" s="24"/>
      <c r="Q49" s="24"/>
      <c r="R49" s="24"/>
    </row>
    <row r="50" spans="1:18">
      <c r="A50" s="127" t="s">
        <v>407</v>
      </c>
      <c r="B50" s="132">
        <v>0</v>
      </c>
      <c r="C50" s="125">
        <v>0</v>
      </c>
      <c r="D50" s="125">
        <v>0</v>
      </c>
      <c r="E50" s="125">
        <v>0</v>
      </c>
      <c r="F50" s="125">
        <v>0</v>
      </c>
      <c r="G50" s="129">
        <f t="shared" si="0"/>
        <v>0</v>
      </c>
      <c r="H50" s="125">
        <f t="shared" si="2"/>
        <v>0</v>
      </c>
      <c r="I50" s="24">
        <f t="shared" si="3"/>
        <v>0</v>
      </c>
      <c r="M50" s="24"/>
      <c r="N50" s="24"/>
      <c r="O50" s="24"/>
      <c r="P50" s="24"/>
      <c r="Q50" s="24"/>
      <c r="R50" s="24"/>
    </row>
    <row r="51" spans="1:18">
      <c r="A51" s="127" t="s">
        <v>408</v>
      </c>
      <c r="B51" s="132">
        <v>20000</v>
      </c>
      <c r="C51" s="125">
        <v>8590.3700000000008</v>
      </c>
      <c r="D51" s="125">
        <v>3143.46</v>
      </c>
      <c r="E51" s="125">
        <v>8590.3700000000008</v>
      </c>
      <c r="F51" s="125">
        <v>8590.3700000000008</v>
      </c>
      <c r="G51" s="129">
        <f t="shared" si="0"/>
        <v>6.5194825282485061E-2</v>
      </c>
      <c r="H51" s="125">
        <f t="shared" si="2"/>
        <v>28914.570000000007</v>
      </c>
      <c r="I51" s="24">
        <f t="shared" si="3"/>
        <v>8914.570000000007</v>
      </c>
      <c r="M51" s="24"/>
      <c r="N51" s="24"/>
      <c r="O51" s="24"/>
      <c r="P51" s="24"/>
      <c r="Q51" s="24"/>
      <c r="R51" s="24"/>
    </row>
    <row r="52" spans="1:18">
      <c r="A52" s="127" t="s">
        <v>409</v>
      </c>
      <c r="B52" s="132">
        <v>0</v>
      </c>
      <c r="C52" s="125">
        <v>0</v>
      </c>
      <c r="D52" s="143">
        <v>0</v>
      </c>
      <c r="E52" s="125">
        <v>0</v>
      </c>
      <c r="F52" s="125">
        <v>0</v>
      </c>
      <c r="G52" s="129">
        <f t="shared" si="0"/>
        <v>0</v>
      </c>
      <c r="H52" s="125">
        <f t="shared" si="2"/>
        <v>0</v>
      </c>
      <c r="I52" s="24">
        <f t="shared" si="3"/>
        <v>0</v>
      </c>
      <c r="M52" s="24"/>
      <c r="N52" s="24"/>
      <c r="O52" s="24"/>
      <c r="P52" s="24"/>
      <c r="Q52" s="24"/>
      <c r="R52" s="24"/>
    </row>
    <row r="53" spans="1:18">
      <c r="A53" s="127" t="s">
        <v>410</v>
      </c>
      <c r="B53" s="132">
        <v>0</v>
      </c>
      <c r="C53" s="125">
        <v>0</v>
      </c>
      <c r="D53" s="125">
        <v>0</v>
      </c>
      <c r="E53" s="125">
        <v>0</v>
      </c>
      <c r="F53" s="125">
        <v>0</v>
      </c>
      <c r="G53" s="129">
        <f t="shared" si="0"/>
        <v>0</v>
      </c>
      <c r="H53" s="125">
        <f t="shared" si="2"/>
        <v>0</v>
      </c>
      <c r="I53" s="24">
        <f t="shared" si="3"/>
        <v>0</v>
      </c>
      <c r="M53" s="24"/>
      <c r="N53" s="24"/>
      <c r="O53" s="24"/>
      <c r="P53" s="24"/>
      <c r="Q53" s="24"/>
      <c r="R53" s="24"/>
    </row>
    <row r="54" spans="1:18">
      <c r="A54" s="140" t="s">
        <v>411</v>
      </c>
      <c r="B54" s="132"/>
      <c r="C54" s="125"/>
      <c r="D54" s="125"/>
      <c r="E54" s="125"/>
      <c r="F54" s="125"/>
      <c r="G54" s="129">
        <f t="shared" si="0"/>
        <v>0</v>
      </c>
      <c r="H54" s="125">
        <f t="shared" si="2"/>
        <v>0</v>
      </c>
      <c r="I54" s="24">
        <f t="shared" si="3"/>
        <v>0</v>
      </c>
      <c r="M54" s="24"/>
      <c r="N54" s="24"/>
      <c r="O54" s="24"/>
      <c r="P54" s="24"/>
      <c r="Q54" s="24"/>
      <c r="R54" s="24"/>
    </row>
    <row r="55" spans="1:18">
      <c r="A55" s="127" t="s">
        <v>412</v>
      </c>
      <c r="B55" s="132">
        <v>0</v>
      </c>
      <c r="C55" s="125">
        <v>0</v>
      </c>
      <c r="D55" s="125">
        <v>0</v>
      </c>
      <c r="E55" s="125">
        <v>0</v>
      </c>
      <c r="F55" s="125">
        <v>0</v>
      </c>
      <c r="G55" s="129">
        <f t="shared" si="0"/>
        <v>0</v>
      </c>
      <c r="H55" s="125">
        <f t="shared" si="2"/>
        <v>0</v>
      </c>
      <c r="I55" s="24">
        <f t="shared" si="3"/>
        <v>0</v>
      </c>
      <c r="M55" s="24"/>
      <c r="N55" s="24"/>
      <c r="O55" s="24"/>
      <c r="P55" s="24"/>
      <c r="Q55" s="24"/>
      <c r="R55" s="24"/>
    </row>
    <row r="56" spans="1:18">
      <c r="A56" s="127" t="s">
        <v>413</v>
      </c>
      <c r="B56" s="132">
        <v>7000</v>
      </c>
      <c r="C56" s="125">
        <v>0</v>
      </c>
      <c r="D56" s="125">
        <v>0</v>
      </c>
      <c r="E56" s="125">
        <v>0</v>
      </c>
      <c r="F56" s="125">
        <v>0</v>
      </c>
      <c r="G56" s="129">
        <f t="shared" si="0"/>
        <v>0</v>
      </c>
      <c r="H56" s="125">
        <f t="shared" si="2"/>
        <v>0</v>
      </c>
      <c r="I56" s="24">
        <f t="shared" si="3"/>
        <v>-7000</v>
      </c>
      <c r="M56" s="24"/>
      <c r="N56" s="24"/>
      <c r="O56" s="24"/>
      <c r="P56" s="24"/>
      <c r="Q56" s="24"/>
      <c r="R56" s="24"/>
    </row>
    <row r="57" spans="1:18">
      <c r="A57" s="127" t="s">
        <v>414</v>
      </c>
      <c r="B57" s="132">
        <v>2000</v>
      </c>
      <c r="C57" s="125">
        <v>0</v>
      </c>
      <c r="D57" s="125">
        <v>0</v>
      </c>
      <c r="E57" s="125">
        <v>0</v>
      </c>
      <c r="F57" s="125">
        <v>0</v>
      </c>
      <c r="G57" s="129">
        <f t="shared" si="0"/>
        <v>0</v>
      </c>
      <c r="H57" s="125">
        <f t="shared" si="2"/>
        <v>0</v>
      </c>
      <c r="I57" s="24">
        <f t="shared" si="3"/>
        <v>-2000</v>
      </c>
      <c r="M57" s="24"/>
      <c r="N57" s="24"/>
      <c r="O57" s="24"/>
      <c r="P57" s="24"/>
      <c r="Q57" s="24"/>
      <c r="R57" s="24"/>
    </row>
    <row r="58" spans="1:18">
      <c r="A58" s="127" t="s">
        <v>415</v>
      </c>
      <c r="B58" s="132">
        <v>0</v>
      </c>
      <c r="C58" s="125">
        <v>0</v>
      </c>
      <c r="D58" s="125">
        <v>0</v>
      </c>
      <c r="E58" s="125">
        <v>0</v>
      </c>
      <c r="F58" s="125">
        <v>0</v>
      </c>
      <c r="G58" s="129">
        <f t="shared" si="0"/>
        <v>0</v>
      </c>
      <c r="H58" s="125">
        <f t="shared" si="2"/>
        <v>0</v>
      </c>
      <c r="I58" s="24">
        <f t="shared" si="3"/>
        <v>0</v>
      </c>
      <c r="M58" s="24"/>
      <c r="N58" s="24"/>
      <c r="O58" s="24"/>
      <c r="P58" s="24"/>
      <c r="Q58" s="24"/>
      <c r="R58" s="24"/>
    </row>
    <row r="59" spans="1:18">
      <c r="A59" s="133" t="s">
        <v>416</v>
      </c>
      <c r="B59" s="134">
        <f>SUM(B46:B58)</f>
        <v>39500</v>
      </c>
      <c r="C59" s="134">
        <f>SUM(C46:C58)</f>
        <v>9260.27</v>
      </c>
      <c r="D59" s="134">
        <f>SUM(D46:D58)</f>
        <v>3143.46</v>
      </c>
      <c r="E59" s="134">
        <f>SUM(E46:E58)</f>
        <v>11180.380000000001</v>
      </c>
      <c r="F59" s="134">
        <f>SUM(F46:F58)</f>
        <v>9260.27</v>
      </c>
      <c r="G59" s="129">
        <f t="shared" si="0"/>
        <v>7.4055523412990279E-2</v>
      </c>
      <c r="H59" s="123">
        <f t="shared" si="2"/>
        <v>32844.380000000005</v>
      </c>
      <c r="I59" s="24">
        <f t="shared" si="3"/>
        <v>-6655.6199999999953</v>
      </c>
      <c r="M59" s="24"/>
      <c r="N59" s="24"/>
      <c r="O59" s="24"/>
      <c r="P59" s="24"/>
      <c r="Q59" s="24"/>
      <c r="R59" s="24"/>
    </row>
    <row r="60" spans="1:18">
      <c r="A60" s="137"/>
      <c r="B60" s="122"/>
      <c r="C60" s="125"/>
      <c r="D60" s="125"/>
      <c r="E60" s="125"/>
      <c r="F60" s="125"/>
      <c r="G60" s="129"/>
      <c r="H60" s="125"/>
      <c r="I60" s="24">
        <f t="shared" si="3"/>
        <v>0</v>
      </c>
      <c r="M60" s="24"/>
      <c r="N60" s="24"/>
      <c r="O60" s="24"/>
      <c r="P60" s="24"/>
      <c r="Q60" s="24"/>
      <c r="R60" s="24"/>
    </row>
    <row r="61" spans="1:18">
      <c r="A61" s="124" t="s">
        <v>417</v>
      </c>
      <c r="B61" s="122"/>
      <c r="C61" s="125"/>
      <c r="D61" s="125"/>
      <c r="E61" s="125"/>
      <c r="F61" s="125"/>
      <c r="G61" s="129"/>
      <c r="H61" s="125"/>
      <c r="I61" s="24">
        <f t="shared" si="3"/>
        <v>0</v>
      </c>
      <c r="M61" s="24"/>
      <c r="N61" s="24"/>
      <c r="O61" s="24"/>
      <c r="P61" s="24"/>
      <c r="Q61" s="24"/>
      <c r="R61" s="24"/>
    </row>
    <row r="62" spans="1:18">
      <c r="A62" s="140" t="s">
        <v>418</v>
      </c>
      <c r="B62" s="122"/>
      <c r="C62" s="125"/>
      <c r="D62" s="125"/>
      <c r="E62" s="125"/>
      <c r="F62" s="125"/>
      <c r="G62" s="129"/>
      <c r="H62" s="125"/>
      <c r="I62" s="24">
        <f t="shared" si="3"/>
        <v>0</v>
      </c>
      <c r="M62" s="24"/>
      <c r="N62" s="24"/>
      <c r="O62" s="24"/>
      <c r="P62" s="24"/>
      <c r="Q62" s="24"/>
      <c r="R62" s="24"/>
    </row>
    <row r="63" spans="1:18">
      <c r="A63" s="127" t="s">
        <v>419</v>
      </c>
      <c r="B63" s="132">
        <v>65254.421499999997</v>
      </c>
      <c r="C63" s="125">
        <v>0</v>
      </c>
      <c r="D63" s="125">
        <v>0</v>
      </c>
      <c r="E63" s="125">
        <v>0</v>
      </c>
      <c r="F63" s="125">
        <v>0</v>
      </c>
      <c r="G63" s="129">
        <f t="shared" si="0"/>
        <v>0</v>
      </c>
      <c r="H63" s="125">
        <f t="shared" si="2"/>
        <v>0</v>
      </c>
      <c r="I63" s="24">
        <f t="shared" si="3"/>
        <v>-65254.421499999997</v>
      </c>
      <c r="M63" s="24"/>
      <c r="N63" s="24"/>
      <c r="O63" s="24"/>
      <c r="P63" s="24"/>
      <c r="Q63" s="24"/>
      <c r="R63" s="24"/>
    </row>
    <row r="64" spans="1:18">
      <c r="A64" s="127" t="s">
        <v>383</v>
      </c>
      <c r="B64" s="132">
        <v>3000</v>
      </c>
      <c r="C64" s="125">
        <v>2000</v>
      </c>
      <c r="D64" s="125">
        <v>2000</v>
      </c>
      <c r="E64" s="125">
        <v>2000</v>
      </c>
      <c r="F64" s="125">
        <v>2000</v>
      </c>
      <c r="G64" s="129">
        <f t="shared" si="0"/>
        <v>1.8037916602594482E-2</v>
      </c>
      <c r="H64" s="125">
        <f t="shared" si="2"/>
        <v>8000</v>
      </c>
      <c r="I64" s="24">
        <f t="shared" si="3"/>
        <v>5000</v>
      </c>
      <c r="M64" s="24"/>
      <c r="N64" s="24"/>
      <c r="O64" s="24"/>
      <c r="P64" s="24"/>
      <c r="Q64" s="24"/>
      <c r="R64" s="24"/>
    </row>
    <row r="65" spans="1:18">
      <c r="A65" s="127" t="s">
        <v>384</v>
      </c>
      <c r="B65" s="132">
        <v>0</v>
      </c>
      <c r="C65" s="125">
        <v>0</v>
      </c>
      <c r="D65" s="125">
        <v>0</v>
      </c>
      <c r="E65" s="125">
        <v>0</v>
      </c>
      <c r="F65" s="125">
        <v>0</v>
      </c>
      <c r="G65" s="129">
        <f t="shared" si="0"/>
        <v>0</v>
      </c>
      <c r="H65" s="125">
        <f t="shared" si="2"/>
        <v>0</v>
      </c>
      <c r="I65" s="24">
        <f t="shared" si="3"/>
        <v>0</v>
      </c>
      <c r="M65" s="24"/>
      <c r="N65" s="24"/>
      <c r="O65" s="24"/>
      <c r="P65" s="24"/>
      <c r="Q65" s="24"/>
      <c r="R65" s="24"/>
    </row>
    <row r="66" spans="1:18">
      <c r="A66" s="127" t="s">
        <v>385</v>
      </c>
      <c r="B66" s="132">
        <v>0</v>
      </c>
      <c r="C66" s="125">
        <v>0</v>
      </c>
      <c r="D66" s="125">
        <v>0</v>
      </c>
      <c r="E66" s="125">
        <v>0</v>
      </c>
      <c r="F66" s="125">
        <v>0</v>
      </c>
      <c r="G66" s="129">
        <f t="shared" si="0"/>
        <v>0</v>
      </c>
      <c r="H66" s="125">
        <f t="shared" si="2"/>
        <v>0</v>
      </c>
      <c r="I66" s="24">
        <f t="shared" si="3"/>
        <v>0</v>
      </c>
      <c r="M66" s="24"/>
      <c r="N66" s="24"/>
      <c r="O66" s="24"/>
      <c r="P66" s="24"/>
      <c r="Q66" s="24"/>
      <c r="R66" s="24"/>
    </row>
    <row r="67" spans="1:18">
      <c r="A67" s="127" t="s">
        <v>386</v>
      </c>
      <c r="B67" s="132">
        <v>0</v>
      </c>
      <c r="C67" s="125">
        <v>2297.81</v>
      </c>
      <c r="D67" s="125">
        <v>2297.81</v>
      </c>
      <c r="E67" s="125">
        <v>2297.81</v>
      </c>
      <c r="F67" s="125">
        <v>2297.81</v>
      </c>
      <c r="G67" s="129">
        <f t="shared" si="0"/>
        <v>2.0723852574303814E-2</v>
      </c>
      <c r="H67" s="125">
        <f t="shared" si="2"/>
        <v>9191.24</v>
      </c>
      <c r="I67" s="24">
        <f t="shared" si="3"/>
        <v>9191.24</v>
      </c>
      <c r="M67" s="24"/>
      <c r="N67" s="24"/>
      <c r="O67" s="24"/>
      <c r="P67" s="24"/>
      <c r="Q67" s="24"/>
      <c r="R67" s="24"/>
    </row>
    <row r="68" spans="1:18">
      <c r="A68" s="127" t="s">
        <v>387</v>
      </c>
      <c r="B68" s="132">
        <v>0</v>
      </c>
      <c r="C68" s="119">
        <v>0</v>
      </c>
      <c r="D68" s="125">
        <v>0</v>
      </c>
      <c r="E68" s="125">
        <v>0</v>
      </c>
      <c r="F68" s="125">
        <v>0</v>
      </c>
      <c r="G68" s="129">
        <f t="shared" si="0"/>
        <v>0</v>
      </c>
      <c r="H68" s="125">
        <f t="shared" si="2"/>
        <v>0</v>
      </c>
      <c r="I68" s="24">
        <f t="shared" si="3"/>
        <v>0</v>
      </c>
      <c r="M68" s="24"/>
      <c r="N68" s="24"/>
      <c r="O68" s="24"/>
      <c r="P68" s="24"/>
      <c r="Q68" s="24"/>
      <c r="R68" s="24"/>
    </row>
    <row r="69" spans="1:18">
      <c r="A69" s="127" t="s">
        <v>388</v>
      </c>
      <c r="B69" s="132">
        <v>733.20000000000016</v>
      </c>
      <c r="C69" s="119">
        <v>0</v>
      </c>
      <c r="D69" s="125">
        <v>0</v>
      </c>
      <c r="E69" s="125">
        <v>0</v>
      </c>
      <c r="F69" s="125">
        <v>0</v>
      </c>
      <c r="G69" s="129">
        <f t="shared" si="0"/>
        <v>0</v>
      </c>
      <c r="H69" s="125">
        <f t="shared" si="2"/>
        <v>0</v>
      </c>
      <c r="I69" s="24">
        <f t="shared" si="3"/>
        <v>-733.20000000000016</v>
      </c>
      <c r="M69" s="24"/>
      <c r="N69" s="24"/>
      <c r="O69" s="24"/>
      <c r="P69" s="24"/>
      <c r="Q69" s="24"/>
      <c r="R69" s="24"/>
    </row>
    <row r="70" spans="1:18">
      <c r="A70" s="127" t="s">
        <v>152</v>
      </c>
      <c r="B70" s="132">
        <v>2403.8200000000002</v>
      </c>
      <c r="C70" s="125">
        <v>1683.72</v>
      </c>
      <c r="D70" s="125">
        <v>1683.72</v>
      </c>
      <c r="E70" s="125">
        <v>1683.72</v>
      </c>
      <c r="F70" s="125">
        <v>1683.72</v>
      </c>
      <c r="G70" s="129">
        <f t="shared" si="0"/>
        <v>1.5185400471060193E-2</v>
      </c>
      <c r="H70" s="125">
        <f t="shared" si="2"/>
        <v>6734.88</v>
      </c>
      <c r="I70" s="24">
        <f t="shared" si="3"/>
        <v>4331.0599999999995</v>
      </c>
      <c r="M70" s="24"/>
      <c r="N70" s="24"/>
      <c r="O70" s="24"/>
      <c r="P70" s="24"/>
      <c r="Q70" s="24"/>
      <c r="R70" s="24"/>
    </row>
    <row r="71" spans="1:18">
      <c r="A71" s="140" t="s">
        <v>420</v>
      </c>
      <c r="B71" s="132"/>
      <c r="C71" s="125"/>
      <c r="D71" s="125"/>
      <c r="E71" s="125"/>
      <c r="F71" s="125"/>
      <c r="G71" s="129"/>
      <c r="H71" s="125"/>
      <c r="I71" s="24">
        <f t="shared" si="3"/>
        <v>0</v>
      </c>
      <c r="M71" s="24"/>
      <c r="N71" s="24"/>
      <c r="O71" s="24"/>
      <c r="P71" s="24"/>
      <c r="Q71" s="24"/>
      <c r="R71" s="24"/>
    </row>
    <row r="72" spans="1:18">
      <c r="A72" s="127" t="s">
        <v>421</v>
      </c>
      <c r="B72" s="132">
        <v>0</v>
      </c>
      <c r="C72" s="125">
        <v>0</v>
      </c>
      <c r="D72" s="125">
        <v>0</v>
      </c>
      <c r="E72" s="125">
        <v>0</v>
      </c>
      <c r="F72" s="125">
        <v>0</v>
      </c>
      <c r="G72" s="129">
        <f t="shared" ref="G72:G135" si="4">H72/$H$10</f>
        <v>0</v>
      </c>
      <c r="H72" s="125">
        <f t="shared" si="2"/>
        <v>0</v>
      </c>
      <c r="I72" s="24">
        <f t="shared" si="3"/>
        <v>0</v>
      </c>
      <c r="M72" s="24"/>
      <c r="N72" s="24"/>
      <c r="O72" s="24"/>
      <c r="P72" s="24"/>
      <c r="Q72" s="24"/>
      <c r="R72" s="24"/>
    </row>
    <row r="73" spans="1:18">
      <c r="A73" s="127" t="s">
        <v>422</v>
      </c>
      <c r="B73" s="132">
        <v>309.85000000000002</v>
      </c>
      <c r="C73" s="125">
        <v>139.61000000000001</v>
      </c>
      <c r="D73" s="125">
        <v>139.61000000000001</v>
      </c>
      <c r="E73" s="125">
        <v>139.61000000000001</v>
      </c>
      <c r="F73" s="125">
        <v>0</v>
      </c>
      <c r="G73" s="129">
        <f t="shared" si="4"/>
        <v>9.4435257633308106E-4</v>
      </c>
      <c r="H73" s="125">
        <f t="shared" si="2"/>
        <v>418.83000000000004</v>
      </c>
      <c r="I73" s="24">
        <f t="shared" si="3"/>
        <v>108.98000000000002</v>
      </c>
      <c r="M73" s="24"/>
      <c r="N73" s="24"/>
      <c r="O73" s="24"/>
      <c r="P73" s="24"/>
      <c r="Q73" s="24"/>
      <c r="R73" s="24"/>
    </row>
    <row r="74" spans="1:18">
      <c r="A74" s="127" t="s">
        <v>423</v>
      </c>
      <c r="B74" s="132">
        <v>0</v>
      </c>
      <c r="C74" s="125">
        <v>0</v>
      </c>
      <c r="D74" s="125">
        <v>0</v>
      </c>
      <c r="E74" s="125">
        <v>0</v>
      </c>
      <c r="F74" s="125">
        <v>0</v>
      </c>
      <c r="G74" s="129">
        <f t="shared" si="4"/>
        <v>0</v>
      </c>
      <c r="H74" s="125">
        <f t="shared" si="2"/>
        <v>0</v>
      </c>
      <c r="I74" s="24">
        <f t="shared" si="3"/>
        <v>0</v>
      </c>
      <c r="M74" s="24"/>
      <c r="N74" s="24"/>
      <c r="O74" s="24"/>
      <c r="P74" s="24"/>
      <c r="Q74" s="24"/>
      <c r="R74" s="24"/>
    </row>
    <row r="75" spans="1:18">
      <c r="A75" s="127" t="s">
        <v>424</v>
      </c>
      <c r="B75" s="132">
        <v>869.23</v>
      </c>
      <c r="C75" s="125">
        <v>460.21</v>
      </c>
      <c r="D75" s="125">
        <v>0</v>
      </c>
      <c r="E75" s="125">
        <v>460.21</v>
      </c>
      <c r="F75" s="125">
        <v>460.21</v>
      </c>
      <c r="G75" s="129">
        <f t="shared" si="4"/>
        <v>3.1129610998800023E-3</v>
      </c>
      <c r="H75" s="125">
        <f t="shared" si="2"/>
        <v>1380.6299999999999</v>
      </c>
      <c r="I75" s="24">
        <f t="shared" si="3"/>
        <v>511.39999999999986</v>
      </c>
      <c r="M75" s="24"/>
      <c r="N75" s="24"/>
      <c r="O75" s="24"/>
      <c r="P75" s="24"/>
      <c r="Q75" s="24"/>
      <c r="R75" s="24"/>
    </row>
    <row r="76" spans="1:18">
      <c r="A76" s="127" t="s">
        <v>425</v>
      </c>
      <c r="B76" s="132">
        <v>0</v>
      </c>
      <c r="C76" s="125">
        <v>0</v>
      </c>
      <c r="D76" s="125">
        <v>0</v>
      </c>
      <c r="E76" s="125">
        <v>0</v>
      </c>
      <c r="F76" s="125">
        <v>0</v>
      </c>
      <c r="G76" s="129">
        <f t="shared" si="4"/>
        <v>0</v>
      </c>
      <c r="H76" s="125">
        <f t="shared" si="2"/>
        <v>0</v>
      </c>
      <c r="I76" s="24">
        <f t="shared" si="3"/>
        <v>0</v>
      </c>
      <c r="M76" s="24"/>
      <c r="N76" s="24"/>
      <c r="O76" s="24"/>
      <c r="P76" s="24"/>
      <c r="Q76" s="24"/>
      <c r="R76" s="24"/>
    </row>
    <row r="77" spans="1:18">
      <c r="A77" s="127" t="s">
        <v>426</v>
      </c>
      <c r="B77" s="132">
        <v>4548.3100000000004</v>
      </c>
      <c r="C77" s="125">
        <v>2328.67</v>
      </c>
      <c r="D77" s="125">
        <v>2328.67</v>
      </c>
      <c r="E77" s="125">
        <v>2328.67</v>
      </c>
      <c r="F77" s="125">
        <v>2328.67</v>
      </c>
      <c r="G77" s="129">
        <f t="shared" si="4"/>
        <v>2.1002177627481848E-2</v>
      </c>
      <c r="H77" s="125">
        <f t="shared" si="2"/>
        <v>9314.68</v>
      </c>
      <c r="I77" s="24">
        <f t="shared" si="3"/>
        <v>4766.37</v>
      </c>
      <c r="M77" s="24"/>
      <c r="N77" s="24"/>
      <c r="O77" s="24"/>
      <c r="P77" s="24"/>
      <c r="Q77" s="24"/>
      <c r="R77" s="24"/>
    </row>
    <row r="78" spans="1:18">
      <c r="A78" s="127" t="s">
        <v>427</v>
      </c>
      <c r="B78" s="132">
        <v>743.73</v>
      </c>
      <c r="C78" s="125">
        <v>0</v>
      </c>
      <c r="D78" s="125">
        <v>0</v>
      </c>
      <c r="E78" s="125">
        <v>0</v>
      </c>
      <c r="F78" s="125">
        <v>0</v>
      </c>
      <c r="G78" s="129">
        <f t="shared" si="4"/>
        <v>0</v>
      </c>
      <c r="H78" s="125">
        <f t="shared" si="2"/>
        <v>0</v>
      </c>
      <c r="I78" s="24">
        <f t="shared" si="3"/>
        <v>-743.73</v>
      </c>
      <c r="M78" s="24"/>
      <c r="N78" s="24"/>
      <c r="O78" s="24"/>
      <c r="P78" s="24"/>
      <c r="Q78" s="24"/>
      <c r="R78" s="24"/>
    </row>
    <row r="79" spans="1:18">
      <c r="A79" s="144" t="s">
        <v>428</v>
      </c>
      <c r="B79" s="132">
        <v>0</v>
      </c>
      <c r="C79" s="125">
        <v>0</v>
      </c>
      <c r="D79" s="125">
        <v>0</v>
      </c>
      <c r="E79" s="125">
        <v>0</v>
      </c>
      <c r="F79" s="125">
        <v>0</v>
      </c>
      <c r="G79" s="129">
        <f t="shared" si="4"/>
        <v>0</v>
      </c>
      <c r="H79" s="125">
        <f t="shared" si="2"/>
        <v>0</v>
      </c>
      <c r="I79" s="24">
        <f t="shared" si="3"/>
        <v>0</v>
      </c>
      <c r="M79" s="24"/>
      <c r="N79" s="24"/>
      <c r="O79" s="24"/>
      <c r="P79" s="24"/>
      <c r="Q79" s="24"/>
      <c r="R79" s="24"/>
    </row>
    <row r="80" spans="1:18">
      <c r="A80" s="144" t="s">
        <v>71</v>
      </c>
      <c r="B80" s="132">
        <v>345.96999999999997</v>
      </c>
      <c r="C80" s="125">
        <v>0</v>
      </c>
      <c r="D80" s="125">
        <v>0</v>
      </c>
      <c r="E80" s="125">
        <v>0</v>
      </c>
      <c r="F80" s="125">
        <v>0</v>
      </c>
      <c r="G80" s="129">
        <f t="shared" si="4"/>
        <v>0</v>
      </c>
      <c r="H80" s="125">
        <f t="shared" ref="H80:H137" si="5">SUM(C80:F80)</f>
        <v>0</v>
      </c>
      <c r="I80" s="24">
        <f t="shared" si="3"/>
        <v>-345.96999999999997</v>
      </c>
      <c r="M80" s="24"/>
      <c r="N80" s="24"/>
      <c r="O80" s="24"/>
      <c r="P80" s="24"/>
      <c r="Q80" s="24"/>
      <c r="R80" s="24"/>
    </row>
    <row r="81" spans="1:18">
      <c r="A81" s="127" t="s">
        <v>85</v>
      </c>
      <c r="B81" s="132">
        <v>3432.3599999999997</v>
      </c>
      <c r="C81" s="125">
        <v>527.75</v>
      </c>
      <c r="D81" s="125">
        <v>1074.9100000000001</v>
      </c>
      <c r="E81" s="125">
        <v>0</v>
      </c>
      <c r="F81" s="125">
        <v>0</v>
      </c>
      <c r="G81" s="129">
        <f t="shared" si="4"/>
        <v>3.6135809277892594E-3</v>
      </c>
      <c r="H81" s="125">
        <f t="shared" si="5"/>
        <v>1602.66</v>
      </c>
      <c r="I81" s="24">
        <f t="shared" si="3"/>
        <v>-1829.6999999999996</v>
      </c>
      <c r="M81" s="24"/>
      <c r="N81" s="24"/>
      <c r="O81" s="24"/>
      <c r="P81" s="24"/>
      <c r="Q81" s="24"/>
      <c r="R81" s="24"/>
    </row>
    <row r="82" spans="1:18">
      <c r="A82" s="127" t="s">
        <v>429</v>
      </c>
      <c r="B82" s="132">
        <v>1499.6899999999998</v>
      </c>
      <c r="C82" s="125">
        <v>0.63</v>
      </c>
      <c r="D82" s="125">
        <v>20.88</v>
      </c>
      <c r="E82" s="125">
        <v>0</v>
      </c>
      <c r="F82" s="125">
        <v>0</v>
      </c>
      <c r="G82" s="129">
        <f t="shared" si="4"/>
        <v>4.8499448265225914E-5</v>
      </c>
      <c r="H82" s="125">
        <f t="shared" si="5"/>
        <v>21.509999999999998</v>
      </c>
      <c r="I82" s="24">
        <f t="shared" ref="I82:I140" si="6">H82-B82</f>
        <v>-1478.1799999999998</v>
      </c>
      <c r="M82" s="24"/>
      <c r="N82" s="24"/>
      <c r="O82" s="24"/>
      <c r="P82" s="24"/>
      <c r="Q82" s="24"/>
      <c r="R82" s="24"/>
    </row>
    <row r="83" spans="1:18">
      <c r="A83" s="127" t="s">
        <v>430</v>
      </c>
      <c r="B83" s="132">
        <v>0</v>
      </c>
      <c r="C83" s="125">
        <v>0</v>
      </c>
      <c r="D83" s="125">
        <v>0</v>
      </c>
      <c r="E83" s="125">
        <v>0</v>
      </c>
      <c r="F83" s="125">
        <v>0</v>
      </c>
      <c r="G83" s="129">
        <f t="shared" si="4"/>
        <v>0</v>
      </c>
      <c r="H83" s="125">
        <f t="shared" si="5"/>
        <v>0</v>
      </c>
      <c r="I83" s="24">
        <f t="shared" si="6"/>
        <v>0</v>
      </c>
      <c r="M83" s="24"/>
      <c r="N83" s="24"/>
      <c r="O83" s="24"/>
      <c r="P83" s="24"/>
      <c r="Q83" s="24"/>
      <c r="R83" s="24"/>
    </row>
    <row r="84" spans="1:18">
      <c r="A84" s="127" t="s">
        <v>431</v>
      </c>
      <c r="B84" s="145">
        <v>750</v>
      </c>
      <c r="C84" s="141">
        <v>854.27</v>
      </c>
      <c r="D84" s="141">
        <v>854.27</v>
      </c>
      <c r="E84" s="141">
        <v>854.27</v>
      </c>
      <c r="F84" s="141">
        <v>854.27</v>
      </c>
      <c r="G84" s="142">
        <f t="shared" si="4"/>
        <v>7.7046255080491944E-3</v>
      </c>
      <c r="H84" s="141">
        <f t="shared" si="5"/>
        <v>3417.08</v>
      </c>
      <c r="I84" s="24">
        <f t="shared" si="6"/>
        <v>2667.08</v>
      </c>
      <c r="M84" s="24"/>
      <c r="N84" s="24"/>
      <c r="O84" s="24"/>
      <c r="P84" s="24"/>
      <c r="Q84" s="24"/>
      <c r="R84" s="24"/>
    </row>
    <row r="85" spans="1:18">
      <c r="A85" s="138" t="s">
        <v>393</v>
      </c>
      <c r="B85" s="132">
        <v>2450.3500000000004</v>
      </c>
      <c r="C85" s="125">
        <v>1368.25</v>
      </c>
      <c r="D85" s="125">
        <v>1368.25</v>
      </c>
      <c r="E85" s="125">
        <v>1368.25</v>
      </c>
      <c r="F85" s="125">
        <v>1368.25</v>
      </c>
      <c r="G85" s="129">
        <f t="shared" si="4"/>
        <v>1.234018969574995E-2</v>
      </c>
      <c r="H85" s="125">
        <f t="shared" si="5"/>
        <v>5473</v>
      </c>
      <c r="I85" s="24">
        <f t="shared" si="6"/>
        <v>3022.6499999999996</v>
      </c>
      <c r="M85" s="24"/>
      <c r="N85" s="24"/>
      <c r="O85" s="24"/>
      <c r="P85" s="24"/>
      <c r="Q85" s="24"/>
      <c r="R85" s="24"/>
    </row>
    <row r="86" spans="1:18">
      <c r="A86" s="127" t="s">
        <v>432</v>
      </c>
      <c r="B86" s="132">
        <v>23465.289999999997</v>
      </c>
      <c r="C86" s="125">
        <v>2288.77</v>
      </c>
      <c r="D86" s="125">
        <v>2802.67</v>
      </c>
      <c r="E86" s="125">
        <v>3755.27</v>
      </c>
      <c r="F86" s="125">
        <v>3055.97</v>
      </c>
      <c r="G86" s="129">
        <f t="shared" si="4"/>
        <v>2.6837443648421163E-2</v>
      </c>
      <c r="H86" s="125">
        <f t="shared" si="5"/>
        <v>11902.68</v>
      </c>
      <c r="I86" s="24">
        <f t="shared" si="6"/>
        <v>-11562.609999999997</v>
      </c>
      <c r="M86" s="24"/>
      <c r="N86" s="24"/>
      <c r="O86" s="24"/>
      <c r="P86" s="24"/>
      <c r="Q86" s="24"/>
      <c r="R86" s="24"/>
    </row>
    <row r="87" spans="1:18">
      <c r="A87" s="144" t="s">
        <v>433</v>
      </c>
      <c r="B87" s="132">
        <v>2095.96</v>
      </c>
      <c r="C87" s="125">
        <v>313.61</v>
      </c>
      <c r="D87" s="125">
        <v>313.61</v>
      </c>
      <c r="E87" s="125">
        <v>313.61</v>
      </c>
      <c r="F87" s="125">
        <v>313.61</v>
      </c>
      <c r="G87" s="129">
        <f t="shared" si="4"/>
        <v>2.828435512869828E-3</v>
      </c>
      <c r="H87" s="125">
        <f t="shared" si="5"/>
        <v>1254.44</v>
      </c>
      <c r="I87" s="24">
        <f t="shared" si="6"/>
        <v>-841.52</v>
      </c>
      <c r="M87" s="24"/>
      <c r="N87" s="24"/>
      <c r="O87" s="24"/>
      <c r="P87" s="24"/>
      <c r="Q87" s="24"/>
      <c r="R87" s="24"/>
    </row>
    <row r="88" spans="1:18">
      <c r="A88" s="144" t="s">
        <v>134</v>
      </c>
      <c r="B88" s="132">
        <v>200</v>
      </c>
      <c r="C88" s="125">
        <v>0</v>
      </c>
      <c r="D88" s="125">
        <v>0</v>
      </c>
      <c r="E88" s="125">
        <v>0</v>
      </c>
      <c r="F88" s="125">
        <v>0</v>
      </c>
      <c r="G88" s="129">
        <f t="shared" si="4"/>
        <v>0</v>
      </c>
      <c r="H88" s="125">
        <f t="shared" si="5"/>
        <v>0</v>
      </c>
      <c r="I88" s="24">
        <f t="shared" si="6"/>
        <v>-200</v>
      </c>
      <c r="M88" s="24"/>
      <c r="N88" s="24"/>
      <c r="O88" s="24"/>
      <c r="P88" s="24"/>
      <c r="Q88" s="24"/>
      <c r="R88" s="24"/>
    </row>
    <row r="89" spans="1:18">
      <c r="A89" s="127" t="s">
        <v>434</v>
      </c>
      <c r="B89" s="132">
        <v>1682.6100000000001</v>
      </c>
      <c r="C89" s="125">
        <v>0</v>
      </c>
      <c r="D89" s="125">
        <v>0</v>
      </c>
      <c r="E89" s="125">
        <v>0</v>
      </c>
      <c r="F89" s="125">
        <v>0</v>
      </c>
      <c r="G89" s="129">
        <f t="shared" si="4"/>
        <v>0</v>
      </c>
      <c r="H89" s="125">
        <f t="shared" si="5"/>
        <v>0</v>
      </c>
      <c r="I89" s="24">
        <f t="shared" si="6"/>
        <v>-1682.6100000000001</v>
      </c>
      <c r="M89" s="24"/>
      <c r="N89" s="24"/>
      <c r="O89" s="24"/>
      <c r="P89" s="24"/>
      <c r="Q89" s="24"/>
      <c r="R89" s="24"/>
    </row>
    <row r="90" spans="1:18">
      <c r="A90" s="127" t="s">
        <v>435</v>
      </c>
      <c r="B90" s="132">
        <v>764.4</v>
      </c>
      <c r="C90" s="125">
        <v>0</v>
      </c>
      <c r="D90" s="125">
        <v>0</v>
      </c>
      <c r="E90" s="125">
        <v>0</v>
      </c>
      <c r="F90" s="125">
        <v>0</v>
      </c>
      <c r="G90" s="129">
        <f t="shared" si="4"/>
        <v>0</v>
      </c>
      <c r="H90" s="125">
        <f t="shared" si="5"/>
        <v>0</v>
      </c>
      <c r="I90" s="24">
        <f t="shared" si="6"/>
        <v>-764.4</v>
      </c>
      <c r="M90" s="24"/>
      <c r="N90" s="24"/>
      <c r="O90" s="24"/>
      <c r="P90" s="24"/>
      <c r="Q90" s="24"/>
      <c r="R90" s="24"/>
    </row>
    <row r="91" spans="1:18">
      <c r="A91" s="127" t="s">
        <v>436</v>
      </c>
      <c r="B91" s="132">
        <v>2312.8199999999997</v>
      </c>
      <c r="C91" s="125">
        <v>0</v>
      </c>
      <c r="D91" s="125">
        <v>394.88</v>
      </c>
      <c r="E91" s="125">
        <v>0</v>
      </c>
      <c r="F91" s="125">
        <v>0</v>
      </c>
      <c r="G91" s="129">
        <f t="shared" si="4"/>
        <v>8.9035156350406367E-4</v>
      </c>
      <c r="H91" s="125">
        <f t="shared" si="5"/>
        <v>394.88</v>
      </c>
      <c r="I91" s="24">
        <f t="shared" si="6"/>
        <v>-1917.9399999999996</v>
      </c>
      <c r="M91" s="24"/>
      <c r="N91" s="24"/>
      <c r="O91" s="24"/>
      <c r="P91" s="24"/>
      <c r="Q91" s="24"/>
      <c r="R91" s="24"/>
    </row>
    <row r="92" spans="1:18">
      <c r="A92" s="127" t="s">
        <v>437</v>
      </c>
      <c r="B92" s="132">
        <v>0</v>
      </c>
      <c r="C92" s="125">
        <v>0</v>
      </c>
      <c r="D92" s="125">
        <v>0</v>
      </c>
      <c r="E92" s="125">
        <v>0</v>
      </c>
      <c r="F92" s="125">
        <v>0</v>
      </c>
      <c r="G92" s="129">
        <f t="shared" si="4"/>
        <v>0</v>
      </c>
      <c r="H92" s="125">
        <f t="shared" si="5"/>
        <v>0</v>
      </c>
      <c r="I92" s="24">
        <f t="shared" si="6"/>
        <v>0</v>
      </c>
      <c r="M92" s="24"/>
      <c r="N92" s="24"/>
      <c r="O92" s="24"/>
      <c r="P92" s="24"/>
      <c r="Q92" s="24"/>
      <c r="R92" s="24"/>
    </row>
    <row r="93" spans="1:18">
      <c r="A93" s="127" t="s">
        <v>438</v>
      </c>
      <c r="B93" s="132">
        <v>0</v>
      </c>
      <c r="C93" s="125">
        <v>0</v>
      </c>
      <c r="D93" s="125">
        <v>0</v>
      </c>
      <c r="E93" s="125">
        <v>0</v>
      </c>
      <c r="F93" s="125">
        <v>0</v>
      </c>
      <c r="G93" s="129">
        <f t="shared" si="4"/>
        <v>0</v>
      </c>
      <c r="H93" s="125">
        <f t="shared" si="5"/>
        <v>0</v>
      </c>
      <c r="I93" s="24">
        <f t="shared" si="6"/>
        <v>0</v>
      </c>
      <c r="M93" s="24"/>
      <c r="N93" s="24"/>
      <c r="O93" s="24"/>
      <c r="P93" s="24"/>
      <c r="Q93" s="24"/>
      <c r="R93" s="24"/>
    </row>
    <row r="94" spans="1:18">
      <c r="A94" s="127" t="s">
        <v>439</v>
      </c>
      <c r="B94" s="132">
        <v>943.01</v>
      </c>
      <c r="C94" s="125">
        <v>474.59</v>
      </c>
      <c r="D94" s="125">
        <v>474.59</v>
      </c>
      <c r="E94" s="125">
        <v>474.59</v>
      </c>
      <c r="F94" s="125">
        <v>474.59</v>
      </c>
      <c r="G94" s="129">
        <f t="shared" si="4"/>
        <v>4.2803074202126578E-3</v>
      </c>
      <c r="H94" s="125">
        <f t="shared" si="5"/>
        <v>1898.36</v>
      </c>
      <c r="I94" s="24">
        <f t="shared" si="6"/>
        <v>955.34999999999991</v>
      </c>
      <c r="M94" s="24"/>
      <c r="N94" s="24"/>
      <c r="O94" s="24"/>
      <c r="P94" s="24"/>
      <c r="Q94" s="24"/>
      <c r="R94" s="24"/>
    </row>
    <row r="95" spans="1:18">
      <c r="A95" s="127" t="s">
        <v>440</v>
      </c>
      <c r="B95" s="132">
        <v>5256.43</v>
      </c>
      <c r="C95" s="125">
        <v>367.61</v>
      </c>
      <c r="D95" s="125">
        <v>353.89</v>
      </c>
      <c r="E95" s="125">
        <v>404.5</v>
      </c>
      <c r="F95" s="125">
        <v>562.23</v>
      </c>
      <c r="G95" s="129">
        <f t="shared" si="4"/>
        <v>3.8065189932497607E-3</v>
      </c>
      <c r="H95" s="125">
        <f t="shared" si="5"/>
        <v>1688.23</v>
      </c>
      <c r="I95" s="24">
        <f t="shared" si="6"/>
        <v>-3568.2000000000003</v>
      </c>
      <c r="M95" s="24"/>
      <c r="N95" s="24"/>
      <c r="O95" s="24"/>
      <c r="P95" s="24"/>
      <c r="Q95" s="24"/>
      <c r="R95" s="24"/>
    </row>
    <row r="96" spans="1:18">
      <c r="A96" s="144" t="s">
        <v>441</v>
      </c>
      <c r="B96" s="132">
        <v>0</v>
      </c>
      <c r="C96" s="125">
        <v>0</v>
      </c>
      <c r="D96" s="125">
        <v>0</v>
      </c>
      <c r="E96" s="125">
        <v>0</v>
      </c>
      <c r="F96" s="125">
        <v>0</v>
      </c>
      <c r="G96" s="129">
        <f t="shared" si="4"/>
        <v>0</v>
      </c>
      <c r="H96" s="125">
        <f t="shared" si="5"/>
        <v>0</v>
      </c>
      <c r="I96" s="24">
        <f t="shared" si="6"/>
        <v>0</v>
      </c>
      <c r="M96" s="24"/>
      <c r="N96" s="24"/>
      <c r="O96" s="24"/>
      <c r="P96" s="24"/>
      <c r="Q96" s="24"/>
      <c r="R96" s="24"/>
    </row>
    <row r="97" spans="1:18">
      <c r="A97" s="144" t="s">
        <v>442</v>
      </c>
      <c r="B97" s="132">
        <v>0</v>
      </c>
      <c r="C97" s="125">
        <v>0</v>
      </c>
      <c r="D97" s="125">
        <v>0</v>
      </c>
      <c r="E97" s="125">
        <v>0</v>
      </c>
      <c r="F97" s="125">
        <v>0</v>
      </c>
      <c r="G97" s="129">
        <f t="shared" si="4"/>
        <v>0</v>
      </c>
      <c r="H97" s="125">
        <f t="shared" si="5"/>
        <v>0</v>
      </c>
      <c r="I97" s="24">
        <f t="shared" si="6"/>
        <v>0</v>
      </c>
      <c r="M97" s="24"/>
      <c r="N97" s="24"/>
      <c r="O97" s="24"/>
      <c r="P97" s="24"/>
      <c r="Q97" s="24"/>
      <c r="R97" s="24"/>
    </row>
    <row r="98" spans="1:18">
      <c r="A98" s="133" t="s">
        <v>443</v>
      </c>
      <c r="B98" s="134">
        <f>SUM(B63:B97)</f>
        <v>123061.4515</v>
      </c>
      <c r="C98" s="134">
        <f>SUM(C63:C97)</f>
        <v>15105.500000000002</v>
      </c>
      <c r="D98" s="134">
        <f>SUM(D63:D97)</f>
        <v>16107.759999999998</v>
      </c>
      <c r="E98" s="134">
        <f>SUM(E63:E97)</f>
        <v>16080.510000000002</v>
      </c>
      <c r="F98" s="134">
        <f>SUM(F63:F97)</f>
        <v>15399.33</v>
      </c>
      <c r="G98" s="129">
        <f t="shared" si="4"/>
        <v>0.14135661366976454</v>
      </c>
      <c r="H98" s="123">
        <f>SUM(C98:F98)</f>
        <v>62693.100000000006</v>
      </c>
      <c r="I98" s="24">
        <f t="shared" si="6"/>
        <v>-60368.35149999999</v>
      </c>
      <c r="M98" s="24"/>
      <c r="N98" s="24"/>
      <c r="O98" s="24"/>
      <c r="P98" s="24"/>
      <c r="Q98" s="24"/>
      <c r="R98" s="24"/>
    </row>
    <row r="99" spans="1:18">
      <c r="A99" s="137" t="s">
        <v>444</v>
      </c>
      <c r="B99" s="134">
        <f>B98+B59</f>
        <v>162561.4515</v>
      </c>
      <c r="C99" s="134">
        <f>C98+C59</f>
        <v>24365.770000000004</v>
      </c>
      <c r="D99" s="134">
        <f>D98+D59</f>
        <v>19251.219999999998</v>
      </c>
      <c r="E99" s="134">
        <f>E98+E59</f>
        <v>27260.890000000003</v>
      </c>
      <c r="F99" s="134">
        <f>F98+F59</f>
        <v>24659.599999999999</v>
      </c>
      <c r="G99" s="129">
        <f t="shared" si="4"/>
        <v>0.21541213708275483</v>
      </c>
      <c r="H99" s="123">
        <f>SUM(C99:F99)</f>
        <v>95537.48000000001</v>
      </c>
      <c r="I99" s="24">
        <f t="shared" si="6"/>
        <v>-67023.971499999985</v>
      </c>
      <c r="M99" s="24"/>
      <c r="N99" s="24"/>
      <c r="O99" s="24"/>
      <c r="P99" s="24"/>
      <c r="Q99" s="24"/>
      <c r="R99" s="24"/>
    </row>
    <row r="100" spans="1:18">
      <c r="A100" s="137"/>
      <c r="B100" s="132"/>
      <c r="C100" s="125"/>
      <c r="D100" s="125"/>
      <c r="E100" s="125"/>
      <c r="F100" s="125"/>
      <c r="G100" s="129"/>
      <c r="H100" s="125"/>
      <c r="I100" s="24">
        <f t="shared" si="6"/>
        <v>0</v>
      </c>
      <c r="M100" s="24"/>
      <c r="N100" s="24"/>
      <c r="O100" s="24"/>
      <c r="P100" s="24"/>
      <c r="Q100" s="24"/>
      <c r="R100" s="24"/>
    </row>
    <row r="101" spans="1:18">
      <c r="A101" s="121" t="s">
        <v>445</v>
      </c>
      <c r="B101" s="132"/>
      <c r="C101" s="125"/>
      <c r="D101" s="125"/>
      <c r="E101" s="125"/>
      <c r="F101" s="125"/>
      <c r="G101" s="129"/>
      <c r="H101" s="125"/>
      <c r="I101" s="24">
        <f t="shared" si="6"/>
        <v>0</v>
      </c>
      <c r="M101" s="24"/>
      <c r="N101" s="24"/>
      <c r="O101" s="24"/>
      <c r="P101" s="24"/>
      <c r="Q101" s="24"/>
      <c r="R101" s="24"/>
    </row>
    <row r="102" spans="1:18">
      <c r="A102" s="140" t="s">
        <v>446</v>
      </c>
      <c r="B102" s="132"/>
      <c r="C102" s="125"/>
      <c r="D102" s="125"/>
      <c r="E102" s="125"/>
      <c r="F102" s="125"/>
      <c r="G102" s="129"/>
      <c r="H102" s="125"/>
      <c r="I102" s="24">
        <f t="shared" si="6"/>
        <v>0</v>
      </c>
      <c r="M102" s="24"/>
      <c r="N102" s="24"/>
      <c r="O102" s="24"/>
      <c r="P102" s="24"/>
      <c r="Q102" s="24"/>
      <c r="R102" s="24"/>
    </row>
    <row r="103" spans="1:18">
      <c r="A103" s="127" t="s">
        <v>447</v>
      </c>
      <c r="B103" s="132">
        <v>0</v>
      </c>
      <c r="C103" s="125">
        <v>0</v>
      </c>
      <c r="D103" s="125">
        <v>0</v>
      </c>
      <c r="E103" s="125">
        <v>0</v>
      </c>
      <c r="F103" s="125">
        <v>0</v>
      </c>
      <c r="G103" s="129">
        <f t="shared" si="4"/>
        <v>0</v>
      </c>
      <c r="H103" s="125">
        <f t="shared" si="5"/>
        <v>0</v>
      </c>
      <c r="I103" s="24">
        <f t="shared" si="6"/>
        <v>0</v>
      </c>
      <c r="M103" s="24"/>
      <c r="N103" s="24"/>
      <c r="O103" s="24"/>
      <c r="P103" s="24"/>
      <c r="Q103" s="24"/>
      <c r="R103" s="24"/>
    </row>
    <row r="104" spans="1:18">
      <c r="A104" s="127" t="s">
        <v>448</v>
      </c>
      <c r="B104" s="132">
        <v>0</v>
      </c>
      <c r="C104" s="125">
        <v>0</v>
      </c>
      <c r="D104" s="125">
        <v>0</v>
      </c>
      <c r="E104" s="125">
        <v>0</v>
      </c>
      <c r="F104" s="125">
        <v>0</v>
      </c>
      <c r="G104" s="129">
        <f t="shared" si="4"/>
        <v>0</v>
      </c>
      <c r="H104" s="125">
        <f t="shared" si="5"/>
        <v>0</v>
      </c>
      <c r="I104" s="24">
        <f t="shared" si="6"/>
        <v>0</v>
      </c>
      <c r="M104" s="24"/>
      <c r="N104" s="24"/>
      <c r="O104" s="24"/>
      <c r="P104" s="24"/>
      <c r="Q104" s="24"/>
      <c r="R104" s="24"/>
    </row>
    <row r="105" spans="1:18">
      <c r="A105" s="127" t="s">
        <v>449</v>
      </c>
      <c r="B105" s="132">
        <v>0</v>
      </c>
      <c r="C105" s="125">
        <v>0</v>
      </c>
      <c r="D105" s="125">
        <v>0</v>
      </c>
      <c r="E105" s="125">
        <v>0</v>
      </c>
      <c r="F105" s="125">
        <v>0</v>
      </c>
      <c r="G105" s="129">
        <f t="shared" si="4"/>
        <v>0</v>
      </c>
      <c r="H105" s="125">
        <f t="shared" si="5"/>
        <v>0</v>
      </c>
      <c r="I105" s="24">
        <f t="shared" si="6"/>
        <v>0</v>
      </c>
      <c r="M105" s="24"/>
      <c r="N105" s="24"/>
      <c r="O105" s="24"/>
      <c r="P105" s="24"/>
      <c r="Q105" s="24"/>
      <c r="R105" s="24"/>
    </row>
    <row r="106" spans="1:18">
      <c r="A106" s="127" t="s">
        <v>450</v>
      </c>
      <c r="B106" s="132">
        <v>0</v>
      </c>
      <c r="C106" s="125">
        <v>0</v>
      </c>
      <c r="D106" s="125">
        <v>0</v>
      </c>
      <c r="E106" s="125">
        <v>0</v>
      </c>
      <c r="F106" s="125">
        <v>0</v>
      </c>
      <c r="G106" s="129">
        <f t="shared" si="4"/>
        <v>0</v>
      </c>
      <c r="H106" s="125">
        <f t="shared" si="5"/>
        <v>0</v>
      </c>
      <c r="I106" s="24">
        <f t="shared" si="6"/>
        <v>0</v>
      </c>
      <c r="M106" s="24"/>
      <c r="N106" s="24"/>
      <c r="O106" s="24"/>
      <c r="P106" s="24"/>
      <c r="Q106" s="24"/>
      <c r="R106" s="24"/>
    </row>
    <row r="107" spans="1:18">
      <c r="A107" s="127" t="s">
        <v>451</v>
      </c>
      <c r="B107" s="132">
        <v>0</v>
      </c>
      <c r="C107" s="125">
        <v>0</v>
      </c>
      <c r="D107" s="125">
        <v>0</v>
      </c>
      <c r="E107" s="125">
        <v>0</v>
      </c>
      <c r="F107" s="125">
        <v>0</v>
      </c>
      <c r="G107" s="129">
        <f t="shared" si="4"/>
        <v>0</v>
      </c>
      <c r="H107" s="125">
        <f t="shared" si="5"/>
        <v>0</v>
      </c>
      <c r="I107" s="24">
        <f t="shared" si="6"/>
        <v>0</v>
      </c>
      <c r="M107" s="24"/>
      <c r="N107" s="24"/>
      <c r="O107" s="24"/>
      <c r="P107" s="24"/>
      <c r="Q107" s="24"/>
      <c r="R107" s="24"/>
    </row>
    <row r="108" spans="1:18">
      <c r="A108" s="127" t="s">
        <v>452</v>
      </c>
      <c r="B108" s="132">
        <v>0</v>
      </c>
      <c r="C108" s="125">
        <v>0</v>
      </c>
      <c r="D108" s="125">
        <v>0</v>
      </c>
      <c r="E108" s="125">
        <v>0</v>
      </c>
      <c r="F108" s="125">
        <v>0</v>
      </c>
      <c r="G108" s="129">
        <f t="shared" si="4"/>
        <v>0</v>
      </c>
      <c r="H108" s="125">
        <f t="shared" si="5"/>
        <v>0</v>
      </c>
      <c r="I108" s="24">
        <f t="shared" si="6"/>
        <v>0</v>
      </c>
      <c r="M108" s="24"/>
      <c r="N108" s="24"/>
      <c r="O108" s="24"/>
      <c r="P108" s="24"/>
      <c r="Q108" s="24"/>
      <c r="R108" s="24"/>
    </row>
    <row r="109" spans="1:18">
      <c r="A109" s="127" t="s">
        <v>453</v>
      </c>
      <c r="B109" s="132">
        <v>0</v>
      </c>
      <c r="C109" s="125">
        <v>0</v>
      </c>
      <c r="D109" s="125">
        <v>0</v>
      </c>
      <c r="E109" s="125">
        <v>0</v>
      </c>
      <c r="F109" s="125">
        <v>0</v>
      </c>
      <c r="G109" s="129">
        <f t="shared" si="4"/>
        <v>0</v>
      </c>
      <c r="H109" s="125">
        <f t="shared" si="5"/>
        <v>0</v>
      </c>
      <c r="I109" s="24">
        <f t="shared" si="6"/>
        <v>0</v>
      </c>
      <c r="M109" s="24"/>
      <c r="N109" s="24"/>
      <c r="O109" s="24"/>
      <c r="P109" s="24"/>
      <c r="Q109" s="24"/>
      <c r="R109" s="24"/>
    </row>
    <row r="110" spans="1:18">
      <c r="A110" s="127" t="s">
        <v>454</v>
      </c>
      <c r="B110" s="132">
        <v>0</v>
      </c>
      <c r="C110" s="125">
        <v>0</v>
      </c>
      <c r="D110" s="125">
        <v>0</v>
      </c>
      <c r="E110" s="125">
        <v>0</v>
      </c>
      <c r="F110" s="125">
        <v>0</v>
      </c>
      <c r="G110" s="129">
        <f t="shared" si="4"/>
        <v>0</v>
      </c>
      <c r="H110" s="125">
        <f t="shared" si="5"/>
        <v>0</v>
      </c>
      <c r="I110" s="24">
        <f t="shared" si="6"/>
        <v>0</v>
      </c>
      <c r="M110" s="24"/>
      <c r="N110" s="24"/>
      <c r="O110" s="24"/>
      <c r="P110" s="24"/>
      <c r="Q110" s="24"/>
      <c r="R110" s="24"/>
    </row>
    <row r="111" spans="1:18">
      <c r="A111" s="127" t="s">
        <v>455</v>
      </c>
      <c r="B111" s="132">
        <v>0</v>
      </c>
      <c r="C111" s="125">
        <v>0</v>
      </c>
      <c r="D111" s="125">
        <v>0</v>
      </c>
      <c r="E111" s="125">
        <v>0</v>
      </c>
      <c r="F111" s="125">
        <v>0</v>
      </c>
      <c r="G111" s="129">
        <f t="shared" si="4"/>
        <v>0</v>
      </c>
      <c r="H111" s="125">
        <f t="shared" si="5"/>
        <v>0</v>
      </c>
      <c r="I111" s="24">
        <f t="shared" si="6"/>
        <v>0</v>
      </c>
      <c r="M111" s="24"/>
      <c r="N111" s="24"/>
      <c r="O111" s="24"/>
      <c r="P111" s="24"/>
      <c r="Q111" s="24"/>
      <c r="R111" s="24"/>
    </row>
    <row r="112" spans="1:18">
      <c r="A112" s="127" t="s">
        <v>456</v>
      </c>
      <c r="B112" s="132">
        <v>0</v>
      </c>
      <c r="C112" s="125">
        <v>0</v>
      </c>
      <c r="D112" s="125">
        <v>0</v>
      </c>
      <c r="E112" s="125">
        <v>0</v>
      </c>
      <c r="F112" s="125">
        <v>0</v>
      </c>
      <c r="G112" s="129">
        <f t="shared" si="4"/>
        <v>0</v>
      </c>
      <c r="H112" s="125">
        <f t="shared" si="5"/>
        <v>0</v>
      </c>
      <c r="I112" s="24">
        <f t="shared" si="6"/>
        <v>0</v>
      </c>
      <c r="M112" s="24"/>
      <c r="N112" s="24"/>
      <c r="O112" s="24"/>
      <c r="P112" s="24"/>
      <c r="Q112" s="24"/>
      <c r="R112" s="24"/>
    </row>
    <row r="113" spans="1:18">
      <c r="A113" s="127" t="s">
        <v>457</v>
      </c>
      <c r="B113" s="132">
        <v>0</v>
      </c>
      <c r="C113" s="125">
        <v>0</v>
      </c>
      <c r="D113" s="125">
        <v>0</v>
      </c>
      <c r="E113" s="125">
        <v>0</v>
      </c>
      <c r="F113" s="125">
        <v>0</v>
      </c>
      <c r="G113" s="129">
        <f t="shared" si="4"/>
        <v>0</v>
      </c>
      <c r="H113" s="125">
        <f t="shared" si="5"/>
        <v>0</v>
      </c>
      <c r="I113" s="24">
        <f t="shared" si="6"/>
        <v>0</v>
      </c>
      <c r="M113" s="24"/>
      <c r="N113" s="24"/>
      <c r="O113" s="24"/>
      <c r="P113" s="24"/>
      <c r="Q113" s="24"/>
      <c r="R113" s="24"/>
    </row>
    <row r="114" spans="1:18">
      <c r="A114" s="127" t="s">
        <v>458</v>
      </c>
      <c r="B114" s="132">
        <v>0</v>
      </c>
      <c r="C114" s="125">
        <v>0</v>
      </c>
      <c r="D114" s="125">
        <v>0</v>
      </c>
      <c r="E114" s="125">
        <v>0</v>
      </c>
      <c r="F114" s="125">
        <v>0</v>
      </c>
      <c r="G114" s="129">
        <f t="shared" si="4"/>
        <v>0</v>
      </c>
      <c r="H114" s="125">
        <f t="shared" si="5"/>
        <v>0</v>
      </c>
      <c r="I114" s="24">
        <f t="shared" si="6"/>
        <v>0</v>
      </c>
      <c r="M114" s="24"/>
      <c r="N114" s="24"/>
      <c r="O114" s="24"/>
      <c r="P114" s="24"/>
      <c r="Q114" s="24"/>
      <c r="R114" s="24"/>
    </row>
    <row r="115" spans="1:18">
      <c r="A115" s="133" t="s">
        <v>459</v>
      </c>
      <c r="B115" s="134">
        <f>SUM(B103:B114)</f>
        <v>0</v>
      </c>
      <c r="C115" s="134">
        <f>SUM(C103:C114)</f>
        <v>0</v>
      </c>
      <c r="D115" s="134">
        <f>SUM(D103:D114)</f>
        <v>0</v>
      </c>
      <c r="E115" s="134">
        <f>SUM(E103:E114)</f>
        <v>0</v>
      </c>
      <c r="F115" s="134">
        <f>SUM(F103:F114)</f>
        <v>0</v>
      </c>
      <c r="G115" s="129">
        <f t="shared" si="4"/>
        <v>0</v>
      </c>
      <c r="H115" s="123">
        <f t="shared" si="5"/>
        <v>0</v>
      </c>
      <c r="I115" s="24">
        <f t="shared" si="6"/>
        <v>0</v>
      </c>
      <c r="M115" s="24"/>
      <c r="N115" s="24"/>
      <c r="O115" s="24"/>
      <c r="P115" s="24"/>
      <c r="Q115" s="24"/>
      <c r="R115" s="24"/>
    </row>
    <row r="116" spans="1:18">
      <c r="A116" s="127"/>
      <c r="B116" s="132"/>
      <c r="C116" s="125"/>
      <c r="D116" s="125"/>
      <c r="E116" s="125"/>
      <c r="F116" s="125"/>
      <c r="G116" s="129"/>
      <c r="H116" s="125"/>
      <c r="I116" s="24">
        <f t="shared" si="6"/>
        <v>0</v>
      </c>
      <c r="M116" s="24"/>
      <c r="N116" s="24"/>
      <c r="O116" s="24"/>
      <c r="P116" s="24"/>
      <c r="Q116" s="24"/>
      <c r="R116" s="24"/>
    </row>
    <row r="117" spans="1:18">
      <c r="A117" s="140" t="s">
        <v>460</v>
      </c>
      <c r="B117" s="132"/>
      <c r="C117" s="125"/>
      <c r="D117" s="125"/>
      <c r="E117" s="125"/>
      <c r="F117" s="125"/>
      <c r="G117" s="129"/>
      <c r="H117" s="125"/>
      <c r="I117" s="24">
        <f t="shared" si="6"/>
        <v>0</v>
      </c>
      <c r="M117" s="24"/>
      <c r="N117" s="24"/>
      <c r="O117" s="24"/>
      <c r="P117" s="24"/>
      <c r="Q117" s="24"/>
      <c r="R117" s="24"/>
    </row>
    <row r="118" spans="1:18">
      <c r="A118" s="127" t="s">
        <v>461</v>
      </c>
      <c r="B118" s="132">
        <v>0</v>
      </c>
      <c r="C118" s="125">
        <v>0</v>
      </c>
      <c r="D118" s="125">
        <v>0</v>
      </c>
      <c r="E118" s="125">
        <v>0</v>
      </c>
      <c r="F118" s="125">
        <v>0</v>
      </c>
      <c r="G118" s="129">
        <f t="shared" si="4"/>
        <v>0</v>
      </c>
      <c r="H118" s="125">
        <f t="shared" si="5"/>
        <v>0</v>
      </c>
      <c r="I118" s="24">
        <f t="shared" si="6"/>
        <v>0</v>
      </c>
      <c r="M118" s="24"/>
      <c r="N118" s="24"/>
      <c r="O118" s="24"/>
      <c r="P118" s="24"/>
      <c r="Q118" s="24"/>
      <c r="R118" s="24"/>
    </row>
    <row r="119" spans="1:18">
      <c r="A119" s="127" t="s">
        <v>441</v>
      </c>
      <c r="B119" s="132">
        <v>5000</v>
      </c>
      <c r="C119" s="125">
        <v>71.38</v>
      </c>
      <c r="D119" s="119">
        <v>68.48</v>
      </c>
      <c r="E119" s="119">
        <v>197.81</v>
      </c>
      <c r="F119" s="119">
        <v>0</v>
      </c>
      <c r="G119" s="129">
        <f t="shared" si="4"/>
        <v>7.6135791239975996E-4</v>
      </c>
      <c r="H119" s="125">
        <f t="shared" si="5"/>
        <v>337.67</v>
      </c>
      <c r="I119" s="24">
        <f t="shared" si="6"/>
        <v>-4662.33</v>
      </c>
      <c r="M119" s="24"/>
      <c r="N119" s="24"/>
      <c r="O119" s="24"/>
      <c r="P119" s="24"/>
      <c r="Q119" s="24"/>
      <c r="R119" s="24"/>
    </row>
    <row r="120" spans="1:18">
      <c r="A120" s="127" t="s">
        <v>462</v>
      </c>
      <c r="B120" s="132">
        <v>0</v>
      </c>
      <c r="C120" s="125">
        <v>0</v>
      </c>
      <c r="D120" s="125">
        <v>0</v>
      </c>
      <c r="E120" s="125">
        <v>0</v>
      </c>
      <c r="F120" s="125">
        <v>0</v>
      </c>
      <c r="G120" s="129">
        <f t="shared" si="4"/>
        <v>0</v>
      </c>
      <c r="H120" s="125">
        <f t="shared" si="5"/>
        <v>0</v>
      </c>
      <c r="I120" s="24">
        <f t="shared" si="6"/>
        <v>0</v>
      </c>
      <c r="M120" s="24"/>
      <c r="N120" s="24"/>
      <c r="O120" s="24"/>
      <c r="P120" s="24"/>
      <c r="Q120" s="24"/>
      <c r="R120" s="24"/>
    </row>
    <row r="121" spans="1:18">
      <c r="A121" s="127" t="s">
        <v>450</v>
      </c>
      <c r="B121" s="132">
        <v>0</v>
      </c>
      <c r="C121" s="125">
        <v>0</v>
      </c>
      <c r="D121" s="125">
        <v>0</v>
      </c>
      <c r="E121" s="125">
        <v>0</v>
      </c>
      <c r="F121" s="125">
        <v>0</v>
      </c>
      <c r="G121" s="129">
        <f t="shared" si="4"/>
        <v>0</v>
      </c>
      <c r="H121" s="125">
        <f t="shared" si="5"/>
        <v>0</v>
      </c>
      <c r="I121" s="24">
        <f t="shared" si="6"/>
        <v>0</v>
      </c>
      <c r="M121" s="24"/>
      <c r="N121" s="24"/>
      <c r="O121" s="24"/>
      <c r="P121" s="24"/>
      <c r="Q121" s="24"/>
      <c r="R121" s="24"/>
    </row>
    <row r="122" spans="1:18">
      <c r="A122" s="127" t="s">
        <v>463</v>
      </c>
      <c r="B122" s="132">
        <v>0</v>
      </c>
      <c r="C122" s="125">
        <v>0</v>
      </c>
      <c r="D122" s="125">
        <v>0</v>
      </c>
      <c r="E122" s="125">
        <v>0</v>
      </c>
      <c r="F122" s="125">
        <v>0</v>
      </c>
      <c r="G122" s="129">
        <f t="shared" si="4"/>
        <v>0</v>
      </c>
      <c r="H122" s="125">
        <f t="shared" si="5"/>
        <v>0</v>
      </c>
      <c r="I122" s="24">
        <f t="shared" si="6"/>
        <v>0</v>
      </c>
      <c r="M122" s="24"/>
      <c r="N122" s="24"/>
      <c r="O122" s="24"/>
      <c r="P122" s="24"/>
      <c r="Q122" s="24"/>
      <c r="R122" s="24"/>
    </row>
    <row r="123" spans="1:18">
      <c r="A123" s="127" t="s">
        <v>464</v>
      </c>
      <c r="B123" s="132">
        <v>0</v>
      </c>
      <c r="C123" s="125">
        <v>0</v>
      </c>
      <c r="D123" s="125">
        <v>0</v>
      </c>
      <c r="E123" s="125">
        <v>0</v>
      </c>
      <c r="F123" s="125">
        <v>0</v>
      </c>
      <c r="G123" s="129">
        <f t="shared" si="4"/>
        <v>0</v>
      </c>
      <c r="H123" s="125">
        <f t="shared" si="5"/>
        <v>0</v>
      </c>
      <c r="I123" s="24">
        <f t="shared" si="6"/>
        <v>0</v>
      </c>
      <c r="M123" s="24"/>
      <c r="N123" s="24"/>
      <c r="O123" s="24"/>
      <c r="P123" s="24"/>
      <c r="Q123" s="24"/>
      <c r="R123" s="24"/>
    </row>
    <row r="124" spans="1:18">
      <c r="A124" s="138" t="s">
        <v>465</v>
      </c>
      <c r="B124" s="132">
        <v>0</v>
      </c>
      <c r="C124" s="125">
        <v>0</v>
      </c>
      <c r="D124" s="125">
        <v>0</v>
      </c>
      <c r="E124" s="125">
        <v>0</v>
      </c>
      <c r="F124" s="125">
        <v>0</v>
      </c>
      <c r="G124" s="129">
        <f t="shared" si="4"/>
        <v>0</v>
      </c>
      <c r="H124" s="125">
        <f t="shared" si="5"/>
        <v>0</v>
      </c>
      <c r="I124" s="24">
        <f t="shared" si="6"/>
        <v>0</v>
      </c>
      <c r="M124" s="24"/>
      <c r="N124" s="24"/>
      <c r="O124" s="24"/>
      <c r="P124" s="24"/>
      <c r="Q124" s="24"/>
      <c r="R124" s="24"/>
    </row>
    <row r="125" spans="1:18">
      <c r="A125" s="138" t="s">
        <v>466</v>
      </c>
      <c r="B125" s="132">
        <v>27000</v>
      </c>
      <c r="C125" s="146">
        <v>4859.3</v>
      </c>
      <c r="D125" s="146">
        <v>4859.3</v>
      </c>
      <c r="E125" s="146">
        <v>4859.3</v>
      </c>
      <c r="F125" s="146">
        <v>4859.3</v>
      </c>
      <c r="G125" s="129">
        <f t="shared" si="4"/>
        <v>4.382582407349369E-2</v>
      </c>
      <c r="H125" s="125">
        <f t="shared" si="5"/>
        <v>19437.2</v>
      </c>
      <c r="I125" s="24">
        <f t="shared" si="6"/>
        <v>-7562.7999999999993</v>
      </c>
      <c r="M125" s="24"/>
      <c r="N125" s="24"/>
      <c r="O125" s="24"/>
      <c r="P125" s="24"/>
      <c r="Q125" s="24"/>
      <c r="R125" s="24"/>
    </row>
    <row r="126" spans="1:18">
      <c r="A126" s="127" t="s">
        <v>467</v>
      </c>
      <c r="B126" s="132">
        <v>0</v>
      </c>
      <c r="C126" s="119">
        <v>0</v>
      </c>
      <c r="D126" s="119">
        <v>0</v>
      </c>
      <c r="E126" s="119">
        <v>0</v>
      </c>
      <c r="F126" s="119">
        <v>0</v>
      </c>
      <c r="G126" s="129">
        <f t="shared" si="4"/>
        <v>0</v>
      </c>
      <c r="H126" s="125">
        <f t="shared" si="5"/>
        <v>0</v>
      </c>
      <c r="I126" s="24">
        <f t="shared" si="6"/>
        <v>0</v>
      </c>
      <c r="M126" s="24"/>
      <c r="N126" s="24"/>
      <c r="O126" s="24"/>
      <c r="P126" s="24"/>
      <c r="Q126" s="24"/>
      <c r="R126" s="24"/>
    </row>
    <row r="127" spans="1:18">
      <c r="A127" s="127" t="s">
        <v>468</v>
      </c>
      <c r="B127" s="132">
        <v>0</v>
      </c>
      <c r="C127" s="125">
        <v>0</v>
      </c>
      <c r="D127" s="125">
        <v>0</v>
      </c>
      <c r="E127" s="125">
        <v>0</v>
      </c>
      <c r="F127" s="125">
        <v>0</v>
      </c>
      <c r="G127" s="129">
        <f t="shared" si="4"/>
        <v>0</v>
      </c>
      <c r="H127" s="125">
        <f t="shared" si="5"/>
        <v>0</v>
      </c>
      <c r="I127" s="24">
        <f t="shared" si="6"/>
        <v>0</v>
      </c>
      <c r="M127" s="24"/>
      <c r="N127" s="24"/>
      <c r="O127" s="24"/>
      <c r="P127" s="24"/>
      <c r="Q127" s="24"/>
      <c r="R127" s="24"/>
    </row>
    <row r="128" spans="1:18">
      <c r="A128" s="127" t="s">
        <v>469</v>
      </c>
      <c r="B128" s="132">
        <v>0</v>
      </c>
      <c r="C128" s="125">
        <v>0</v>
      </c>
      <c r="D128" s="125">
        <v>0</v>
      </c>
      <c r="E128" s="125">
        <v>0</v>
      </c>
      <c r="F128" s="125">
        <v>0</v>
      </c>
      <c r="G128" s="129">
        <f t="shared" si="4"/>
        <v>0</v>
      </c>
      <c r="H128" s="125">
        <f t="shared" si="5"/>
        <v>0</v>
      </c>
      <c r="I128" s="24">
        <f t="shared" si="6"/>
        <v>0</v>
      </c>
      <c r="M128" s="24"/>
      <c r="N128" s="24"/>
      <c r="O128" s="24"/>
      <c r="P128" s="24"/>
      <c r="Q128" s="24"/>
      <c r="R128" s="24"/>
    </row>
    <row r="129" spans="1:18">
      <c r="A129" s="127" t="s">
        <v>470</v>
      </c>
      <c r="B129" s="132">
        <v>0</v>
      </c>
      <c r="C129" s="125">
        <v>0</v>
      </c>
      <c r="D129" s="125">
        <v>0</v>
      </c>
      <c r="E129" s="125">
        <v>0</v>
      </c>
      <c r="F129" s="125">
        <v>0</v>
      </c>
      <c r="G129" s="129">
        <f t="shared" si="4"/>
        <v>0</v>
      </c>
      <c r="H129" s="125">
        <f t="shared" si="5"/>
        <v>0</v>
      </c>
      <c r="I129" s="24">
        <f t="shared" si="6"/>
        <v>0</v>
      </c>
      <c r="M129" s="24"/>
      <c r="N129" s="24"/>
      <c r="O129" s="24"/>
      <c r="P129" s="24"/>
      <c r="Q129" s="24"/>
      <c r="R129" s="24"/>
    </row>
    <row r="130" spans="1:18">
      <c r="A130" s="127" t="s">
        <v>471</v>
      </c>
      <c r="B130" s="132">
        <v>0</v>
      </c>
      <c r="C130" s="146">
        <v>0</v>
      </c>
      <c r="D130" s="146">
        <v>0</v>
      </c>
      <c r="E130" s="146">
        <v>0</v>
      </c>
      <c r="F130" s="146">
        <v>0</v>
      </c>
      <c r="G130" s="129">
        <f t="shared" si="4"/>
        <v>0</v>
      </c>
      <c r="H130" s="125">
        <f t="shared" si="5"/>
        <v>0</v>
      </c>
      <c r="I130" s="24">
        <f t="shared" si="6"/>
        <v>0</v>
      </c>
      <c r="M130" s="24"/>
      <c r="N130" s="24"/>
      <c r="O130" s="24"/>
      <c r="P130" s="24"/>
      <c r="Q130" s="24"/>
      <c r="R130" s="24"/>
    </row>
    <row r="131" spans="1:18">
      <c r="A131" s="127" t="s">
        <v>472</v>
      </c>
      <c r="B131" s="132">
        <v>3000</v>
      </c>
      <c r="C131" s="125">
        <v>452.47</v>
      </c>
      <c r="D131" s="125">
        <v>452.47</v>
      </c>
      <c r="E131" s="125">
        <v>452.47</v>
      </c>
      <c r="F131" s="125">
        <v>452.47</v>
      </c>
      <c r="G131" s="129">
        <f t="shared" si="4"/>
        <v>4.0808080625879635E-3</v>
      </c>
      <c r="H131" s="125">
        <f t="shared" si="5"/>
        <v>1809.88</v>
      </c>
      <c r="I131" s="24">
        <f t="shared" si="6"/>
        <v>-1190.1199999999999</v>
      </c>
      <c r="M131" s="24"/>
      <c r="N131" s="24"/>
      <c r="O131" s="24"/>
      <c r="P131" s="24"/>
      <c r="Q131" s="24"/>
      <c r="R131" s="24"/>
    </row>
    <row r="132" spans="1:18">
      <c r="A132" s="127" t="s">
        <v>473</v>
      </c>
      <c r="B132" s="132">
        <v>0</v>
      </c>
      <c r="C132" s="125">
        <v>0</v>
      </c>
      <c r="D132" s="125">
        <v>0</v>
      </c>
      <c r="E132" s="125">
        <v>0</v>
      </c>
      <c r="F132" s="125">
        <v>0</v>
      </c>
      <c r="G132" s="129">
        <f t="shared" si="4"/>
        <v>0</v>
      </c>
      <c r="H132" s="125">
        <f t="shared" si="5"/>
        <v>0</v>
      </c>
      <c r="I132" s="24">
        <f t="shared" si="6"/>
        <v>0</v>
      </c>
      <c r="M132" s="24"/>
      <c r="N132" s="24"/>
      <c r="O132" s="24"/>
      <c r="P132" s="24"/>
      <c r="Q132" s="24"/>
      <c r="R132" s="24"/>
    </row>
    <row r="133" spans="1:18">
      <c r="A133" s="127" t="s">
        <v>474</v>
      </c>
      <c r="B133" s="132">
        <v>0</v>
      </c>
      <c r="C133" s="125">
        <v>0</v>
      </c>
      <c r="D133" s="125">
        <v>0</v>
      </c>
      <c r="E133" s="125">
        <v>0</v>
      </c>
      <c r="F133" s="125">
        <v>0</v>
      </c>
      <c r="G133" s="129">
        <f t="shared" si="4"/>
        <v>0</v>
      </c>
      <c r="H133" s="125">
        <f t="shared" si="5"/>
        <v>0</v>
      </c>
      <c r="I133" s="24">
        <f t="shared" si="6"/>
        <v>0</v>
      </c>
      <c r="M133" s="24"/>
      <c r="N133" s="24"/>
      <c r="O133" s="24"/>
      <c r="P133" s="24"/>
      <c r="Q133" s="24"/>
      <c r="R133" s="24"/>
    </row>
    <row r="134" spans="1:18">
      <c r="A134" s="127" t="s">
        <v>475</v>
      </c>
      <c r="B134" s="132">
        <v>0</v>
      </c>
      <c r="C134" s="125">
        <v>0</v>
      </c>
      <c r="D134" s="125">
        <v>0</v>
      </c>
      <c r="E134" s="125">
        <v>0</v>
      </c>
      <c r="F134" s="125">
        <v>0</v>
      </c>
      <c r="G134" s="129">
        <f t="shared" si="4"/>
        <v>0</v>
      </c>
      <c r="H134" s="125">
        <f t="shared" si="5"/>
        <v>0</v>
      </c>
      <c r="I134" s="24">
        <f t="shared" si="6"/>
        <v>0</v>
      </c>
      <c r="M134" s="24"/>
      <c r="N134" s="24"/>
      <c r="O134" s="24"/>
      <c r="P134" s="24"/>
      <c r="Q134" s="24"/>
      <c r="R134" s="24"/>
    </row>
    <row r="135" spans="1:18">
      <c r="A135" s="127" t="s">
        <v>476</v>
      </c>
      <c r="B135" s="132">
        <v>0</v>
      </c>
      <c r="C135" s="125">
        <v>0</v>
      </c>
      <c r="D135" s="125">
        <v>0</v>
      </c>
      <c r="E135" s="125">
        <v>0</v>
      </c>
      <c r="F135" s="125">
        <v>0</v>
      </c>
      <c r="G135" s="129">
        <f t="shared" si="4"/>
        <v>0</v>
      </c>
      <c r="H135" s="125">
        <f t="shared" si="5"/>
        <v>0</v>
      </c>
      <c r="I135" s="24">
        <f t="shared" si="6"/>
        <v>0</v>
      </c>
      <c r="M135" s="24"/>
      <c r="N135" s="24"/>
      <c r="O135" s="24"/>
      <c r="P135" s="24"/>
      <c r="Q135" s="24"/>
      <c r="R135" s="24"/>
    </row>
    <row r="136" spans="1:18">
      <c r="A136" s="133" t="s">
        <v>477</v>
      </c>
      <c r="B136" s="134">
        <f>SUM(B118:B135)</f>
        <v>35000</v>
      </c>
      <c r="C136" s="134">
        <f>SUM(C118:C135)</f>
        <v>5383.1500000000005</v>
      </c>
      <c r="D136" s="134">
        <f>SUM(D118:D135)</f>
        <v>5380.25</v>
      </c>
      <c r="E136" s="134">
        <f>SUM(E118:E135)</f>
        <v>5509.5800000000008</v>
      </c>
      <c r="F136" s="134">
        <f>SUM(F118:F135)</f>
        <v>5311.77</v>
      </c>
      <c r="G136" s="129">
        <f>H136/$H$10</f>
        <v>4.8667990048481415E-2</v>
      </c>
      <c r="H136" s="123">
        <f t="shared" si="5"/>
        <v>21584.750000000004</v>
      </c>
      <c r="I136" s="24">
        <f t="shared" si="6"/>
        <v>-13415.249999999996</v>
      </c>
      <c r="M136" s="24"/>
      <c r="N136" s="24"/>
      <c r="O136" s="24"/>
      <c r="P136" s="24"/>
      <c r="Q136" s="24"/>
      <c r="R136" s="24"/>
    </row>
    <row r="137" spans="1:18">
      <c r="A137" s="137" t="s">
        <v>478</v>
      </c>
      <c r="B137" s="134">
        <f>B115+B136</f>
        <v>35000</v>
      </c>
      <c r="C137" s="134">
        <f>C115+C136</f>
        <v>5383.1500000000005</v>
      </c>
      <c r="D137" s="134">
        <f>D115+D136</f>
        <v>5380.25</v>
      </c>
      <c r="E137" s="134">
        <f>E115+E136</f>
        <v>5509.5800000000008</v>
      </c>
      <c r="F137" s="134">
        <f>F115+F136</f>
        <v>5311.77</v>
      </c>
      <c r="G137" s="129">
        <f>H137/$H$10</f>
        <v>4.8667990048481415E-2</v>
      </c>
      <c r="H137" s="123">
        <f t="shared" si="5"/>
        <v>21584.750000000004</v>
      </c>
      <c r="I137" s="24">
        <f t="shared" si="6"/>
        <v>-13415.249999999996</v>
      </c>
      <c r="M137" s="24"/>
      <c r="N137" s="24"/>
      <c r="O137" s="24"/>
      <c r="P137" s="24"/>
      <c r="Q137" s="24"/>
      <c r="R137" s="24"/>
    </row>
    <row r="138" spans="1:18" ht="6" customHeight="1">
      <c r="A138" s="212"/>
      <c r="B138" s="212"/>
      <c r="C138" s="212"/>
      <c r="D138" s="212"/>
      <c r="E138" s="212"/>
      <c r="F138" s="212"/>
      <c r="G138" s="212"/>
      <c r="H138" s="212"/>
      <c r="I138" s="24">
        <f t="shared" si="6"/>
        <v>0</v>
      </c>
      <c r="Q138" s="24"/>
      <c r="R138" s="24"/>
    </row>
    <row r="139" spans="1:18">
      <c r="A139" s="115" t="s">
        <v>479</v>
      </c>
      <c r="B139" s="116">
        <f>B14+B39+B99+B137</f>
        <v>2174779.3797200001</v>
      </c>
      <c r="C139" s="116">
        <f>C14+C39+C99+C137</f>
        <v>340676.35200000007</v>
      </c>
      <c r="D139" s="116">
        <f>D14+D39+D99+D137</f>
        <v>341340.06199999998</v>
      </c>
      <c r="E139" s="116">
        <f>E14+E39+E99+E137</f>
        <v>348362.63200000004</v>
      </c>
      <c r="F139" s="116">
        <f>F14+F39+F99+F137</f>
        <v>341952.44200000004</v>
      </c>
      <c r="G139" s="117">
        <f>H139/$H$10</f>
        <v>3.0942501164572986</v>
      </c>
      <c r="H139" s="116">
        <f>H14+H39+H99+H137</f>
        <v>1372331.4879999999</v>
      </c>
      <c r="I139" s="24">
        <f t="shared" si="6"/>
        <v>-802447.89172000019</v>
      </c>
      <c r="Q139" s="24"/>
      <c r="R139" s="24"/>
    </row>
    <row r="140" spans="1:18">
      <c r="A140" s="112" t="s">
        <v>480</v>
      </c>
      <c r="B140" s="113">
        <f>B10-B139</f>
        <v>-58146.039720000234</v>
      </c>
      <c r="C140" s="113">
        <f t="shared" ref="C140:H140" si="7">C10-C139</f>
        <v>102833.84799999994</v>
      </c>
      <c r="D140" s="113">
        <f t="shared" si="7"/>
        <v>102170.13800000004</v>
      </c>
      <c r="E140" s="113">
        <f t="shared" si="7"/>
        <v>95147.56799999997</v>
      </c>
      <c r="F140" s="113">
        <f t="shared" si="7"/>
        <v>101557.75799999997</v>
      </c>
      <c r="G140" s="114">
        <f>H140/$H$10</f>
        <v>-2.0942501164572991</v>
      </c>
      <c r="H140" s="113">
        <f t="shared" si="7"/>
        <v>-928821.28799999994</v>
      </c>
      <c r="I140" s="24">
        <f t="shared" si="6"/>
        <v>-870675.24827999971</v>
      </c>
      <c r="Q140" s="24"/>
      <c r="R140" s="24"/>
    </row>
    <row r="141" spans="1:18" ht="15.75">
      <c r="A141" s="25"/>
    </row>
    <row r="142" spans="1:18" ht="15.75">
      <c r="A142" s="26"/>
    </row>
    <row r="143" spans="1:18" ht="15.75">
      <c r="A143" s="26"/>
    </row>
    <row r="144" spans="1:18" ht="15.75">
      <c r="A144" s="26"/>
    </row>
    <row r="145" spans="1:1" ht="15.75">
      <c r="A145" s="1"/>
    </row>
    <row r="146" spans="1:1" ht="15.75">
      <c r="A146" s="1"/>
    </row>
  </sheetData>
  <autoFilter ref="A4:Q140" xr:uid="{FA13EED4-3901-479A-BE84-62A55ED5A4F3}"/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/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77" t="s">
        <v>543</v>
      </c>
      <c r="B1" s="177" t="s">
        <v>542</v>
      </c>
    </row>
    <row r="2" spans="1:2">
      <c r="A2">
        <v>5</v>
      </c>
      <c r="B2" t="s">
        <v>531</v>
      </c>
    </row>
    <row r="3" spans="1:2">
      <c r="A3">
        <v>6</v>
      </c>
      <c r="B3" t="s">
        <v>531</v>
      </c>
    </row>
    <row r="4" spans="1:2">
      <c r="A4">
        <v>7</v>
      </c>
      <c r="B4" t="s">
        <v>531</v>
      </c>
    </row>
    <row r="5" spans="1:2">
      <c r="A5">
        <v>8</v>
      </c>
      <c r="B5" t="s">
        <v>531</v>
      </c>
    </row>
    <row r="6" spans="1:2">
      <c r="A6">
        <v>9</v>
      </c>
      <c r="B6" t="s">
        <v>531</v>
      </c>
    </row>
    <row r="7" spans="1:2">
      <c r="A7">
        <v>10</v>
      </c>
      <c r="B7" t="s">
        <v>531</v>
      </c>
    </row>
    <row r="8" spans="1:2">
      <c r="A8">
        <v>11</v>
      </c>
      <c r="B8" t="s">
        <v>531</v>
      </c>
    </row>
    <row r="9" spans="1:2">
      <c r="A9">
        <v>12</v>
      </c>
      <c r="B9" t="s">
        <v>531</v>
      </c>
    </row>
    <row r="10" spans="1:2">
      <c r="A10">
        <v>13</v>
      </c>
      <c r="B10" t="s">
        <v>531</v>
      </c>
    </row>
    <row r="11" spans="1:2">
      <c r="A11">
        <v>14</v>
      </c>
      <c r="B11" t="s">
        <v>531</v>
      </c>
    </row>
    <row r="12" spans="1:2">
      <c r="A12">
        <v>15</v>
      </c>
      <c r="B12" t="s">
        <v>531</v>
      </c>
    </row>
    <row r="13" spans="1:2">
      <c r="A13">
        <v>16</v>
      </c>
      <c r="B13" t="s">
        <v>531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531</v>
      </c>
    </row>
    <row r="16" spans="1:2">
      <c r="A16">
        <v>19</v>
      </c>
      <c r="B16" t="s">
        <v>531</v>
      </c>
    </row>
    <row r="17" spans="1:2">
      <c r="A17">
        <v>20</v>
      </c>
      <c r="B17" t="s">
        <v>531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531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531</v>
      </c>
    </row>
    <row r="22" spans="1:2">
      <c r="A22">
        <v>25</v>
      </c>
      <c r="B22" t="s">
        <v>531</v>
      </c>
    </row>
    <row r="23" spans="1:2">
      <c r="A23">
        <v>26</v>
      </c>
      <c r="B23" t="s">
        <v>531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531</v>
      </c>
    </row>
    <row r="30" spans="1:2">
      <c r="A30">
        <v>33</v>
      </c>
      <c r="B30" t="s">
        <v>531</v>
      </c>
    </row>
    <row r="31" spans="1:2">
      <c r="A31">
        <v>34</v>
      </c>
      <c r="B31" t="s">
        <v>531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531</v>
      </c>
    </row>
    <row r="35" spans="1:2">
      <c r="A35">
        <v>38</v>
      </c>
      <c r="B35" t="s">
        <v>531</v>
      </c>
    </row>
    <row r="36" spans="1:2">
      <c r="A36">
        <v>39</v>
      </c>
      <c r="B36" t="s">
        <v>531</v>
      </c>
    </row>
    <row r="37" spans="1:2">
      <c r="A37">
        <v>40</v>
      </c>
      <c r="B37" t="s">
        <v>531</v>
      </c>
    </row>
    <row r="38" spans="1:2">
      <c r="A38">
        <v>41</v>
      </c>
      <c r="B38" t="s">
        <v>531</v>
      </c>
    </row>
    <row r="39" spans="1:2">
      <c r="A39">
        <v>42</v>
      </c>
      <c r="B39" t="s">
        <v>531</v>
      </c>
    </row>
    <row r="40" spans="1:2">
      <c r="A40">
        <v>43</v>
      </c>
      <c r="B40" t="s">
        <v>531</v>
      </c>
    </row>
    <row r="41" spans="1:2">
      <c r="A41">
        <v>44</v>
      </c>
      <c r="B41" t="s">
        <v>531</v>
      </c>
    </row>
    <row r="42" spans="1:2">
      <c r="A42">
        <v>45</v>
      </c>
      <c r="B42" t="s">
        <v>531</v>
      </c>
    </row>
    <row r="43" spans="1:2">
      <c r="A43">
        <v>46</v>
      </c>
      <c r="B43" t="s">
        <v>531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531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531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531</v>
      </c>
    </row>
    <row r="50" spans="1:2">
      <c r="A50">
        <v>53</v>
      </c>
      <c r="B50" t="s">
        <v>531</v>
      </c>
    </row>
    <row r="51" spans="1:2">
      <c r="A51">
        <v>54</v>
      </c>
      <c r="B51" t="s">
        <v>531</v>
      </c>
    </row>
    <row r="52" spans="1:2">
      <c r="A52">
        <v>55</v>
      </c>
      <c r="B52" t="s">
        <v>531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531</v>
      </c>
    </row>
    <row r="56" spans="1:2">
      <c r="A56">
        <v>59</v>
      </c>
      <c r="B56" t="s">
        <v>531</v>
      </c>
    </row>
    <row r="57" spans="1:2">
      <c r="A57">
        <v>60</v>
      </c>
      <c r="B57" t="s">
        <v>531</v>
      </c>
    </row>
    <row r="58" spans="1:2">
      <c r="A58">
        <v>61</v>
      </c>
      <c r="B58" t="s">
        <v>531</v>
      </c>
    </row>
    <row r="59" spans="1:2">
      <c r="A59">
        <v>62</v>
      </c>
      <c r="B59" t="s">
        <v>531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531</v>
      </c>
    </row>
    <row r="62" spans="1:2">
      <c r="A62">
        <v>65</v>
      </c>
      <c r="B62" t="s">
        <v>531</v>
      </c>
    </row>
    <row r="63" spans="1:2">
      <c r="A63">
        <v>66</v>
      </c>
      <c r="B63" t="s">
        <v>531</v>
      </c>
    </row>
    <row r="64" spans="1:2">
      <c r="A64">
        <v>67</v>
      </c>
    </row>
    <row r="65" spans="1:2">
      <c r="A65">
        <v>68</v>
      </c>
      <c r="B65" t="s">
        <v>531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531</v>
      </c>
    </row>
    <row r="69" spans="1:2">
      <c r="A69">
        <v>72</v>
      </c>
      <c r="B69" t="s">
        <v>531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531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531</v>
      </c>
    </row>
    <row r="74" spans="1:2">
      <c r="A74">
        <v>77</v>
      </c>
      <c r="B74" t="s">
        <v>531</v>
      </c>
    </row>
    <row r="75" spans="1:2">
      <c r="A75">
        <v>78</v>
      </c>
      <c r="B75" t="s">
        <v>531</v>
      </c>
    </row>
    <row r="76" spans="1:2">
      <c r="A76">
        <v>79</v>
      </c>
      <c r="B76" t="s">
        <v>531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531</v>
      </c>
    </row>
    <row r="81" spans="1:2">
      <c r="A81">
        <v>84</v>
      </c>
      <c r="B81" t="s">
        <v>531</v>
      </c>
    </row>
    <row r="82" spans="1:2">
      <c r="A82">
        <v>85</v>
      </c>
      <c r="B82" t="s">
        <v>531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531</v>
      </c>
    </row>
    <row r="90" spans="1:2">
      <c r="A90">
        <v>93</v>
      </c>
      <c r="B90" t="s">
        <v>531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531</v>
      </c>
    </row>
    <row r="95" spans="1:2">
      <c r="A95">
        <v>98</v>
      </c>
      <c r="B95" t="s">
        <v>531</v>
      </c>
    </row>
    <row r="96" spans="1:2">
      <c r="A96">
        <v>99</v>
      </c>
      <c r="B96" t="s">
        <v>531</v>
      </c>
    </row>
    <row r="97" spans="1:2">
      <c r="A97">
        <v>100</v>
      </c>
      <c r="B97" t="s">
        <v>531</v>
      </c>
    </row>
    <row r="98" spans="1:2">
      <c r="A98">
        <v>101</v>
      </c>
      <c r="B98" t="s">
        <v>531</v>
      </c>
    </row>
    <row r="99" spans="1:2">
      <c r="A99">
        <v>102</v>
      </c>
      <c r="B99" t="s">
        <v>531</v>
      </c>
    </row>
    <row r="100" spans="1:2">
      <c r="A100">
        <v>103</v>
      </c>
      <c r="B100" t="s">
        <v>531</v>
      </c>
    </row>
    <row r="101" spans="1:2">
      <c r="A101">
        <v>104</v>
      </c>
      <c r="B101" t="s">
        <v>531</v>
      </c>
    </row>
    <row r="102" spans="1:2">
      <c r="A102">
        <v>105</v>
      </c>
      <c r="B102" t="s">
        <v>531</v>
      </c>
    </row>
    <row r="103" spans="1:2">
      <c r="A103">
        <v>106</v>
      </c>
      <c r="B103" t="s">
        <v>531</v>
      </c>
    </row>
    <row r="104" spans="1:2">
      <c r="A104">
        <v>107</v>
      </c>
      <c r="B104" t="s">
        <v>531</v>
      </c>
    </row>
    <row r="105" spans="1:2">
      <c r="A105">
        <v>108</v>
      </c>
      <c r="B105" t="s">
        <v>531</v>
      </c>
    </row>
    <row r="106" spans="1:2">
      <c r="A106">
        <v>109</v>
      </c>
      <c r="B106" t="s">
        <v>531</v>
      </c>
    </row>
    <row r="107" spans="1:2">
      <c r="A107">
        <v>110</v>
      </c>
      <c r="B107" t="s">
        <v>531</v>
      </c>
    </row>
    <row r="108" spans="1:2">
      <c r="A108">
        <v>111</v>
      </c>
      <c r="B108" t="s">
        <v>531</v>
      </c>
    </row>
    <row r="109" spans="1:2">
      <c r="A109">
        <v>112</v>
      </c>
      <c r="B109" t="s">
        <v>531</v>
      </c>
    </row>
    <row r="110" spans="1:2">
      <c r="A110">
        <v>113</v>
      </c>
      <c r="B110" t="s">
        <v>531</v>
      </c>
    </row>
    <row r="111" spans="1:2">
      <c r="A111">
        <v>114</v>
      </c>
      <c r="B111" t="s">
        <v>531</v>
      </c>
    </row>
    <row r="112" spans="1:2">
      <c r="A112">
        <v>115</v>
      </c>
      <c r="B112" t="s">
        <v>531</v>
      </c>
    </row>
    <row r="113" spans="1:2">
      <c r="A113">
        <v>116</v>
      </c>
      <c r="B113" t="s">
        <v>531</v>
      </c>
    </row>
    <row r="114" spans="1:2">
      <c r="A114">
        <v>117</v>
      </c>
      <c r="B114" t="s">
        <v>531</v>
      </c>
    </row>
    <row r="115" spans="1:2">
      <c r="A115">
        <v>118</v>
      </c>
      <c r="B115" t="s">
        <v>531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531</v>
      </c>
    </row>
    <row r="118" spans="1:2">
      <c r="A118">
        <v>121</v>
      </c>
      <c r="B118" t="s">
        <v>531</v>
      </c>
    </row>
    <row r="119" spans="1:2">
      <c r="A119">
        <v>122</v>
      </c>
      <c r="B119" t="s">
        <v>531</v>
      </c>
    </row>
    <row r="120" spans="1:2">
      <c r="A120">
        <v>123</v>
      </c>
      <c r="B120" t="s">
        <v>531</v>
      </c>
    </row>
    <row r="121" spans="1:2">
      <c r="A121">
        <v>124</v>
      </c>
      <c r="B121" t="s">
        <v>531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531</v>
      </c>
    </row>
    <row r="124" spans="1:2">
      <c r="A124">
        <v>127</v>
      </c>
      <c r="B124" t="s">
        <v>531</v>
      </c>
    </row>
    <row r="125" spans="1:2">
      <c r="A125">
        <v>128</v>
      </c>
      <c r="B125" t="s">
        <v>531</v>
      </c>
    </row>
    <row r="126" spans="1:2">
      <c r="A126">
        <v>129</v>
      </c>
      <c r="B126" t="s">
        <v>531</v>
      </c>
    </row>
    <row r="127" spans="1:2">
      <c r="A127">
        <v>130</v>
      </c>
      <c r="B127" t="s">
        <v>531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531</v>
      </c>
    </row>
    <row r="130" spans="1:2">
      <c r="A130">
        <v>133</v>
      </c>
      <c r="B130" t="s">
        <v>531</v>
      </c>
    </row>
    <row r="131" spans="1:2">
      <c r="A131">
        <v>134</v>
      </c>
      <c r="B131" t="s">
        <v>531</v>
      </c>
    </row>
    <row r="132" spans="1:2">
      <c r="A132">
        <v>135</v>
      </c>
      <c r="B132" t="s">
        <v>531</v>
      </c>
    </row>
    <row r="133" spans="1:2">
      <c r="A133">
        <v>136</v>
      </c>
      <c r="B133" t="s">
        <v>531</v>
      </c>
    </row>
    <row r="134" spans="1:2">
      <c r="A134">
        <v>137</v>
      </c>
      <c r="B134" t="s">
        <v>531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temp_laporan1</vt:lpstr>
      <vt:lpstr>All Costing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2024-02-26T03:38:17Z</dcterms:modified>
</cp:coreProperties>
</file>