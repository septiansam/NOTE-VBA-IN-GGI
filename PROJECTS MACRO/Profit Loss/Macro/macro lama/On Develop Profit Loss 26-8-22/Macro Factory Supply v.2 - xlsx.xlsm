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roduction\Eka Mekanik\"/>
    </mc:Choice>
  </mc:AlternateContent>
  <xr:revisionPtr revIDLastSave="0" documentId="13_ncr:1_{0375D325-F9F1-4FAB-8000-C0F0C431759B}" xr6:coauthVersionLast="46" xr6:coauthVersionMax="47" xr10:uidLastSave="{00000000-0000-0000-0000-000000000000}"/>
  <bookViews>
    <workbookView xWindow="-120" yWindow="-120" windowWidth="20730" windowHeight="11160" tabRatio="900" activeTab="4" xr2:uid="{5C3F0230-7534-4645-B150-7FFF903A9C44}"/>
  </bookViews>
  <sheets>
    <sheet name="PETUNJUK" sheetId="1" r:id="rId1"/>
    <sheet name="INPUT RPA" sheetId="417" r:id="rId2"/>
    <sheet name="BREAKDOWN" sheetId="418" r:id="rId3"/>
    <sheet name="FILE JDE" sheetId="419" r:id="rId4"/>
    <sheet name="TABEL" sheetId="420" r:id="rId5"/>
    <sheet name="1201.630300" sheetId="421" r:id="rId6"/>
    <sheet name="1201.631150" sheetId="422" r:id="rId7"/>
    <sheet name="1204.631110" sheetId="423" r:id="rId8"/>
    <sheet name="1205.631110" sheetId="424" r:id="rId9"/>
    <sheet name="1206.631110" sheetId="425" r:id="rId10"/>
  </sheets>
  <definedNames>
    <definedName name="_xlnm._FilterDatabase" localSheetId="5" hidden="1">'1201.630300'!$A$3:$BA$3</definedName>
    <definedName name="_xlnm._FilterDatabase" localSheetId="6" hidden="1">'1201.631150'!$A$3:$BA$3</definedName>
    <definedName name="_xlnm._FilterDatabase" localSheetId="7" hidden="1">'1204.631110'!$A$3:$BA$3</definedName>
    <definedName name="_xlnm._FilterDatabase" localSheetId="8" hidden="1">'1205.631110'!$A$3:$BA$3</definedName>
    <definedName name="_xlnm._FilterDatabase" localSheetId="9" hidden="1">'1206.631110'!$A$3:$BA$3</definedName>
    <definedName name="_xlnm._FilterDatabase" localSheetId="3" hidden="1">'FILE JDE'!$A$1:$BA$1473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25" l="1"/>
  <c r="G2" i="424"/>
  <c r="G2" i="423"/>
  <c r="G2" i="422"/>
  <c r="G2" i="421"/>
  <c r="D24" i="420"/>
  <c r="D23" i="420"/>
  <c r="D22" i="420"/>
  <c r="D21" i="420"/>
  <c r="D20" i="420"/>
  <c r="D19" i="420"/>
  <c r="J19" i="420" s="1"/>
  <c r="D18" i="420"/>
  <c r="D17" i="420"/>
  <c r="D16" i="420"/>
  <c r="D15" i="420"/>
  <c r="D14" i="420"/>
  <c r="D13" i="420"/>
  <c r="J13" i="420" s="1"/>
  <c r="D12" i="420"/>
  <c r="D11" i="420"/>
  <c r="D10" i="420"/>
  <c r="D9" i="420"/>
  <c r="D8" i="420"/>
  <c r="D7" i="420"/>
  <c r="J7" i="420" s="1"/>
  <c r="D6" i="420"/>
  <c r="D5" i="420"/>
  <c r="D4" i="420"/>
  <c r="E31" i="420"/>
  <c r="H30" i="420"/>
  <c r="G30" i="420"/>
  <c r="F30" i="420"/>
  <c r="E30" i="420"/>
  <c r="I29" i="420"/>
  <c r="H29" i="420"/>
  <c r="G29" i="420"/>
  <c r="F29" i="420"/>
  <c r="E29" i="420"/>
  <c r="H28" i="420"/>
  <c r="G28" i="420"/>
  <c r="F28" i="420"/>
  <c r="E28" i="420"/>
  <c r="H27" i="420"/>
  <c r="H31" i="420" s="1"/>
  <c r="G27" i="420"/>
  <c r="G31" i="420" s="1"/>
  <c r="F27" i="420"/>
  <c r="F31" i="420" s="1"/>
  <c r="E27" i="420"/>
  <c r="I24" i="420"/>
  <c r="I23" i="420"/>
  <c r="I22" i="420"/>
  <c r="J22" i="420" s="1"/>
  <c r="I21" i="420"/>
  <c r="J21" i="420" s="1"/>
  <c r="I20" i="420"/>
  <c r="J20" i="420" s="1"/>
  <c r="I19" i="420"/>
  <c r="I18" i="420"/>
  <c r="I17" i="420"/>
  <c r="I16" i="420"/>
  <c r="I15" i="420"/>
  <c r="J15" i="420" s="1"/>
  <c r="I14" i="420"/>
  <c r="J14" i="420" s="1"/>
  <c r="I13" i="420"/>
  <c r="I12" i="420"/>
  <c r="I11" i="420"/>
  <c r="I10" i="420"/>
  <c r="I9" i="420"/>
  <c r="J9" i="420" s="1"/>
  <c r="I8" i="420"/>
  <c r="J8" i="420" s="1"/>
  <c r="I7" i="420"/>
  <c r="I30" i="420" s="1"/>
  <c r="I6" i="420"/>
  <c r="I5" i="420"/>
  <c r="I28" i="420" s="1"/>
  <c r="I4" i="420"/>
  <c r="J24" i="420"/>
  <c r="J23" i="420"/>
  <c r="J18" i="420"/>
  <c r="J17" i="420"/>
  <c r="J16" i="420"/>
  <c r="J12" i="420"/>
  <c r="J11" i="420"/>
  <c r="J10" i="420"/>
  <c r="J6" i="420"/>
  <c r="J5" i="420"/>
  <c r="K25" i="420"/>
  <c r="H25" i="420"/>
  <c r="G25" i="420"/>
  <c r="F25" i="420"/>
  <c r="E25" i="420"/>
  <c r="CX2" i="1"/>
  <c r="DA4" i="1" s="1"/>
  <c r="DI1" i="1"/>
  <c r="DI3" i="1" s="1"/>
  <c r="D25" i="420" l="1"/>
  <c r="J25" i="420" s="1"/>
  <c r="J4" i="420"/>
  <c r="I27" i="420"/>
  <c r="I31" i="420" s="1"/>
  <c r="I25" i="420"/>
  <c r="DI2" i="1"/>
  <c r="DI4" i="1"/>
  <c r="DC30" i="1" l="1"/>
  <c r="DD30" i="1" s="1"/>
  <c r="DC28" i="1"/>
  <c r="DD28" i="1" s="1"/>
  <c r="DC26" i="1"/>
  <c r="DD26" i="1" s="1"/>
  <c r="DC24" i="1"/>
  <c r="DD24" i="1" s="1"/>
  <c r="DC22" i="1"/>
  <c r="DD22" i="1" s="1"/>
  <c r="DC20" i="1"/>
  <c r="DD20" i="1" s="1"/>
  <c r="DC18" i="1"/>
  <c r="DD18" i="1" s="1"/>
  <c r="DC16" i="1"/>
  <c r="DD16" i="1" s="1"/>
  <c r="DC14" i="1"/>
  <c r="DD14" i="1" s="1"/>
  <c r="DC12" i="1"/>
  <c r="DD12" i="1" s="1"/>
  <c r="DC10" i="1"/>
  <c r="DD10" i="1" s="1"/>
  <c r="DC8" i="1"/>
  <c r="DD8" i="1" s="1"/>
  <c r="DC6" i="1"/>
  <c r="DD6" i="1" s="1"/>
  <c r="DC3" i="1"/>
  <c r="DD3" i="1" s="1"/>
  <c r="DC31" i="1"/>
  <c r="DD31" i="1" s="1"/>
  <c r="DC29" i="1"/>
  <c r="DD29" i="1" s="1"/>
  <c r="DC27" i="1"/>
  <c r="DD27" i="1" s="1"/>
  <c r="DC25" i="1"/>
  <c r="DD25" i="1" s="1"/>
  <c r="DC23" i="1"/>
  <c r="DD23" i="1" s="1"/>
  <c r="DC21" i="1"/>
  <c r="DD21" i="1" s="1"/>
  <c r="DC19" i="1"/>
  <c r="DD19" i="1" s="1"/>
  <c r="DC17" i="1"/>
  <c r="DD17" i="1" s="1"/>
  <c r="DC15" i="1"/>
  <c r="DD15" i="1" s="1"/>
  <c r="DC13" i="1"/>
  <c r="DD13" i="1" s="1"/>
  <c r="DC11" i="1"/>
  <c r="DD11" i="1" s="1"/>
  <c r="DC9" i="1"/>
  <c r="DD9" i="1" s="1"/>
  <c r="DC7" i="1"/>
  <c r="DD7" i="1" s="1"/>
  <c r="DC5" i="1"/>
  <c r="DD5" i="1" s="1"/>
  <c r="DC1" i="1"/>
  <c r="DC2" i="1"/>
  <c r="DD2" i="1" s="1"/>
  <c r="DC4" i="1"/>
  <c r="DD4" i="1" s="1"/>
  <c r="DL1" i="1" l="1"/>
  <c r="DD1" i="1"/>
  <c r="DE2" i="1" s="1"/>
  <c r="DE3" i="1" l="1"/>
  <c r="DE4" i="1" l="1"/>
  <c r="DE5" i="1" l="1"/>
  <c r="DE6" i="1" l="1"/>
  <c r="DE7" i="1" l="1"/>
  <c r="DE8" i="1" l="1"/>
  <c r="DE9" i="1" l="1"/>
  <c r="DE10" i="1" l="1"/>
  <c r="DE11" i="1" l="1"/>
  <c r="DE12" i="1" l="1"/>
  <c r="DE13" i="1" l="1"/>
  <c r="DE14" i="1" l="1"/>
  <c r="DE15" i="1" l="1"/>
  <c r="DE16" i="1" l="1"/>
  <c r="DE17" i="1" l="1"/>
  <c r="DE18" i="1" l="1"/>
  <c r="DE19" i="1" l="1"/>
  <c r="DE20" i="1" l="1"/>
  <c r="DE21" i="1" l="1"/>
  <c r="DE22" i="1" l="1"/>
  <c r="DE23" i="1" l="1"/>
  <c r="DE24" i="1" l="1"/>
  <c r="DE25" i="1" s="1"/>
  <c r="DE26" i="1" l="1"/>
  <c r="DE27" i="1" l="1"/>
  <c r="DE28" i="1" l="1"/>
  <c r="DE29" i="1" l="1"/>
  <c r="DE30" i="1" l="1"/>
  <c r="DE31" i="1" s="1"/>
</calcChain>
</file>

<file path=xl/sharedStrings.xml><?xml version="1.0" encoding="utf-8"?>
<sst xmlns="http://schemas.openxmlformats.org/spreadsheetml/2006/main" count="64370" uniqueCount="322">
  <si>
    <t>1201.630300</t>
  </si>
  <si>
    <t>1204.630300</t>
  </si>
  <si>
    <t>1205.630300</t>
  </si>
  <si>
    <t>1206.630300</t>
  </si>
  <si>
    <t>1201.631180</t>
  </si>
  <si>
    <t>1204.631180</t>
  </si>
  <si>
    <t>1205.631180</t>
  </si>
  <si>
    <t>1206.631180</t>
  </si>
  <si>
    <t>1201.631150</t>
  </si>
  <si>
    <t>1204.631150</t>
  </si>
  <si>
    <t>1205.631150</t>
  </si>
  <si>
    <t>1201.631110</t>
  </si>
  <si>
    <t>1204.631110</t>
  </si>
  <si>
    <t>1205.631110</t>
  </si>
  <si>
    <t>1206.631110</t>
  </si>
  <si>
    <t>1201.631140</t>
  </si>
  <si>
    <t>1204.631140</t>
  </si>
  <si>
    <t>1205.631140</t>
  </si>
  <si>
    <t>1206.631140</t>
  </si>
  <si>
    <t>No Account</t>
  </si>
  <si>
    <t>MONTH :</t>
  </si>
  <si>
    <t>YEAR :</t>
  </si>
  <si>
    <t>FACTORY SUPPLIES EXPENSES CLN</t>
  </si>
  <si>
    <t>GM2</t>
  </si>
  <si>
    <t>GM1</t>
  </si>
  <si>
    <t>BANJARNEGARA</t>
  </si>
  <si>
    <t>PEMAKAIAN GENERAL MATERIAL CLN</t>
  </si>
  <si>
    <t>PEMAKAIAN PACKING CLN</t>
  </si>
  <si>
    <t>PEMAKAIAN SPAREPART(Jarum,Kimia,hanger,kompresor,cutting,sewing) CLN</t>
  </si>
  <si>
    <t>FUEL &amp; LUBRICANT CLN (cap.Boiler 1500kg)</t>
  </si>
  <si>
    <t>GM2 (cap.Boiler 750kg)</t>
  </si>
  <si>
    <t>GM1 (cap.Boiler 1000kg)</t>
  </si>
  <si>
    <t>BANJARNEGARA (cap.Boiler 750kg)</t>
  </si>
  <si>
    <t/>
  </si>
  <si>
    <t>PROJECT ROBOTIC</t>
  </si>
  <si>
    <t>No</t>
  </si>
  <si>
    <t>Plan Budget</t>
  </si>
  <si>
    <t>1206.631150</t>
  </si>
  <si>
    <t>Lokasi Tarikan :</t>
  </si>
  <si>
    <t>Account</t>
  </si>
  <si>
    <t>From Date</t>
  </si>
  <si>
    <t>Thru Date</t>
  </si>
  <si>
    <t>8/1/2022</t>
  </si>
  <si>
    <t>8/31/2022</t>
  </si>
  <si>
    <t>Branch</t>
  </si>
  <si>
    <t>Start</t>
  </si>
  <si>
    <t>To Date</t>
  </si>
  <si>
    <t>Total</t>
  </si>
  <si>
    <t>1201</t>
  </si>
  <si>
    <t>1204</t>
  </si>
  <si>
    <t>1205</t>
  </si>
  <si>
    <t>1206</t>
  </si>
  <si>
    <t>\\10.8.30.92\RPA Excel Template\Production\Eka Mekanik\Hasil Tarikan</t>
  </si>
  <si>
    <t>PV</t>
  </si>
  <si>
    <t>Voucher</t>
  </si>
  <si>
    <t>PT. INDOHOTAMA SEJATI</t>
  </si>
  <si>
    <t>P</t>
  </si>
  <si>
    <t xml:space="preserve"> </t>
  </si>
  <si>
    <t>IDR</t>
  </si>
  <si>
    <t>AA</t>
  </si>
  <si>
    <t>General Ledger</t>
  </si>
  <si>
    <t>V</t>
  </si>
  <si>
    <t>Voucher Entry</t>
  </si>
  <si>
    <t>T-22050039</t>
  </si>
  <si>
    <t>TARMILAH</t>
  </si>
  <si>
    <t>JDE</t>
  </si>
  <si>
    <t xml:space="preserve">            </t>
  </si>
  <si>
    <t>PRPJG SW O DECK 15/3-15/4</t>
  </si>
  <si>
    <t xml:space="preserve">   .</t>
  </si>
  <si>
    <t>T-22050040</t>
  </si>
  <si>
    <t>PRPJG O DECK 15/4- 15/05</t>
  </si>
  <si>
    <t>T-22050044</t>
  </si>
  <si>
    <t>PRPJG LB KCG 21/04-21/05</t>
  </si>
  <si>
    <t>T-22050042</t>
  </si>
  <si>
    <t>PRPJG O DECK 16/04-16/05</t>
  </si>
  <si>
    <t>T-22050043</t>
  </si>
  <si>
    <t>PRPJG SN JACK 14/04-14/05</t>
  </si>
  <si>
    <t>T-22050041</t>
  </si>
  <si>
    <t>PRPJG SW O DECK 16/03-16/04</t>
  </si>
  <si>
    <t>OV</t>
  </si>
  <si>
    <t>PO Receiving</t>
  </si>
  <si>
    <t>JESA TRAHMAT</t>
  </si>
  <si>
    <t>O</t>
  </si>
  <si>
    <t>PO/Contract Entries</t>
  </si>
  <si>
    <t>WEWET</t>
  </si>
  <si>
    <t>KAPUR KELINCI</t>
  </si>
  <si>
    <t>CV.KENCANA ABADI JAYA</t>
  </si>
  <si>
    <t>PACKING008-07/VI/2022</t>
  </si>
  <si>
    <t>PACKING</t>
  </si>
  <si>
    <t>LOTUS PERMAI, PD</t>
  </si>
  <si>
    <t>PACKING 15/06</t>
  </si>
  <si>
    <t>PACKING 011-07/VII/2022</t>
  </si>
  <si>
    <t>OBOR INDONESIA</t>
  </si>
  <si>
    <t>SEWALUBANGKNCNG(2/7/22-1/8/22)</t>
  </si>
  <si>
    <t>SEWA SNAP BUTTON 02 /07-01/08</t>
  </si>
  <si>
    <t>SEWALUBANGKCNG(27/6/22-27/7/22</t>
  </si>
  <si>
    <t>SEWALUBANGKNCNG(2/6/22-2/7/22)</t>
  </si>
  <si>
    <t>SEWATEMPLATE(9/6/22-9/7/22)</t>
  </si>
  <si>
    <t>SEWATEMPALTE(9/7/22-8/8/22)</t>
  </si>
  <si>
    <t>SALSABILA</t>
  </si>
  <si>
    <t>KERTAS PACKINGLIST LOKASI</t>
  </si>
  <si>
    <t>CECEP RUSMIADIN</t>
  </si>
  <si>
    <t>RISMA_Y</t>
  </si>
  <si>
    <t>TAGPIN</t>
  </si>
  <si>
    <t>PACKING 232072022A000320</t>
  </si>
  <si>
    <t>020/07/VIII/2022</t>
  </si>
  <si>
    <t xml:space="preserve"> NEEDLE CONTROL PROSEDUR</t>
  </si>
  <si>
    <t>021-07/VIII/2022</t>
  </si>
  <si>
    <t>FORM FABRIC AUDIT REPORT</t>
  </si>
  <si>
    <t>KING PLASTINDO</t>
  </si>
  <si>
    <t>PACKING 007072022A062</t>
  </si>
  <si>
    <t>BINTANG JAYA BANDUNG</t>
  </si>
  <si>
    <t>PACKING 15/07/2022</t>
  </si>
  <si>
    <t>PACKING 06/07</t>
  </si>
  <si>
    <t>PACKING 12/07</t>
  </si>
  <si>
    <t>J2207-052,J2207-080</t>
  </si>
  <si>
    <t>OZORA MIXINDO</t>
  </si>
  <si>
    <t>PHOTO SENSOR EX3-NH11</t>
  </si>
  <si>
    <t>PACKING 2207014</t>
  </si>
  <si>
    <t>PT.TIRTA CHEMINDO</t>
  </si>
  <si>
    <t>ONGKIR 41223134</t>
  </si>
  <si>
    <t>T-22050050</t>
  </si>
  <si>
    <t>SEWA PEGASUS P14/4/22-14/5/22</t>
  </si>
  <si>
    <t>T-22050048</t>
  </si>
  <si>
    <t>SEWA JACK P17/4/2022-17/5/2022</t>
  </si>
  <si>
    <t>T-22050049</t>
  </si>
  <si>
    <t>SEWA PEGASUS P14/3/22-14/4/22</t>
  </si>
  <si>
    <t>AMANAH CHEMINDO</t>
  </si>
  <si>
    <t>PACKING 28/06</t>
  </si>
  <si>
    <t>CV DARWATECH INTERNUSA</t>
  </si>
  <si>
    <t>191/DI/0622</t>
  </si>
  <si>
    <t>PRESSER FOOT BRONZE PEBLE</t>
  </si>
  <si>
    <t>201/DI/0622</t>
  </si>
  <si>
    <t>PART BOARD SHARPENING</t>
  </si>
  <si>
    <t>II</t>
  </si>
  <si>
    <t>Inventory Issue</t>
  </si>
  <si>
    <t>DOUBLE TAPE</t>
  </si>
  <si>
    <t>USD</t>
  </si>
  <si>
    <t>N</t>
  </si>
  <si>
    <t>Inventory</t>
  </si>
  <si>
    <t>GSUMADI</t>
  </si>
  <si>
    <t>ISOLASI</t>
  </si>
  <si>
    <t>LAKBAN</t>
  </si>
  <si>
    <t>NASHUA</t>
  </si>
  <si>
    <t>STICKER NUMBERING PUTIH</t>
  </si>
  <si>
    <t>KERTAS KORAN MARKER 168</t>
  </si>
  <si>
    <t>KERTAS KORAN MARKER 183</t>
  </si>
  <si>
    <t>PLASTIK HDPE</t>
  </si>
  <si>
    <t>KERTAS KORAN KRAF HOLE</t>
  </si>
  <si>
    <t>STICKER NUMBERING WHITE</t>
  </si>
  <si>
    <t>DIAH@MJL</t>
  </si>
  <si>
    <t>KERTAS MARKER 183 CM</t>
  </si>
  <si>
    <t>KERTAS MARKER 168 CM</t>
  </si>
  <si>
    <t>LAKBAN GM1</t>
  </si>
  <si>
    <t>ISOLASI GM1</t>
  </si>
  <si>
    <t>DOUBLE TAPE GM1</t>
  </si>
  <si>
    <t>NASHUA GM1</t>
  </si>
  <si>
    <t>PEMAKAIAN KAPUR KELINCI</t>
  </si>
  <si>
    <t>RISA_NF</t>
  </si>
  <si>
    <t>PEMAKAIAN CUTTING</t>
  </si>
  <si>
    <t>PEMAKAIAN NASHUA</t>
  </si>
  <si>
    <t>PEMAKAIAN DOUBLE TAPE</t>
  </si>
  <si>
    <t>PEMAKAIAN LAKBAN</t>
  </si>
  <si>
    <t>O/APD ( KIRIM KE GM1)</t>
  </si>
  <si>
    <t>IKA_K</t>
  </si>
  <si>
    <t>HANG TAG MERAH</t>
  </si>
  <si>
    <t>SITI.QC</t>
  </si>
  <si>
    <t>PEMAKAIAN JARUM</t>
  </si>
  <si>
    <t>PEMAKAIAN JARUM CLN</t>
  </si>
  <si>
    <t xml:space="preserve"> PEMAKAIAN SPARE PART</t>
  </si>
  <si>
    <t>SABILA</t>
  </si>
  <si>
    <t xml:space="preserve"> PEMAKAIAN KIMIA</t>
  </si>
  <si>
    <t>PEMAKAIAN KIMIA</t>
  </si>
  <si>
    <t>YULI.H@MJL</t>
  </si>
  <si>
    <t>PEMAKAIAN SPAREPART</t>
  </si>
  <si>
    <t>PEMAKAIAN JARUM GM2</t>
  </si>
  <si>
    <t>IROSIDAH</t>
  </si>
  <si>
    <t>PEMAKAIAN TERMOPAPER GM2</t>
  </si>
  <si>
    <t>SRI.G@MJL</t>
  </si>
  <si>
    <t>PEMAKAIAN JARUM GM 1</t>
  </si>
  <si>
    <t>IHIDAYAH</t>
  </si>
  <si>
    <t>PEMAKAIAN MIKA</t>
  </si>
  <si>
    <t>PEMAKAIAN JARUM TGL 29/7/22</t>
  </si>
  <si>
    <t>DELLA_F</t>
  </si>
  <si>
    <t>SALYA</t>
  </si>
  <si>
    <t>PEMAKAIAN JARUM KALIBENDA</t>
  </si>
  <si>
    <t>PEMAKAIAN SOLAR</t>
  </si>
  <si>
    <t>PEMAKAIAN SOLAR TGL 29 JULI</t>
  </si>
  <si>
    <t>PEMAKAIAN SOLAR GM1TGL 29 JULI</t>
  </si>
  <si>
    <t>PEMAKAIAN SOLAR GM1TGL 30 JULI</t>
  </si>
  <si>
    <t>PEMAKAIAN SOLAR GM1TGL 1 AGUST</t>
  </si>
  <si>
    <t>PEMAKAIAN SOLAR GM1TGL 2 AGUST</t>
  </si>
  <si>
    <t>PEMAKAIAN SOLAR GM1TGL 3 AGUST</t>
  </si>
  <si>
    <t>PEMAKAIAN SOLAR GM1TGL 4 AGUST</t>
  </si>
  <si>
    <t>Do Ty</t>
  </si>
  <si>
    <t>Document Type</t>
  </si>
  <si>
    <t>Doc Number</t>
  </si>
  <si>
    <t>Doc Co</t>
  </si>
  <si>
    <t>G/L Date</t>
  </si>
  <si>
    <t>Explanation</t>
  </si>
  <si>
    <t>LT 1 Amount</t>
  </si>
  <si>
    <t>LT 1 Debit</t>
  </si>
  <si>
    <t>P C</t>
  </si>
  <si>
    <t>LT2 PC</t>
  </si>
  <si>
    <t>LT 1 Credit</t>
  </si>
  <si>
    <t>LT 2 Debit</t>
  </si>
  <si>
    <t>LT 2 Credit</t>
  </si>
  <si>
    <t>LT 2 Amount</t>
  </si>
  <si>
    <t>Sub Type</t>
  </si>
  <si>
    <t>Sub ledger Type</t>
  </si>
  <si>
    <t>Sub- ledger</t>
  </si>
  <si>
    <t>Cur Cod</t>
  </si>
  <si>
    <t>Exchange Rate</t>
  </si>
  <si>
    <t>LT</t>
  </si>
  <si>
    <t>Ledger Type</t>
  </si>
  <si>
    <t>Bth Ty</t>
  </si>
  <si>
    <t>Batch Type</t>
  </si>
  <si>
    <t>Batch Number</t>
  </si>
  <si>
    <t>Batch Date</t>
  </si>
  <si>
    <t>Line Extension</t>
  </si>
  <si>
    <t>JE Line Number</t>
  </si>
  <si>
    <t>R ND</t>
  </si>
  <si>
    <t>Reconciled Code</t>
  </si>
  <si>
    <t>Reference 1</t>
  </si>
  <si>
    <t>Reference 2</t>
  </si>
  <si>
    <t>Reference 3</t>
  </si>
  <si>
    <t>Units</t>
  </si>
  <si>
    <t>UM</t>
  </si>
  <si>
    <t>Address Number</t>
  </si>
  <si>
    <t>Address Number Desc</t>
  </si>
  <si>
    <t>Check Cleared</t>
  </si>
  <si>
    <t>Invoice Number</t>
  </si>
  <si>
    <t>Service/ Tax Date</t>
  </si>
  <si>
    <t>Transaction Originator</t>
  </si>
  <si>
    <t>User ID</t>
  </si>
  <si>
    <t>Business Unit</t>
  </si>
  <si>
    <t>Home Business Unit</t>
  </si>
  <si>
    <t>Explanation -Remark-</t>
  </si>
  <si>
    <t>Historical Rate</t>
  </si>
  <si>
    <t>Historical Date</t>
  </si>
  <si>
    <t>Pha se</t>
  </si>
  <si>
    <t>Categories Work Order 01</t>
  </si>
  <si>
    <t>Asset Number</t>
  </si>
  <si>
    <t>Purchase Order</t>
  </si>
  <si>
    <t>Obj Acct</t>
  </si>
  <si>
    <t>AccountNumber</t>
  </si>
  <si>
    <t>FACTORY SUPPLIES EXPENSES</t>
  </si>
  <si>
    <t>NO</t>
  </si>
  <si>
    <t>NO ACCOUNT</t>
  </si>
  <si>
    <t>ACCOUNT DESCRIPTION</t>
  </si>
  <si>
    <t>PLAN BUDGET</t>
  </si>
  <si>
    <t>ACTUAL BUDGET</t>
  </si>
  <si>
    <t>BALANCE</t>
  </si>
  <si>
    <t>DETAIL OVER BUDGET</t>
  </si>
  <si>
    <t>I</t>
  </si>
  <si>
    <t>III</t>
  </si>
  <si>
    <t>IV</t>
  </si>
  <si>
    <t>total</t>
  </si>
  <si>
    <t>TOTAL</t>
  </si>
  <si>
    <t>T-22050045</t>
  </si>
  <si>
    <t>PRPJG SN JACK P.03/03-03/04/22</t>
  </si>
  <si>
    <t>T-22050046</t>
  </si>
  <si>
    <t>PRPJG SN JACK P 03/04-03/05/22</t>
  </si>
  <si>
    <t>T-22050047</t>
  </si>
  <si>
    <t>PRPJG SN JACK P.03/05-03/06/22</t>
  </si>
  <si>
    <t>JK</t>
  </si>
  <si>
    <t>CASH JOURNAL - IDR</t>
  </si>
  <si>
    <t>FACTORY SUPLIES EXPENSES</t>
  </si>
  <si>
    <t>G</t>
  </si>
  <si>
    <t>General Accounting</t>
  </si>
  <si>
    <t>TSANTIKA</t>
  </si>
  <si>
    <t>KEBUTUHAN FACTORY CLN</t>
  </si>
  <si>
    <t>FUEL FOR MOTOR VEHICLE</t>
  </si>
  <si>
    <t>RPA</t>
  </si>
  <si>
    <t>BENSIN</t>
  </si>
  <si>
    <t>KEBUTUHAN FACTORY MJK</t>
  </si>
  <si>
    <t>J2207-122, J2207-111</t>
  </si>
  <si>
    <t>PT.OBOR MAJU JAYA</t>
  </si>
  <si>
    <t>PACKING 26/07</t>
  </si>
  <si>
    <t>J2207-131,J2207-148</t>
  </si>
  <si>
    <t>TINTA PLOTER</t>
  </si>
  <si>
    <t>194/DI/0622</t>
  </si>
  <si>
    <t>KERTAS ALAS 168 CM &amp; 200 CM</t>
  </si>
  <si>
    <t>PINSIL PUTIH</t>
  </si>
  <si>
    <t>PEMAKAIAN KERTAS MARKER</t>
  </si>
  <si>
    <t>TRIMCARD QUICK SILVER/LILIS</t>
  </si>
  <si>
    <t>PEMAKAIAN SPARE PART</t>
  </si>
  <si>
    <t>SUNARTI</t>
  </si>
  <si>
    <t>PEMAKAIAN PRODUKSI</t>
  </si>
  <si>
    <t>THERMOPAPER</t>
  </si>
  <si>
    <t>p</t>
  </si>
  <si>
    <t>PEMAKAIAN SOLAR GM1TGL6/8/22</t>
  </si>
  <si>
    <t>PEMAKAIAN SOLAR GM1TGL 8/8/22</t>
  </si>
  <si>
    <t>PEMAKAIAN SOLAR GM1TGL9/8/22</t>
  </si>
  <si>
    <t>PEMAKAIAN SOLAR GM1TGL10/8/22</t>
  </si>
  <si>
    <t>PEMAKAIAN SOLAR GM1tgl11/8/22</t>
  </si>
  <si>
    <t>PEMAKAIAN SOLAR TGL 05 AGUSTUS</t>
  </si>
  <si>
    <t>PT. INDO APPAREL MACHINERY</t>
  </si>
  <si>
    <t>DRILL K-1</t>
  </si>
  <si>
    <t>Smoot belt 117919</t>
  </si>
  <si>
    <t>SWATI</t>
  </si>
  <si>
    <t>BOBIN CASE JOOKE</t>
  </si>
  <si>
    <t>PT.MAJU JAYA ABADI SEJATI</t>
  </si>
  <si>
    <t>BIAYA KIRIM</t>
  </si>
  <si>
    <t>SKHARISMA</t>
  </si>
  <si>
    <t>BIAYA KIRIM KE GM1</t>
  </si>
  <si>
    <t>O/LOKAL ( M'SARI )</t>
  </si>
  <si>
    <t xml:space="preserve"> PEMAKAIAN JARUM GM 1</t>
  </si>
  <si>
    <t>PEMAKAIAN SOLAR GM1TGL 12 AGST</t>
  </si>
  <si>
    <t>PEMAKAIAN SOLAR GM1 TGL 13 AGS</t>
  </si>
  <si>
    <t>PEMAKAIAN SOLAR GM1TGL 15 AGST</t>
  </si>
  <si>
    <t>PEMAKAIAN SOLAR GM1TGL 16 AGUS</t>
  </si>
  <si>
    <t>PEMAKAIAN SOLAR GM1TGL 19 AGUS</t>
  </si>
  <si>
    <t>BARANG UMUM U/GUDANG</t>
  </si>
  <si>
    <t>BARANG UMUM U/MD &amp;PURCH</t>
  </si>
  <si>
    <t>BARANG UMUM U/PU</t>
  </si>
  <si>
    <t>BARANG UMUM U/PPIC CLN</t>
  </si>
  <si>
    <t>BARANG UMUM U/QC</t>
  </si>
  <si>
    <t>BARANG UMUM U/SAMPLE &amp;MARKER</t>
  </si>
  <si>
    <t>BARANG UMUM U/CUTTING</t>
  </si>
  <si>
    <t>PEMAKAIAN SOLAR GM1TGL 19 AGT</t>
  </si>
  <si>
    <t>PEMAKAIAN SOLAR GM1TGL20 AGST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</si>
</sst>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00"/>
    <numFmt numFmtId="165" formatCode="[$$-409]#,##0.00;[Red]&quot;-&quot;[$$-409]#,##0.00"/>
    <numFmt numFmtId="166" formatCode="_-[$$-409]* #,##0.00_ ;_-[$$-409]* \-#,##0.00\ ;_-[$$-409]* &quot;-&quot;??_ ;_-@_ "/>
    <numFmt numFmtId="167" formatCode="[$$-409]#,##0;[Red]&quot;-&quot;[$$-409]#,##0"/>
    <numFmt numFmtId="168" formatCode="&quot;$&quot;#,##0"/>
    <numFmt numFmtId="169" formatCode="_(&quot;$&quot;* #,##0_);_(&quot;$&quot;* \(#,##0\);_(&quot;$&quot;* &quot;-&quot;??_);_(@_)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511703848384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43" fontId="7" fillId="0" borderId="0" applyFont="0" applyFill="0" applyBorder="0" applyAlignment="0" applyProtection="0"/>
  </cellStyleXfs>
  <cellXfs count="63">
    <xf numFmtId="0" fontId="0" fillId="0" borderId="0" xfId="0"/>
    <xf numFmtId="0" fontId="0" fillId="2" borderId="3" xfId="0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quotePrefix="1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2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166" fontId="0" fillId="0" borderId="0" xfId="0" applyNumberFormat="1"/>
    <xf numFmtId="0" fontId="1" fillId="5" borderId="3" xfId="0" applyFont="1" applyFill="1" applyBorder="1" applyAlignment="1">
      <alignment horizontal="right"/>
    </xf>
    <xf numFmtId="167" fontId="0" fillId="0" borderId="1" xfId="0" applyNumberForma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quotePrefix="1" applyNumberFormat="1" applyFont="1" applyBorder="1" applyAlignment="1">
      <alignment horizontal="center" vertical="center"/>
    </xf>
    <xf numFmtId="0" fontId="6" fillId="3" borderId="4" xfId="1" applyFill="1" applyBorder="1" applyAlignment="1">
      <alignment horizontal="center"/>
    </xf>
    <xf numFmtId="49" fontId="0" fillId="0" borderId="0" xfId="0" applyNumberFormat="1"/>
    <xf numFmtId="4" fontId="0" fillId="0" borderId="0" xfId="0" applyNumberFormat="1"/>
    <xf numFmtId="43" fontId="0" fillId="0" borderId="0" xfId="2" applyFont="1"/>
    <xf numFmtId="43" fontId="1" fillId="0" borderId="0" xfId="2" applyFont="1"/>
    <xf numFmtId="43" fontId="8" fillId="0" borderId="0" xfId="2" applyFont="1"/>
    <xf numFmtId="0" fontId="10" fillId="0" borderId="0" xfId="0" applyFont="1"/>
    <xf numFmtId="43" fontId="10" fillId="0" borderId="0" xfId="0" applyNumberFormat="1" applyFont="1"/>
    <xf numFmtId="43" fontId="10" fillId="0" borderId="0" xfId="2" applyFont="1"/>
    <xf numFmtId="0" fontId="9" fillId="0" borderId="0" xfId="0" applyFont="1"/>
    <xf numFmtId="0" fontId="10" fillId="0" borderId="6" xfId="0" applyFont="1" applyBorder="1"/>
    <xf numFmtId="0" fontId="10" fillId="0" borderId="7" xfId="0" applyFont="1" applyBorder="1"/>
    <xf numFmtId="169" fontId="10" fillId="0" borderId="7" xfId="0" applyNumberFormat="1" applyFont="1" applyBorder="1"/>
    <xf numFmtId="169" fontId="10" fillId="0" borderId="10" xfId="0" applyNumberFormat="1" applyFont="1" applyBorder="1"/>
    <xf numFmtId="0" fontId="10" fillId="0" borderId="5" xfId="0" applyFont="1" applyBorder="1"/>
    <xf numFmtId="169" fontId="10" fillId="0" borderId="0" xfId="0" applyNumberFormat="1" applyFont="1"/>
    <xf numFmtId="169" fontId="10" fillId="0" borderId="11" xfId="0" applyNumberFormat="1" applyFont="1" applyBorder="1"/>
    <xf numFmtId="0" fontId="10" fillId="0" borderId="8" xfId="0" applyFont="1" applyBorder="1"/>
    <xf numFmtId="0" fontId="10" fillId="0" borderId="9" xfId="0" applyFont="1" applyBorder="1"/>
    <xf numFmtId="169" fontId="10" fillId="0" borderId="9" xfId="0" applyNumberFormat="1" applyFont="1" applyBorder="1"/>
    <xf numFmtId="169" fontId="10" fillId="0" borderId="12" xfId="0" applyNumberFormat="1" applyFont="1" applyBorder="1"/>
    <xf numFmtId="0" fontId="1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68" fontId="0" fillId="0" borderId="13" xfId="0" applyNumberForma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169" fontId="10" fillId="0" borderId="13" xfId="0" applyNumberFormat="1" applyFont="1" applyBorder="1" applyAlignment="1">
      <alignment horizontal="center" vertical="center"/>
    </xf>
    <xf numFmtId="169" fontId="10" fillId="6" borderId="13" xfId="0" applyNumberFormat="1" applyFont="1" applyFill="1" applyBorder="1" applyAlignment="1">
      <alignment horizontal="center" vertical="center"/>
    </xf>
    <xf numFmtId="169" fontId="9" fillId="0" borderId="13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10" fillId="0" borderId="0" xfId="0" applyFont="1" applyBorder="1"/>
    <xf numFmtId="169" fontId="10" fillId="0" borderId="0" xfId="0" applyNumberFormat="1" applyFont="1" applyBorder="1"/>
    <xf numFmtId="0" fontId="4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6" xfId="0" quotePrefix="1" applyNumberFormat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</cellXfs>
  <cellStyles count="3">
    <cellStyle name="Comma" xfId="2" builtinId="3"/>
    <cellStyle name="Hyperlink" xfId="1" builtinId="8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1</xdr:row>
      <xdr:rowOff>47625</xdr:rowOff>
    </xdr:from>
    <xdr:to>
      <xdr:col>2</xdr:col>
      <xdr:colOff>561974</xdr:colOff>
      <xdr:row>3</xdr:row>
      <xdr:rowOff>161925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8C36AA-F83C-418C-884A-51C26EC79EF8}"/>
            </a:ext>
          </a:extLst>
        </xdr:cNvPr>
        <xdr:cNvSpPr/>
      </xdr:nvSpPr>
      <xdr:spPr>
        <a:xfrm>
          <a:off x="647699" y="247650"/>
          <a:ext cx="1114425" cy="5048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4</xdr:col>
      <xdr:colOff>47624</xdr:colOff>
      <xdr:row>1</xdr:row>
      <xdr:rowOff>38100</xdr:rowOff>
    </xdr:from>
    <xdr:to>
      <xdr:col>5</xdr:col>
      <xdr:colOff>552449</xdr:colOff>
      <xdr:row>3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572E63-6007-4DAA-8C7E-D2D162D14385}"/>
            </a:ext>
          </a:extLst>
        </xdr:cNvPr>
        <xdr:cNvSpPr/>
      </xdr:nvSpPr>
      <xdr:spPr>
        <a:xfrm>
          <a:off x="2466974" y="238125"/>
          <a:ext cx="1114425" cy="504825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  <xdr:twoCellAnchor>
    <xdr:from>
      <xdr:col>4</xdr:col>
      <xdr:colOff>38099</xdr:colOff>
      <xdr:row>5</xdr:row>
      <xdr:rowOff>66675</xdr:rowOff>
    </xdr:from>
    <xdr:to>
      <xdr:col>5</xdr:col>
      <xdr:colOff>542924</xdr:colOff>
      <xdr:row>7</xdr:row>
      <xdr:rowOff>171450</xdr:rowOff>
    </xdr:to>
    <xdr:sp macro="[0]!RP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3834A27-22B4-4ACE-A143-FC739802BEA6}"/>
            </a:ext>
          </a:extLst>
        </xdr:cNvPr>
        <xdr:cNvSpPr/>
      </xdr:nvSpPr>
      <xdr:spPr>
        <a:xfrm>
          <a:off x="2009774" y="1038225"/>
          <a:ext cx="1114425" cy="504825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INPUT</a:t>
          </a:r>
          <a:r>
            <a:rPr lang="en-ID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RPA</a:t>
          </a:r>
          <a:endParaRPr lang="en-ID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1FAE8-DF53-4B59-A5C6-DDA2FCDDB9ED}">
  <sheetPr codeName="Sheet1"/>
  <dimension ref="A1:DO31"/>
  <sheetViews>
    <sheetView zoomScaleNormal="100" workbookViewId="0"/>
  </sheetViews>
  <sheetFormatPr defaultRowHeight="15" x14ac:dyDescent="0.25"/>
  <cols>
    <col min="1" max="1" width="8.85546875" bestFit="1" customWidth="1"/>
    <col min="3" max="3" width="9.140625" customWidth="1"/>
    <col min="4" max="4" width="2.42578125" customWidth="1"/>
    <col min="5" max="6" width="9.140625" customWidth="1"/>
    <col min="7" max="8" width="3.85546875" customWidth="1"/>
    <col min="9" max="9" width="3.42578125" bestFit="1" customWidth="1"/>
    <col min="10" max="10" width="18.42578125" style="14" bestFit="1" customWidth="1"/>
    <col min="11" max="11" width="12.140625" style="14" bestFit="1" customWidth="1"/>
    <col min="12" max="12" width="9.140625" customWidth="1"/>
    <col min="13" max="13" width="14.42578125" bestFit="1" customWidth="1"/>
    <col min="14" max="14" width="56.85546875" bestFit="1" customWidth="1"/>
    <col min="15" max="104" width="9.140625" customWidth="1"/>
    <col min="105" max="105" width="9.7109375" customWidth="1"/>
    <col min="106" max="106" width="9.140625" customWidth="1"/>
    <col min="107" max="107" width="11.85546875" bestFit="1" customWidth="1"/>
    <col min="108" max="108" width="9.7109375" customWidth="1"/>
    <col min="109" max="109" width="9.140625" customWidth="1"/>
    <col min="110" max="110" width="11.5703125" customWidth="1"/>
    <col min="111" max="111" width="69.28515625" customWidth="1"/>
    <col min="112" max="112" width="9.140625" customWidth="1"/>
    <col min="113" max="114" width="10.7109375" customWidth="1"/>
    <col min="115" max="115" width="9.140625" customWidth="1"/>
    <col min="116" max="117" width="11.85546875" style="11" bestFit="1" customWidth="1"/>
  </cols>
  <sheetData>
    <row r="1" spans="1:119" ht="15.75" thickBot="1" x14ac:dyDescent="0.3">
      <c r="CW1">
        <v>1</v>
      </c>
      <c r="CX1">
        <v>31</v>
      </c>
      <c r="CZ1">
        <v>1</v>
      </c>
      <c r="DA1">
        <v>7</v>
      </c>
      <c r="DB1">
        <v>1</v>
      </c>
      <c r="DC1" s="11">
        <f ca="1">IF(AND(DB1&lt;&gt;"",$B$8&lt;$DI$4),DATE($B$8,$B$7,DB1),IF(AND(DB1&lt;&gt;"",$B$7&lt;$DI$3,$B$8=$DI$4),DATE($B$8,$B$7,DB1),IF(AND(DB1&lt;&gt;"",DB1&lt;=$DI$2,$B$7=$DI$3,$B$8=$DI$4),DATE($B$8,$B$7,DB1),"")))</f>
        <v>44774</v>
      </c>
      <c r="DD1">
        <f ca="1">IF(DC1&lt;&gt;"",WEEKNUM(DC1,2),"")</f>
        <v>32</v>
      </c>
      <c r="DE1">
        <v>1</v>
      </c>
      <c r="DF1" s="6" t="s">
        <v>0</v>
      </c>
      <c r="DG1" s="9" t="s">
        <v>22</v>
      </c>
      <c r="DI1" s="11">
        <f ca="1">TODAY()+E7</f>
        <v>44799</v>
      </c>
      <c r="DJ1" s="11"/>
      <c r="DL1" s="11">
        <f ca="1">DC1</f>
        <v>44774</v>
      </c>
      <c r="DM1" s="11">
        <v>44780</v>
      </c>
      <c r="DO1" s="12"/>
    </row>
    <row r="2" spans="1:119" ht="15.75" thickBot="1" x14ac:dyDescent="0.3">
      <c r="I2" s="15" t="s">
        <v>35</v>
      </c>
      <c r="J2" s="15" t="s">
        <v>19</v>
      </c>
      <c r="K2" s="15" t="s">
        <v>36</v>
      </c>
      <c r="M2" s="18" t="s">
        <v>38</v>
      </c>
      <c r="N2" s="22" t="s">
        <v>52</v>
      </c>
      <c r="CW2">
        <v>2</v>
      </c>
      <c r="CX2">
        <f>IF(MOD(B8,4)=0,29,28)</f>
        <v>28</v>
      </c>
      <c r="CZ2">
        <v>8</v>
      </c>
      <c r="DA2">
        <v>14</v>
      </c>
      <c r="DB2">
        <v>2</v>
      </c>
      <c r="DC2" s="11">
        <f ca="1">IF(AND(DB2&lt;&gt;"",$B$8&lt;$DI$4),DATE($B$8,$B$7,DB2),IF(AND(DB2&lt;&gt;"",$B$7&lt;$DI$3,$B$8=$DI$4),DATE($B$8,$B$7,DB2),IF(AND(DB2&lt;&gt;"",DB2&lt;=$DI$2,$B$7=$DI$3,$B$8=$DI$4),DATE($B$8,$B$7,DB2),"")))</f>
        <v>44775</v>
      </c>
      <c r="DD2">
        <f ca="1">IF(DC2&lt;&gt;"",WEEKNUM(DC2,2),"")</f>
        <v>32</v>
      </c>
      <c r="DE2">
        <f ca="1">IF(DD2&lt;&gt;"",IF(DD2=DD1,DE1,DE1+1),"")</f>
        <v>1</v>
      </c>
      <c r="DF2" s="7" t="s">
        <v>1</v>
      </c>
      <c r="DG2" s="10" t="s">
        <v>23</v>
      </c>
      <c r="DI2">
        <f ca="1">DAY(DI1)</f>
        <v>26</v>
      </c>
      <c r="DJ2" s="11"/>
      <c r="DL2" s="11">
        <v>44781</v>
      </c>
      <c r="DM2" s="11">
        <v>44787</v>
      </c>
      <c r="DN2" t="s">
        <v>33</v>
      </c>
    </row>
    <row r="3" spans="1:119" x14ac:dyDescent="0.25">
      <c r="I3" s="13">
        <v>1</v>
      </c>
      <c r="J3" s="20" t="s">
        <v>0</v>
      </c>
      <c r="K3" s="19">
        <v>1000</v>
      </c>
      <c r="CW3">
        <v>3</v>
      </c>
      <c r="CX3">
        <v>31</v>
      </c>
      <c r="CZ3">
        <v>15</v>
      </c>
      <c r="DA3">
        <v>21</v>
      </c>
      <c r="DB3">
        <v>3</v>
      </c>
      <c r="DC3" s="11">
        <f t="shared" ref="DC3:DC30" ca="1" si="0">IF(AND(DB3&lt;&gt;"",$B$8&lt;$DI$4),DATE($B$8,$B$7,DB3),IF(AND(DB3&lt;&gt;"",$B$7&lt;$DI$3,$B$8=$DI$4),DATE($B$8,$B$7,DB3),IF(AND(DB3&lt;&gt;"",DB3&lt;=$DI$2,$B$7=$DI$3,$B$8=$DI$4),DATE($B$8,$B$7,DB3),"")))</f>
        <v>44776</v>
      </c>
      <c r="DD3">
        <f ca="1">IF(DC3&lt;&gt;"",WEEKNUM(DC3,2),"")</f>
        <v>32</v>
      </c>
      <c r="DE3">
        <f ca="1">IF(DD3&lt;&gt;"",IF(DD3=DD2,DE2,DE2+1),"")</f>
        <v>1</v>
      </c>
      <c r="DF3" s="7" t="s">
        <v>2</v>
      </c>
      <c r="DG3" s="10" t="s">
        <v>24</v>
      </c>
      <c r="DI3">
        <f ca="1">MONTH(DI1)</f>
        <v>8</v>
      </c>
      <c r="DJ3" s="11"/>
      <c r="DL3" s="11">
        <v>44788</v>
      </c>
      <c r="DM3" s="11">
        <v>44794</v>
      </c>
      <c r="DN3" t="s">
        <v>33</v>
      </c>
    </row>
    <row r="4" spans="1:119" x14ac:dyDescent="0.25">
      <c r="I4" s="13">
        <v>2</v>
      </c>
      <c r="J4" s="20" t="s">
        <v>1</v>
      </c>
      <c r="K4" s="19">
        <v>1000</v>
      </c>
      <c r="CW4">
        <v>4</v>
      </c>
      <c r="CX4">
        <v>30</v>
      </c>
      <c r="CZ4">
        <v>22</v>
      </c>
      <c r="DA4">
        <f>VLOOKUP(B7,CW:CX,2,0)</f>
        <v>31</v>
      </c>
      <c r="DB4">
        <v>4</v>
      </c>
      <c r="DC4" s="11">
        <f t="shared" ca="1" si="0"/>
        <v>44777</v>
      </c>
      <c r="DD4">
        <f t="shared" ref="DD4:DD31" ca="1" si="1">IF(DC4&lt;&gt;"",WEEKNUM(DC4,2),"")</f>
        <v>32</v>
      </c>
      <c r="DE4">
        <f t="shared" ref="DE4:DE31" ca="1" si="2">IF(DD4&lt;&gt;"",IF(DD4=DD3,DE3,DE3+1),"")</f>
        <v>1</v>
      </c>
      <c r="DF4" s="7" t="s">
        <v>3</v>
      </c>
      <c r="DG4" s="10" t="s">
        <v>25</v>
      </c>
      <c r="DI4">
        <f ca="1">YEAR(DI1)</f>
        <v>2022</v>
      </c>
      <c r="DJ4" s="11"/>
      <c r="DL4" s="11">
        <v>44795</v>
      </c>
      <c r="DM4" s="11">
        <v>44799</v>
      </c>
      <c r="DN4" t="s">
        <v>33</v>
      </c>
    </row>
    <row r="5" spans="1:119" x14ac:dyDescent="0.25">
      <c r="I5" s="13">
        <v>3</v>
      </c>
      <c r="J5" s="20" t="s">
        <v>2</v>
      </c>
      <c r="K5" s="19">
        <v>3000</v>
      </c>
      <c r="CW5">
        <v>5</v>
      </c>
      <c r="CX5">
        <v>31</v>
      </c>
      <c r="DB5">
        <v>5</v>
      </c>
      <c r="DC5" s="11">
        <f t="shared" ca="1" si="0"/>
        <v>44778</v>
      </c>
      <c r="DD5">
        <f t="shared" ca="1" si="1"/>
        <v>32</v>
      </c>
      <c r="DE5">
        <f t="shared" ca="1" si="2"/>
        <v>1</v>
      </c>
      <c r="DF5" s="7" t="s">
        <v>4</v>
      </c>
      <c r="DG5" s="10" t="s">
        <v>26</v>
      </c>
      <c r="DL5" s="11" t="s">
        <v>33</v>
      </c>
    </row>
    <row r="6" spans="1:119" ht="15.75" thickBot="1" x14ac:dyDescent="0.3">
      <c r="I6" s="13">
        <v>4</v>
      </c>
      <c r="J6" s="20" t="s">
        <v>3</v>
      </c>
      <c r="K6" s="19">
        <v>1000</v>
      </c>
      <c r="CW6">
        <v>6</v>
      </c>
      <c r="CX6">
        <v>30</v>
      </c>
      <c r="DB6">
        <v>6</v>
      </c>
      <c r="DC6" s="11">
        <f t="shared" ca="1" si="0"/>
        <v>44779</v>
      </c>
      <c r="DD6">
        <f t="shared" ca="1" si="1"/>
        <v>32</v>
      </c>
      <c r="DE6">
        <f t="shared" ca="1" si="2"/>
        <v>1</v>
      </c>
      <c r="DF6" s="7" t="s">
        <v>5</v>
      </c>
      <c r="DG6" s="10" t="s">
        <v>23</v>
      </c>
    </row>
    <row r="7" spans="1:119" ht="15.75" thickBot="1" x14ac:dyDescent="0.3">
      <c r="A7" s="1" t="s">
        <v>20</v>
      </c>
      <c r="B7" s="2">
        <v>8</v>
      </c>
      <c r="I7" s="13">
        <v>5</v>
      </c>
      <c r="J7" s="20" t="s">
        <v>4</v>
      </c>
      <c r="K7" s="19">
        <v>2500</v>
      </c>
      <c r="CW7">
        <v>7</v>
      </c>
      <c r="CX7">
        <v>31</v>
      </c>
      <c r="DA7" s="12"/>
      <c r="DB7">
        <v>7</v>
      </c>
      <c r="DC7" s="11">
        <f t="shared" ca="1" si="0"/>
        <v>44780</v>
      </c>
      <c r="DD7">
        <f t="shared" ca="1" si="1"/>
        <v>32</v>
      </c>
      <c r="DE7">
        <f ca="1">IF(DD7&lt;&gt;"",IF(DD7=DD6,DE6,DE6+1),"")</f>
        <v>1</v>
      </c>
      <c r="DF7" s="7" t="s">
        <v>6</v>
      </c>
      <c r="DG7" s="10" t="s">
        <v>24</v>
      </c>
    </row>
    <row r="8" spans="1:119" ht="15.75" thickBot="1" x14ac:dyDescent="0.3">
      <c r="A8" s="1" t="s">
        <v>21</v>
      </c>
      <c r="B8" s="2">
        <v>2022</v>
      </c>
      <c r="I8" s="13">
        <v>6</v>
      </c>
      <c r="J8" s="20" t="s">
        <v>5</v>
      </c>
      <c r="K8" s="19">
        <v>2500</v>
      </c>
      <c r="CW8">
        <v>8</v>
      </c>
      <c r="CX8">
        <v>31</v>
      </c>
      <c r="DB8">
        <v>8</v>
      </c>
      <c r="DC8" s="11">
        <f t="shared" ca="1" si="0"/>
        <v>44781</v>
      </c>
      <c r="DD8">
        <f t="shared" ca="1" si="1"/>
        <v>33</v>
      </c>
      <c r="DE8">
        <f t="shared" ca="1" si="2"/>
        <v>2</v>
      </c>
      <c r="DF8" s="8" t="s">
        <v>7</v>
      </c>
      <c r="DG8" s="10" t="s">
        <v>25</v>
      </c>
    </row>
    <row r="9" spans="1:119" x14ac:dyDescent="0.25">
      <c r="I9" s="13">
        <v>7</v>
      </c>
      <c r="J9" s="20" t="s">
        <v>6</v>
      </c>
      <c r="K9" s="19">
        <v>2600</v>
      </c>
      <c r="CW9">
        <v>9</v>
      </c>
      <c r="CX9">
        <v>30</v>
      </c>
      <c r="DB9">
        <v>9</v>
      </c>
      <c r="DC9" s="11">
        <f t="shared" ca="1" si="0"/>
        <v>44782</v>
      </c>
      <c r="DD9">
        <f t="shared" ca="1" si="1"/>
        <v>33</v>
      </c>
      <c r="DE9">
        <f t="shared" ca="1" si="2"/>
        <v>2</v>
      </c>
      <c r="DF9" s="7" t="s">
        <v>8</v>
      </c>
      <c r="DG9" s="10" t="s">
        <v>27</v>
      </c>
    </row>
    <row r="10" spans="1:119" x14ac:dyDescent="0.25">
      <c r="I10" s="13">
        <v>8</v>
      </c>
      <c r="J10" s="21" t="s">
        <v>7</v>
      </c>
      <c r="K10" s="19">
        <v>2500</v>
      </c>
      <c r="CW10">
        <v>10</v>
      </c>
      <c r="CX10">
        <v>31</v>
      </c>
      <c r="DB10">
        <v>10</v>
      </c>
      <c r="DC10" s="11">
        <f t="shared" ca="1" si="0"/>
        <v>44783</v>
      </c>
      <c r="DD10">
        <f t="shared" ca="1" si="1"/>
        <v>33</v>
      </c>
      <c r="DE10">
        <f t="shared" ca="1" si="2"/>
        <v>2</v>
      </c>
      <c r="DF10" s="7" t="s">
        <v>9</v>
      </c>
      <c r="DG10" s="10" t="s">
        <v>23</v>
      </c>
    </row>
    <row r="11" spans="1:119" x14ac:dyDescent="0.25">
      <c r="A11" s="3"/>
      <c r="I11" s="13">
        <v>9</v>
      </c>
      <c r="J11" s="20" t="s">
        <v>8</v>
      </c>
      <c r="K11" s="19">
        <v>0</v>
      </c>
      <c r="CW11">
        <v>11</v>
      </c>
      <c r="CX11">
        <v>30</v>
      </c>
      <c r="DB11">
        <v>11</v>
      </c>
      <c r="DC11" s="11">
        <f t="shared" ca="1" si="0"/>
        <v>44784</v>
      </c>
      <c r="DD11">
        <f t="shared" ca="1" si="1"/>
        <v>33</v>
      </c>
      <c r="DE11">
        <f t="shared" ca="1" si="2"/>
        <v>2</v>
      </c>
      <c r="DF11" s="7" t="s">
        <v>10</v>
      </c>
      <c r="DG11" s="10" t="s">
        <v>24</v>
      </c>
    </row>
    <row r="12" spans="1:119" x14ac:dyDescent="0.25">
      <c r="I12" s="13">
        <v>10</v>
      </c>
      <c r="J12" s="20" t="s">
        <v>9</v>
      </c>
      <c r="K12" s="19">
        <v>0</v>
      </c>
      <c r="CW12">
        <v>12</v>
      </c>
      <c r="CX12">
        <v>31</v>
      </c>
      <c r="DB12">
        <v>12</v>
      </c>
      <c r="DC12" s="11">
        <f t="shared" ca="1" si="0"/>
        <v>44785</v>
      </c>
      <c r="DD12">
        <f t="shared" ca="1" si="1"/>
        <v>33</v>
      </c>
      <c r="DE12">
        <f t="shared" ca="1" si="2"/>
        <v>2</v>
      </c>
      <c r="DF12" s="16" t="s">
        <v>37</v>
      </c>
      <c r="DG12" s="10" t="s">
        <v>25</v>
      </c>
    </row>
    <row r="13" spans="1:119" x14ac:dyDescent="0.25">
      <c r="I13" s="13">
        <v>11</v>
      </c>
      <c r="J13" s="20" t="s">
        <v>10</v>
      </c>
      <c r="K13" s="19">
        <v>0</v>
      </c>
      <c r="DB13">
        <v>13</v>
      </c>
      <c r="DC13" s="11">
        <f t="shared" ca="1" si="0"/>
        <v>44786</v>
      </c>
      <c r="DD13">
        <f t="shared" ca="1" si="1"/>
        <v>33</v>
      </c>
      <c r="DE13">
        <f t="shared" ca="1" si="2"/>
        <v>2</v>
      </c>
      <c r="DF13" s="7" t="s">
        <v>11</v>
      </c>
      <c r="DG13" s="10" t="s">
        <v>28</v>
      </c>
    </row>
    <row r="14" spans="1:119" x14ac:dyDescent="0.25">
      <c r="I14" s="13">
        <v>12</v>
      </c>
      <c r="J14" s="21" t="s">
        <v>37</v>
      </c>
      <c r="K14" s="19">
        <v>0</v>
      </c>
      <c r="DB14">
        <v>14</v>
      </c>
      <c r="DC14" s="11">
        <f t="shared" ca="1" si="0"/>
        <v>44787</v>
      </c>
      <c r="DD14">
        <f t="shared" ca="1" si="1"/>
        <v>33</v>
      </c>
      <c r="DE14">
        <f t="shared" ca="1" si="2"/>
        <v>2</v>
      </c>
      <c r="DF14" s="7" t="s">
        <v>12</v>
      </c>
      <c r="DG14" s="10" t="s">
        <v>23</v>
      </c>
    </row>
    <row r="15" spans="1:119" x14ac:dyDescent="0.25">
      <c r="I15" s="13">
        <v>13</v>
      </c>
      <c r="J15" s="20" t="s">
        <v>11</v>
      </c>
      <c r="K15" s="19">
        <v>3000</v>
      </c>
      <c r="DB15">
        <v>15</v>
      </c>
      <c r="DC15" s="11">
        <f t="shared" ca="1" si="0"/>
        <v>44788</v>
      </c>
      <c r="DD15">
        <f t="shared" ca="1" si="1"/>
        <v>34</v>
      </c>
      <c r="DE15">
        <f t="shared" ca="1" si="2"/>
        <v>3</v>
      </c>
      <c r="DF15" s="7" t="s">
        <v>13</v>
      </c>
      <c r="DG15" s="10" t="s">
        <v>24</v>
      </c>
    </row>
    <row r="16" spans="1:119" x14ac:dyDescent="0.25">
      <c r="A16" s="4"/>
      <c r="I16" s="13">
        <v>14</v>
      </c>
      <c r="J16" s="20" t="s">
        <v>12</v>
      </c>
      <c r="K16" s="19">
        <v>4000</v>
      </c>
      <c r="DB16">
        <v>16</v>
      </c>
      <c r="DC16" s="11">
        <f t="shared" ca="1" si="0"/>
        <v>44789</v>
      </c>
      <c r="DD16">
        <f t="shared" ca="1" si="1"/>
        <v>34</v>
      </c>
      <c r="DE16">
        <f t="shared" ca="1" si="2"/>
        <v>3</v>
      </c>
      <c r="DF16" s="7" t="s">
        <v>14</v>
      </c>
      <c r="DG16" s="10" t="s">
        <v>25</v>
      </c>
    </row>
    <row r="17" spans="1:111" x14ac:dyDescent="0.25">
      <c r="A17" s="5"/>
      <c r="E17" s="17"/>
      <c r="I17" s="13">
        <v>15</v>
      </c>
      <c r="J17" s="20" t="s">
        <v>13</v>
      </c>
      <c r="K17" s="19">
        <v>4500</v>
      </c>
      <c r="DB17">
        <v>17</v>
      </c>
      <c r="DC17" s="11">
        <f t="shared" ca="1" si="0"/>
        <v>44790</v>
      </c>
      <c r="DD17">
        <f t="shared" ca="1" si="1"/>
        <v>34</v>
      </c>
      <c r="DE17">
        <f t="shared" ca="1" si="2"/>
        <v>3</v>
      </c>
      <c r="DF17" s="7" t="s">
        <v>15</v>
      </c>
      <c r="DG17" s="10" t="s">
        <v>29</v>
      </c>
    </row>
    <row r="18" spans="1:111" x14ac:dyDescent="0.25">
      <c r="A18" s="5"/>
      <c r="I18" s="13">
        <v>16</v>
      </c>
      <c r="J18" s="20" t="s">
        <v>14</v>
      </c>
      <c r="K18" s="19">
        <v>4000</v>
      </c>
      <c r="DB18">
        <v>18</v>
      </c>
      <c r="DC18" s="11">
        <f t="shared" ca="1" si="0"/>
        <v>44791</v>
      </c>
      <c r="DD18">
        <f t="shared" ca="1" si="1"/>
        <v>34</v>
      </c>
      <c r="DE18">
        <f t="shared" ca="1" si="2"/>
        <v>3</v>
      </c>
      <c r="DF18" s="7" t="s">
        <v>16</v>
      </c>
      <c r="DG18" s="10" t="s">
        <v>30</v>
      </c>
    </row>
    <row r="19" spans="1:111" x14ac:dyDescent="0.25">
      <c r="I19" s="13">
        <v>17</v>
      </c>
      <c r="J19" s="20" t="s">
        <v>15</v>
      </c>
      <c r="K19" s="19">
        <v>7900</v>
      </c>
      <c r="DB19">
        <v>19</v>
      </c>
      <c r="DC19" s="11">
        <f t="shared" ca="1" si="0"/>
        <v>44792</v>
      </c>
      <c r="DD19">
        <f t="shared" ca="1" si="1"/>
        <v>34</v>
      </c>
      <c r="DE19">
        <f t="shared" ca="1" si="2"/>
        <v>3</v>
      </c>
      <c r="DF19" s="7" t="s">
        <v>17</v>
      </c>
      <c r="DG19" s="10" t="s">
        <v>31</v>
      </c>
    </row>
    <row r="20" spans="1:111" x14ac:dyDescent="0.25">
      <c r="I20" s="13">
        <v>18</v>
      </c>
      <c r="J20" s="20" t="s">
        <v>16</v>
      </c>
      <c r="K20" s="19">
        <v>7600</v>
      </c>
      <c r="DB20">
        <v>20</v>
      </c>
      <c r="DC20" s="11">
        <f t="shared" ca="1" si="0"/>
        <v>44793</v>
      </c>
      <c r="DD20">
        <f t="shared" ca="1" si="1"/>
        <v>34</v>
      </c>
      <c r="DE20">
        <f t="shared" ca="1" si="2"/>
        <v>3</v>
      </c>
      <c r="DF20" s="7" t="s">
        <v>18</v>
      </c>
      <c r="DG20" s="10" t="s">
        <v>32</v>
      </c>
    </row>
    <row r="21" spans="1:111" x14ac:dyDescent="0.25">
      <c r="I21" s="13">
        <v>19</v>
      </c>
      <c r="J21" s="20" t="s">
        <v>17</v>
      </c>
      <c r="K21" s="19">
        <v>9300</v>
      </c>
      <c r="DB21">
        <v>21</v>
      </c>
      <c r="DC21" s="11">
        <f t="shared" ca="1" si="0"/>
        <v>44794</v>
      </c>
      <c r="DD21">
        <f t="shared" ca="1" si="1"/>
        <v>34</v>
      </c>
      <c r="DE21">
        <f t="shared" ca="1" si="2"/>
        <v>3</v>
      </c>
    </row>
    <row r="22" spans="1:111" x14ac:dyDescent="0.25">
      <c r="I22" s="13">
        <v>20</v>
      </c>
      <c r="J22" s="20" t="s">
        <v>18</v>
      </c>
      <c r="K22" s="19">
        <v>8600</v>
      </c>
      <c r="DB22">
        <v>22</v>
      </c>
      <c r="DC22" s="11">
        <f t="shared" ca="1" si="0"/>
        <v>44795</v>
      </c>
      <c r="DD22">
        <f t="shared" ca="1" si="1"/>
        <v>35</v>
      </c>
      <c r="DE22">
        <f t="shared" ca="1" si="2"/>
        <v>4</v>
      </c>
    </row>
    <row r="23" spans="1:111" x14ac:dyDescent="0.25">
      <c r="I23" s="13">
        <v>21</v>
      </c>
      <c r="J23" s="20" t="s">
        <v>34</v>
      </c>
      <c r="K23" s="19"/>
      <c r="DB23">
        <v>23</v>
      </c>
      <c r="DC23" s="11">
        <f t="shared" ca="1" si="0"/>
        <v>44796</v>
      </c>
      <c r="DD23">
        <f t="shared" ca="1" si="1"/>
        <v>35</v>
      </c>
      <c r="DE23">
        <f t="shared" ca="1" si="2"/>
        <v>4</v>
      </c>
    </row>
    <row r="24" spans="1:111" x14ac:dyDescent="0.25">
      <c r="DB24">
        <v>24</v>
      </c>
      <c r="DC24" s="11">
        <f t="shared" ca="1" si="0"/>
        <v>44797</v>
      </c>
      <c r="DD24">
        <f t="shared" ca="1" si="1"/>
        <v>35</v>
      </c>
      <c r="DE24">
        <f t="shared" ca="1" si="2"/>
        <v>4</v>
      </c>
    </row>
    <row r="25" spans="1:111" x14ac:dyDescent="0.25">
      <c r="DB25">
        <v>25</v>
      </c>
      <c r="DC25" s="11">
        <f t="shared" ca="1" si="0"/>
        <v>44798</v>
      </c>
      <c r="DD25">
        <f t="shared" ca="1" si="1"/>
        <v>35</v>
      </c>
      <c r="DE25">
        <f t="shared" ca="1" si="2"/>
        <v>4</v>
      </c>
    </row>
    <row r="26" spans="1:111" x14ac:dyDescent="0.25">
      <c r="DB26">
        <v>26</v>
      </c>
      <c r="DC26" s="11">
        <f t="shared" ca="1" si="0"/>
        <v>44799</v>
      </c>
      <c r="DD26">
        <f t="shared" ca="1" si="1"/>
        <v>35</v>
      </c>
      <c r="DE26">
        <f t="shared" ca="1" si="2"/>
        <v>4</v>
      </c>
    </row>
    <row r="27" spans="1:111" x14ac:dyDescent="0.25">
      <c r="DB27">
        <v>27</v>
      </c>
      <c r="DC27" s="11" t="str">
        <f t="shared" ca="1" si="0"/>
        <v/>
      </c>
      <c r="DD27" t="str">
        <f t="shared" ca="1" si="1"/>
        <v/>
      </c>
      <c r="DE27" t="str">
        <f t="shared" ca="1" si="2"/>
        <v/>
      </c>
    </row>
    <row r="28" spans="1:111" x14ac:dyDescent="0.25">
      <c r="DB28">
        <v>28</v>
      </c>
      <c r="DC28" s="11" t="str">
        <f t="shared" ca="1" si="0"/>
        <v/>
      </c>
      <c r="DD28" t="str">
        <f t="shared" ca="1" si="1"/>
        <v/>
      </c>
      <c r="DE28" t="str">
        <f t="shared" ca="1" si="2"/>
        <v/>
      </c>
    </row>
    <row r="29" spans="1:111" x14ac:dyDescent="0.25">
      <c r="DB29">
        <v>29</v>
      </c>
      <c r="DC29" s="11" t="str">
        <f t="shared" ca="1" si="0"/>
        <v/>
      </c>
      <c r="DD29" t="str">
        <f t="shared" ca="1" si="1"/>
        <v/>
      </c>
      <c r="DE29" t="str">
        <f t="shared" ca="1" si="2"/>
        <v/>
      </c>
    </row>
    <row r="30" spans="1:111" x14ac:dyDescent="0.25">
      <c r="DB30">
        <v>30</v>
      </c>
      <c r="DC30" s="11" t="str">
        <f t="shared" ca="1" si="0"/>
        <v/>
      </c>
      <c r="DD30" t="str">
        <f t="shared" ca="1" si="1"/>
        <v/>
      </c>
      <c r="DE30" t="str">
        <f t="shared" ca="1" si="2"/>
        <v/>
      </c>
    </row>
    <row r="31" spans="1:111" x14ac:dyDescent="0.25">
      <c r="DB31">
        <v>31</v>
      </c>
      <c r="DC31" s="11" t="str">
        <f ca="1">IF(AND(DB31&lt;&gt;"",$B$8&lt;$DI$4),DATE($B$8,$B$7,DB31),IF(AND(DB31&lt;&gt;"",$B$7&lt;$DI$3,$B$8=$DI$4),DATE($B$8,$B$7,DB31),IF(AND(DB31&lt;&gt;"",DB31&lt;=$DI$2,$B$7=$DI$3,$B$8=$DI$4),DATE($B$8,$B$7,DB31),"")))</f>
        <v/>
      </c>
      <c r="DD31" t="str">
        <f t="shared" ca="1" si="1"/>
        <v/>
      </c>
      <c r="DE31" t="str">
        <f t="shared" ca="1" si="2"/>
        <v/>
      </c>
    </row>
  </sheetData>
  <dataValidations count="1">
    <dataValidation type="list" allowBlank="1" showInputMessage="1" showErrorMessage="1" sqref="B7" xr:uid="{CB9626BF-50EC-45B4-9DE0-080DF99BD5D8}">
      <formula1>$CW$1:$CW$12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65259-BBE7-4A8D-AD95-C10813515BC0}">
  <dimension ref="A1:C21"/>
  <sheetViews>
    <sheetView topLeftCell="A7" workbookViewId="0">
      <selection activeCell="B3" sqref="B3"/>
    </sheetView>
  </sheetViews>
  <sheetFormatPr defaultRowHeight="15" x14ac:dyDescent="0.25"/>
  <cols>
    <col min="1" max="1" width="11.5703125" bestFit="1" customWidth="1"/>
    <col min="2" max="2" width="10.140625" style="23" bestFit="1" customWidth="1"/>
    <col min="3" max="3" width="9.7109375" style="23" bestFit="1" customWidth="1"/>
  </cols>
  <sheetData>
    <row r="1" spans="1:3" x14ac:dyDescent="0.25">
      <c r="A1" s="58" t="s">
        <v>39</v>
      </c>
      <c r="B1" s="59" t="s">
        <v>40</v>
      </c>
      <c r="C1" s="60" t="s">
        <v>41</v>
      </c>
    </row>
    <row r="2" spans="1:3" x14ac:dyDescent="0.25">
      <c r="A2" s="56" t="s">
        <v>0</v>
      </c>
      <c r="B2" s="61" t="s">
        <v>42</v>
      </c>
      <c r="C2" s="62" t="s">
        <v>43</v>
      </c>
    </row>
    <row r="3" spans="1:3" x14ac:dyDescent="0.25">
      <c r="A3" s="56" t="s">
        <v>1</v>
      </c>
      <c r="B3" s="61" t="s">
        <v>42</v>
      </c>
      <c r="C3" s="62" t="s">
        <v>43</v>
      </c>
    </row>
    <row r="4" spans="1:3" x14ac:dyDescent="0.25">
      <c r="A4" s="56" t="s">
        <v>2</v>
      </c>
      <c r="B4" s="61" t="s">
        <v>42</v>
      </c>
      <c r="C4" s="62" t="s">
        <v>43</v>
      </c>
    </row>
    <row r="5" spans="1:3" x14ac:dyDescent="0.25">
      <c r="A5" s="56" t="s">
        <v>3</v>
      </c>
      <c r="B5" s="61" t="s">
        <v>42</v>
      </c>
      <c r="C5" s="62" t="s">
        <v>43</v>
      </c>
    </row>
    <row r="6" spans="1:3" x14ac:dyDescent="0.25">
      <c r="A6" s="56" t="s">
        <v>4</v>
      </c>
      <c r="B6" s="61" t="s">
        <v>42</v>
      </c>
      <c r="C6" s="62" t="s">
        <v>43</v>
      </c>
    </row>
    <row r="7" spans="1:3" x14ac:dyDescent="0.25">
      <c r="A7" s="56" t="s">
        <v>5</v>
      </c>
      <c r="B7" s="61" t="s">
        <v>42</v>
      </c>
      <c r="C7" s="62" t="s">
        <v>43</v>
      </c>
    </row>
    <row r="8" spans="1:3" x14ac:dyDescent="0.25">
      <c r="A8" s="56" t="s">
        <v>6</v>
      </c>
      <c r="B8" s="61" t="s">
        <v>42</v>
      </c>
      <c r="C8" s="62" t="s">
        <v>43</v>
      </c>
    </row>
    <row r="9" spans="1:3" x14ac:dyDescent="0.25">
      <c r="A9" s="57" t="s">
        <v>7</v>
      </c>
      <c r="B9" s="61" t="s">
        <v>42</v>
      </c>
      <c r="C9" s="62" t="s">
        <v>43</v>
      </c>
    </row>
    <row r="10" spans="1:3" x14ac:dyDescent="0.25">
      <c r="A10" s="56" t="s">
        <v>8</v>
      </c>
      <c r="B10" s="61" t="s">
        <v>42</v>
      </c>
      <c r="C10" s="62" t="s">
        <v>43</v>
      </c>
    </row>
    <row r="11" spans="1:3" x14ac:dyDescent="0.25">
      <c r="A11" s="56" t="s">
        <v>9</v>
      </c>
      <c r="B11" s="61" t="s">
        <v>42</v>
      </c>
      <c r="C11" s="62" t="s">
        <v>43</v>
      </c>
    </row>
    <row r="12" spans="1:3" x14ac:dyDescent="0.25">
      <c r="A12" s="56" t="s">
        <v>10</v>
      </c>
      <c r="B12" s="61" t="s">
        <v>42</v>
      </c>
      <c r="C12" s="62" t="s">
        <v>43</v>
      </c>
    </row>
    <row r="13" spans="1:3" x14ac:dyDescent="0.25">
      <c r="A13" s="57" t="s">
        <v>37</v>
      </c>
      <c r="B13" s="61" t="s">
        <v>42</v>
      </c>
      <c r="C13" s="62" t="s">
        <v>43</v>
      </c>
    </row>
    <row r="14" spans="1:3" x14ac:dyDescent="0.25">
      <c r="A14" s="56" t="s">
        <v>11</v>
      </c>
      <c r="B14" s="61" t="s">
        <v>42</v>
      </c>
      <c r="C14" s="62" t="s">
        <v>43</v>
      </c>
    </row>
    <row r="15" spans="1:3" x14ac:dyDescent="0.25">
      <c r="A15" s="56" t="s">
        <v>12</v>
      </c>
      <c r="B15" s="61" t="s">
        <v>42</v>
      </c>
      <c r="C15" s="62" t="s">
        <v>43</v>
      </c>
    </row>
    <row r="16" spans="1:3" x14ac:dyDescent="0.25">
      <c r="A16" s="56" t="s">
        <v>13</v>
      </c>
      <c r="B16" s="61" t="s">
        <v>42</v>
      </c>
      <c r="C16" s="62" t="s">
        <v>43</v>
      </c>
    </row>
    <row r="17" spans="1:3" x14ac:dyDescent="0.25">
      <c r="A17" s="56" t="s">
        <v>14</v>
      </c>
      <c r="B17" s="61" t="s">
        <v>42</v>
      </c>
      <c r="C17" s="62" t="s">
        <v>43</v>
      </c>
    </row>
    <row r="18" spans="1:3" x14ac:dyDescent="0.25">
      <c r="A18" s="56" t="s">
        <v>15</v>
      </c>
      <c r="B18" s="61" t="s">
        <v>42</v>
      </c>
      <c r="C18" s="62" t="s">
        <v>43</v>
      </c>
    </row>
    <row r="19" spans="1:3" x14ac:dyDescent="0.25">
      <c r="A19" s="56" t="s">
        <v>16</v>
      </c>
      <c r="B19" s="61" t="s">
        <v>42</v>
      </c>
      <c r="C19" s="62" t="s">
        <v>43</v>
      </c>
    </row>
    <row r="20" spans="1:3" x14ac:dyDescent="0.25">
      <c r="A20" s="56" t="s">
        <v>17</v>
      </c>
      <c r="B20" s="61" t="s">
        <v>42</v>
      </c>
      <c r="C20" s="62" t="s">
        <v>43</v>
      </c>
    </row>
    <row r="21" spans="1:3" x14ac:dyDescent="0.25">
      <c r="A21" s="56" t="s">
        <v>18</v>
      </c>
      <c r="B21" s="61" t="s">
        <v>42</v>
      </c>
      <c r="C21" s="6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837A-0811-40C4-8FCC-16B2D89EF99E}">
  <dimension ref="A1:E81"/>
  <sheetViews>
    <sheetView workbookViewId="0">
      <selection activeCell="E2" sqref="E2:E81"/>
    </sheetView>
  </sheetViews>
  <sheetFormatPr defaultRowHeight="15" x14ac:dyDescent="0.25"/>
  <cols>
    <col min="1" max="5" width="12.7109375" customWidth="1"/>
  </cols>
  <sheetData>
    <row r="1" spans="1:5" s="3" customFormat="1" x14ac:dyDescent="0.25">
      <c r="A1" s="43" t="s">
        <v>19</v>
      </c>
      <c r="B1" s="43" t="s">
        <v>44</v>
      </c>
      <c r="C1" s="43" t="s">
        <v>45</v>
      </c>
      <c r="D1" s="43" t="s">
        <v>46</v>
      </c>
      <c r="E1" s="43" t="s">
        <v>47</v>
      </c>
    </row>
    <row r="2" spans="1:5" x14ac:dyDescent="0.25">
      <c r="A2" s="44" t="s">
        <v>0</v>
      </c>
      <c r="B2" s="44" t="s">
        <v>48</v>
      </c>
      <c r="C2" s="45">
        <v>44774</v>
      </c>
      <c r="D2" s="45">
        <v>44780</v>
      </c>
      <c r="E2" s="46">
        <v>1827.8299999999997</v>
      </c>
    </row>
    <row r="3" spans="1:5" x14ac:dyDescent="0.25">
      <c r="A3" s="44" t="s">
        <v>0</v>
      </c>
      <c r="B3" s="44" t="s">
        <v>48</v>
      </c>
      <c r="C3" s="45">
        <v>44781</v>
      </c>
      <c r="D3" s="45">
        <v>44787</v>
      </c>
      <c r="E3" s="46">
        <v>1492.3600000000001</v>
      </c>
    </row>
    <row r="4" spans="1:5" x14ac:dyDescent="0.25">
      <c r="A4" s="44" t="s">
        <v>0</v>
      </c>
      <c r="B4" s="44" t="s">
        <v>48</v>
      </c>
      <c r="C4" s="45">
        <v>44788</v>
      </c>
      <c r="D4" s="45">
        <v>44794</v>
      </c>
      <c r="E4" s="46">
        <v>40.380000000000003</v>
      </c>
    </row>
    <row r="5" spans="1:5" x14ac:dyDescent="0.25">
      <c r="A5" s="44" t="s">
        <v>0</v>
      </c>
      <c r="B5" s="44" t="s">
        <v>48</v>
      </c>
      <c r="C5" s="45">
        <v>44795</v>
      </c>
      <c r="D5" s="45">
        <v>44799</v>
      </c>
      <c r="E5" s="46">
        <v>0</v>
      </c>
    </row>
    <row r="6" spans="1:5" x14ac:dyDescent="0.25">
      <c r="A6" s="44" t="s">
        <v>1</v>
      </c>
      <c r="B6" s="44" t="s">
        <v>49</v>
      </c>
      <c r="C6" s="45">
        <v>44774</v>
      </c>
      <c r="D6" s="45">
        <v>44780</v>
      </c>
      <c r="E6" s="46">
        <v>7.0600000000000005</v>
      </c>
    </row>
    <row r="7" spans="1:5" x14ac:dyDescent="0.25">
      <c r="A7" s="44" t="s">
        <v>1</v>
      </c>
      <c r="B7" s="44" t="s">
        <v>49</v>
      </c>
      <c r="C7" s="45">
        <v>44781</v>
      </c>
      <c r="D7" s="45">
        <v>44787</v>
      </c>
      <c r="E7" s="46">
        <v>754.18999999999994</v>
      </c>
    </row>
    <row r="8" spans="1:5" x14ac:dyDescent="0.25">
      <c r="A8" s="44" t="s">
        <v>1</v>
      </c>
      <c r="B8" s="44" t="s">
        <v>49</v>
      </c>
      <c r="C8" s="45">
        <v>44788</v>
      </c>
      <c r="D8" s="45">
        <v>44794</v>
      </c>
      <c r="E8" s="46">
        <v>144.68</v>
      </c>
    </row>
    <row r="9" spans="1:5" x14ac:dyDescent="0.25">
      <c r="A9" s="44" t="s">
        <v>1</v>
      </c>
      <c r="B9" s="44" t="s">
        <v>49</v>
      </c>
      <c r="C9" s="45">
        <v>44795</v>
      </c>
      <c r="D9" s="45">
        <v>44799</v>
      </c>
      <c r="E9" s="46">
        <v>0</v>
      </c>
    </row>
    <row r="10" spans="1:5" x14ac:dyDescent="0.25">
      <c r="A10" s="44" t="s">
        <v>2</v>
      </c>
      <c r="B10" s="44" t="s">
        <v>50</v>
      </c>
      <c r="C10" s="45">
        <v>44774</v>
      </c>
      <c r="D10" s="45">
        <v>44780</v>
      </c>
      <c r="E10" s="46">
        <v>1715.6299999999999</v>
      </c>
    </row>
    <row r="11" spans="1:5" x14ac:dyDescent="0.25">
      <c r="A11" s="44" t="s">
        <v>2</v>
      </c>
      <c r="B11" s="44" t="s">
        <v>50</v>
      </c>
      <c r="C11" s="45">
        <v>44781</v>
      </c>
      <c r="D11" s="45">
        <v>44787</v>
      </c>
      <c r="E11" s="46">
        <v>43.27</v>
      </c>
    </row>
    <row r="12" spans="1:5" x14ac:dyDescent="0.25">
      <c r="A12" s="44" t="s">
        <v>2</v>
      </c>
      <c r="B12" s="44" t="s">
        <v>50</v>
      </c>
      <c r="C12" s="45">
        <v>44788</v>
      </c>
      <c r="D12" s="45">
        <v>44794</v>
      </c>
      <c r="E12" s="46">
        <v>43</v>
      </c>
    </row>
    <row r="13" spans="1:5" x14ac:dyDescent="0.25">
      <c r="A13" s="44" t="s">
        <v>2</v>
      </c>
      <c r="B13" s="44" t="s">
        <v>50</v>
      </c>
      <c r="C13" s="45">
        <v>44795</v>
      </c>
      <c r="D13" s="45">
        <v>44799</v>
      </c>
      <c r="E13" s="46">
        <v>0</v>
      </c>
    </row>
    <row r="14" spans="1:5" x14ac:dyDescent="0.25">
      <c r="A14" s="44" t="s">
        <v>3</v>
      </c>
      <c r="B14" s="44" t="s">
        <v>51</v>
      </c>
      <c r="C14" s="45">
        <v>44774</v>
      </c>
      <c r="D14" s="45">
        <v>44780</v>
      </c>
      <c r="E14" s="46">
        <v>545.67999999999995</v>
      </c>
    </row>
    <row r="15" spans="1:5" x14ac:dyDescent="0.25">
      <c r="A15" s="44" t="s">
        <v>3</v>
      </c>
      <c r="B15" s="44" t="s">
        <v>51</v>
      </c>
      <c r="C15" s="45">
        <v>44781</v>
      </c>
      <c r="D15" s="45">
        <v>44787</v>
      </c>
      <c r="E15" s="46">
        <v>129.72</v>
      </c>
    </row>
    <row r="16" spans="1:5" x14ac:dyDescent="0.25">
      <c r="A16" s="44" t="s">
        <v>3</v>
      </c>
      <c r="B16" s="44" t="s">
        <v>51</v>
      </c>
      <c r="C16" s="45">
        <v>44788</v>
      </c>
      <c r="D16" s="45">
        <v>44794</v>
      </c>
      <c r="E16" s="46">
        <v>0</v>
      </c>
    </row>
    <row r="17" spans="1:5" x14ac:dyDescent="0.25">
      <c r="A17" s="44" t="s">
        <v>3</v>
      </c>
      <c r="B17" s="44" t="s">
        <v>51</v>
      </c>
      <c r="C17" s="45">
        <v>44795</v>
      </c>
      <c r="D17" s="45">
        <v>44799</v>
      </c>
      <c r="E17" s="46">
        <v>0</v>
      </c>
    </row>
    <row r="18" spans="1:5" x14ac:dyDescent="0.25">
      <c r="A18" s="44" t="s">
        <v>4</v>
      </c>
      <c r="B18" s="44" t="s">
        <v>48</v>
      </c>
      <c r="C18" s="45">
        <v>44774</v>
      </c>
      <c r="D18" s="45">
        <v>44780</v>
      </c>
      <c r="E18" s="46">
        <v>24.209999999999997</v>
      </c>
    </row>
    <row r="19" spans="1:5" x14ac:dyDescent="0.25">
      <c r="A19" s="44" t="s">
        <v>4</v>
      </c>
      <c r="B19" s="44" t="s">
        <v>48</v>
      </c>
      <c r="C19" s="45">
        <v>44781</v>
      </c>
      <c r="D19" s="45">
        <v>44787</v>
      </c>
      <c r="E19" s="46">
        <v>24.39</v>
      </c>
    </row>
    <row r="20" spans="1:5" x14ac:dyDescent="0.25">
      <c r="A20" s="44" t="s">
        <v>4</v>
      </c>
      <c r="B20" s="44" t="s">
        <v>48</v>
      </c>
      <c r="C20" s="45">
        <v>44788</v>
      </c>
      <c r="D20" s="45">
        <v>44794</v>
      </c>
      <c r="E20" s="46">
        <v>700.57000000000016</v>
      </c>
    </row>
    <row r="21" spans="1:5" x14ac:dyDescent="0.25">
      <c r="A21" s="44" t="s">
        <v>4</v>
      </c>
      <c r="B21" s="44" t="s">
        <v>48</v>
      </c>
      <c r="C21" s="45">
        <v>44795</v>
      </c>
      <c r="D21" s="45">
        <v>44799</v>
      </c>
      <c r="E21" s="46">
        <v>8.15</v>
      </c>
    </row>
    <row r="22" spans="1:5" x14ac:dyDescent="0.25">
      <c r="A22" s="44" t="s">
        <v>5</v>
      </c>
      <c r="B22" s="44" t="s">
        <v>49</v>
      </c>
      <c r="C22" s="45">
        <v>44774</v>
      </c>
      <c r="D22" s="45">
        <v>44780</v>
      </c>
      <c r="E22" s="46">
        <v>1288.2600000000002</v>
      </c>
    </row>
    <row r="23" spans="1:5" x14ac:dyDescent="0.25">
      <c r="A23" s="44" t="s">
        <v>5</v>
      </c>
      <c r="B23" s="44" t="s">
        <v>49</v>
      </c>
      <c r="C23" s="45">
        <v>44781</v>
      </c>
      <c r="D23" s="45">
        <v>44787</v>
      </c>
      <c r="E23" s="46">
        <v>399.27</v>
      </c>
    </row>
    <row r="24" spans="1:5" x14ac:dyDescent="0.25">
      <c r="A24" s="44" t="s">
        <v>5</v>
      </c>
      <c r="B24" s="44" t="s">
        <v>49</v>
      </c>
      <c r="C24" s="45">
        <v>44788</v>
      </c>
      <c r="D24" s="45">
        <v>44794</v>
      </c>
      <c r="E24" s="46">
        <v>570.78000000000009</v>
      </c>
    </row>
    <row r="25" spans="1:5" x14ac:dyDescent="0.25">
      <c r="A25" s="44" t="s">
        <v>5</v>
      </c>
      <c r="B25" s="44" t="s">
        <v>49</v>
      </c>
      <c r="C25" s="45">
        <v>44795</v>
      </c>
      <c r="D25" s="45">
        <v>44799</v>
      </c>
      <c r="E25" s="46">
        <v>0</v>
      </c>
    </row>
    <row r="26" spans="1:5" x14ac:dyDescent="0.25">
      <c r="A26" s="44" t="s">
        <v>6</v>
      </c>
      <c r="B26" s="44" t="s">
        <v>50</v>
      </c>
      <c r="C26" s="45">
        <v>44774</v>
      </c>
      <c r="D26" s="45">
        <v>44780</v>
      </c>
      <c r="E26" s="46">
        <v>509.87</v>
      </c>
    </row>
    <row r="27" spans="1:5" x14ac:dyDescent="0.25">
      <c r="A27" s="44" t="s">
        <v>6</v>
      </c>
      <c r="B27" s="44" t="s">
        <v>50</v>
      </c>
      <c r="C27" s="45">
        <v>44781</v>
      </c>
      <c r="D27" s="45">
        <v>44787</v>
      </c>
      <c r="E27" s="46">
        <v>751.56999999999982</v>
      </c>
    </row>
    <row r="28" spans="1:5" x14ac:dyDescent="0.25">
      <c r="A28" s="44" t="s">
        <v>6</v>
      </c>
      <c r="B28" s="44" t="s">
        <v>50</v>
      </c>
      <c r="C28" s="45">
        <v>44788</v>
      </c>
      <c r="D28" s="45">
        <v>44794</v>
      </c>
      <c r="E28" s="46">
        <v>6.7700000000000005</v>
      </c>
    </row>
    <row r="29" spans="1:5" x14ac:dyDescent="0.25">
      <c r="A29" s="44" t="s">
        <v>6</v>
      </c>
      <c r="B29" s="44" t="s">
        <v>50</v>
      </c>
      <c r="C29" s="45">
        <v>44795</v>
      </c>
      <c r="D29" s="45">
        <v>44799</v>
      </c>
      <c r="E29" s="46">
        <v>0</v>
      </c>
    </row>
    <row r="30" spans="1:5" x14ac:dyDescent="0.25">
      <c r="A30" s="44" t="s">
        <v>7</v>
      </c>
      <c r="B30" s="44" t="s">
        <v>51</v>
      </c>
      <c r="C30" s="45">
        <v>44774</v>
      </c>
      <c r="D30" s="45">
        <v>44780</v>
      </c>
      <c r="E30" s="46">
        <v>460.72999999999996</v>
      </c>
    </row>
    <row r="31" spans="1:5" x14ac:dyDescent="0.25">
      <c r="A31" s="44" t="s">
        <v>7</v>
      </c>
      <c r="B31" s="44" t="s">
        <v>51</v>
      </c>
      <c r="C31" s="45">
        <v>44781</v>
      </c>
      <c r="D31" s="45">
        <v>44787</v>
      </c>
      <c r="E31" s="46">
        <v>567.00000000000011</v>
      </c>
    </row>
    <row r="32" spans="1:5" x14ac:dyDescent="0.25">
      <c r="A32" s="44" t="s">
        <v>7</v>
      </c>
      <c r="B32" s="44" t="s">
        <v>51</v>
      </c>
      <c r="C32" s="45">
        <v>44788</v>
      </c>
      <c r="D32" s="45">
        <v>44794</v>
      </c>
      <c r="E32" s="46">
        <v>298.68</v>
      </c>
    </row>
    <row r="33" spans="1:5" x14ac:dyDescent="0.25">
      <c r="A33" s="44" t="s">
        <v>7</v>
      </c>
      <c r="B33" s="44" t="s">
        <v>51</v>
      </c>
      <c r="C33" s="45">
        <v>44795</v>
      </c>
      <c r="D33" s="45">
        <v>44799</v>
      </c>
      <c r="E33" s="46">
        <v>0</v>
      </c>
    </row>
    <row r="34" spans="1:5" x14ac:dyDescent="0.25">
      <c r="A34" s="44" t="s">
        <v>8</v>
      </c>
      <c r="B34" s="44" t="s">
        <v>48</v>
      </c>
      <c r="C34" s="45">
        <v>44774</v>
      </c>
      <c r="D34" s="45">
        <v>44780</v>
      </c>
      <c r="E34" s="46">
        <v>11.45</v>
      </c>
    </row>
    <row r="35" spans="1:5" x14ac:dyDescent="0.25">
      <c r="A35" s="44" t="s">
        <v>8</v>
      </c>
      <c r="B35" s="44" t="s">
        <v>48</v>
      </c>
      <c r="C35" s="45">
        <v>44781</v>
      </c>
      <c r="D35" s="45">
        <v>44787</v>
      </c>
      <c r="E35" s="46">
        <v>9.1</v>
      </c>
    </row>
    <row r="36" spans="1:5" x14ac:dyDescent="0.25">
      <c r="A36" s="44" t="s">
        <v>8</v>
      </c>
      <c r="B36" s="44" t="s">
        <v>48</v>
      </c>
      <c r="C36" s="45">
        <v>44788</v>
      </c>
      <c r="D36" s="45">
        <v>44794</v>
      </c>
      <c r="E36" s="46">
        <v>12.840000000000002</v>
      </c>
    </row>
    <row r="37" spans="1:5" x14ac:dyDescent="0.25">
      <c r="A37" s="44" t="s">
        <v>8</v>
      </c>
      <c r="B37" s="44" t="s">
        <v>48</v>
      </c>
      <c r="C37" s="45">
        <v>44795</v>
      </c>
      <c r="D37" s="45">
        <v>44799</v>
      </c>
      <c r="E37" s="46">
        <v>0</v>
      </c>
    </row>
    <row r="38" spans="1:5" x14ac:dyDescent="0.25">
      <c r="A38" s="44" t="s">
        <v>9</v>
      </c>
      <c r="B38" s="44" t="s">
        <v>49</v>
      </c>
      <c r="C38" s="45">
        <v>44774</v>
      </c>
      <c r="D38" s="45">
        <v>44780</v>
      </c>
      <c r="E38" s="46">
        <v>0</v>
      </c>
    </row>
    <row r="39" spans="1:5" x14ac:dyDescent="0.25">
      <c r="A39" s="44" t="s">
        <v>9</v>
      </c>
      <c r="B39" s="44" t="s">
        <v>49</v>
      </c>
      <c r="C39" s="45">
        <v>44781</v>
      </c>
      <c r="D39" s="45">
        <v>44787</v>
      </c>
      <c r="E39" s="46">
        <v>0</v>
      </c>
    </row>
    <row r="40" spans="1:5" x14ac:dyDescent="0.25">
      <c r="A40" s="44" t="s">
        <v>9</v>
      </c>
      <c r="B40" s="44" t="s">
        <v>49</v>
      </c>
      <c r="C40" s="45">
        <v>44788</v>
      </c>
      <c r="D40" s="45">
        <v>44794</v>
      </c>
      <c r="E40" s="46">
        <v>0</v>
      </c>
    </row>
    <row r="41" spans="1:5" x14ac:dyDescent="0.25">
      <c r="A41" s="44" t="s">
        <v>9</v>
      </c>
      <c r="B41" s="44" t="s">
        <v>49</v>
      </c>
      <c r="C41" s="45">
        <v>44795</v>
      </c>
      <c r="D41" s="45">
        <v>44799</v>
      </c>
      <c r="E41" s="46">
        <v>0</v>
      </c>
    </row>
    <row r="42" spans="1:5" x14ac:dyDescent="0.25">
      <c r="A42" s="44" t="s">
        <v>10</v>
      </c>
      <c r="B42" s="44" t="s">
        <v>50</v>
      </c>
      <c r="C42" s="45">
        <v>44774</v>
      </c>
      <c r="D42" s="45">
        <v>44780</v>
      </c>
      <c r="E42" s="46">
        <v>0</v>
      </c>
    </row>
    <row r="43" spans="1:5" x14ac:dyDescent="0.25">
      <c r="A43" s="44" t="s">
        <v>10</v>
      </c>
      <c r="B43" s="44" t="s">
        <v>50</v>
      </c>
      <c r="C43" s="45">
        <v>44781</v>
      </c>
      <c r="D43" s="45">
        <v>44787</v>
      </c>
      <c r="E43" s="46">
        <v>0</v>
      </c>
    </row>
    <row r="44" spans="1:5" x14ac:dyDescent="0.25">
      <c r="A44" s="44" t="s">
        <v>10</v>
      </c>
      <c r="B44" s="44" t="s">
        <v>50</v>
      </c>
      <c r="C44" s="45">
        <v>44788</v>
      </c>
      <c r="D44" s="45">
        <v>44794</v>
      </c>
      <c r="E44" s="46">
        <v>0</v>
      </c>
    </row>
    <row r="45" spans="1:5" x14ac:dyDescent="0.25">
      <c r="A45" s="44" t="s">
        <v>10</v>
      </c>
      <c r="B45" s="44" t="s">
        <v>50</v>
      </c>
      <c r="C45" s="45">
        <v>44795</v>
      </c>
      <c r="D45" s="45">
        <v>44799</v>
      </c>
      <c r="E45" s="46">
        <v>0</v>
      </c>
    </row>
    <row r="46" spans="1:5" x14ac:dyDescent="0.25">
      <c r="A46" s="44" t="s">
        <v>37</v>
      </c>
      <c r="B46" s="44" t="s">
        <v>51</v>
      </c>
      <c r="C46" s="45">
        <v>44774</v>
      </c>
      <c r="D46" s="45">
        <v>44780</v>
      </c>
      <c r="E46" s="46">
        <v>0</v>
      </c>
    </row>
    <row r="47" spans="1:5" x14ac:dyDescent="0.25">
      <c r="A47" s="44" t="s">
        <v>37</v>
      </c>
      <c r="B47" s="44" t="s">
        <v>51</v>
      </c>
      <c r="C47" s="45">
        <v>44781</v>
      </c>
      <c r="D47" s="45">
        <v>44787</v>
      </c>
      <c r="E47" s="46">
        <v>0</v>
      </c>
    </row>
    <row r="48" spans="1:5" x14ac:dyDescent="0.25">
      <c r="A48" s="44" t="s">
        <v>37</v>
      </c>
      <c r="B48" s="44" t="s">
        <v>51</v>
      </c>
      <c r="C48" s="45">
        <v>44788</v>
      </c>
      <c r="D48" s="45">
        <v>44794</v>
      </c>
      <c r="E48" s="46">
        <v>0</v>
      </c>
    </row>
    <row r="49" spans="1:5" x14ac:dyDescent="0.25">
      <c r="A49" s="44" t="s">
        <v>37</v>
      </c>
      <c r="B49" s="44" t="s">
        <v>51</v>
      </c>
      <c r="C49" s="45">
        <v>44795</v>
      </c>
      <c r="D49" s="45">
        <v>44799</v>
      </c>
      <c r="E49" s="46">
        <v>0</v>
      </c>
    </row>
    <row r="50" spans="1:5" x14ac:dyDescent="0.25">
      <c r="A50" s="44" t="s">
        <v>11</v>
      </c>
      <c r="B50" s="44" t="s">
        <v>48</v>
      </c>
      <c r="C50" s="45">
        <v>44774</v>
      </c>
      <c r="D50" s="45">
        <v>44780</v>
      </c>
      <c r="E50" s="46">
        <v>148.72000000000003</v>
      </c>
    </row>
    <row r="51" spans="1:5" x14ac:dyDescent="0.25">
      <c r="A51" s="44" t="s">
        <v>11</v>
      </c>
      <c r="B51" s="44" t="s">
        <v>48</v>
      </c>
      <c r="C51" s="45">
        <v>44781</v>
      </c>
      <c r="D51" s="45">
        <v>44787</v>
      </c>
      <c r="E51" s="46">
        <v>235.15000000000003</v>
      </c>
    </row>
    <row r="52" spans="1:5" x14ac:dyDescent="0.25">
      <c r="A52" s="44" t="s">
        <v>11</v>
      </c>
      <c r="B52" s="44" t="s">
        <v>48</v>
      </c>
      <c r="C52" s="45">
        <v>44788</v>
      </c>
      <c r="D52" s="45">
        <v>44794</v>
      </c>
      <c r="E52" s="46">
        <v>117.56000000000002</v>
      </c>
    </row>
    <row r="53" spans="1:5" x14ac:dyDescent="0.25">
      <c r="A53" s="44" t="s">
        <v>11</v>
      </c>
      <c r="B53" s="44" t="s">
        <v>48</v>
      </c>
      <c r="C53" s="45">
        <v>44795</v>
      </c>
      <c r="D53" s="45">
        <v>44799</v>
      </c>
      <c r="E53" s="46">
        <v>133.27000000000004</v>
      </c>
    </row>
    <row r="54" spans="1:5" x14ac:dyDescent="0.25">
      <c r="A54" s="44" t="s">
        <v>12</v>
      </c>
      <c r="B54" s="44" t="s">
        <v>49</v>
      </c>
      <c r="C54" s="45">
        <v>44774</v>
      </c>
      <c r="D54" s="45">
        <v>44780</v>
      </c>
      <c r="E54" s="46">
        <v>2363.2800000000007</v>
      </c>
    </row>
    <row r="55" spans="1:5" x14ac:dyDescent="0.25">
      <c r="A55" s="44" t="s">
        <v>12</v>
      </c>
      <c r="B55" s="44" t="s">
        <v>49</v>
      </c>
      <c r="C55" s="45">
        <v>44781</v>
      </c>
      <c r="D55" s="45">
        <v>44787</v>
      </c>
      <c r="E55" s="46">
        <v>1167.26</v>
      </c>
    </row>
    <row r="56" spans="1:5" x14ac:dyDescent="0.25">
      <c r="A56" s="44" t="s">
        <v>12</v>
      </c>
      <c r="B56" s="44" t="s">
        <v>49</v>
      </c>
      <c r="C56" s="45">
        <v>44788</v>
      </c>
      <c r="D56" s="45">
        <v>44794</v>
      </c>
      <c r="E56" s="46">
        <v>1357.2399999999996</v>
      </c>
    </row>
    <row r="57" spans="1:5" x14ac:dyDescent="0.25">
      <c r="A57" s="44" t="s">
        <v>12</v>
      </c>
      <c r="B57" s="44" t="s">
        <v>49</v>
      </c>
      <c r="C57" s="45">
        <v>44795</v>
      </c>
      <c r="D57" s="45">
        <v>44799</v>
      </c>
      <c r="E57" s="46">
        <v>53.99</v>
      </c>
    </row>
    <row r="58" spans="1:5" x14ac:dyDescent="0.25">
      <c r="A58" s="44" t="s">
        <v>13</v>
      </c>
      <c r="B58" s="44" t="s">
        <v>50</v>
      </c>
      <c r="C58" s="45">
        <v>44774</v>
      </c>
      <c r="D58" s="45">
        <v>44780</v>
      </c>
      <c r="E58" s="46">
        <v>3931.9000000000019</v>
      </c>
    </row>
    <row r="59" spans="1:5" x14ac:dyDescent="0.25">
      <c r="A59" s="44" t="s">
        <v>13</v>
      </c>
      <c r="B59" s="44" t="s">
        <v>50</v>
      </c>
      <c r="C59" s="45">
        <v>44781</v>
      </c>
      <c r="D59" s="45">
        <v>44787</v>
      </c>
      <c r="E59" s="46">
        <v>1208.7299999999998</v>
      </c>
    </row>
    <row r="60" spans="1:5" x14ac:dyDescent="0.25">
      <c r="A60" s="44" t="s">
        <v>13</v>
      </c>
      <c r="B60" s="44" t="s">
        <v>50</v>
      </c>
      <c r="C60" s="45">
        <v>44788</v>
      </c>
      <c r="D60" s="45">
        <v>44794</v>
      </c>
      <c r="E60" s="46">
        <v>1489.27</v>
      </c>
    </row>
    <row r="61" spans="1:5" x14ac:dyDescent="0.25">
      <c r="A61" s="44" t="s">
        <v>13</v>
      </c>
      <c r="B61" s="44" t="s">
        <v>50</v>
      </c>
      <c r="C61" s="45">
        <v>44795</v>
      </c>
      <c r="D61" s="45">
        <v>44799</v>
      </c>
      <c r="E61" s="46">
        <v>1.26</v>
      </c>
    </row>
    <row r="62" spans="1:5" x14ac:dyDescent="0.25">
      <c r="A62" s="44" t="s">
        <v>14</v>
      </c>
      <c r="B62" s="44" t="s">
        <v>51</v>
      </c>
      <c r="C62" s="45">
        <v>44774</v>
      </c>
      <c r="D62" s="45">
        <v>44780</v>
      </c>
      <c r="E62" s="46">
        <v>1111.0199999999998</v>
      </c>
    </row>
    <row r="63" spans="1:5" x14ac:dyDescent="0.25">
      <c r="A63" s="44" t="s">
        <v>14</v>
      </c>
      <c r="B63" s="44" t="s">
        <v>51</v>
      </c>
      <c r="C63" s="45">
        <v>44781</v>
      </c>
      <c r="D63" s="45">
        <v>44787</v>
      </c>
      <c r="E63" s="46">
        <v>1589.66</v>
      </c>
    </row>
    <row r="64" spans="1:5" x14ac:dyDescent="0.25">
      <c r="A64" s="44" t="s">
        <v>14</v>
      </c>
      <c r="B64" s="44" t="s">
        <v>51</v>
      </c>
      <c r="C64" s="45">
        <v>44788</v>
      </c>
      <c r="D64" s="45">
        <v>44794</v>
      </c>
      <c r="E64" s="46">
        <v>1384.7999999999995</v>
      </c>
    </row>
    <row r="65" spans="1:5" x14ac:dyDescent="0.25">
      <c r="A65" s="44" t="s">
        <v>14</v>
      </c>
      <c r="B65" s="44" t="s">
        <v>51</v>
      </c>
      <c r="C65" s="45">
        <v>44795</v>
      </c>
      <c r="D65" s="45">
        <v>44799</v>
      </c>
      <c r="E65" s="46">
        <v>0</v>
      </c>
    </row>
    <row r="66" spans="1:5" x14ac:dyDescent="0.25">
      <c r="A66" s="44" t="s">
        <v>15</v>
      </c>
      <c r="B66" s="44" t="s">
        <v>48</v>
      </c>
      <c r="C66" s="45">
        <v>44774</v>
      </c>
      <c r="D66" s="45">
        <v>44780</v>
      </c>
      <c r="E66" s="46">
        <v>1564</v>
      </c>
    </row>
    <row r="67" spans="1:5" x14ac:dyDescent="0.25">
      <c r="A67" s="44" t="s">
        <v>15</v>
      </c>
      <c r="B67" s="44" t="s">
        <v>48</v>
      </c>
      <c r="C67" s="45">
        <v>44781</v>
      </c>
      <c r="D67" s="45">
        <v>44787</v>
      </c>
      <c r="E67" s="46">
        <v>1564</v>
      </c>
    </row>
    <row r="68" spans="1:5" x14ac:dyDescent="0.25">
      <c r="A68" s="44" t="s">
        <v>15</v>
      </c>
      <c r="B68" s="44" t="s">
        <v>48</v>
      </c>
      <c r="C68" s="45">
        <v>44788</v>
      </c>
      <c r="D68" s="45">
        <v>44794</v>
      </c>
      <c r="E68" s="46">
        <v>1251.2</v>
      </c>
    </row>
    <row r="69" spans="1:5" x14ac:dyDescent="0.25">
      <c r="A69" s="44" t="s">
        <v>15</v>
      </c>
      <c r="B69" s="44" t="s">
        <v>48</v>
      </c>
      <c r="C69" s="45">
        <v>44795</v>
      </c>
      <c r="D69" s="45">
        <v>44799</v>
      </c>
      <c r="E69" s="46">
        <v>0</v>
      </c>
    </row>
    <row r="70" spans="1:5" x14ac:dyDescent="0.25">
      <c r="A70" s="44" t="s">
        <v>16</v>
      </c>
      <c r="B70" s="44" t="s">
        <v>49</v>
      </c>
      <c r="C70" s="45">
        <v>44774</v>
      </c>
      <c r="D70" s="45">
        <v>44780</v>
      </c>
      <c r="E70" s="46">
        <v>2086.77</v>
      </c>
    </row>
    <row r="71" spans="1:5" x14ac:dyDescent="0.25">
      <c r="A71" s="44" t="s">
        <v>16</v>
      </c>
      <c r="B71" s="44" t="s">
        <v>49</v>
      </c>
      <c r="C71" s="45">
        <v>44781</v>
      </c>
      <c r="D71" s="45">
        <v>44787</v>
      </c>
      <c r="E71" s="46">
        <v>1773.99</v>
      </c>
    </row>
    <row r="72" spans="1:5" x14ac:dyDescent="0.25">
      <c r="A72" s="44" t="s">
        <v>16</v>
      </c>
      <c r="B72" s="44" t="s">
        <v>49</v>
      </c>
      <c r="C72" s="45">
        <v>44788</v>
      </c>
      <c r="D72" s="45">
        <v>44794</v>
      </c>
      <c r="E72" s="46">
        <v>1447.8000000000002</v>
      </c>
    </row>
    <row r="73" spans="1:5" x14ac:dyDescent="0.25">
      <c r="A73" s="44" t="s">
        <v>16</v>
      </c>
      <c r="B73" s="44" t="s">
        <v>49</v>
      </c>
      <c r="C73" s="45">
        <v>44795</v>
      </c>
      <c r="D73" s="45">
        <v>44799</v>
      </c>
      <c r="E73" s="46">
        <v>0</v>
      </c>
    </row>
    <row r="74" spans="1:5" x14ac:dyDescent="0.25">
      <c r="A74" s="44" t="s">
        <v>17</v>
      </c>
      <c r="B74" s="44" t="s">
        <v>50</v>
      </c>
      <c r="C74" s="45">
        <v>44774</v>
      </c>
      <c r="D74" s="45">
        <v>44780</v>
      </c>
      <c r="E74" s="46">
        <v>2350.4199999999996</v>
      </c>
    </row>
    <row r="75" spans="1:5" x14ac:dyDescent="0.25">
      <c r="A75" s="44" t="s">
        <v>17</v>
      </c>
      <c r="B75" s="44" t="s">
        <v>50</v>
      </c>
      <c r="C75" s="45">
        <v>44781</v>
      </c>
      <c r="D75" s="45">
        <v>44787</v>
      </c>
      <c r="E75" s="46">
        <v>2082.3200000000002</v>
      </c>
    </row>
    <row r="76" spans="1:5" x14ac:dyDescent="0.25">
      <c r="A76" s="44" t="s">
        <v>17</v>
      </c>
      <c r="B76" s="44" t="s">
        <v>50</v>
      </c>
      <c r="C76" s="45">
        <v>44788</v>
      </c>
      <c r="D76" s="45">
        <v>44794</v>
      </c>
      <c r="E76" s="46">
        <v>1930.3999999999999</v>
      </c>
    </row>
    <row r="77" spans="1:5" x14ac:dyDescent="0.25">
      <c r="A77" s="44" t="s">
        <v>17</v>
      </c>
      <c r="B77" s="44" t="s">
        <v>50</v>
      </c>
      <c r="C77" s="45">
        <v>44795</v>
      </c>
      <c r="D77" s="45">
        <v>44799</v>
      </c>
      <c r="E77" s="46">
        <v>607.72</v>
      </c>
    </row>
    <row r="78" spans="1:5" x14ac:dyDescent="0.25">
      <c r="A78" s="44" t="s">
        <v>18</v>
      </c>
      <c r="B78" s="44" t="s">
        <v>51</v>
      </c>
      <c r="C78" s="45">
        <v>44774</v>
      </c>
      <c r="D78" s="45">
        <v>44780</v>
      </c>
      <c r="E78" s="46">
        <v>1454.64</v>
      </c>
    </row>
    <row r="79" spans="1:5" x14ac:dyDescent="0.25">
      <c r="A79" s="44" t="s">
        <v>18</v>
      </c>
      <c r="B79" s="44" t="s">
        <v>51</v>
      </c>
      <c r="C79" s="45">
        <v>44781</v>
      </c>
      <c r="D79" s="45">
        <v>44787</v>
      </c>
      <c r="E79" s="46">
        <v>2081.8000000000002</v>
      </c>
    </row>
    <row r="80" spans="1:5" x14ac:dyDescent="0.25">
      <c r="A80" s="44" t="s">
        <v>18</v>
      </c>
      <c r="B80" s="44" t="s">
        <v>51</v>
      </c>
      <c r="C80" s="45">
        <v>44788</v>
      </c>
      <c r="D80" s="45">
        <v>44794</v>
      </c>
      <c r="E80" s="46">
        <v>1336.77</v>
      </c>
    </row>
    <row r="81" spans="1:5" x14ac:dyDescent="0.25">
      <c r="A81" s="44" t="s">
        <v>18</v>
      </c>
      <c r="B81" s="44" t="s">
        <v>51</v>
      </c>
      <c r="C81" s="45">
        <v>44795</v>
      </c>
      <c r="D81" s="45">
        <v>44799</v>
      </c>
      <c r="E81" s="4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50509-C7EA-4855-A8F9-6AC15D39B844}">
  <dimension ref="A1:BA1473"/>
  <sheetViews>
    <sheetView workbookViewId="0"/>
  </sheetViews>
  <sheetFormatPr defaultRowHeight="15" x14ac:dyDescent="0.25"/>
  <sheetData>
    <row r="1" spans="1:53" x14ac:dyDescent="0.25">
      <c r="A1" t="s">
        <v>194</v>
      </c>
      <c r="B1" t="s">
        <v>195</v>
      </c>
      <c r="C1" t="s">
        <v>196</v>
      </c>
      <c r="D1" t="s">
        <v>197</v>
      </c>
      <c r="E1" t="s">
        <v>198</v>
      </c>
      <c r="F1" t="s">
        <v>199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t="s">
        <v>215</v>
      </c>
      <c r="W1" t="s">
        <v>216</v>
      </c>
      <c r="X1" t="s">
        <v>217</v>
      </c>
      <c r="Y1" t="s">
        <v>218</v>
      </c>
      <c r="Z1" t="s">
        <v>219</v>
      </c>
      <c r="AA1" t="s">
        <v>220</v>
      </c>
      <c r="AB1" t="s">
        <v>221</v>
      </c>
      <c r="AC1" t="s">
        <v>222</v>
      </c>
      <c r="AD1" t="s">
        <v>223</v>
      </c>
      <c r="AE1" t="s">
        <v>224</v>
      </c>
      <c r="AF1" t="s">
        <v>225</v>
      </c>
      <c r="AG1" t="s">
        <v>226</v>
      </c>
      <c r="AH1" t="s">
        <v>227</v>
      </c>
      <c r="AI1" t="s">
        <v>228</v>
      </c>
      <c r="AJ1" t="s">
        <v>229</v>
      </c>
      <c r="AK1" t="s">
        <v>230</v>
      </c>
      <c r="AL1" t="s">
        <v>231</v>
      </c>
      <c r="AM1" t="s">
        <v>232</v>
      </c>
      <c r="AN1" t="s">
        <v>233</v>
      </c>
      <c r="AO1" t="s">
        <v>234</v>
      </c>
      <c r="AP1" t="s">
        <v>235</v>
      </c>
      <c r="AQ1" t="s">
        <v>236</v>
      </c>
      <c r="AR1" t="s">
        <v>237</v>
      </c>
      <c r="AS1" t="s">
        <v>238</v>
      </c>
      <c r="AT1" t="s">
        <v>239</v>
      </c>
      <c r="AU1" t="s">
        <v>240</v>
      </c>
      <c r="AV1" t="s">
        <v>241</v>
      </c>
      <c r="AW1" t="s">
        <v>242</v>
      </c>
      <c r="AX1" t="s">
        <v>243</v>
      </c>
      <c r="AY1" t="s">
        <v>244</v>
      </c>
      <c r="AZ1" t="s">
        <v>245</v>
      </c>
      <c r="BA1" t="s">
        <v>19</v>
      </c>
    </row>
    <row r="2" spans="1:53" x14ac:dyDescent="0.25">
      <c r="A2" t="s">
        <v>53</v>
      </c>
      <c r="B2" t="s">
        <v>54</v>
      </c>
      <c r="C2">
        <v>22010670</v>
      </c>
      <c r="D2">
        <v>1201</v>
      </c>
      <c r="E2" s="11">
        <v>44775</v>
      </c>
      <c r="F2" t="s">
        <v>55</v>
      </c>
      <c r="G2">
        <v>537.55999999999995</v>
      </c>
      <c r="H2">
        <v>537.55999999999995</v>
      </c>
      <c r="I2" t="s">
        <v>56</v>
      </c>
      <c r="J2" t="s">
        <v>56</v>
      </c>
      <c r="L2" s="24">
        <v>8000000</v>
      </c>
      <c r="N2" s="24">
        <v>8000000</v>
      </c>
      <c r="O2" t="s">
        <v>57</v>
      </c>
      <c r="Q2" t="s">
        <v>57</v>
      </c>
      <c r="R2" t="s">
        <v>58</v>
      </c>
      <c r="S2">
        <v>14882</v>
      </c>
      <c r="T2" t="s">
        <v>59</v>
      </c>
      <c r="U2" t="s">
        <v>60</v>
      </c>
      <c r="V2" t="s">
        <v>61</v>
      </c>
      <c r="W2" t="s">
        <v>62</v>
      </c>
      <c r="X2">
        <v>1925637</v>
      </c>
      <c r="Y2" s="11">
        <v>44775</v>
      </c>
      <c r="Z2" t="s">
        <v>57</v>
      </c>
      <c r="AA2">
        <v>1</v>
      </c>
      <c r="AB2" t="s">
        <v>57</v>
      </c>
      <c r="AD2" t="s">
        <v>57</v>
      </c>
      <c r="AE2" t="s">
        <v>57</v>
      </c>
      <c r="AF2" t="s">
        <v>57</v>
      </c>
      <c r="AG2">
        <v>4</v>
      </c>
      <c r="AH2" t="s">
        <v>57</v>
      </c>
      <c r="AI2">
        <v>55292936</v>
      </c>
      <c r="AJ2" t="s">
        <v>55</v>
      </c>
      <c r="AL2" t="s">
        <v>63</v>
      </c>
      <c r="AM2" s="11">
        <v>44701</v>
      </c>
      <c r="AN2" t="s">
        <v>64</v>
      </c>
      <c r="AO2" t="s">
        <v>65</v>
      </c>
      <c r="AP2">
        <v>1201</v>
      </c>
      <c r="AQ2" t="s">
        <v>66</v>
      </c>
      <c r="AR2" t="s">
        <v>67</v>
      </c>
      <c r="AU2" t="s">
        <v>57</v>
      </c>
      <c r="AV2" t="s">
        <v>68</v>
      </c>
      <c r="AX2">
        <v>22002653</v>
      </c>
      <c r="AY2">
        <v>630300</v>
      </c>
      <c r="AZ2">
        <v>1201.6303</v>
      </c>
      <c r="BA2" s="23" t="s">
        <v>0</v>
      </c>
    </row>
    <row r="3" spans="1:53" x14ac:dyDescent="0.25">
      <c r="A3" t="s">
        <v>53</v>
      </c>
      <c r="B3" t="s">
        <v>54</v>
      </c>
      <c r="C3">
        <v>22010671</v>
      </c>
      <c r="D3">
        <v>1201</v>
      </c>
      <c r="E3" s="11">
        <v>44775</v>
      </c>
      <c r="F3" t="s">
        <v>55</v>
      </c>
      <c r="G3">
        <v>537.55999999999995</v>
      </c>
      <c r="H3">
        <v>537.55999999999995</v>
      </c>
      <c r="I3" t="s">
        <v>56</v>
      </c>
      <c r="J3" t="s">
        <v>56</v>
      </c>
      <c r="L3" s="24">
        <v>8000000</v>
      </c>
      <c r="N3" s="24">
        <v>8000000</v>
      </c>
      <c r="O3" t="s">
        <v>57</v>
      </c>
      <c r="Q3" t="s">
        <v>57</v>
      </c>
      <c r="R3" t="s">
        <v>58</v>
      </c>
      <c r="S3">
        <v>14882</v>
      </c>
      <c r="T3" t="s">
        <v>59</v>
      </c>
      <c r="U3" t="s">
        <v>60</v>
      </c>
      <c r="V3" t="s">
        <v>61</v>
      </c>
      <c r="W3" t="s">
        <v>62</v>
      </c>
      <c r="X3">
        <v>1925637</v>
      </c>
      <c r="Y3" s="11">
        <v>44775</v>
      </c>
      <c r="Z3" t="s">
        <v>57</v>
      </c>
      <c r="AA3">
        <v>1</v>
      </c>
      <c r="AB3" t="s">
        <v>57</v>
      </c>
      <c r="AD3" t="s">
        <v>57</v>
      </c>
      <c r="AE3" t="s">
        <v>57</v>
      </c>
      <c r="AF3" t="s">
        <v>57</v>
      </c>
      <c r="AG3">
        <v>4</v>
      </c>
      <c r="AH3" t="s">
        <v>57</v>
      </c>
      <c r="AI3">
        <v>55292936</v>
      </c>
      <c r="AJ3" t="s">
        <v>55</v>
      </c>
      <c r="AL3" t="s">
        <v>69</v>
      </c>
      <c r="AM3" s="11">
        <v>44701</v>
      </c>
      <c r="AN3" t="s">
        <v>64</v>
      </c>
      <c r="AO3" t="s">
        <v>65</v>
      </c>
      <c r="AP3">
        <v>1201</v>
      </c>
      <c r="AQ3" t="s">
        <v>66</v>
      </c>
      <c r="AR3" t="s">
        <v>70</v>
      </c>
      <c r="AU3" t="s">
        <v>57</v>
      </c>
      <c r="AV3" t="s">
        <v>68</v>
      </c>
      <c r="AX3">
        <v>22002653</v>
      </c>
      <c r="AY3">
        <v>630300</v>
      </c>
      <c r="AZ3">
        <v>1201.6303</v>
      </c>
      <c r="BA3" s="23" t="s">
        <v>0</v>
      </c>
    </row>
    <row r="4" spans="1:53" x14ac:dyDescent="0.25">
      <c r="A4" t="s">
        <v>53</v>
      </c>
      <c r="B4" t="s">
        <v>54</v>
      </c>
      <c r="C4">
        <v>22010672</v>
      </c>
      <c r="D4">
        <v>1201</v>
      </c>
      <c r="E4" s="11">
        <v>44775</v>
      </c>
      <c r="F4" t="s">
        <v>55</v>
      </c>
      <c r="G4">
        <v>201.59</v>
      </c>
      <c r="H4">
        <v>201.59</v>
      </c>
      <c r="I4" t="s">
        <v>56</v>
      </c>
      <c r="J4" t="s">
        <v>56</v>
      </c>
      <c r="L4" s="24">
        <v>3000000</v>
      </c>
      <c r="N4" s="24">
        <v>3000000</v>
      </c>
      <c r="O4" t="s">
        <v>57</v>
      </c>
      <c r="Q4" t="s">
        <v>57</v>
      </c>
      <c r="R4" t="s">
        <v>58</v>
      </c>
      <c r="S4">
        <v>14882</v>
      </c>
      <c r="T4" t="s">
        <v>59</v>
      </c>
      <c r="U4" t="s">
        <v>60</v>
      </c>
      <c r="V4" t="s">
        <v>61</v>
      </c>
      <c r="W4" t="s">
        <v>62</v>
      </c>
      <c r="X4">
        <v>1926195</v>
      </c>
      <c r="Y4" s="11">
        <v>44775</v>
      </c>
      <c r="Z4" t="s">
        <v>57</v>
      </c>
      <c r="AA4">
        <v>1</v>
      </c>
      <c r="AB4" t="s">
        <v>57</v>
      </c>
      <c r="AD4" t="s">
        <v>57</v>
      </c>
      <c r="AE4" t="s">
        <v>57</v>
      </c>
      <c r="AF4" t="s">
        <v>57</v>
      </c>
      <c r="AG4">
        <v>1</v>
      </c>
      <c r="AH4" t="s">
        <v>57</v>
      </c>
      <c r="AI4">
        <v>55292936</v>
      </c>
      <c r="AJ4" t="s">
        <v>55</v>
      </c>
      <c r="AL4" t="s">
        <v>71</v>
      </c>
      <c r="AM4" s="11">
        <v>44701</v>
      </c>
      <c r="AN4" t="s">
        <v>64</v>
      </c>
      <c r="AO4" t="s">
        <v>65</v>
      </c>
      <c r="AP4">
        <v>1201</v>
      </c>
      <c r="AQ4" t="s">
        <v>66</v>
      </c>
      <c r="AR4" t="s">
        <v>72</v>
      </c>
      <c r="AU4" t="s">
        <v>57</v>
      </c>
      <c r="AV4" t="s">
        <v>68</v>
      </c>
      <c r="AX4">
        <v>22002653</v>
      </c>
      <c r="AY4">
        <v>630300</v>
      </c>
      <c r="AZ4">
        <v>1201.6303</v>
      </c>
      <c r="BA4" s="23" t="s">
        <v>0</v>
      </c>
    </row>
    <row r="5" spans="1:53" x14ac:dyDescent="0.25">
      <c r="A5" t="s">
        <v>53</v>
      </c>
      <c r="B5" t="s">
        <v>54</v>
      </c>
      <c r="C5">
        <v>22010673</v>
      </c>
      <c r="D5">
        <v>1201</v>
      </c>
      <c r="E5" s="11">
        <v>44775</v>
      </c>
      <c r="F5" t="s">
        <v>55</v>
      </c>
      <c r="G5">
        <v>100.79</v>
      </c>
      <c r="H5">
        <v>100.79</v>
      </c>
      <c r="I5" t="s">
        <v>56</v>
      </c>
      <c r="J5" t="s">
        <v>56</v>
      </c>
      <c r="L5" s="24">
        <v>1500000</v>
      </c>
      <c r="N5" s="24">
        <v>1500000</v>
      </c>
      <c r="O5" t="s">
        <v>57</v>
      </c>
      <c r="Q5" t="s">
        <v>57</v>
      </c>
      <c r="R5" t="s">
        <v>58</v>
      </c>
      <c r="S5">
        <v>14882</v>
      </c>
      <c r="T5" t="s">
        <v>59</v>
      </c>
      <c r="U5" t="s">
        <v>60</v>
      </c>
      <c r="V5" t="s">
        <v>61</v>
      </c>
      <c r="W5" t="s">
        <v>62</v>
      </c>
      <c r="X5">
        <v>1926195</v>
      </c>
      <c r="Y5" s="11">
        <v>44775</v>
      </c>
      <c r="Z5" t="s">
        <v>57</v>
      </c>
      <c r="AA5">
        <v>1</v>
      </c>
      <c r="AB5" t="s">
        <v>57</v>
      </c>
      <c r="AD5" t="s">
        <v>57</v>
      </c>
      <c r="AE5" t="s">
        <v>57</v>
      </c>
      <c r="AF5" t="s">
        <v>57</v>
      </c>
      <c r="AG5">
        <v>1</v>
      </c>
      <c r="AH5" t="s">
        <v>57</v>
      </c>
      <c r="AI5">
        <v>55292936</v>
      </c>
      <c r="AJ5" t="s">
        <v>55</v>
      </c>
      <c r="AL5" t="s">
        <v>73</v>
      </c>
      <c r="AM5" s="11">
        <v>44701</v>
      </c>
      <c r="AN5" t="s">
        <v>64</v>
      </c>
      <c r="AO5" t="s">
        <v>65</v>
      </c>
      <c r="AP5">
        <v>1201</v>
      </c>
      <c r="AQ5" t="s">
        <v>66</v>
      </c>
      <c r="AR5" t="s">
        <v>74</v>
      </c>
      <c r="AU5" t="s">
        <v>57</v>
      </c>
      <c r="AV5" t="s">
        <v>68</v>
      </c>
      <c r="AX5">
        <v>22002653</v>
      </c>
      <c r="AY5">
        <v>630300</v>
      </c>
      <c r="AZ5">
        <v>1201.6303</v>
      </c>
      <c r="BA5" s="23" t="s">
        <v>0</v>
      </c>
    </row>
    <row r="6" spans="1:53" x14ac:dyDescent="0.25">
      <c r="A6" t="s">
        <v>53</v>
      </c>
      <c r="B6" t="s">
        <v>54</v>
      </c>
      <c r="C6">
        <v>22010674</v>
      </c>
      <c r="D6">
        <v>1201</v>
      </c>
      <c r="E6" s="11">
        <v>44775</v>
      </c>
      <c r="F6" t="s">
        <v>55</v>
      </c>
      <c r="G6">
        <v>268.77999999999997</v>
      </c>
      <c r="H6">
        <v>268.77999999999997</v>
      </c>
      <c r="I6" t="s">
        <v>56</v>
      </c>
      <c r="J6" t="s">
        <v>56</v>
      </c>
      <c r="L6" s="24">
        <v>4000000</v>
      </c>
      <c r="N6" s="24">
        <v>4000000</v>
      </c>
      <c r="O6" t="s">
        <v>57</v>
      </c>
      <c r="Q6" t="s">
        <v>57</v>
      </c>
      <c r="R6" t="s">
        <v>58</v>
      </c>
      <c r="S6">
        <v>14882</v>
      </c>
      <c r="T6" t="s">
        <v>59</v>
      </c>
      <c r="U6" t="s">
        <v>60</v>
      </c>
      <c r="V6" t="s">
        <v>61</v>
      </c>
      <c r="W6" t="s">
        <v>62</v>
      </c>
      <c r="X6">
        <v>1926195</v>
      </c>
      <c r="Y6" s="11">
        <v>44775</v>
      </c>
      <c r="Z6" t="s">
        <v>57</v>
      </c>
      <c r="AA6">
        <v>1</v>
      </c>
      <c r="AB6" t="s">
        <v>57</v>
      </c>
      <c r="AD6" t="s">
        <v>57</v>
      </c>
      <c r="AE6" t="s">
        <v>57</v>
      </c>
      <c r="AF6" t="s">
        <v>57</v>
      </c>
      <c r="AG6">
        <v>8</v>
      </c>
      <c r="AH6" t="s">
        <v>57</v>
      </c>
      <c r="AI6">
        <v>55292936</v>
      </c>
      <c r="AJ6" t="s">
        <v>55</v>
      </c>
      <c r="AL6" t="s">
        <v>75</v>
      </c>
      <c r="AM6" s="11">
        <v>44701</v>
      </c>
      <c r="AN6" t="s">
        <v>64</v>
      </c>
      <c r="AO6" t="s">
        <v>65</v>
      </c>
      <c r="AP6">
        <v>1201</v>
      </c>
      <c r="AQ6" t="s">
        <v>66</v>
      </c>
      <c r="AR6" t="s">
        <v>76</v>
      </c>
      <c r="AU6" t="s">
        <v>57</v>
      </c>
      <c r="AV6" t="s">
        <v>68</v>
      </c>
      <c r="AX6">
        <v>22002653</v>
      </c>
      <c r="AY6">
        <v>630300</v>
      </c>
      <c r="AZ6">
        <v>1201.6303</v>
      </c>
      <c r="BA6" s="23" t="s">
        <v>0</v>
      </c>
    </row>
    <row r="7" spans="1:53" x14ac:dyDescent="0.25">
      <c r="A7" t="s">
        <v>53</v>
      </c>
      <c r="B7" t="s">
        <v>54</v>
      </c>
      <c r="C7">
        <v>22010675</v>
      </c>
      <c r="D7">
        <v>1201</v>
      </c>
      <c r="E7" s="11">
        <v>44775</v>
      </c>
      <c r="F7" t="s">
        <v>55</v>
      </c>
      <c r="G7">
        <v>100.79</v>
      </c>
      <c r="H7">
        <v>100.79</v>
      </c>
      <c r="I7" t="s">
        <v>56</v>
      </c>
      <c r="J7" t="s">
        <v>56</v>
      </c>
      <c r="L7" s="24">
        <v>1500000</v>
      </c>
      <c r="N7" s="24">
        <v>1500000</v>
      </c>
      <c r="O7" t="s">
        <v>57</v>
      </c>
      <c r="Q7" t="s">
        <v>57</v>
      </c>
      <c r="R7" t="s">
        <v>58</v>
      </c>
      <c r="S7">
        <v>14882</v>
      </c>
      <c r="T7" t="s">
        <v>59</v>
      </c>
      <c r="U7" t="s">
        <v>60</v>
      </c>
      <c r="V7" t="s">
        <v>61</v>
      </c>
      <c r="W7" t="s">
        <v>62</v>
      </c>
      <c r="X7">
        <v>1926195</v>
      </c>
      <c r="Y7" s="11">
        <v>44775</v>
      </c>
      <c r="Z7" t="s">
        <v>57</v>
      </c>
      <c r="AA7">
        <v>1</v>
      </c>
      <c r="AB7" t="s">
        <v>57</v>
      </c>
      <c r="AD7" t="s">
        <v>57</v>
      </c>
      <c r="AE7" t="s">
        <v>57</v>
      </c>
      <c r="AF7" t="s">
        <v>57</v>
      </c>
      <c r="AG7">
        <v>1</v>
      </c>
      <c r="AH7" t="s">
        <v>57</v>
      </c>
      <c r="AI7">
        <v>55292936</v>
      </c>
      <c r="AJ7" t="s">
        <v>55</v>
      </c>
      <c r="AL7" t="s">
        <v>77</v>
      </c>
      <c r="AM7" s="11">
        <v>44701</v>
      </c>
      <c r="AN7" t="s">
        <v>64</v>
      </c>
      <c r="AO7" t="s">
        <v>65</v>
      </c>
      <c r="AP7">
        <v>1201</v>
      </c>
      <c r="AQ7" t="s">
        <v>66</v>
      </c>
      <c r="AR7" t="s">
        <v>78</v>
      </c>
      <c r="AU7" t="s">
        <v>57</v>
      </c>
      <c r="AV7" t="s">
        <v>68</v>
      </c>
      <c r="AX7">
        <v>22002653</v>
      </c>
      <c r="AY7">
        <v>630300</v>
      </c>
      <c r="AZ7">
        <v>1201.6303</v>
      </c>
      <c r="BA7" s="23" t="s">
        <v>0</v>
      </c>
    </row>
    <row r="8" spans="1:53" x14ac:dyDescent="0.25">
      <c r="A8" t="s">
        <v>79</v>
      </c>
      <c r="B8" t="s">
        <v>80</v>
      </c>
      <c r="C8">
        <v>22009542</v>
      </c>
      <c r="D8">
        <v>1201</v>
      </c>
      <c r="E8" s="11">
        <v>44776</v>
      </c>
      <c r="F8" t="s">
        <v>81</v>
      </c>
      <c r="G8">
        <v>80.760000000000005</v>
      </c>
      <c r="H8">
        <v>80.760000000000005</v>
      </c>
      <c r="I8" t="s">
        <v>56</v>
      </c>
      <c r="J8" t="s">
        <v>56</v>
      </c>
      <c r="L8" s="24">
        <v>1200000</v>
      </c>
      <c r="N8" s="24">
        <v>1200000</v>
      </c>
      <c r="O8" t="s">
        <v>57</v>
      </c>
      <c r="Q8" t="s">
        <v>57</v>
      </c>
      <c r="R8" t="s">
        <v>58</v>
      </c>
      <c r="S8">
        <v>14860</v>
      </c>
      <c r="T8" t="s">
        <v>59</v>
      </c>
      <c r="U8" t="s">
        <v>60</v>
      </c>
      <c r="V8" t="s">
        <v>82</v>
      </c>
      <c r="W8" t="s">
        <v>83</v>
      </c>
      <c r="X8">
        <v>1926954</v>
      </c>
      <c r="Y8" s="11">
        <v>44776</v>
      </c>
      <c r="Z8" t="s">
        <v>57</v>
      </c>
      <c r="AA8">
        <v>1</v>
      </c>
      <c r="AB8" t="s">
        <v>57</v>
      </c>
      <c r="AD8" t="s">
        <v>57</v>
      </c>
      <c r="AE8" t="s">
        <v>57</v>
      </c>
      <c r="AF8" t="s">
        <v>57</v>
      </c>
      <c r="AG8">
        <v>50</v>
      </c>
      <c r="AH8" t="s">
        <v>57</v>
      </c>
      <c r="AI8">
        <v>57082431</v>
      </c>
      <c r="AJ8" t="s">
        <v>81</v>
      </c>
      <c r="AL8" t="s">
        <v>57</v>
      </c>
      <c r="AM8" s="11">
        <v>44776</v>
      </c>
      <c r="AN8" t="s">
        <v>84</v>
      </c>
      <c r="AO8" t="s">
        <v>65</v>
      </c>
      <c r="AP8">
        <v>1201</v>
      </c>
      <c r="AQ8" t="s">
        <v>66</v>
      </c>
      <c r="AR8" t="s">
        <v>85</v>
      </c>
      <c r="AU8" t="s">
        <v>57</v>
      </c>
      <c r="AV8" t="s">
        <v>68</v>
      </c>
      <c r="AX8">
        <v>22002685</v>
      </c>
      <c r="AY8">
        <v>630300</v>
      </c>
      <c r="AZ8">
        <v>1201.6303</v>
      </c>
      <c r="BA8" s="23" t="s">
        <v>0</v>
      </c>
    </row>
    <row r="9" spans="1:53" x14ac:dyDescent="0.25">
      <c r="A9" t="s">
        <v>53</v>
      </c>
      <c r="B9" t="s">
        <v>54</v>
      </c>
      <c r="C9">
        <v>22010883</v>
      </c>
      <c r="D9">
        <v>1201</v>
      </c>
      <c r="E9" s="11">
        <v>44782</v>
      </c>
      <c r="F9" t="s">
        <v>55</v>
      </c>
      <c r="G9">
        <v>188.43</v>
      </c>
      <c r="H9">
        <v>188.43</v>
      </c>
      <c r="I9" t="s">
        <v>56</v>
      </c>
      <c r="J9" t="s">
        <v>56</v>
      </c>
      <c r="L9" s="24">
        <v>2800000</v>
      </c>
      <c r="N9" s="24">
        <v>2800000</v>
      </c>
      <c r="O9" t="s">
        <v>57</v>
      </c>
      <c r="Q9" t="s">
        <v>57</v>
      </c>
      <c r="R9" t="s">
        <v>58</v>
      </c>
      <c r="S9">
        <v>14860</v>
      </c>
      <c r="T9" t="s">
        <v>59</v>
      </c>
      <c r="U9" t="s">
        <v>60</v>
      </c>
      <c r="V9" t="s">
        <v>61</v>
      </c>
      <c r="W9" t="s">
        <v>62</v>
      </c>
      <c r="X9">
        <v>1929246</v>
      </c>
      <c r="Y9" s="11">
        <v>44782</v>
      </c>
      <c r="Z9" t="s">
        <v>57</v>
      </c>
      <c r="AA9">
        <v>1</v>
      </c>
      <c r="AB9" t="s">
        <v>57</v>
      </c>
      <c r="AD9" t="s">
        <v>57</v>
      </c>
      <c r="AE9" t="s">
        <v>57</v>
      </c>
      <c r="AF9" t="s">
        <v>57</v>
      </c>
      <c r="AG9">
        <v>8</v>
      </c>
      <c r="AH9" t="s">
        <v>57</v>
      </c>
      <c r="AI9">
        <v>55292936</v>
      </c>
      <c r="AJ9" t="s">
        <v>55</v>
      </c>
      <c r="AL9" t="s">
        <v>259</v>
      </c>
      <c r="AM9" s="11">
        <v>44701</v>
      </c>
      <c r="AN9" t="s">
        <v>64</v>
      </c>
      <c r="AO9" t="s">
        <v>65</v>
      </c>
      <c r="AP9">
        <v>1201</v>
      </c>
      <c r="AQ9" t="s">
        <v>66</v>
      </c>
      <c r="AR9" t="s">
        <v>260</v>
      </c>
      <c r="AU9" t="s">
        <v>57</v>
      </c>
      <c r="AV9" t="s">
        <v>68</v>
      </c>
      <c r="AX9">
        <v>22002701</v>
      </c>
      <c r="AY9">
        <v>630300</v>
      </c>
      <c r="AZ9">
        <v>1201.6303</v>
      </c>
      <c r="BA9" s="23" t="s">
        <v>0</v>
      </c>
    </row>
    <row r="10" spans="1:53" x14ac:dyDescent="0.25">
      <c r="A10" t="s">
        <v>53</v>
      </c>
      <c r="B10" t="s">
        <v>54</v>
      </c>
      <c r="C10">
        <v>22010884</v>
      </c>
      <c r="D10">
        <v>1201</v>
      </c>
      <c r="E10" s="11">
        <v>44782</v>
      </c>
      <c r="F10" t="s">
        <v>55</v>
      </c>
      <c r="G10">
        <v>188.43</v>
      </c>
      <c r="H10">
        <v>188.43</v>
      </c>
      <c r="I10" t="s">
        <v>56</v>
      </c>
      <c r="J10" t="s">
        <v>56</v>
      </c>
      <c r="L10" s="24">
        <v>2800000</v>
      </c>
      <c r="N10" s="24">
        <v>2800000</v>
      </c>
      <c r="O10" t="s">
        <v>57</v>
      </c>
      <c r="Q10" t="s">
        <v>57</v>
      </c>
      <c r="R10" t="s">
        <v>58</v>
      </c>
      <c r="S10">
        <v>14860</v>
      </c>
      <c r="T10" t="s">
        <v>59</v>
      </c>
      <c r="U10" t="s">
        <v>60</v>
      </c>
      <c r="V10" t="s">
        <v>61</v>
      </c>
      <c r="W10" t="s">
        <v>62</v>
      </c>
      <c r="X10">
        <v>1929246</v>
      </c>
      <c r="Y10" s="11">
        <v>44782</v>
      </c>
      <c r="Z10" t="s">
        <v>57</v>
      </c>
      <c r="AA10">
        <v>1</v>
      </c>
      <c r="AB10" t="s">
        <v>57</v>
      </c>
      <c r="AD10" t="s">
        <v>57</v>
      </c>
      <c r="AE10" t="s">
        <v>57</v>
      </c>
      <c r="AF10" t="s">
        <v>57</v>
      </c>
      <c r="AG10">
        <v>8</v>
      </c>
      <c r="AH10" t="s">
        <v>57</v>
      </c>
      <c r="AI10">
        <v>55292936</v>
      </c>
      <c r="AJ10" t="s">
        <v>55</v>
      </c>
      <c r="AL10" t="s">
        <v>261</v>
      </c>
      <c r="AM10" s="11">
        <v>44701</v>
      </c>
      <c r="AN10" t="s">
        <v>64</v>
      </c>
      <c r="AO10" t="s">
        <v>65</v>
      </c>
      <c r="AP10">
        <v>1201</v>
      </c>
      <c r="AQ10" t="s">
        <v>66</v>
      </c>
      <c r="AR10" t="s">
        <v>262</v>
      </c>
      <c r="AU10" t="s">
        <v>57</v>
      </c>
      <c r="AV10" t="s">
        <v>68</v>
      </c>
      <c r="AX10">
        <v>22002701</v>
      </c>
      <c r="AY10">
        <v>630300</v>
      </c>
      <c r="AZ10">
        <v>1201.6303</v>
      </c>
      <c r="BA10" s="23" t="s">
        <v>0</v>
      </c>
    </row>
    <row r="11" spans="1:53" x14ac:dyDescent="0.25">
      <c r="A11" t="s">
        <v>53</v>
      </c>
      <c r="B11" t="s">
        <v>54</v>
      </c>
      <c r="C11">
        <v>22010885</v>
      </c>
      <c r="D11">
        <v>1201</v>
      </c>
      <c r="E11" s="11">
        <v>44782</v>
      </c>
      <c r="F11" t="s">
        <v>55</v>
      </c>
      <c r="G11">
        <v>188.43</v>
      </c>
      <c r="H11">
        <v>188.43</v>
      </c>
      <c r="I11" t="s">
        <v>56</v>
      </c>
      <c r="J11" t="s">
        <v>56</v>
      </c>
      <c r="L11" s="24">
        <v>2800000</v>
      </c>
      <c r="N11" s="24">
        <v>2800000</v>
      </c>
      <c r="O11" t="s">
        <v>57</v>
      </c>
      <c r="Q11" t="s">
        <v>57</v>
      </c>
      <c r="R11" t="s">
        <v>58</v>
      </c>
      <c r="S11">
        <v>14860</v>
      </c>
      <c r="T11" t="s">
        <v>59</v>
      </c>
      <c r="U11" t="s">
        <v>60</v>
      </c>
      <c r="V11" t="s">
        <v>61</v>
      </c>
      <c r="W11" t="s">
        <v>62</v>
      </c>
      <c r="X11">
        <v>1929246</v>
      </c>
      <c r="Y11" s="11">
        <v>44782</v>
      </c>
      <c r="Z11" t="s">
        <v>57</v>
      </c>
      <c r="AA11">
        <v>1</v>
      </c>
      <c r="AB11" t="s">
        <v>57</v>
      </c>
      <c r="AD11" t="s">
        <v>57</v>
      </c>
      <c r="AE11" t="s">
        <v>57</v>
      </c>
      <c r="AF11" t="s">
        <v>57</v>
      </c>
      <c r="AG11">
        <v>8</v>
      </c>
      <c r="AH11" t="s">
        <v>57</v>
      </c>
      <c r="AI11">
        <v>55292936</v>
      </c>
      <c r="AJ11" t="s">
        <v>55</v>
      </c>
      <c r="AL11" t="s">
        <v>263</v>
      </c>
      <c r="AM11" s="11">
        <v>44708</v>
      </c>
      <c r="AN11" t="s">
        <v>64</v>
      </c>
      <c r="AO11" t="s">
        <v>65</v>
      </c>
      <c r="AP11">
        <v>1201</v>
      </c>
      <c r="AQ11" t="s">
        <v>66</v>
      </c>
      <c r="AR11" t="s">
        <v>264</v>
      </c>
      <c r="AU11" t="s">
        <v>57</v>
      </c>
      <c r="AV11" t="s">
        <v>68</v>
      </c>
      <c r="AX11">
        <v>22002701</v>
      </c>
      <c r="AY11">
        <v>630300</v>
      </c>
      <c r="AZ11">
        <v>1201.6303</v>
      </c>
      <c r="BA11" s="23" t="s">
        <v>0</v>
      </c>
    </row>
    <row r="12" spans="1:53" x14ac:dyDescent="0.25">
      <c r="A12" t="s">
        <v>265</v>
      </c>
      <c r="B12" t="s">
        <v>266</v>
      </c>
      <c r="C12">
        <v>22001580</v>
      </c>
      <c r="D12">
        <v>1201</v>
      </c>
      <c r="E12" s="11">
        <v>44783</v>
      </c>
      <c r="F12" t="s">
        <v>267</v>
      </c>
      <c r="G12">
        <v>927.07</v>
      </c>
      <c r="H12">
        <v>927.07</v>
      </c>
      <c r="I12" t="s">
        <v>56</v>
      </c>
      <c r="J12" t="s">
        <v>56</v>
      </c>
      <c r="L12" s="24">
        <v>13776238</v>
      </c>
      <c r="N12" s="24">
        <v>13776238</v>
      </c>
      <c r="O12" t="s">
        <v>57</v>
      </c>
      <c r="Q12" t="s">
        <v>57</v>
      </c>
      <c r="R12" t="s">
        <v>58</v>
      </c>
      <c r="S12">
        <v>14860</v>
      </c>
      <c r="T12" t="s">
        <v>59</v>
      </c>
      <c r="U12" t="s">
        <v>60</v>
      </c>
      <c r="V12" t="s">
        <v>268</v>
      </c>
      <c r="W12" t="s">
        <v>269</v>
      </c>
      <c r="X12">
        <v>1930273</v>
      </c>
      <c r="Y12" s="11">
        <v>44783</v>
      </c>
      <c r="Z12" t="s">
        <v>57</v>
      </c>
      <c r="AA12">
        <v>1</v>
      </c>
      <c r="AB12" t="s">
        <v>57</v>
      </c>
      <c r="AD12" t="s">
        <v>57</v>
      </c>
      <c r="AE12" t="s">
        <v>57</v>
      </c>
      <c r="AF12" t="s">
        <v>57</v>
      </c>
      <c r="AH12" t="s">
        <v>57</v>
      </c>
      <c r="AL12" t="s">
        <v>57</v>
      </c>
      <c r="AM12" s="11">
        <v>44783</v>
      </c>
      <c r="AN12" t="s">
        <v>270</v>
      </c>
      <c r="AO12" t="s">
        <v>65</v>
      </c>
      <c r="AP12">
        <v>1201</v>
      </c>
      <c r="AQ12" t="s">
        <v>66</v>
      </c>
      <c r="AR12" t="s">
        <v>271</v>
      </c>
      <c r="AU12" t="s">
        <v>57</v>
      </c>
      <c r="AV12" t="s">
        <v>68</v>
      </c>
      <c r="AX12" t="s">
        <v>57</v>
      </c>
      <c r="AY12">
        <v>630300</v>
      </c>
      <c r="AZ12">
        <v>1201.6303</v>
      </c>
      <c r="BA12" s="23" t="s">
        <v>0</v>
      </c>
    </row>
    <row r="13" spans="1:53" x14ac:dyDescent="0.25">
      <c r="A13" t="s">
        <v>79</v>
      </c>
      <c r="B13" t="s">
        <v>80</v>
      </c>
      <c r="C13">
        <v>22010120</v>
      </c>
      <c r="D13">
        <v>1201</v>
      </c>
      <c r="E13" s="11">
        <v>44788</v>
      </c>
      <c r="F13" t="s">
        <v>297</v>
      </c>
      <c r="G13">
        <v>40.380000000000003</v>
      </c>
      <c r="H13">
        <v>40.380000000000003</v>
      </c>
      <c r="I13" t="s">
        <v>56</v>
      </c>
      <c r="J13" t="s">
        <v>56</v>
      </c>
      <c r="L13" s="24">
        <v>600000</v>
      </c>
      <c r="N13" s="24">
        <v>600000</v>
      </c>
      <c r="O13" t="s">
        <v>57</v>
      </c>
      <c r="Q13" t="s">
        <v>57</v>
      </c>
      <c r="R13" t="s">
        <v>58</v>
      </c>
      <c r="S13">
        <v>14860</v>
      </c>
      <c r="T13" t="s">
        <v>59</v>
      </c>
      <c r="U13" t="s">
        <v>60</v>
      </c>
      <c r="V13" t="s">
        <v>82</v>
      </c>
      <c r="W13" t="s">
        <v>83</v>
      </c>
      <c r="X13">
        <v>1931812</v>
      </c>
      <c r="Y13" s="11">
        <v>44788</v>
      </c>
      <c r="Z13" t="s">
        <v>57</v>
      </c>
      <c r="AA13">
        <v>1</v>
      </c>
      <c r="AB13" t="s">
        <v>57</v>
      </c>
      <c r="AD13" t="s">
        <v>57</v>
      </c>
      <c r="AE13" t="s">
        <v>57</v>
      </c>
      <c r="AF13" t="s">
        <v>57</v>
      </c>
      <c r="AG13">
        <v>1</v>
      </c>
      <c r="AH13" t="s">
        <v>57</v>
      </c>
      <c r="AI13">
        <v>55507466</v>
      </c>
      <c r="AJ13" t="s">
        <v>297</v>
      </c>
      <c r="AL13" t="s">
        <v>57</v>
      </c>
      <c r="AM13" s="11">
        <v>44788</v>
      </c>
      <c r="AN13" t="s">
        <v>170</v>
      </c>
      <c r="AO13" t="s">
        <v>65</v>
      </c>
      <c r="AP13">
        <v>1201</v>
      </c>
      <c r="AQ13" t="s">
        <v>66</v>
      </c>
      <c r="AR13" t="s">
        <v>298</v>
      </c>
      <c r="AU13" t="s">
        <v>57</v>
      </c>
      <c r="AV13" t="s">
        <v>68</v>
      </c>
      <c r="AX13">
        <v>22002716</v>
      </c>
      <c r="AY13">
        <v>630300</v>
      </c>
      <c r="AZ13">
        <v>1201.6303</v>
      </c>
      <c r="BA13" s="23" t="s">
        <v>0</v>
      </c>
    </row>
    <row r="14" spans="1:53" x14ac:dyDescent="0.25">
      <c r="A14" t="s">
        <v>53</v>
      </c>
      <c r="B14" t="s">
        <v>54</v>
      </c>
      <c r="C14">
        <v>22002751</v>
      </c>
      <c r="D14">
        <v>1204</v>
      </c>
      <c r="E14" s="11">
        <v>44774</v>
      </c>
      <c r="F14" t="s">
        <v>86</v>
      </c>
      <c r="G14">
        <v>5.04</v>
      </c>
      <c r="H14">
        <v>5.04</v>
      </c>
      <c r="I14" t="s">
        <v>56</v>
      </c>
      <c r="J14" t="s">
        <v>56</v>
      </c>
      <c r="L14" s="24">
        <v>75000</v>
      </c>
      <c r="N14" s="24">
        <v>75000</v>
      </c>
      <c r="O14" t="s">
        <v>57</v>
      </c>
      <c r="Q14" t="s">
        <v>57</v>
      </c>
      <c r="R14" t="s">
        <v>58</v>
      </c>
      <c r="S14">
        <v>14882</v>
      </c>
      <c r="T14" t="s">
        <v>59</v>
      </c>
      <c r="U14" t="s">
        <v>60</v>
      </c>
      <c r="V14" t="s">
        <v>61</v>
      </c>
      <c r="W14" t="s">
        <v>62</v>
      </c>
      <c r="X14">
        <v>1924257</v>
      </c>
      <c r="Y14" s="11">
        <v>44767</v>
      </c>
      <c r="Z14" t="s">
        <v>57</v>
      </c>
      <c r="AA14">
        <v>1</v>
      </c>
      <c r="AB14" t="s">
        <v>57</v>
      </c>
      <c r="AD14" t="s">
        <v>57</v>
      </c>
      <c r="AE14" t="s">
        <v>57</v>
      </c>
      <c r="AF14" t="s">
        <v>57</v>
      </c>
      <c r="AG14">
        <v>1</v>
      </c>
      <c r="AH14" t="s">
        <v>57</v>
      </c>
      <c r="AI14">
        <v>55120333</v>
      </c>
      <c r="AJ14" t="s">
        <v>86</v>
      </c>
      <c r="AL14" t="s">
        <v>87</v>
      </c>
      <c r="AM14" s="11">
        <v>44748</v>
      </c>
      <c r="AN14" t="s">
        <v>64</v>
      </c>
      <c r="AO14" t="s">
        <v>65</v>
      </c>
      <c r="AP14">
        <v>1204</v>
      </c>
      <c r="AQ14" t="s">
        <v>66</v>
      </c>
      <c r="AR14" t="s">
        <v>88</v>
      </c>
      <c r="AU14" t="s">
        <v>57</v>
      </c>
      <c r="AV14" t="s">
        <v>68</v>
      </c>
      <c r="AX14">
        <v>22001335</v>
      </c>
      <c r="AY14">
        <v>630300</v>
      </c>
      <c r="AZ14">
        <v>1204.6303</v>
      </c>
      <c r="BA14" s="23" t="s">
        <v>1</v>
      </c>
    </row>
    <row r="15" spans="1:53" x14ac:dyDescent="0.25">
      <c r="A15" t="s">
        <v>53</v>
      </c>
      <c r="B15" t="s">
        <v>54</v>
      </c>
      <c r="C15">
        <v>22002787</v>
      </c>
      <c r="D15">
        <v>1204</v>
      </c>
      <c r="E15" s="11">
        <v>44777</v>
      </c>
      <c r="F15" t="s">
        <v>89</v>
      </c>
      <c r="G15">
        <v>2.02</v>
      </c>
      <c r="H15">
        <v>2.02</v>
      </c>
      <c r="I15" t="s">
        <v>56</v>
      </c>
      <c r="J15" t="s">
        <v>56</v>
      </c>
      <c r="L15" s="24">
        <v>30000</v>
      </c>
      <c r="N15" s="24">
        <v>30000</v>
      </c>
      <c r="O15" t="s">
        <v>57</v>
      </c>
      <c r="Q15" t="s">
        <v>57</v>
      </c>
      <c r="R15" t="s">
        <v>58</v>
      </c>
      <c r="S15">
        <v>14860</v>
      </c>
      <c r="T15" t="s">
        <v>59</v>
      </c>
      <c r="U15" t="s">
        <v>60</v>
      </c>
      <c r="V15" t="s">
        <v>61</v>
      </c>
      <c r="W15" t="s">
        <v>62</v>
      </c>
      <c r="X15">
        <v>1927429</v>
      </c>
      <c r="Y15" s="11">
        <v>44777</v>
      </c>
      <c r="Z15" t="s">
        <v>57</v>
      </c>
      <c r="AA15">
        <v>1</v>
      </c>
      <c r="AB15" t="s">
        <v>57</v>
      </c>
      <c r="AD15" t="s">
        <v>57</v>
      </c>
      <c r="AE15" t="s">
        <v>57</v>
      </c>
      <c r="AF15" t="s">
        <v>57</v>
      </c>
      <c r="AG15">
        <v>1</v>
      </c>
      <c r="AH15" t="s">
        <v>57</v>
      </c>
      <c r="AI15">
        <v>54000689</v>
      </c>
      <c r="AJ15" t="s">
        <v>89</v>
      </c>
      <c r="AL15" t="s">
        <v>90</v>
      </c>
      <c r="AM15" s="11">
        <v>44727</v>
      </c>
      <c r="AN15" t="s">
        <v>64</v>
      </c>
      <c r="AO15" t="s">
        <v>65</v>
      </c>
      <c r="AP15">
        <v>1204</v>
      </c>
      <c r="AQ15" t="s">
        <v>66</v>
      </c>
      <c r="AR15" t="s">
        <v>88</v>
      </c>
      <c r="AU15" t="s">
        <v>57</v>
      </c>
      <c r="AV15" t="s">
        <v>68</v>
      </c>
      <c r="AX15">
        <v>22001363</v>
      </c>
      <c r="AY15">
        <v>630300</v>
      </c>
      <c r="AZ15">
        <v>1204.6303</v>
      </c>
      <c r="BA15" s="23" t="s">
        <v>1</v>
      </c>
    </row>
    <row r="16" spans="1:53" x14ac:dyDescent="0.25">
      <c r="A16" t="s">
        <v>265</v>
      </c>
      <c r="B16" t="s">
        <v>266</v>
      </c>
      <c r="C16">
        <v>22001288</v>
      </c>
      <c r="D16">
        <v>1204</v>
      </c>
      <c r="E16" s="11">
        <v>44782</v>
      </c>
      <c r="F16" t="s">
        <v>272</v>
      </c>
      <c r="G16">
        <v>6.73</v>
      </c>
      <c r="H16">
        <v>6.73</v>
      </c>
      <c r="I16" t="s">
        <v>56</v>
      </c>
      <c r="J16" t="s">
        <v>56</v>
      </c>
      <c r="L16" s="24">
        <v>100000</v>
      </c>
      <c r="N16" s="24">
        <v>100000</v>
      </c>
      <c r="O16" t="s">
        <v>57</v>
      </c>
      <c r="Q16" t="s">
        <v>57</v>
      </c>
      <c r="R16" t="s">
        <v>58</v>
      </c>
      <c r="S16">
        <v>14860</v>
      </c>
      <c r="T16" t="s">
        <v>59</v>
      </c>
      <c r="U16" t="s">
        <v>60</v>
      </c>
      <c r="V16" t="s">
        <v>268</v>
      </c>
      <c r="W16" t="s">
        <v>269</v>
      </c>
      <c r="X16">
        <v>1929267</v>
      </c>
      <c r="Y16" s="11">
        <v>44782</v>
      </c>
      <c r="Z16" t="s">
        <v>57</v>
      </c>
      <c r="AA16">
        <v>1</v>
      </c>
      <c r="AB16" t="s">
        <v>57</v>
      </c>
      <c r="AD16" t="s">
        <v>57</v>
      </c>
      <c r="AE16" t="s">
        <v>57</v>
      </c>
      <c r="AF16" t="s">
        <v>57</v>
      </c>
      <c r="AH16" t="s">
        <v>57</v>
      </c>
      <c r="AL16" t="s">
        <v>57</v>
      </c>
      <c r="AM16" s="11">
        <v>44782</v>
      </c>
      <c r="AN16" t="s">
        <v>273</v>
      </c>
      <c r="AO16" t="s">
        <v>65</v>
      </c>
      <c r="AP16">
        <v>1204</v>
      </c>
      <c r="AQ16" t="s">
        <v>66</v>
      </c>
      <c r="AR16" t="s">
        <v>274</v>
      </c>
      <c r="AU16" t="s">
        <v>57</v>
      </c>
      <c r="AV16" t="s">
        <v>68</v>
      </c>
      <c r="AX16" t="s">
        <v>57</v>
      </c>
      <c r="AY16">
        <v>630300</v>
      </c>
      <c r="AZ16">
        <v>1204.6303</v>
      </c>
      <c r="BA16" s="23" t="s">
        <v>1</v>
      </c>
    </row>
    <row r="17" spans="1:53" x14ac:dyDescent="0.25">
      <c r="A17" t="s">
        <v>265</v>
      </c>
      <c r="B17" t="s">
        <v>266</v>
      </c>
      <c r="C17">
        <v>22001295</v>
      </c>
      <c r="D17">
        <v>1204</v>
      </c>
      <c r="E17" s="11">
        <v>44782</v>
      </c>
      <c r="F17" t="s">
        <v>246</v>
      </c>
      <c r="G17">
        <v>691.41</v>
      </c>
      <c r="H17">
        <v>691.41</v>
      </c>
      <c r="I17" t="s">
        <v>56</v>
      </c>
      <c r="J17" t="s">
        <v>56</v>
      </c>
      <c r="L17" s="24">
        <v>10274304</v>
      </c>
      <c r="N17" s="24">
        <v>10274304</v>
      </c>
      <c r="O17" t="s">
        <v>57</v>
      </c>
      <c r="Q17" t="s">
        <v>57</v>
      </c>
      <c r="R17" t="s">
        <v>58</v>
      </c>
      <c r="S17">
        <v>14860</v>
      </c>
      <c r="T17" t="s">
        <v>59</v>
      </c>
      <c r="U17" t="s">
        <v>60</v>
      </c>
      <c r="V17" t="s">
        <v>268</v>
      </c>
      <c r="W17" t="s">
        <v>269</v>
      </c>
      <c r="X17">
        <v>1929267</v>
      </c>
      <c r="Y17" s="11">
        <v>44782</v>
      </c>
      <c r="Z17" t="s">
        <v>57</v>
      </c>
      <c r="AA17">
        <v>1</v>
      </c>
      <c r="AB17" t="s">
        <v>57</v>
      </c>
      <c r="AD17" t="s">
        <v>57</v>
      </c>
      <c r="AE17" t="s">
        <v>57</v>
      </c>
      <c r="AF17" t="s">
        <v>57</v>
      </c>
      <c r="AH17" t="s">
        <v>57</v>
      </c>
      <c r="AL17" t="s">
        <v>57</v>
      </c>
      <c r="AM17" s="11">
        <v>44782</v>
      </c>
      <c r="AN17" t="s">
        <v>273</v>
      </c>
      <c r="AO17" t="s">
        <v>65</v>
      </c>
      <c r="AP17">
        <v>1204</v>
      </c>
      <c r="AQ17" t="s">
        <v>66</v>
      </c>
      <c r="AR17" t="s">
        <v>275</v>
      </c>
      <c r="AU17" t="s">
        <v>57</v>
      </c>
      <c r="AV17" t="s">
        <v>68</v>
      </c>
      <c r="AX17" t="s">
        <v>57</v>
      </c>
      <c r="AY17">
        <v>630300</v>
      </c>
      <c r="AZ17">
        <v>1204.6303</v>
      </c>
      <c r="BA17" s="23" t="s">
        <v>1</v>
      </c>
    </row>
    <row r="18" spans="1:53" x14ac:dyDescent="0.25">
      <c r="A18" t="s">
        <v>53</v>
      </c>
      <c r="B18" t="s">
        <v>54</v>
      </c>
      <c r="C18">
        <v>22002804</v>
      </c>
      <c r="D18">
        <v>1204</v>
      </c>
      <c r="E18" s="11">
        <v>44782</v>
      </c>
      <c r="F18" t="s">
        <v>81</v>
      </c>
      <c r="G18">
        <v>8.68</v>
      </c>
      <c r="H18">
        <v>8.68</v>
      </c>
      <c r="I18" t="s">
        <v>56</v>
      </c>
      <c r="J18" t="s">
        <v>56</v>
      </c>
      <c r="L18" s="24">
        <v>129000</v>
      </c>
      <c r="N18" s="24">
        <v>129000</v>
      </c>
      <c r="O18" t="s">
        <v>57</v>
      </c>
      <c r="Q18" t="s">
        <v>57</v>
      </c>
      <c r="R18" t="s">
        <v>58</v>
      </c>
      <c r="S18">
        <v>14860</v>
      </c>
      <c r="T18" t="s">
        <v>59</v>
      </c>
      <c r="U18" t="s">
        <v>60</v>
      </c>
      <c r="V18" t="s">
        <v>61</v>
      </c>
      <c r="W18" t="s">
        <v>62</v>
      </c>
      <c r="X18">
        <v>1929152</v>
      </c>
      <c r="Y18" s="11">
        <v>44782</v>
      </c>
      <c r="Z18" t="s">
        <v>57</v>
      </c>
      <c r="AA18">
        <v>1</v>
      </c>
      <c r="AB18" t="s">
        <v>57</v>
      </c>
      <c r="AD18" t="s">
        <v>57</v>
      </c>
      <c r="AE18" t="s">
        <v>57</v>
      </c>
      <c r="AF18" t="s">
        <v>57</v>
      </c>
      <c r="AG18">
        <v>2</v>
      </c>
      <c r="AH18" t="s">
        <v>57</v>
      </c>
      <c r="AI18">
        <v>57082431</v>
      </c>
      <c r="AJ18" t="s">
        <v>81</v>
      </c>
      <c r="AL18" t="s">
        <v>276</v>
      </c>
      <c r="AM18" s="11">
        <v>44762</v>
      </c>
      <c r="AN18" t="s">
        <v>64</v>
      </c>
      <c r="AO18" t="s">
        <v>65</v>
      </c>
      <c r="AP18">
        <v>1204</v>
      </c>
      <c r="AQ18" t="s">
        <v>66</v>
      </c>
      <c r="AR18" t="s">
        <v>88</v>
      </c>
      <c r="AU18" t="s">
        <v>57</v>
      </c>
      <c r="AV18" t="s">
        <v>68</v>
      </c>
      <c r="AX18">
        <v>22001367</v>
      </c>
      <c r="AY18">
        <v>630300</v>
      </c>
      <c r="AZ18">
        <v>1204.6303</v>
      </c>
      <c r="BA18" s="23" t="s">
        <v>1</v>
      </c>
    </row>
    <row r="19" spans="1:53" x14ac:dyDescent="0.25">
      <c r="A19" t="s">
        <v>265</v>
      </c>
      <c r="B19" t="s">
        <v>266</v>
      </c>
      <c r="C19">
        <v>22001580</v>
      </c>
      <c r="D19">
        <v>1201</v>
      </c>
      <c r="E19" s="11">
        <v>44783</v>
      </c>
      <c r="F19" t="s">
        <v>267</v>
      </c>
      <c r="G19">
        <v>47.37</v>
      </c>
      <c r="H19">
        <v>47.37</v>
      </c>
      <c r="I19" t="s">
        <v>56</v>
      </c>
      <c r="J19" t="s">
        <v>56</v>
      </c>
      <c r="L19" s="24">
        <v>704000</v>
      </c>
      <c r="N19" s="24">
        <v>704000</v>
      </c>
      <c r="O19" t="s">
        <v>57</v>
      </c>
      <c r="Q19" t="s">
        <v>57</v>
      </c>
      <c r="R19" t="s">
        <v>58</v>
      </c>
      <c r="S19">
        <v>14860</v>
      </c>
      <c r="T19" t="s">
        <v>59</v>
      </c>
      <c r="U19" t="s">
        <v>60</v>
      </c>
      <c r="V19" t="s">
        <v>268</v>
      </c>
      <c r="W19" t="s">
        <v>269</v>
      </c>
      <c r="X19">
        <v>1930273</v>
      </c>
      <c r="Y19" s="11">
        <v>44783</v>
      </c>
      <c r="Z19" t="s">
        <v>57</v>
      </c>
      <c r="AA19">
        <v>2</v>
      </c>
      <c r="AB19" t="s">
        <v>57</v>
      </c>
      <c r="AD19" t="s">
        <v>57</v>
      </c>
      <c r="AE19" t="s">
        <v>57</v>
      </c>
      <c r="AF19" t="s">
        <v>57</v>
      </c>
      <c r="AH19" t="s">
        <v>57</v>
      </c>
      <c r="AL19" t="s">
        <v>57</v>
      </c>
      <c r="AM19" s="11">
        <v>44783</v>
      </c>
      <c r="AN19" t="s">
        <v>270</v>
      </c>
      <c r="AO19" t="s">
        <v>65</v>
      </c>
      <c r="AP19">
        <v>1204</v>
      </c>
      <c r="AQ19" t="s">
        <v>66</v>
      </c>
      <c r="AR19" t="s">
        <v>275</v>
      </c>
      <c r="AU19" t="s">
        <v>57</v>
      </c>
      <c r="AV19" t="s">
        <v>68</v>
      </c>
      <c r="AX19" t="s">
        <v>57</v>
      </c>
      <c r="AY19">
        <v>630300</v>
      </c>
      <c r="AZ19">
        <v>1204.6303</v>
      </c>
      <c r="BA19" s="23" t="s">
        <v>1</v>
      </c>
    </row>
    <row r="20" spans="1:53" x14ac:dyDescent="0.25">
      <c r="A20" t="s">
        <v>79</v>
      </c>
      <c r="B20" t="s">
        <v>80</v>
      </c>
      <c r="C20">
        <v>22003580</v>
      </c>
      <c r="D20">
        <v>1204</v>
      </c>
      <c r="E20" s="11">
        <v>44789</v>
      </c>
      <c r="F20" t="s">
        <v>129</v>
      </c>
      <c r="G20">
        <v>144.68</v>
      </c>
      <c r="H20">
        <v>144.68</v>
      </c>
      <c r="I20" t="s">
        <v>56</v>
      </c>
      <c r="J20" t="s">
        <v>56</v>
      </c>
      <c r="L20" s="24">
        <v>2150000</v>
      </c>
      <c r="N20" s="24">
        <v>2150000</v>
      </c>
      <c r="O20" t="s">
        <v>57</v>
      </c>
      <c r="Q20" t="s">
        <v>57</v>
      </c>
      <c r="R20" t="s">
        <v>58</v>
      </c>
      <c r="S20">
        <v>14860</v>
      </c>
      <c r="T20" t="s">
        <v>59</v>
      </c>
      <c r="U20" t="s">
        <v>60</v>
      </c>
      <c r="V20" t="s">
        <v>82</v>
      </c>
      <c r="W20" t="s">
        <v>83</v>
      </c>
      <c r="X20">
        <v>1932994</v>
      </c>
      <c r="Y20" s="11">
        <v>44789</v>
      </c>
      <c r="Z20" t="s">
        <v>57</v>
      </c>
      <c r="AA20">
        <v>1</v>
      </c>
      <c r="AB20" t="s">
        <v>57</v>
      </c>
      <c r="AD20" t="s">
        <v>57</v>
      </c>
      <c r="AE20" t="s">
        <v>57</v>
      </c>
      <c r="AF20" t="s">
        <v>57</v>
      </c>
      <c r="AG20">
        <v>11</v>
      </c>
      <c r="AH20" t="s">
        <v>57</v>
      </c>
      <c r="AI20">
        <v>56306480</v>
      </c>
      <c r="AJ20" t="s">
        <v>129</v>
      </c>
      <c r="AL20" t="s">
        <v>57</v>
      </c>
      <c r="AM20" s="11">
        <v>44789</v>
      </c>
      <c r="AN20" t="s">
        <v>173</v>
      </c>
      <c r="AO20" t="s">
        <v>65</v>
      </c>
      <c r="AP20">
        <v>1204</v>
      </c>
      <c r="AQ20" t="s">
        <v>66</v>
      </c>
      <c r="AR20" t="s">
        <v>299</v>
      </c>
      <c r="AU20" t="s">
        <v>57</v>
      </c>
      <c r="AV20" t="s">
        <v>68</v>
      </c>
      <c r="AX20">
        <v>22001387</v>
      </c>
      <c r="AY20">
        <v>630300</v>
      </c>
      <c r="AZ20">
        <v>1204.6303</v>
      </c>
      <c r="BA20" s="23" t="s">
        <v>1</v>
      </c>
    </row>
    <row r="21" spans="1:53" x14ac:dyDescent="0.25">
      <c r="A21" t="s">
        <v>53</v>
      </c>
      <c r="B21" t="s">
        <v>54</v>
      </c>
      <c r="C21">
        <v>22002837</v>
      </c>
      <c r="D21">
        <v>1205</v>
      </c>
      <c r="E21" s="11">
        <v>44774</v>
      </c>
      <c r="F21" t="s">
        <v>86</v>
      </c>
      <c r="G21">
        <v>24.19</v>
      </c>
      <c r="H21">
        <v>24.19</v>
      </c>
      <c r="I21" t="s">
        <v>56</v>
      </c>
      <c r="J21" t="s">
        <v>56</v>
      </c>
      <c r="L21" s="24">
        <v>360000</v>
      </c>
      <c r="N21" s="24">
        <v>360000</v>
      </c>
      <c r="O21" t="s">
        <v>57</v>
      </c>
      <c r="Q21" t="s">
        <v>57</v>
      </c>
      <c r="R21" t="s">
        <v>58</v>
      </c>
      <c r="S21">
        <v>14882</v>
      </c>
      <c r="T21" t="s">
        <v>59</v>
      </c>
      <c r="U21" t="s">
        <v>60</v>
      </c>
      <c r="V21" t="s">
        <v>61</v>
      </c>
      <c r="W21" t="s">
        <v>62</v>
      </c>
      <c r="X21">
        <v>1924258</v>
      </c>
      <c r="Y21" s="11">
        <v>44767</v>
      </c>
      <c r="Z21" t="s">
        <v>57</v>
      </c>
      <c r="AA21">
        <v>1</v>
      </c>
      <c r="AB21" t="s">
        <v>57</v>
      </c>
      <c r="AD21" t="s">
        <v>57</v>
      </c>
      <c r="AE21" t="s">
        <v>57</v>
      </c>
      <c r="AF21" t="s">
        <v>57</v>
      </c>
      <c r="AG21">
        <v>1</v>
      </c>
      <c r="AH21" t="s">
        <v>57</v>
      </c>
      <c r="AI21">
        <v>55120333</v>
      </c>
      <c r="AJ21" t="s">
        <v>86</v>
      </c>
      <c r="AL21" t="s">
        <v>91</v>
      </c>
      <c r="AM21" s="11">
        <v>44750</v>
      </c>
      <c r="AN21" t="s">
        <v>64</v>
      </c>
      <c r="AO21" t="s">
        <v>65</v>
      </c>
      <c r="AP21">
        <v>1205</v>
      </c>
      <c r="AQ21" t="s">
        <v>66</v>
      </c>
      <c r="AR21" t="s">
        <v>88</v>
      </c>
      <c r="AU21" t="s">
        <v>57</v>
      </c>
      <c r="AV21" t="s">
        <v>68</v>
      </c>
      <c r="AX21">
        <v>22001317</v>
      </c>
      <c r="AY21">
        <v>630300</v>
      </c>
      <c r="AZ21">
        <v>1205.6303</v>
      </c>
      <c r="BA21" s="23" t="s">
        <v>2</v>
      </c>
    </row>
    <row r="22" spans="1:53" x14ac:dyDescent="0.25">
      <c r="A22" t="s">
        <v>53</v>
      </c>
      <c r="B22" t="s">
        <v>54</v>
      </c>
      <c r="C22">
        <v>22002900</v>
      </c>
      <c r="D22">
        <v>1205</v>
      </c>
      <c r="E22" s="11">
        <v>44775</v>
      </c>
      <c r="F22" t="s">
        <v>92</v>
      </c>
      <c r="G22">
        <v>248.62</v>
      </c>
      <c r="H22">
        <v>248.62</v>
      </c>
      <c r="I22" t="s">
        <v>56</v>
      </c>
      <c r="J22" t="s">
        <v>56</v>
      </c>
      <c r="L22" s="24">
        <v>3700000</v>
      </c>
      <c r="N22" s="24">
        <v>3700000</v>
      </c>
      <c r="O22" t="s">
        <v>57</v>
      </c>
      <c r="Q22" t="s">
        <v>57</v>
      </c>
      <c r="R22" t="s">
        <v>58</v>
      </c>
      <c r="S22">
        <v>14882</v>
      </c>
      <c r="T22" t="s">
        <v>59</v>
      </c>
      <c r="U22" t="s">
        <v>60</v>
      </c>
      <c r="V22" t="s">
        <v>61</v>
      </c>
      <c r="W22" t="s">
        <v>62</v>
      </c>
      <c r="X22">
        <v>1926255</v>
      </c>
      <c r="Y22" s="11">
        <v>44775</v>
      </c>
      <c r="Z22" t="s">
        <v>57</v>
      </c>
      <c r="AA22">
        <v>1</v>
      </c>
      <c r="AB22" t="s">
        <v>57</v>
      </c>
      <c r="AD22" t="s">
        <v>57</v>
      </c>
      <c r="AE22" t="s">
        <v>57</v>
      </c>
      <c r="AF22" t="s">
        <v>57</v>
      </c>
      <c r="AG22">
        <v>1</v>
      </c>
      <c r="AH22" t="s">
        <v>57</v>
      </c>
      <c r="AI22">
        <v>55041601</v>
      </c>
      <c r="AJ22" t="s">
        <v>92</v>
      </c>
      <c r="AL22">
        <v>22070023</v>
      </c>
      <c r="AM22" s="11">
        <v>44748</v>
      </c>
      <c r="AN22" t="s">
        <v>64</v>
      </c>
      <c r="AO22" t="s">
        <v>65</v>
      </c>
      <c r="AP22">
        <v>1205</v>
      </c>
      <c r="AQ22" t="s">
        <v>66</v>
      </c>
      <c r="AR22" t="s">
        <v>93</v>
      </c>
      <c r="AU22" t="s">
        <v>57</v>
      </c>
      <c r="AV22" t="s">
        <v>68</v>
      </c>
      <c r="AX22">
        <v>22001339</v>
      </c>
      <c r="AY22">
        <v>630300</v>
      </c>
      <c r="AZ22">
        <v>1205.6303</v>
      </c>
      <c r="BA22" s="23" t="s">
        <v>2</v>
      </c>
    </row>
    <row r="23" spans="1:53" x14ac:dyDescent="0.25">
      <c r="A23" t="s">
        <v>53</v>
      </c>
      <c r="B23" t="s">
        <v>54</v>
      </c>
      <c r="C23">
        <v>22002901</v>
      </c>
      <c r="D23">
        <v>1205</v>
      </c>
      <c r="E23" s="11">
        <v>44775</v>
      </c>
      <c r="F23" t="s">
        <v>92</v>
      </c>
      <c r="G23">
        <v>23.52</v>
      </c>
      <c r="H23">
        <v>23.52</v>
      </c>
      <c r="I23" t="s">
        <v>56</v>
      </c>
      <c r="J23" t="s">
        <v>56</v>
      </c>
      <c r="L23" s="24">
        <v>350000</v>
      </c>
      <c r="N23" s="24">
        <v>350000</v>
      </c>
      <c r="O23" t="s">
        <v>57</v>
      </c>
      <c r="Q23" t="s">
        <v>57</v>
      </c>
      <c r="R23" t="s">
        <v>58</v>
      </c>
      <c r="S23">
        <v>14882</v>
      </c>
      <c r="T23" t="s">
        <v>59</v>
      </c>
      <c r="U23" t="s">
        <v>60</v>
      </c>
      <c r="V23" t="s">
        <v>61</v>
      </c>
      <c r="W23" t="s">
        <v>62</v>
      </c>
      <c r="X23">
        <v>1926255</v>
      </c>
      <c r="Y23" s="11">
        <v>44775</v>
      </c>
      <c r="Z23" t="s">
        <v>57</v>
      </c>
      <c r="AA23">
        <v>1</v>
      </c>
      <c r="AB23" t="s">
        <v>57</v>
      </c>
      <c r="AD23" t="s">
        <v>57</v>
      </c>
      <c r="AE23" t="s">
        <v>57</v>
      </c>
      <c r="AF23" t="s">
        <v>57</v>
      </c>
      <c r="AG23">
        <v>1</v>
      </c>
      <c r="AH23" t="s">
        <v>57</v>
      </c>
      <c r="AI23">
        <v>55041601</v>
      </c>
      <c r="AJ23" t="s">
        <v>92</v>
      </c>
      <c r="AL23">
        <v>22070017</v>
      </c>
      <c r="AM23" s="11">
        <v>44747</v>
      </c>
      <c r="AN23" t="s">
        <v>64</v>
      </c>
      <c r="AO23" t="s">
        <v>65</v>
      </c>
      <c r="AP23">
        <v>1205</v>
      </c>
      <c r="AQ23" t="s">
        <v>66</v>
      </c>
      <c r="AR23" t="s">
        <v>94</v>
      </c>
      <c r="AU23" t="s">
        <v>57</v>
      </c>
      <c r="AV23" t="s">
        <v>68</v>
      </c>
      <c r="AX23">
        <v>22001339</v>
      </c>
      <c r="AY23">
        <v>630300</v>
      </c>
      <c r="AZ23">
        <v>1205.6303</v>
      </c>
      <c r="BA23" s="23" t="s">
        <v>2</v>
      </c>
    </row>
    <row r="24" spans="1:53" x14ac:dyDescent="0.25">
      <c r="A24" t="s">
        <v>53</v>
      </c>
      <c r="B24" t="s">
        <v>54</v>
      </c>
      <c r="C24">
        <v>22002902</v>
      </c>
      <c r="D24">
        <v>1205</v>
      </c>
      <c r="E24" s="11">
        <v>44775</v>
      </c>
      <c r="F24" t="s">
        <v>92</v>
      </c>
      <c r="G24">
        <v>248.62</v>
      </c>
      <c r="H24">
        <v>248.62</v>
      </c>
      <c r="I24" t="s">
        <v>56</v>
      </c>
      <c r="J24" t="s">
        <v>56</v>
      </c>
      <c r="L24" s="24">
        <v>3700000</v>
      </c>
      <c r="N24" s="24">
        <v>3700000</v>
      </c>
      <c r="O24" t="s">
        <v>57</v>
      </c>
      <c r="Q24" t="s">
        <v>57</v>
      </c>
      <c r="R24" t="s">
        <v>58</v>
      </c>
      <c r="S24">
        <v>14882</v>
      </c>
      <c r="T24" t="s">
        <v>59</v>
      </c>
      <c r="U24" t="s">
        <v>60</v>
      </c>
      <c r="V24" t="s">
        <v>61</v>
      </c>
      <c r="W24" t="s">
        <v>62</v>
      </c>
      <c r="X24">
        <v>1926255</v>
      </c>
      <c r="Y24" s="11">
        <v>44775</v>
      </c>
      <c r="Z24" t="s">
        <v>57</v>
      </c>
      <c r="AA24">
        <v>1</v>
      </c>
      <c r="AB24" t="s">
        <v>57</v>
      </c>
      <c r="AD24" t="s">
        <v>57</v>
      </c>
      <c r="AE24" t="s">
        <v>57</v>
      </c>
      <c r="AF24" t="s">
        <v>57</v>
      </c>
      <c r="AG24">
        <v>1</v>
      </c>
      <c r="AH24" t="s">
        <v>57</v>
      </c>
      <c r="AI24">
        <v>55041601</v>
      </c>
      <c r="AJ24" t="s">
        <v>92</v>
      </c>
      <c r="AL24">
        <v>22060213</v>
      </c>
      <c r="AM24" s="11">
        <v>44740</v>
      </c>
      <c r="AN24" t="s">
        <v>64</v>
      </c>
      <c r="AO24" t="s">
        <v>65</v>
      </c>
      <c r="AP24">
        <v>1205</v>
      </c>
      <c r="AQ24" t="s">
        <v>66</v>
      </c>
      <c r="AR24" t="s">
        <v>95</v>
      </c>
      <c r="AU24" t="s">
        <v>57</v>
      </c>
      <c r="AV24" t="s">
        <v>68</v>
      </c>
      <c r="AX24">
        <v>22001339</v>
      </c>
      <c r="AY24">
        <v>630300</v>
      </c>
      <c r="AZ24">
        <v>1205.6303</v>
      </c>
      <c r="BA24" s="23" t="s">
        <v>2</v>
      </c>
    </row>
    <row r="25" spans="1:53" x14ac:dyDescent="0.25">
      <c r="A25" t="s">
        <v>53</v>
      </c>
      <c r="B25" t="s">
        <v>54</v>
      </c>
      <c r="C25">
        <v>22002903</v>
      </c>
      <c r="D25">
        <v>1205</v>
      </c>
      <c r="E25" s="11">
        <v>44775</v>
      </c>
      <c r="F25" t="s">
        <v>92</v>
      </c>
      <c r="G25">
        <v>248.62</v>
      </c>
      <c r="H25">
        <v>248.62</v>
      </c>
      <c r="I25" t="s">
        <v>56</v>
      </c>
      <c r="J25" t="s">
        <v>56</v>
      </c>
      <c r="L25" s="24">
        <v>3700000</v>
      </c>
      <c r="N25" s="24">
        <v>3700000</v>
      </c>
      <c r="O25" t="s">
        <v>57</v>
      </c>
      <c r="Q25" t="s">
        <v>57</v>
      </c>
      <c r="R25" t="s">
        <v>58</v>
      </c>
      <c r="S25">
        <v>14882</v>
      </c>
      <c r="T25" t="s">
        <v>59</v>
      </c>
      <c r="U25" t="s">
        <v>60</v>
      </c>
      <c r="V25" t="s">
        <v>61</v>
      </c>
      <c r="W25" t="s">
        <v>62</v>
      </c>
      <c r="X25">
        <v>1926286</v>
      </c>
      <c r="Y25" s="11">
        <v>44775</v>
      </c>
      <c r="Z25" t="s">
        <v>57</v>
      </c>
      <c r="AA25">
        <v>1</v>
      </c>
      <c r="AB25" t="s">
        <v>57</v>
      </c>
      <c r="AD25" t="s">
        <v>57</v>
      </c>
      <c r="AE25" t="s">
        <v>57</v>
      </c>
      <c r="AF25" t="s">
        <v>57</v>
      </c>
      <c r="AG25">
        <v>1</v>
      </c>
      <c r="AH25" t="s">
        <v>57</v>
      </c>
      <c r="AI25">
        <v>55041601</v>
      </c>
      <c r="AJ25" t="s">
        <v>92</v>
      </c>
      <c r="AL25">
        <v>22060010</v>
      </c>
      <c r="AM25" s="11">
        <v>44715</v>
      </c>
      <c r="AN25" t="s">
        <v>64</v>
      </c>
      <c r="AO25" t="s">
        <v>65</v>
      </c>
      <c r="AP25">
        <v>1205</v>
      </c>
      <c r="AQ25" t="s">
        <v>66</v>
      </c>
      <c r="AR25" t="s">
        <v>96</v>
      </c>
      <c r="AU25" t="s">
        <v>57</v>
      </c>
      <c r="AV25" t="s">
        <v>68</v>
      </c>
      <c r="AX25">
        <v>22001327</v>
      </c>
      <c r="AY25">
        <v>630300</v>
      </c>
      <c r="AZ25">
        <v>1205.6303</v>
      </c>
      <c r="BA25" s="23" t="s">
        <v>2</v>
      </c>
    </row>
    <row r="26" spans="1:53" x14ac:dyDescent="0.25">
      <c r="A26" t="s">
        <v>53</v>
      </c>
      <c r="B26" t="s">
        <v>54</v>
      </c>
      <c r="C26">
        <v>22002904</v>
      </c>
      <c r="D26">
        <v>1205</v>
      </c>
      <c r="E26" s="11">
        <v>44775</v>
      </c>
      <c r="F26" t="s">
        <v>92</v>
      </c>
      <c r="G26">
        <v>403.17</v>
      </c>
      <c r="H26">
        <v>403.17</v>
      </c>
      <c r="I26" t="s">
        <v>56</v>
      </c>
      <c r="J26" t="s">
        <v>56</v>
      </c>
      <c r="L26" s="24">
        <v>6000000</v>
      </c>
      <c r="N26" s="24">
        <v>6000000</v>
      </c>
      <c r="O26" t="s">
        <v>57</v>
      </c>
      <c r="Q26" t="s">
        <v>57</v>
      </c>
      <c r="R26" t="s">
        <v>58</v>
      </c>
      <c r="S26">
        <v>14882</v>
      </c>
      <c r="T26" t="s">
        <v>59</v>
      </c>
      <c r="U26" t="s">
        <v>60</v>
      </c>
      <c r="V26" t="s">
        <v>61</v>
      </c>
      <c r="W26" t="s">
        <v>62</v>
      </c>
      <c r="X26">
        <v>1926286</v>
      </c>
      <c r="Y26" s="11">
        <v>44775</v>
      </c>
      <c r="Z26" t="s">
        <v>57</v>
      </c>
      <c r="AA26">
        <v>1</v>
      </c>
      <c r="AB26" t="s">
        <v>57</v>
      </c>
      <c r="AD26" t="s">
        <v>57</v>
      </c>
      <c r="AE26" t="s">
        <v>57</v>
      </c>
      <c r="AF26" t="s">
        <v>57</v>
      </c>
      <c r="AG26">
        <v>1</v>
      </c>
      <c r="AH26" t="s">
        <v>57</v>
      </c>
      <c r="AI26">
        <v>55041601</v>
      </c>
      <c r="AJ26" t="s">
        <v>92</v>
      </c>
      <c r="AL26">
        <v>22060053</v>
      </c>
      <c r="AM26" s="11">
        <v>44722</v>
      </c>
      <c r="AN26" t="s">
        <v>64</v>
      </c>
      <c r="AO26" t="s">
        <v>65</v>
      </c>
      <c r="AP26">
        <v>1205</v>
      </c>
      <c r="AQ26" t="s">
        <v>66</v>
      </c>
      <c r="AR26" t="s">
        <v>97</v>
      </c>
      <c r="AU26" t="s">
        <v>57</v>
      </c>
      <c r="AV26" t="s">
        <v>68</v>
      </c>
      <c r="AX26">
        <v>22001327</v>
      </c>
      <c r="AY26">
        <v>630300</v>
      </c>
      <c r="AZ26">
        <v>1205.6303</v>
      </c>
      <c r="BA26" s="23" t="s">
        <v>2</v>
      </c>
    </row>
    <row r="27" spans="1:53" x14ac:dyDescent="0.25">
      <c r="A27" t="s">
        <v>53</v>
      </c>
      <c r="B27" t="s">
        <v>54</v>
      </c>
      <c r="C27">
        <v>22002905</v>
      </c>
      <c r="D27">
        <v>1205</v>
      </c>
      <c r="E27" s="11">
        <v>44775</v>
      </c>
      <c r="F27" t="s">
        <v>92</v>
      </c>
      <c r="G27">
        <v>403.17</v>
      </c>
      <c r="H27">
        <v>403.17</v>
      </c>
      <c r="I27" t="s">
        <v>56</v>
      </c>
      <c r="J27" t="s">
        <v>56</v>
      </c>
      <c r="L27" s="24">
        <v>6000000</v>
      </c>
      <c r="N27" s="24">
        <v>6000000</v>
      </c>
      <c r="O27" t="s">
        <v>57</v>
      </c>
      <c r="Q27" t="s">
        <v>57</v>
      </c>
      <c r="R27" t="s">
        <v>58</v>
      </c>
      <c r="S27">
        <v>14882</v>
      </c>
      <c r="T27" t="s">
        <v>59</v>
      </c>
      <c r="U27" t="s">
        <v>60</v>
      </c>
      <c r="V27" t="s">
        <v>61</v>
      </c>
      <c r="W27" t="s">
        <v>62</v>
      </c>
      <c r="X27">
        <v>1926286</v>
      </c>
      <c r="Y27" s="11">
        <v>44775</v>
      </c>
      <c r="Z27" t="s">
        <v>57</v>
      </c>
      <c r="AA27">
        <v>1</v>
      </c>
      <c r="AB27" t="s">
        <v>57</v>
      </c>
      <c r="AD27" t="s">
        <v>57</v>
      </c>
      <c r="AE27" t="s">
        <v>57</v>
      </c>
      <c r="AF27" t="s">
        <v>57</v>
      </c>
      <c r="AG27">
        <v>1</v>
      </c>
      <c r="AH27" t="s">
        <v>57</v>
      </c>
      <c r="AI27">
        <v>55041601</v>
      </c>
      <c r="AJ27" t="s">
        <v>92</v>
      </c>
      <c r="AL27">
        <v>22070063</v>
      </c>
      <c r="AM27" s="11">
        <v>44753</v>
      </c>
      <c r="AN27" t="s">
        <v>64</v>
      </c>
      <c r="AO27" t="s">
        <v>65</v>
      </c>
      <c r="AP27">
        <v>1205</v>
      </c>
      <c r="AQ27" t="s">
        <v>66</v>
      </c>
      <c r="AR27" t="s">
        <v>98</v>
      </c>
      <c r="AU27" t="s">
        <v>57</v>
      </c>
      <c r="AV27" t="s">
        <v>68</v>
      </c>
      <c r="AX27">
        <v>22001327</v>
      </c>
      <c r="AY27">
        <v>630300</v>
      </c>
      <c r="AZ27">
        <v>1205.6303</v>
      </c>
      <c r="BA27" s="23" t="s">
        <v>2</v>
      </c>
    </row>
    <row r="28" spans="1:53" x14ac:dyDescent="0.25">
      <c r="A28" t="s">
        <v>79</v>
      </c>
      <c r="B28" t="s">
        <v>80</v>
      </c>
      <c r="C28">
        <v>22004206</v>
      </c>
      <c r="D28">
        <v>1205</v>
      </c>
      <c r="E28" s="11">
        <v>44776</v>
      </c>
      <c r="F28" t="s">
        <v>86</v>
      </c>
      <c r="G28">
        <v>10.09</v>
      </c>
      <c r="H28">
        <v>10.09</v>
      </c>
      <c r="I28" t="s">
        <v>56</v>
      </c>
      <c r="J28" t="s">
        <v>56</v>
      </c>
      <c r="L28" s="24">
        <v>150000</v>
      </c>
      <c r="N28" s="24">
        <v>150000</v>
      </c>
      <c r="O28" t="s">
        <v>57</v>
      </c>
      <c r="Q28" t="s">
        <v>57</v>
      </c>
      <c r="R28" t="s">
        <v>58</v>
      </c>
      <c r="S28">
        <v>14860</v>
      </c>
      <c r="T28" t="s">
        <v>59</v>
      </c>
      <c r="U28" t="s">
        <v>60</v>
      </c>
      <c r="V28" t="s">
        <v>82</v>
      </c>
      <c r="W28" t="s">
        <v>83</v>
      </c>
      <c r="X28">
        <v>1926888</v>
      </c>
      <c r="Y28" s="11">
        <v>44776</v>
      </c>
      <c r="Z28" t="s">
        <v>57</v>
      </c>
      <c r="AA28">
        <v>1</v>
      </c>
      <c r="AB28" t="s">
        <v>57</v>
      </c>
      <c r="AD28" t="s">
        <v>57</v>
      </c>
      <c r="AE28" t="s">
        <v>57</v>
      </c>
      <c r="AF28" t="s">
        <v>57</v>
      </c>
      <c r="AG28">
        <v>3</v>
      </c>
      <c r="AH28" t="s">
        <v>57</v>
      </c>
      <c r="AI28">
        <v>55120333</v>
      </c>
      <c r="AJ28" t="s">
        <v>86</v>
      </c>
      <c r="AL28" t="s">
        <v>57</v>
      </c>
      <c r="AM28" s="11">
        <v>44776</v>
      </c>
      <c r="AN28" t="s">
        <v>99</v>
      </c>
      <c r="AO28" t="s">
        <v>65</v>
      </c>
      <c r="AP28">
        <v>1205</v>
      </c>
      <c r="AQ28" t="s">
        <v>66</v>
      </c>
      <c r="AR28" t="s">
        <v>100</v>
      </c>
      <c r="AU28" t="s">
        <v>57</v>
      </c>
      <c r="AV28" t="s">
        <v>68</v>
      </c>
      <c r="AX28">
        <v>22001322</v>
      </c>
      <c r="AY28">
        <v>630300</v>
      </c>
      <c r="AZ28">
        <v>1205.6303</v>
      </c>
      <c r="BA28" s="23" t="s">
        <v>2</v>
      </c>
    </row>
    <row r="29" spans="1:53" x14ac:dyDescent="0.25">
      <c r="A29" t="s">
        <v>79</v>
      </c>
      <c r="B29" t="s">
        <v>80</v>
      </c>
      <c r="C29">
        <v>22004278</v>
      </c>
      <c r="D29">
        <v>1205</v>
      </c>
      <c r="E29" s="11">
        <v>44777</v>
      </c>
      <c r="F29" t="s">
        <v>101</v>
      </c>
      <c r="G29">
        <v>56.53</v>
      </c>
      <c r="H29">
        <v>56.53</v>
      </c>
      <c r="I29" t="s">
        <v>56</v>
      </c>
      <c r="J29" t="s">
        <v>56</v>
      </c>
      <c r="L29" s="24">
        <v>840000</v>
      </c>
      <c r="N29" s="24">
        <v>840000</v>
      </c>
      <c r="O29" t="s">
        <v>57</v>
      </c>
      <c r="Q29" t="s">
        <v>57</v>
      </c>
      <c r="R29" t="s">
        <v>58</v>
      </c>
      <c r="S29">
        <v>14860</v>
      </c>
      <c r="T29" t="s">
        <v>59</v>
      </c>
      <c r="U29" t="s">
        <v>60</v>
      </c>
      <c r="V29" t="s">
        <v>82</v>
      </c>
      <c r="W29" t="s">
        <v>83</v>
      </c>
      <c r="X29">
        <v>1927406</v>
      </c>
      <c r="Y29" s="11">
        <v>44777</v>
      </c>
      <c r="Z29" t="s">
        <v>57</v>
      </c>
      <c r="AA29">
        <v>1</v>
      </c>
      <c r="AB29" t="s">
        <v>57</v>
      </c>
      <c r="AD29" t="s">
        <v>57</v>
      </c>
      <c r="AE29" t="s">
        <v>57</v>
      </c>
      <c r="AF29" t="s">
        <v>57</v>
      </c>
      <c r="AG29">
        <v>20</v>
      </c>
      <c r="AH29" t="s">
        <v>57</v>
      </c>
      <c r="AI29">
        <v>56971922</v>
      </c>
      <c r="AJ29" t="s">
        <v>101</v>
      </c>
      <c r="AL29" t="s">
        <v>57</v>
      </c>
      <c r="AM29" s="11">
        <v>44777</v>
      </c>
      <c r="AN29" t="s">
        <v>102</v>
      </c>
      <c r="AO29" t="s">
        <v>65</v>
      </c>
      <c r="AP29">
        <v>1205</v>
      </c>
      <c r="AQ29" t="s">
        <v>66</v>
      </c>
      <c r="AR29" t="s">
        <v>103</v>
      </c>
      <c r="AU29" t="s">
        <v>57</v>
      </c>
      <c r="AV29" t="s">
        <v>68</v>
      </c>
      <c r="AX29">
        <v>22001289</v>
      </c>
      <c r="AY29">
        <v>630300</v>
      </c>
      <c r="AZ29">
        <v>1205.6303</v>
      </c>
      <c r="BA29" s="23" t="s">
        <v>2</v>
      </c>
    </row>
    <row r="30" spans="1:53" x14ac:dyDescent="0.25">
      <c r="A30" t="s">
        <v>53</v>
      </c>
      <c r="B30" t="s">
        <v>54</v>
      </c>
      <c r="C30">
        <v>22002916</v>
      </c>
      <c r="D30">
        <v>1205</v>
      </c>
      <c r="E30" s="11">
        <v>44777</v>
      </c>
      <c r="F30" t="s">
        <v>86</v>
      </c>
      <c r="G30">
        <v>7.81</v>
      </c>
      <c r="H30">
        <v>7.81</v>
      </c>
      <c r="I30" t="s">
        <v>56</v>
      </c>
      <c r="J30" t="s">
        <v>56</v>
      </c>
      <c r="L30" s="24">
        <v>116000</v>
      </c>
      <c r="N30" s="24">
        <v>116000</v>
      </c>
      <c r="O30" t="s">
        <v>57</v>
      </c>
      <c r="Q30" t="s">
        <v>57</v>
      </c>
      <c r="R30" t="s">
        <v>58</v>
      </c>
      <c r="S30">
        <v>14860</v>
      </c>
      <c r="T30" t="s">
        <v>59</v>
      </c>
      <c r="U30" t="s">
        <v>60</v>
      </c>
      <c r="V30" t="s">
        <v>61</v>
      </c>
      <c r="W30" t="s">
        <v>62</v>
      </c>
      <c r="X30">
        <v>1927150</v>
      </c>
      <c r="Y30" s="11">
        <v>44777</v>
      </c>
      <c r="Z30" t="s">
        <v>57</v>
      </c>
      <c r="AA30">
        <v>1</v>
      </c>
      <c r="AB30" t="s">
        <v>57</v>
      </c>
      <c r="AD30" t="s">
        <v>57</v>
      </c>
      <c r="AE30" t="s">
        <v>57</v>
      </c>
      <c r="AF30" t="s">
        <v>57</v>
      </c>
      <c r="AG30">
        <v>1</v>
      </c>
      <c r="AH30" t="s">
        <v>57</v>
      </c>
      <c r="AI30">
        <v>55120333</v>
      </c>
      <c r="AJ30" t="s">
        <v>86</v>
      </c>
      <c r="AL30" t="s">
        <v>104</v>
      </c>
      <c r="AM30" s="11">
        <v>44760</v>
      </c>
      <c r="AN30" t="s">
        <v>64</v>
      </c>
      <c r="AO30" t="s">
        <v>65</v>
      </c>
      <c r="AP30">
        <v>1205</v>
      </c>
      <c r="AQ30" t="s">
        <v>66</v>
      </c>
      <c r="AR30" t="s">
        <v>88</v>
      </c>
      <c r="AU30" t="s">
        <v>57</v>
      </c>
      <c r="AV30" t="s">
        <v>68</v>
      </c>
      <c r="AX30">
        <v>22001336</v>
      </c>
      <c r="AY30">
        <v>630300</v>
      </c>
      <c r="AZ30">
        <v>1205.6303</v>
      </c>
      <c r="BA30" s="23" t="s">
        <v>2</v>
      </c>
    </row>
    <row r="31" spans="1:53" x14ac:dyDescent="0.25">
      <c r="A31" t="s">
        <v>53</v>
      </c>
      <c r="B31" t="s">
        <v>54</v>
      </c>
      <c r="C31">
        <v>22002917</v>
      </c>
      <c r="D31">
        <v>1205</v>
      </c>
      <c r="E31" s="11">
        <v>44777</v>
      </c>
      <c r="F31" t="s">
        <v>86</v>
      </c>
      <c r="G31">
        <v>0.01</v>
      </c>
      <c r="H31">
        <v>0.01</v>
      </c>
      <c r="I31" t="s">
        <v>56</v>
      </c>
      <c r="J31" t="s">
        <v>56</v>
      </c>
      <c r="O31" t="s">
        <v>57</v>
      </c>
      <c r="Q31" t="s">
        <v>57</v>
      </c>
      <c r="R31" t="s">
        <v>58</v>
      </c>
      <c r="S31">
        <v>14860</v>
      </c>
      <c r="T31" t="s">
        <v>59</v>
      </c>
      <c r="U31" t="s">
        <v>60</v>
      </c>
      <c r="V31" t="s">
        <v>61</v>
      </c>
      <c r="W31" t="s">
        <v>62</v>
      </c>
      <c r="X31">
        <v>1927150</v>
      </c>
      <c r="Y31" s="11">
        <v>44777</v>
      </c>
      <c r="Z31" t="s">
        <v>57</v>
      </c>
      <c r="AA31">
        <v>2</v>
      </c>
      <c r="AB31" t="s">
        <v>57</v>
      </c>
      <c r="AD31" t="s">
        <v>57</v>
      </c>
      <c r="AE31" t="s">
        <v>57</v>
      </c>
      <c r="AF31" t="s">
        <v>57</v>
      </c>
      <c r="AH31" t="s">
        <v>57</v>
      </c>
      <c r="AI31">
        <v>55120333</v>
      </c>
      <c r="AJ31" t="s">
        <v>86</v>
      </c>
      <c r="AL31" t="s">
        <v>105</v>
      </c>
      <c r="AM31" s="11">
        <v>44761</v>
      </c>
      <c r="AN31" t="s">
        <v>64</v>
      </c>
      <c r="AO31" t="s">
        <v>65</v>
      </c>
      <c r="AP31">
        <v>1205</v>
      </c>
      <c r="AQ31" t="s">
        <v>66</v>
      </c>
      <c r="AR31" t="s">
        <v>106</v>
      </c>
      <c r="AU31" t="s">
        <v>57</v>
      </c>
      <c r="AV31" t="s">
        <v>68</v>
      </c>
      <c r="AX31">
        <v>22001337</v>
      </c>
      <c r="AY31">
        <v>630300</v>
      </c>
      <c r="AZ31">
        <v>1205.6303</v>
      </c>
      <c r="BA31" s="23" t="s">
        <v>2</v>
      </c>
    </row>
    <row r="32" spans="1:53" x14ac:dyDescent="0.25">
      <c r="A32" t="s">
        <v>53</v>
      </c>
      <c r="B32" t="s">
        <v>54</v>
      </c>
      <c r="C32">
        <v>22002918</v>
      </c>
      <c r="D32">
        <v>1205</v>
      </c>
      <c r="E32" s="11">
        <v>44777</v>
      </c>
      <c r="F32" t="s">
        <v>86</v>
      </c>
      <c r="G32">
        <v>0.02</v>
      </c>
      <c r="H32">
        <v>0.02</v>
      </c>
      <c r="I32" t="s">
        <v>56</v>
      </c>
      <c r="J32" t="s">
        <v>56</v>
      </c>
      <c r="O32" t="s">
        <v>57</v>
      </c>
      <c r="Q32" t="s">
        <v>57</v>
      </c>
      <c r="R32" t="s">
        <v>58</v>
      </c>
      <c r="S32">
        <v>14860</v>
      </c>
      <c r="T32" t="s">
        <v>59</v>
      </c>
      <c r="U32" t="s">
        <v>60</v>
      </c>
      <c r="V32" t="s">
        <v>61</v>
      </c>
      <c r="W32" t="s">
        <v>62</v>
      </c>
      <c r="X32">
        <v>1927150</v>
      </c>
      <c r="Y32" s="11">
        <v>44777</v>
      </c>
      <c r="Z32" t="s">
        <v>57</v>
      </c>
      <c r="AA32">
        <v>2</v>
      </c>
      <c r="AB32" t="s">
        <v>57</v>
      </c>
      <c r="AD32" t="s">
        <v>57</v>
      </c>
      <c r="AE32" t="s">
        <v>57</v>
      </c>
      <c r="AF32" t="s">
        <v>57</v>
      </c>
      <c r="AH32" t="s">
        <v>57</v>
      </c>
      <c r="AI32">
        <v>55120333</v>
      </c>
      <c r="AJ32" t="s">
        <v>86</v>
      </c>
      <c r="AL32" t="s">
        <v>107</v>
      </c>
      <c r="AM32" s="11">
        <v>44761</v>
      </c>
      <c r="AN32" t="s">
        <v>64</v>
      </c>
      <c r="AO32" t="s">
        <v>65</v>
      </c>
      <c r="AP32">
        <v>1205</v>
      </c>
      <c r="AQ32" t="s">
        <v>66</v>
      </c>
      <c r="AR32" t="s">
        <v>108</v>
      </c>
      <c r="AU32" t="s">
        <v>57</v>
      </c>
      <c r="AV32" t="s">
        <v>68</v>
      </c>
      <c r="AX32">
        <v>22001319</v>
      </c>
      <c r="AY32">
        <v>630300</v>
      </c>
      <c r="AZ32">
        <v>1205.6303</v>
      </c>
      <c r="BA32" s="23" t="s">
        <v>2</v>
      </c>
    </row>
    <row r="33" spans="1:53" x14ac:dyDescent="0.25">
      <c r="A33" t="s">
        <v>53</v>
      </c>
      <c r="B33" t="s">
        <v>54</v>
      </c>
      <c r="C33">
        <v>22002919</v>
      </c>
      <c r="D33">
        <v>1205</v>
      </c>
      <c r="E33" s="11">
        <v>44777</v>
      </c>
      <c r="F33" t="s">
        <v>109</v>
      </c>
      <c r="G33">
        <v>29.07</v>
      </c>
      <c r="H33">
        <v>29.07</v>
      </c>
      <c r="I33" t="s">
        <v>56</v>
      </c>
      <c r="J33" t="s">
        <v>56</v>
      </c>
      <c r="L33" s="24">
        <v>432000</v>
      </c>
      <c r="N33" s="24">
        <v>432000</v>
      </c>
      <c r="O33" t="s">
        <v>57</v>
      </c>
      <c r="Q33" t="s">
        <v>57</v>
      </c>
      <c r="R33" t="s">
        <v>58</v>
      </c>
      <c r="S33">
        <v>14860</v>
      </c>
      <c r="T33" t="s">
        <v>59</v>
      </c>
      <c r="U33" t="s">
        <v>60</v>
      </c>
      <c r="V33" t="s">
        <v>61</v>
      </c>
      <c r="W33" t="s">
        <v>62</v>
      </c>
      <c r="X33">
        <v>1927229</v>
      </c>
      <c r="Y33" s="11">
        <v>44777</v>
      </c>
      <c r="Z33" t="s">
        <v>57</v>
      </c>
      <c r="AA33">
        <v>1</v>
      </c>
      <c r="AB33" t="s">
        <v>57</v>
      </c>
      <c r="AD33" t="s">
        <v>57</v>
      </c>
      <c r="AE33" t="s">
        <v>57</v>
      </c>
      <c r="AF33" t="s">
        <v>57</v>
      </c>
      <c r="AG33">
        <v>1</v>
      </c>
      <c r="AH33" t="s">
        <v>57</v>
      </c>
      <c r="AI33">
        <v>54000628</v>
      </c>
      <c r="AJ33" t="s">
        <v>109</v>
      </c>
      <c r="AL33" t="s">
        <v>110</v>
      </c>
      <c r="AM33" s="11">
        <v>44756</v>
      </c>
      <c r="AN33" t="s">
        <v>64</v>
      </c>
      <c r="AO33" t="s">
        <v>65</v>
      </c>
      <c r="AP33">
        <v>1205</v>
      </c>
      <c r="AQ33" t="s">
        <v>66</v>
      </c>
      <c r="AR33" t="s">
        <v>88</v>
      </c>
      <c r="AU33" t="s">
        <v>57</v>
      </c>
      <c r="AV33" t="s">
        <v>68</v>
      </c>
      <c r="AX33">
        <v>22001334</v>
      </c>
      <c r="AY33">
        <v>630300</v>
      </c>
      <c r="AZ33">
        <v>1205.6303</v>
      </c>
      <c r="BA33" s="23" t="s">
        <v>2</v>
      </c>
    </row>
    <row r="34" spans="1:53" x14ac:dyDescent="0.25">
      <c r="A34" t="s">
        <v>53</v>
      </c>
      <c r="B34" t="s">
        <v>54</v>
      </c>
      <c r="C34">
        <v>22002921</v>
      </c>
      <c r="D34">
        <v>1205</v>
      </c>
      <c r="E34" s="11">
        <v>44777</v>
      </c>
      <c r="F34" t="s">
        <v>111</v>
      </c>
      <c r="G34">
        <v>1.01</v>
      </c>
      <c r="H34">
        <v>1.01</v>
      </c>
      <c r="I34" t="s">
        <v>56</v>
      </c>
      <c r="J34" t="s">
        <v>56</v>
      </c>
      <c r="L34" s="24">
        <v>15000</v>
      </c>
      <c r="N34" s="24">
        <v>15000</v>
      </c>
      <c r="O34" t="s">
        <v>57</v>
      </c>
      <c r="Q34" t="s">
        <v>57</v>
      </c>
      <c r="R34" t="s">
        <v>58</v>
      </c>
      <c r="S34">
        <v>14860</v>
      </c>
      <c r="T34" t="s">
        <v>59</v>
      </c>
      <c r="U34" t="s">
        <v>60</v>
      </c>
      <c r="V34" t="s">
        <v>61</v>
      </c>
      <c r="W34" t="s">
        <v>62</v>
      </c>
      <c r="X34">
        <v>1927250</v>
      </c>
      <c r="Y34" s="11">
        <v>44777</v>
      </c>
      <c r="Z34" t="s">
        <v>57</v>
      </c>
      <c r="AA34">
        <v>1</v>
      </c>
      <c r="AB34" t="s">
        <v>57</v>
      </c>
      <c r="AD34" t="s">
        <v>57</v>
      </c>
      <c r="AE34" t="s">
        <v>57</v>
      </c>
      <c r="AF34" t="s">
        <v>57</v>
      </c>
      <c r="AG34">
        <v>1</v>
      </c>
      <c r="AH34" t="s">
        <v>57</v>
      </c>
      <c r="AI34">
        <v>55040000</v>
      </c>
      <c r="AJ34" t="s">
        <v>111</v>
      </c>
      <c r="AL34" t="s">
        <v>112</v>
      </c>
      <c r="AM34" s="11">
        <v>44757</v>
      </c>
      <c r="AN34" t="s">
        <v>64</v>
      </c>
      <c r="AO34" t="s">
        <v>65</v>
      </c>
      <c r="AP34">
        <v>1205</v>
      </c>
      <c r="AQ34" t="s">
        <v>66</v>
      </c>
      <c r="AR34" t="s">
        <v>88</v>
      </c>
      <c r="AU34" t="s">
        <v>57</v>
      </c>
      <c r="AV34" t="s">
        <v>68</v>
      </c>
      <c r="AX34">
        <v>22001333</v>
      </c>
      <c r="AY34">
        <v>630300</v>
      </c>
      <c r="AZ34">
        <v>1205.6303</v>
      </c>
      <c r="BA34" s="23" t="s">
        <v>2</v>
      </c>
    </row>
    <row r="35" spans="1:53" x14ac:dyDescent="0.25">
      <c r="A35" t="s">
        <v>53</v>
      </c>
      <c r="B35" t="s">
        <v>54</v>
      </c>
      <c r="C35">
        <v>22002923</v>
      </c>
      <c r="D35">
        <v>1205</v>
      </c>
      <c r="E35" s="11">
        <v>44777</v>
      </c>
      <c r="F35" t="s">
        <v>111</v>
      </c>
      <c r="G35">
        <v>1.01</v>
      </c>
      <c r="H35">
        <v>1.01</v>
      </c>
      <c r="I35" t="s">
        <v>56</v>
      </c>
      <c r="J35" t="s">
        <v>56</v>
      </c>
      <c r="L35" s="24">
        <v>15000</v>
      </c>
      <c r="N35" s="24">
        <v>15000</v>
      </c>
      <c r="O35" t="s">
        <v>57</v>
      </c>
      <c r="Q35" t="s">
        <v>57</v>
      </c>
      <c r="R35" t="s">
        <v>58</v>
      </c>
      <c r="S35">
        <v>14860</v>
      </c>
      <c r="T35" t="s">
        <v>59</v>
      </c>
      <c r="U35" t="s">
        <v>60</v>
      </c>
      <c r="V35" t="s">
        <v>61</v>
      </c>
      <c r="W35" t="s">
        <v>62</v>
      </c>
      <c r="X35">
        <v>1927250</v>
      </c>
      <c r="Y35" s="11">
        <v>44777</v>
      </c>
      <c r="Z35" t="s">
        <v>57</v>
      </c>
      <c r="AA35">
        <v>1</v>
      </c>
      <c r="AB35" t="s">
        <v>57</v>
      </c>
      <c r="AD35" t="s">
        <v>57</v>
      </c>
      <c r="AE35" t="s">
        <v>57</v>
      </c>
      <c r="AF35" t="s">
        <v>57</v>
      </c>
      <c r="AG35">
        <v>1</v>
      </c>
      <c r="AH35" t="s">
        <v>57</v>
      </c>
      <c r="AI35">
        <v>55040000</v>
      </c>
      <c r="AJ35" t="s">
        <v>111</v>
      </c>
      <c r="AL35" t="s">
        <v>113</v>
      </c>
      <c r="AM35" s="11">
        <v>44748</v>
      </c>
      <c r="AN35" t="s">
        <v>64</v>
      </c>
      <c r="AO35" t="s">
        <v>65</v>
      </c>
      <c r="AP35">
        <v>1205</v>
      </c>
      <c r="AQ35" t="s">
        <v>66</v>
      </c>
      <c r="AR35" t="s">
        <v>88</v>
      </c>
      <c r="AU35" t="s">
        <v>57</v>
      </c>
      <c r="AV35" t="s">
        <v>68</v>
      </c>
      <c r="AX35">
        <v>22001331</v>
      </c>
      <c r="AY35">
        <v>630300</v>
      </c>
      <c r="AZ35">
        <v>1205.6303</v>
      </c>
      <c r="BA35" s="23" t="s">
        <v>2</v>
      </c>
    </row>
    <row r="36" spans="1:53" x14ac:dyDescent="0.25">
      <c r="A36" t="s">
        <v>53</v>
      </c>
      <c r="B36" t="s">
        <v>54</v>
      </c>
      <c r="C36">
        <v>22002925</v>
      </c>
      <c r="D36">
        <v>1205</v>
      </c>
      <c r="E36" s="11">
        <v>44777</v>
      </c>
      <c r="F36" t="s">
        <v>111</v>
      </c>
      <c r="G36">
        <v>1.01</v>
      </c>
      <c r="H36">
        <v>1.01</v>
      </c>
      <c r="I36" t="s">
        <v>56</v>
      </c>
      <c r="J36" t="s">
        <v>56</v>
      </c>
      <c r="L36" s="24">
        <v>15000</v>
      </c>
      <c r="N36" s="24">
        <v>15000</v>
      </c>
      <c r="O36" t="s">
        <v>57</v>
      </c>
      <c r="Q36" t="s">
        <v>57</v>
      </c>
      <c r="R36" t="s">
        <v>58</v>
      </c>
      <c r="S36">
        <v>14860</v>
      </c>
      <c r="T36" t="s">
        <v>59</v>
      </c>
      <c r="U36" t="s">
        <v>60</v>
      </c>
      <c r="V36" t="s">
        <v>61</v>
      </c>
      <c r="W36" t="s">
        <v>62</v>
      </c>
      <c r="X36">
        <v>1927250</v>
      </c>
      <c r="Y36" s="11">
        <v>44777</v>
      </c>
      <c r="Z36" t="s">
        <v>57</v>
      </c>
      <c r="AA36">
        <v>1</v>
      </c>
      <c r="AB36" t="s">
        <v>57</v>
      </c>
      <c r="AD36" t="s">
        <v>57</v>
      </c>
      <c r="AE36" t="s">
        <v>57</v>
      </c>
      <c r="AF36" t="s">
        <v>57</v>
      </c>
      <c r="AG36">
        <v>1</v>
      </c>
      <c r="AH36" t="s">
        <v>57</v>
      </c>
      <c r="AI36">
        <v>55040000</v>
      </c>
      <c r="AJ36" t="s">
        <v>111</v>
      </c>
      <c r="AL36" t="s">
        <v>114</v>
      </c>
      <c r="AM36" s="11">
        <v>44754</v>
      </c>
      <c r="AN36" t="s">
        <v>64</v>
      </c>
      <c r="AO36" t="s">
        <v>65</v>
      </c>
      <c r="AP36">
        <v>1205</v>
      </c>
      <c r="AQ36" t="s">
        <v>66</v>
      </c>
      <c r="AR36" t="s">
        <v>88</v>
      </c>
      <c r="AU36" t="s">
        <v>57</v>
      </c>
      <c r="AV36" t="s">
        <v>68</v>
      </c>
      <c r="AX36">
        <v>22001332</v>
      </c>
      <c r="AY36">
        <v>630300</v>
      </c>
      <c r="AZ36">
        <v>1205.6303</v>
      </c>
      <c r="BA36" s="23" t="s">
        <v>2</v>
      </c>
    </row>
    <row r="37" spans="1:53" x14ac:dyDescent="0.25">
      <c r="A37" t="s">
        <v>53</v>
      </c>
      <c r="B37" t="s">
        <v>54</v>
      </c>
      <c r="C37">
        <v>22002935</v>
      </c>
      <c r="D37">
        <v>1205</v>
      </c>
      <c r="E37" s="11">
        <v>44777</v>
      </c>
      <c r="F37" t="s">
        <v>81</v>
      </c>
      <c r="G37">
        <v>9.16</v>
      </c>
      <c r="H37">
        <v>9.16</v>
      </c>
      <c r="I37" t="s">
        <v>56</v>
      </c>
      <c r="J37" t="s">
        <v>56</v>
      </c>
      <c r="L37" s="24">
        <v>136000</v>
      </c>
      <c r="N37" s="24">
        <v>136000</v>
      </c>
      <c r="O37" t="s">
        <v>57</v>
      </c>
      <c r="Q37" t="s">
        <v>57</v>
      </c>
      <c r="R37" t="s">
        <v>58</v>
      </c>
      <c r="S37">
        <v>14860</v>
      </c>
      <c r="T37" t="s">
        <v>59</v>
      </c>
      <c r="U37" t="s">
        <v>60</v>
      </c>
      <c r="V37" t="s">
        <v>61</v>
      </c>
      <c r="W37" t="s">
        <v>62</v>
      </c>
      <c r="X37">
        <v>1927361</v>
      </c>
      <c r="Y37" s="11">
        <v>44777</v>
      </c>
      <c r="Z37" t="s">
        <v>57</v>
      </c>
      <c r="AA37">
        <v>1</v>
      </c>
      <c r="AB37" t="s">
        <v>57</v>
      </c>
      <c r="AD37" t="s">
        <v>57</v>
      </c>
      <c r="AE37" t="s">
        <v>57</v>
      </c>
      <c r="AF37" t="s">
        <v>57</v>
      </c>
      <c r="AG37">
        <v>2</v>
      </c>
      <c r="AH37" t="s">
        <v>57</v>
      </c>
      <c r="AI37">
        <v>57082431</v>
      </c>
      <c r="AJ37" t="s">
        <v>81</v>
      </c>
      <c r="AL37" t="s">
        <v>115</v>
      </c>
      <c r="AM37" s="11">
        <v>44753</v>
      </c>
      <c r="AN37" t="s">
        <v>64</v>
      </c>
      <c r="AO37" t="s">
        <v>65</v>
      </c>
      <c r="AP37">
        <v>1205</v>
      </c>
      <c r="AQ37" t="s">
        <v>66</v>
      </c>
      <c r="AR37" t="s">
        <v>88</v>
      </c>
      <c r="AU37" t="s">
        <v>57</v>
      </c>
      <c r="AV37" t="s">
        <v>68</v>
      </c>
      <c r="AX37">
        <v>22001345</v>
      </c>
      <c r="AY37">
        <v>630300</v>
      </c>
      <c r="AZ37">
        <v>1205.6303</v>
      </c>
      <c r="BA37" s="23" t="s">
        <v>2</v>
      </c>
    </row>
    <row r="38" spans="1:53" x14ac:dyDescent="0.25">
      <c r="A38" t="s">
        <v>79</v>
      </c>
      <c r="B38" t="s">
        <v>80</v>
      </c>
      <c r="C38">
        <v>22004353</v>
      </c>
      <c r="D38">
        <v>1205</v>
      </c>
      <c r="E38" s="11">
        <v>44782</v>
      </c>
      <c r="F38" t="s">
        <v>81</v>
      </c>
      <c r="G38">
        <v>40.380000000000003</v>
      </c>
      <c r="H38">
        <v>40.380000000000003</v>
      </c>
      <c r="I38" t="s">
        <v>56</v>
      </c>
      <c r="J38" t="s">
        <v>56</v>
      </c>
      <c r="L38" s="24">
        <v>600000</v>
      </c>
      <c r="N38" s="24">
        <v>600000</v>
      </c>
      <c r="O38" t="s">
        <v>57</v>
      </c>
      <c r="Q38" t="s">
        <v>57</v>
      </c>
      <c r="R38" t="s">
        <v>58</v>
      </c>
      <c r="S38">
        <v>14860</v>
      </c>
      <c r="T38" t="s">
        <v>59</v>
      </c>
      <c r="U38" t="s">
        <v>60</v>
      </c>
      <c r="V38" t="s">
        <v>82</v>
      </c>
      <c r="W38" t="s">
        <v>83</v>
      </c>
      <c r="X38">
        <v>1929270</v>
      </c>
      <c r="Y38" s="11">
        <v>44782</v>
      </c>
      <c r="Z38" t="s">
        <v>57</v>
      </c>
      <c r="AA38">
        <v>1</v>
      </c>
      <c r="AB38" t="s">
        <v>57</v>
      </c>
      <c r="AD38" t="s">
        <v>57</v>
      </c>
      <c r="AE38" t="s">
        <v>57</v>
      </c>
      <c r="AF38" t="s">
        <v>57</v>
      </c>
      <c r="AG38">
        <v>25</v>
      </c>
      <c r="AH38" t="s">
        <v>57</v>
      </c>
      <c r="AI38">
        <v>57082431</v>
      </c>
      <c r="AJ38" t="s">
        <v>81</v>
      </c>
      <c r="AL38" t="s">
        <v>57</v>
      </c>
      <c r="AM38" s="11">
        <v>44782</v>
      </c>
      <c r="AN38" t="s">
        <v>99</v>
      </c>
      <c r="AO38" t="s">
        <v>65</v>
      </c>
      <c r="AP38">
        <v>1205</v>
      </c>
      <c r="AQ38" t="s">
        <v>66</v>
      </c>
      <c r="AR38" t="s">
        <v>85</v>
      </c>
      <c r="AU38" t="s">
        <v>57</v>
      </c>
      <c r="AV38" t="s">
        <v>68</v>
      </c>
      <c r="AX38">
        <v>22001947</v>
      </c>
      <c r="AY38">
        <v>630300</v>
      </c>
      <c r="AZ38">
        <v>1205.6303</v>
      </c>
      <c r="BA38" s="23" t="s">
        <v>2</v>
      </c>
    </row>
    <row r="39" spans="1:53" x14ac:dyDescent="0.25">
      <c r="A39" t="s">
        <v>53</v>
      </c>
      <c r="B39" t="s">
        <v>54</v>
      </c>
      <c r="C39">
        <v>22002964</v>
      </c>
      <c r="D39">
        <v>1205</v>
      </c>
      <c r="E39" s="11">
        <v>44782</v>
      </c>
      <c r="F39" t="s">
        <v>277</v>
      </c>
      <c r="G39">
        <v>0.87</v>
      </c>
      <c r="H39">
        <v>0.87</v>
      </c>
      <c r="I39" t="s">
        <v>56</v>
      </c>
      <c r="J39" t="s">
        <v>56</v>
      </c>
      <c r="L39" s="24">
        <v>13000</v>
      </c>
      <c r="N39" s="24">
        <v>13000</v>
      </c>
      <c r="O39" t="s">
        <v>57</v>
      </c>
      <c r="Q39" t="s">
        <v>57</v>
      </c>
      <c r="R39" t="s">
        <v>58</v>
      </c>
      <c r="S39">
        <v>14860</v>
      </c>
      <c r="T39" t="s">
        <v>59</v>
      </c>
      <c r="U39" t="s">
        <v>60</v>
      </c>
      <c r="V39" t="s">
        <v>61</v>
      </c>
      <c r="W39" t="s">
        <v>62</v>
      </c>
      <c r="X39">
        <v>1929026</v>
      </c>
      <c r="Y39" s="11">
        <v>44782</v>
      </c>
      <c r="Z39" t="s">
        <v>57</v>
      </c>
      <c r="AA39">
        <v>1</v>
      </c>
      <c r="AB39" t="s">
        <v>57</v>
      </c>
      <c r="AD39" t="s">
        <v>57</v>
      </c>
      <c r="AE39" t="s">
        <v>57</v>
      </c>
      <c r="AF39" t="s">
        <v>57</v>
      </c>
      <c r="AG39">
        <v>1</v>
      </c>
      <c r="AH39" t="s">
        <v>57</v>
      </c>
      <c r="AI39">
        <v>55701242</v>
      </c>
      <c r="AJ39" t="s">
        <v>277</v>
      </c>
      <c r="AL39" t="s">
        <v>278</v>
      </c>
      <c r="AM39" s="11">
        <v>44768</v>
      </c>
      <c r="AN39" t="s">
        <v>64</v>
      </c>
      <c r="AO39" t="s">
        <v>65</v>
      </c>
      <c r="AP39">
        <v>1205</v>
      </c>
      <c r="AQ39" t="s">
        <v>66</v>
      </c>
      <c r="AR39" t="s">
        <v>88</v>
      </c>
      <c r="AU39" t="s">
        <v>57</v>
      </c>
      <c r="AV39" t="s">
        <v>68</v>
      </c>
      <c r="AX39">
        <v>22001346</v>
      </c>
      <c r="AY39">
        <v>630300</v>
      </c>
      <c r="AZ39">
        <v>1205.6303</v>
      </c>
      <c r="BA39" s="23" t="s">
        <v>2</v>
      </c>
    </row>
    <row r="40" spans="1:53" x14ac:dyDescent="0.25">
      <c r="A40" t="s">
        <v>53</v>
      </c>
      <c r="B40" t="s">
        <v>54</v>
      </c>
      <c r="C40">
        <v>22002970</v>
      </c>
      <c r="D40">
        <v>1205</v>
      </c>
      <c r="E40" s="11">
        <v>44782</v>
      </c>
      <c r="F40" t="s">
        <v>81</v>
      </c>
      <c r="G40">
        <v>2.02</v>
      </c>
      <c r="H40">
        <v>2.02</v>
      </c>
      <c r="I40" t="s">
        <v>56</v>
      </c>
      <c r="J40" t="s">
        <v>56</v>
      </c>
      <c r="L40" s="24">
        <v>30000</v>
      </c>
      <c r="N40" s="24">
        <v>30000</v>
      </c>
      <c r="O40" t="s">
        <v>57</v>
      </c>
      <c r="Q40" t="s">
        <v>57</v>
      </c>
      <c r="R40" t="s">
        <v>58</v>
      </c>
      <c r="S40">
        <v>14860</v>
      </c>
      <c r="T40" t="s">
        <v>59</v>
      </c>
      <c r="U40" t="s">
        <v>60</v>
      </c>
      <c r="V40" t="s">
        <v>61</v>
      </c>
      <c r="W40" t="s">
        <v>62</v>
      </c>
      <c r="X40">
        <v>1929152</v>
      </c>
      <c r="Y40" s="11">
        <v>44782</v>
      </c>
      <c r="Z40" t="s">
        <v>57</v>
      </c>
      <c r="AA40">
        <v>1</v>
      </c>
      <c r="AB40" t="s">
        <v>57</v>
      </c>
      <c r="AD40" t="s">
        <v>57</v>
      </c>
      <c r="AE40" t="s">
        <v>57</v>
      </c>
      <c r="AF40" t="s">
        <v>57</v>
      </c>
      <c r="AG40">
        <v>2</v>
      </c>
      <c r="AH40" t="s">
        <v>57</v>
      </c>
      <c r="AI40">
        <v>57082431</v>
      </c>
      <c r="AJ40" t="s">
        <v>81</v>
      </c>
      <c r="AL40" t="s">
        <v>279</v>
      </c>
      <c r="AM40" s="11">
        <v>44767</v>
      </c>
      <c r="AN40" t="s">
        <v>64</v>
      </c>
      <c r="AO40" t="s">
        <v>65</v>
      </c>
      <c r="AP40">
        <v>1205</v>
      </c>
      <c r="AQ40" t="s">
        <v>66</v>
      </c>
      <c r="AR40" t="s">
        <v>88</v>
      </c>
      <c r="AU40" t="s">
        <v>57</v>
      </c>
      <c r="AV40" t="s">
        <v>68</v>
      </c>
      <c r="AX40">
        <v>22001344</v>
      </c>
      <c r="AY40">
        <v>630300</v>
      </c>
      <c r="AZ40">
        <v>1205.6303</v>
      </c>
      <c r="BA40" s="23" t="s">
        <v>2</v>
      </c>
    </row>
    <row r="41" spans="1:53" x14ac:dyDescent="0.25">
      <c r="A41" t="s">
        <v>79</v>
      </c>
      <c r="B41" t="s">
        <v>80</v>
      </c>
      <c r="C41">
        <v>22004455</v>
      </c>
      <c r="D41">
        <v>1205</v>
      </c>
      <c r="E41" s="11">
        <v>44789</v>
      </c>
      <c r="F41" t="s">
        <v>277</v>
      </c>
      <c r="G41">
        <v>32.840000000000003</v>
      </c>
      <c r="H41">
        <v>32.840000000000003</v>
      </c>
      <c r="I41" t="s">
        <v>56</v>
      </c>
      <c r="J41" t="s">
        <v>56</v>
      </c>
      <c r="L41" s="24">
        <v>488000</v>
      </c>
      <c r="N41" s="24">
        <v>488000</v>
      </c>
      <c r="O41" t="s">
        <v>57</v>
      </c>
      <c r="Q41" t="s">
        <v>57</v>
      </c>
      <c r="R41" t="s">
        <v>58</v>
      </c>
      <c r="S41">
        <v>14860</v>
      </c>
      <c r="T41" t="s">
        <v>59</v>
      </c>
      <c r="U41" t="s">
        <v>60</v>
      </c>
      <c r="V41" t="s">
        <v>82</v>
      </c>
      <c r="W41" t="s">
        <v>83</v>
      </c>
      <c r="X41">
        <v>1933080</v>
      </c>
      <c r="Y41" s="11">
        <v>44789</v>
      </c>
      <c r="Z41" t="s">
        <v>57</v>
      </c>
      <c r="AA41">
        <v>1</v>
      </c>
      <c r="AB41" t="s">
        <v>57</v>
      </c>
      <c r="AD41" t="s">
        <v>57</v>
      </c>
      <c r="AE41" t="s">
        <v>57</v>
      </c>
      <c r="AF41" t="s">
        <v>57</v>
      </c>
      <c r="AG41">
        <v>1</v>
      </c>
      <c r="AH41" t="s">
        <v>57</v>
      </c>
      <c r="AI41">
        <v>55701242</v>
      </c>
      <c r="AJ41" t="s">
        <v>277</v>
      </c>
      <c r="AL41" t="s">
        <v>57</v>
      </c>
      <c r="AM41" s="11">
        <v>44789</v>
      </c>
      <c r="AN41" t="s">
        <v>300</v>
      </c>
      <c r="AO41" t="s">
        <v>65</v>
      </c>
      <c r="AP41">
        <v>1205</v>
      </c>
      <c r="AQ41" t="s">
        <v>66</v>
      </c>
      <c r="AR41" t="s">
        <v>301</v>
      </c>
      <c r="AU41" t="s">
        <v>57</v>
      </c>
      <c r="AV41" t="s">
        <v>68</v>
      </c>
      <c r="AX41">
        <v>22001290</v>
      </c>
      <c r="AY41">
        <v>630300</v>
      </c>
      <c r="AZ41">
        <v>1205.6303</v>
      </c>
      <c r="BA41" s="23" t="s">
        <v>2</v>
      </c>
    </row>
    <row r="42" spans="1:53" x14ac:dyDescent="0.25">
      <c r="A42" t="s">
        <v>53</v>
      </c>
      <c r="B42" t="s">
        <v>54</v>
      </c>
      <c r="C42">
        <v>22003073</v>
      </c>
      <c r="D42">
        <v>1205</v>
      </c>
      <c r="E42" s="11">
        <v>44789</v>
      </c>
      <c r="F42" t="s">
        <v>302</v>
      </c>
      <c r="G42">
        <v>10.16</v>
      </c>
      <c r="H42">
        <v>10.16</v>
      </c>
      <c r="I42" t="s">
        <v>56</v>
      </c>
      <c r="J42" t="s">
        <v>56</v>
      </c>
      <c r="L42" s="24">
        <v>151000</v>
      </c>
      <c r="N42" s="24">
        <v>151000</v>
      </c>
      <c r="O42" t="s">
        <v>57</v>
      </c>
      <c r="Q42" t="s">
        <v>57</v>
      </c>
      <c r="R42" t="s">
        <v>58</v>
      </c>
      <c r="S42">
        <v>14860</v>
      </c>
      <c r="T42" t="s">
        <v>59</v>
      </c>
      <c r="U42" t="s">
        <v>60</v>
      </c>
      <c r="V42" t="s">
        <v>61</v>
      </c>
      <c r="W42" t="s">
        <v>62</v>
      </c>
      <c r="X42">
        <v>1933124</v>
      </c>
      <c r="Y42" s="11">
        <v>44789</v>
      </c>
      <c r="Z42" t="s">
        <v>57</v>
      </c>
      <c r="AA42">
        <v>1</v>
      </c>
      <c r="AB42" t="s">
        <v>57</v>
      </c>
      <c r="AD42" t="s">
        <v>57</v>
      </c>
      <c r="AE42" t="s">
        <v>57</v>
      </c>
      <c r="AF42" t="s">
        <v>57</v>
      </c>
      <c r="AG42">
        <v>1</v>
      </c>
      <c r="AH42" t="s">
        <v>57</v>
      </c>
      <c r="AI42">
        <v>57345851</v>
      </c>
      <c r="AJ42" t="s">
        <v>302</v>
      </c>
      <c r="AL42" t="s">
        <v>303</v>
      </c>
      <c r="AM42" s="11">
        <v>44789</v>
      </c>
      <c r="AN42" t="s">
        <v>304</v>
      </c>
      <c r="AO42" t="s">
        <v>65</v>
      </c>
      <c r="AP42">
        <v>1205</v>
      </c>
      <c r="AQ42" t="s">
        <v>66</v>
      </c>
      <c r="AR42" t="s">
        <v>305</v>
      </c>
      <c r="AU42" t="s">
        <v>57</v>
      </c>
      <c r="AV42" t="s">
        <v>68</v>
      </c>
      <c r="AX42">
        <v>22001364</v>
      </c>
      <c r="AY42">
        <v>630300</v>
      </c>
      <c r="AZ42">
        <v>1205.6303</v>
      </c>
      <c r="BA42" s="23" t="s">
        <v>2</v>
      </c>
    </row>
    <row r="43" spans="1:53" x14ac:dyDescent="0.25">
      <c r="A43" t="s">
        <v>53</v>
      </c>
      <c r="B43" t="s">
        <v>54</v>
      </c>
      <c r="C43">
        <v>22001487</v>
      </c>
      <c r="D43">
        <v>1206</v>
      </c>
      <c r="E43" s="11">
        <v>44774</v>
      </c>
      <c r="F43" t="s">
        <v>116</v>
      </c>
      <c r="G43">
        <v>-3.68</v>
      </c>
      <c r="I43" t="s">
        <v>56</v>
      </c>
      <c r="J43" t="s">
        <v>56</v>
      </c>
      <c r="K43">
        <v>-3.68</v>
      </c>
      <c r="O43" t="s">
        <v>57</v>
      </c>
      <c r="Q43" t="s">
        <v>57</v>
      </c>
      <c r="R43" t="s">
        <v>58</v>
      </c>
      <c r="S43">
        <v>14882</v>
      </c>
      <c r="T43" t="s">
        <v>59</v>
      </c>
      <c r="U43" t="s">
        <v>60</v>
      </c>
      <c r="V43" t="s">
        <v>61</v>
      </c>
      <c r="W43" t="s">
        <v>62</v>
      </c>
      <c r="X43">
        <v>1924938</v>
      </c>
      <c r="Y43" s="11">
        <v>44770</v>
      </c>
      <c r="Z43" t="s">
        <v>57</v>
      </c>
      <c r="AA43">
        <v>2</v>
      </c>
      <c r="AB43" t="s">
        <v>57</v>
      </c>
      <c r="AD43" t="s">
        <v>57</v>
      </c>
      <c r="AE43" t="s">
        <v>57</v>
      </c>
      <c r="AF43" t="s">
        <v>57</v>
      </c>
      <c r="AH43" t="s">
        <v>57</v>
      </c>
      <c r="AI43">
        <v>55737430</v>
      </c>
      <c r="AJ43" t="s">
        <v>116</v>
      </c>
      <c r="AL43">
        <v>2207013</v>
      </c>
      <c r="AM43" s="11">
        <v>44750</v>
      </c>
      <c r="AN43" t="s">
        <v>64</v>
      </c>
      <c r="AO43" t="s">
        <v>65</v>
      </c>
      <c r="AP43">
        <v>1206</v>
      </c>
      <c r="AQ43" t="s">
        <v>66</v>
      </c>
      <c r="AR43" t="s">
        <v>117</v>
      </c>
      <c r="AU43" t="s">
        <v>57</v>
      </c>
      <c r="AV43" t="s">
        <v>68</v>
      </c>
      <c r="AX43">
        <v>22001053</v>
      </c>
      <c r="AY43">
        <v>630300</v>
      </c>
      <c r="AZ43">
        <v>1206.6303</v>
      </c>
      <c r="BA43" s="23" t="s">
        <v>3</v>
      </c>
    </row>
    <row r="44" spans="1:53" x14ac:dyDescent="0.25">
      <c r="A44" t="s">
        <v>53</v>
      </c>
      <c r="B44" t="s">
        <v>54</v>
      </c>
      <c r="C44">
        <v>22001489</v>
      </c>
      <c r="D44">
        <v>1206</v>
      </c>
      <c r="E44" s="11">
        <v>44774</v>
      </c>
      <c r="F44" t="s">
        <v>116</v>
      </c>
      <c r="G44">
        <v>8.33</v>
      </c>
      <c r="H44">
        <v>8.33</v>
      </c>
      <c r="I44" t="s">
        <v>56</v>
      </c>
      <c r="J44" t="s">
        <v>56</v>
      </c>
      <c r="L44" s="24">
        <v>124000</v>
      </c>
      <c r="N44" s="24">
        <v>124000</v>
      </c>
      <c r="O44" t="s">
        <v>57</v>
      </c>
      <c r="Q44" t="s">
        <v>57</v>
      </c>
      <c r="R44" t="s">
        <v>58</v>
      </c>
      <c r="S44">
        <v>14882</v>
      </c>
      <c r="T44" t="s">
        <v>59</v>
      </c>
      <c r="U44" t="s">
        <v>60</v>
      </c>
      <c r="V44" t="s">
        <v>61</v>
      </c>
      <c r="W44" t="s">
        <v>62</v>
      </c>
      <c r="X44">
        <v>1924938</v>
      </c>
      <c r="Y44" s="11">
        <v>44770</v>
      </c>
      <c r="Z44" t="s">
        <v>57</v>
      </c>
      <c r="AA44">
        <v>1</v>
      </c>
      <c r="AB44" t="s">
        <v>57</v>
      </c>
      <c r="AD44" t="s">
        <v>57</v>
      </c>
      <c r="AE44" t="s">
        <v>57</v>
      </c>
      <c r="AF44" t="s">
        <v>57</v>
      </c>
      <c r="AG44">
        <v>2</v>
      </c>
      <c r="AH44" t="s">
        <v>57</v>
      </c>
      <c r="AI44">
        <v>55737430</v>
      </c>
      <c r="AJ44" t="s">
        <v>116</v>
      </c>
      <c r="AL44" t="s">
        <v>118</v>
      </c>
      <c r="AM44" s="11">
        <v>44750</v>
      </c>
      <c r="AN44" t="s">
        <v>64</v>
      </c>
      <c r="AO44" t="s">
        <v>65</v>
      </c>
      <c r="AP44">
        <v>1206</v>
      </c>
      <c r="AQ44" t="s">
        <v>66</v>
      </c>
      <c r="AR44" t="s">
        <v>88</v>
      </c>
      <c r="AU44" t="s">
        <v>57</v>
      </c>
      <c r="AV44" t="s">
        <v>68</v>
      </c>
      <c r="AX44">
        <v>22001120</v>
      </c>
      <c r="AY44">
        <v>630300</v>
      </c>
      <c r="AZ44">
        <v>1206.6303</v>
      </c>
      <c r="BA44" s="23" t="s">
        <v>3</v>
      </c>
    </row>
    <row r="45" spans="1:53" x14ac:dyDescent="0.25">
      <c r="A45" t="s">
        <v>53</v>
      </c>
      <c r="B45" t="s">
        <v>54</v>
      </c>
      <c r="C45">
        <v>22001490</v>
      </c>
      <c r="D45">
        <v>1206</v>
      </c>
      <c r="E45" s="11">
        <v>44774</v>
      </c>
      <c r="F45" t="s">
        <v>119</v>
      </c>
      <c r="G45">
        <v>12.43</v>
      </c>
      <c r="H45">
        <v>12.43</v>
      </c>
      <c r="I45" t="s">
        <v>56</v>
      </c>
      <c r="J45" t="s">
        <v>56</v>
      </c>
      <c r="L45" s="24">
        <v>185000</v>
      </c>
      <c r="N45" s="24">
        <v>185000</v>
      </c>
      <c r="O45" t="s">
        <v>57</v>
      </c>
      <c r="Q45" t="s">
        <v>57</v>
      </c>
      <c r="R45" t="s">
        <v>58</v>
      </c>
      <c r="S45">
        <v>14882</v>
      </c>
      <c r="T45" t="s">
        <v>59</v>
      </c>
      <c r="U45" t="s">
        <v>60</v>
      </c>
      <c r="V45" t="s">
        <v>61</v>
      </c>
      <c r="W45" t="s">
        <v>62</v>
      </c>
      <c r="X45">
        <v>1925021</v>
      </c>
      <c r="Y45" s="11">
        <v>44771</v>
      </c>
      <c r="Z45" t="s">
        <v>57</v>
      </c>
      <c r="AA45">
        <v>1</v>
      </c>
      <c r="AB45" t="s">
        <v>57</v>
      </c>
      <c r="AD45" t="s">
        <v>57</v>
      </c>
      <c r="AE45" t="s">
        <v>57</v>
      </c>
      <c r="AF45" t="s">
        <v>57</v>
      </c>
      <c r="AG45">
        <v>1</v>
      </c>
      <c r="AH45" t="s">
        <v>57</v>
      </c>
      <c r="AI45">
        <v>55328273</v>
      </c>
      <c r="AJ45" t="s">
        <v>119</v>
      </c>
      <c r="AL45" t="s">
        <v>120</v>
      </c>
      <c r="AM45" s="11">
        <v>44747</v>
      </c>
      <c r="AN45" t="s">
        <v>64</v>
      </c>
      <c r="AO45" t="s">
        <v>65</v>
      </c>
      <c r="AP45">
        <v>1206</v>
      </c>
      <c r="AQ45" t="s">
        <v>66</v>
      </c>
      <c r="AR45" t="s">
        <v>88</v>
      </c>
      <c r="AU45" t="s">
        <v>57</v>
      </c>
      <c r="AV45" t="s">
        <v>68</v>
      </c>
      <c r="AX45">
        <v>22001121</v>
      </c>
      <c r="AY45">
        <v>630300</v>
      </c>
      <c r="AZ45">
        <v>1206.6303</v>
      </c>
      <c r="BA45" s="23" t="s">
        <v>3</v>
      </c>
    </row>
    <row r="46" spans="1:53" x14ac:dyDescent="0.25">
      <c r="A46" t="s">
        <v>53</v>
      </c>
      <c r="B46" t="s">
        <v>54</v>
      </c>
      <c r="C46">
        <v>22001494</v>
      </c>
      <c r="D46">
        <v>1206</v>
      </c>
      <c r="E46" s="11">
        <v>44775</v>
      </c>
      <c r="F46" t="s">
        <v>55</v>
      </c>
      <c r="G46">
        <v>141.11000000000001</v>
      </c>
      <c r="H46">
        <v>141.11000000000001</v>
      </c>
      <c r="I46" t="s">
        <v>56</v>
      </c>
      <c r="J46" t="s">
        <v>56</v>
      </c>
      <c r="L46" s="24">
        <v>2100000</v>
      </c>
      <c r="N46" s="24">
        <v>2100000</v>
      </c>
      <c r="O46" t="s">
        <v>57</v>
      </c>
      <c r="Q46" t="s">
        <v>57</v>
      </c>
      <c r="R46" t="s">
        <v>58</v>
      </c>
      <c r="S46">
        <v>14882</v>
      </c>
      <c r="T46" t="s">
        <v>59</v>
      </c>
      <c r="U46" t="s">
        <v>60</v>
      </c>
      <c r="V46" t="s">
        <v>61</v>
      </c>
      <c r="W46" t="s">
        <v>62</v>
      </c>
      <c r="X46">
        <v>1926241</v>
      </c>
      <c r="Y46" s="11">
        <v>44775</v>
      </c>
      <c r="Z46" t="s">
        <v>57</v>
      </c>
      <c r="AA46">
        <v>1</v>
      </c>
      <c r="AB46" t="s">
        <v>57</v>
      </c>
      <c r="AD46" t="s">
        <v>57</v>
      </c>
      <c r="AE46" t="s">
        <v>57</v>
      </c>
      <c r="AF46" t="s">
        <v>57</v>
      </c>
      <c r="AG46">
        <v>6</v>
      </c>
      <c r="AH46" t="s">
        <v>57</v>
      </c>
      <c r="AI46">
        <v>55292936</v>
      </c>
      <c r="AJ46" t="s">
        <v>55</v>
      </c>
      <c r="AL46" t="s">
        <v>121</v>
      </c>
      <c r="AM46" s="11">
        <v>44701</v>
      </c>
      <c r="AN46" t="s">
        <v>64</v>
      </c>
      <c r="AO46" t="s">
        <v>65</v>
      </c>
      <c r="AP46">
        <v>1206</v>
      </c>
      <c r="AQ46" t="s">
        <v>66</v>
      </c>
      <c r="AR46" t="s">
        <v>122</v>
      </c>
      <c r="AU46" t="s">
        <v>57</v>
      </c>
      <c r="AV46" t="s">
        <v>68</v>
      </c>
      <c r="AX46">
        <v>22001124</v>
      </c>
      <c r="AY46">
        <v>630300</v>
      </c>
      <c r="AZ46">
        <v>1206.6303</v>
      </c>
      <c r="BA46" s="23" t="s">
        <v>3</v>
      </c>
    </row>
    <row r="47" spans="1:53" x14ac:dyDescent="0.25">
      <c r="A47" t="s">
        <v>53</v>
      </c>
      <c r="B47" t="s">
        <v>54</v>
      </c>
      <c r="C47">
        <v>22001495</v>
      </c>
      <c r="D47">
        <v>1206</v>
      </c>
      <c r="E47" s="11">
        <v>44775</v>
      </c>
      <c r="F47" t="s">
        <v>55</v>
      </c>
      <c r="G47">
        <v>235.18</v>
      </c>
      <c r="H47">
        <v>235.18</v>
      </c>
      <c r="I47" t="s">
        <v>56</v>
      </c>
      <c r="J47" t="s">
        <v>56</v>
      </c>
      <c r="L47" s="24">
        <v>3500000</v>
      </c>
      <c r="N47" s="24">
        <v>3500000</v>
      </c>
      <c r="O47" t="s">
        <v>57</v>
      </c>
      <c r="Q47" t="s">
        <v>57</v>
      </c>
      <c r="R47" t="s">
        <v>58</v>
      </c>
      <c r="S47">
        <v>14882</v>
      </c>
      <c r="T47" t="s">
        <v>59</v>
      </c>
      <c r="U47" t="s">
        <v>60</v>
      </c>
      <c r="V47" t="s">
        <v>61</v>
      </c>
      <c r="W47" t="s">
        <v>62</v>
      </c>
      <c r="X47">
        <v>1926241</v>
      </c>
      <c r="Y47" s="11">
        <v>44775</v>
      </c>
      <c r="Z47" t="s">
        <v>57</v>
      </c>
      <c r="AA47">
        <v>1</v>
      </c>
      <c r="AB47" t="s">
        <v>57</v>
      </c>
      <c r="AD47" t="s">
        <v>57</v>
      </c>
      <c r="AE47" t="s">
        <v>57</v>
      </c>
      <c r="AF47" t="s">
        <v>57</v>
      </c>
      <c r="AG47">
        <v>7</v>
      </c>
      <c r="AH47" t="s">
        <v>57</v>
      </c>
      <c r="AI47">
        <v>55292936</v>
      </c>
      <c r="AJ47" t="s">
        <v>55</v>
      </c>
      <c r="AL47" t="s">
        <v>123</v>
      </c>
      <c r="AM47" s="11">
        <v>44701</v>
      </c>
      <c r="AN47" t="s">
        <v>64</v>
      </c>
      <c r="AO47" t="s">
        <v>65</v>
      </c>
      <c r="AP47">
        <v>1206</v>
      </c>
      <c r="AQ47" t="s">
        <v>66</v>
      </c>
      <c r="AR47" t="s">
        <v>124</v>
      </c>
      <c r="AU47" t="s">
        <v>57</v>
      </c>
      <c r="AV47" t="s">
        <v>68</v>
      </c>
      <c r="AX47">
        <v>22001124</v>
      </c>
      <c r="AY47">
        <v>630300</v>
      </c>
      <c r="AZ47">
        <v>1206.6303</v>
      </c>
      <c r="BA47" s="23" t="s">
        <v>3</v>
      </c>
    </row>
    <row r="48" spans="1:53" x14ac:dyDescent="0.25">
      <c r="A48" t="s">
        <v>53</v>
      </c>
      <c r="B48" t="s">
        <v>54</v>
      </c>
      <c r="C48">
        <v>22001496</v>
      </c>
      <c r="D48">
        <v>1206</v>
      </c>
      <c r="E48" s="11">
        <v>44775</v>
      </c>
      <c r="F48" t="s">
        <v>55</v>
      </c>
      <c r="G48">
        <v>141.11000000000001</v>
      </c>
      <c r="H48">
        <v>141.11000000000001</v>
      </c>
      <c r="I48" t="s">
        <v>56</v>
      </c>
      <c r="J48" t="s">
        <v>56</v>
      </c>
      <c r="L48" s="24">
        <v>2100000</v>
      </c>
      <c r="N48" s="24">
        <v>2100000</v>
      </c>
      <c r="O48" t="s">
        <v>57</v>
      </c>
      <c r="Q48" t="s">
        <v>57</v>
      </c>
      <c r="R48" t="s">
        <v>58</v>
      </c>
      <c r="S48">
        <v>14882</v>
      </c>
      <c r="T48" t="s">
        <v>59</v>
      </c>
      <c r="U48" t="s">
        <v>60</v>
      </c>
      <c r="V48" t="s">
        <v>61</v>
      </c>
      <c r="W48" t="s">
        <v>62</v>
      </c>
      <c r="X48">
        <v>1926241</v>
      </c>
      <c r="Y48" s="11">
        <v>44775</v>
      </c>
      <c r="Z48" t="s">
        <v>57</v>
      </c>
      <c r="AA48">
        <v>1</v>
      </c>
      <c r="AB48" t="s">
        <v>57</v>
      </c>
      <c r="AD48" t="s">
        <v>57</v>
      </c>
      <c r="AE48" t="s">
        <v>57</v>
      </c>
      <c r="AF48" t="s">
        <v>57</v>
      </c>
      <c r="AG48">
        <v>6</v>
      </c>
      <c r="AH48" t="s">
        <v>57</v>
      </c>
      <c r="AI48">
        <v>55292936</v>
      </c>
      <c r="AJ48" t="s">
        <v>55</v>
      </c>
      <c r="AL48" t="s">
        <v>125</v>
      </c>
      <c r="AM48" s="11">
        <v>44701</v>
      </c>
      <c r="AN48" t="s">
        <v>64</v>
      </c>
      <c r="AO48" t="s">
        <v>65</v>
      </c>
      <c r="AP48">
        <v>1206</v>
      </c>
      <c r="AQ48" t="s">
        <v>66</v>
      </c>
      <c r="AR48" t="s">
        <v>126</v>
      </c>
      <c r="AU48" t="s">
        <v>57</v>
      </c>
      <c r="AV48" t="s">
        <v>68</v>
      </c>
      <c r="AX48">
        <v>22001124</v>
      </c>
      <c r="AY48">
        <v>630300</v>
      </c>
      <c r="AZ48">
        <v>1206.6303</v>
      </c>
      <c r="BA48" s="23" t="s">
        <v>3</v>
      </c>
    </row>
    <row r="49" spans="1:53" x14ac:dyDescent="0.25">
      <c r="A49" t="s">
        <v>53</v>
      </c>
      <c r="B49" t="s">
        <v>54</v>
      </c>
      <c r="C49">
        <v>22001498</v>
      </c>
      <c r="D49">
        <v>1206</v>
      </c>
      <c r="E49" s="11">
        <v>44777</v>
      </c>
      <c r="F49" t="s">
        <v>111</v>
      </c>
      <c r="G49">
        <v>1.41</v>
      </c>
      <c r="H49">
        <v>1.41</v>
      </c>
      <c r="I49" t="s">
        <v>56</v>
      </c>
      <c r="J49" t="s">
        <v>56</v>
      </c>
      <c r="L49" s="24">
        <v>21000</v>
      </c>
      <c r="N49" s="24">
        <v>21000</v>
      </c>
      <c r="O49" t="s">
        <v>57</v>
      </c>
      <c r="Q49" t="s">
        <v>57</v>
      </c>
      <c r="R49" t="s">
        <v>58</v>
      </c>
      <c r="S49">
        <v>14860</v>
      </c>
      <c r="T49" t="s">
        <v>59</v>
      </c>
      <c r="U49" t="s">
        <v>60</v>
      </c>
      <c r="V49" t="s">
        <v>61</v>
      </c>
      <c r="W49" t="s">
        <v>62</v>
      </c>
      <c r="X49">
        <v>1927250</v>
      </c>
      <c r="Y49" s="11">
        <v>44777</v>
      </c>
      <c r="Z49" t="s">
        <v>57</v>
      </c>
      <c r="AA49">
        <v>1</v>
      </c>
      <c r="AB49" t="s">
        <v>57</v>
      </c>
      <c r="AD49" t="s">
        <v>57</v>
      </c>
      <c r="AE49" t="s">
        <v>57</v>
      </c>
      <c r="AF49" t="s">
        <v>57</v>
      </c>
      <c r="AG49">
        <v>1</v>
      </c>
      <c r="AH49" t="s">
        <v>57</v>
      </c>
      <c r="AI49">
        <v>55040000</v>
      </c>
      <c r="AJ49" t="s">
        <v>111</v>
      </c>
      <c r="AL49" t="s">
        <v>114</v>
      </c>
      <c r="AM49" s="11">
        <v>44754</v>
      </c>
      <c r="AN49" t="s">
        <v>64</v>
      </c>
      <c r="AO49" t="s">
        <v>65</v>
      </c>
      <c r="AP49">
        <v>1206</v>
      </c>
      <c r="AQ49" t="s">
        <v>66</v>
      </c>
      <c r="AR49" t="s">
        <v>88</v>
      </c>
      <c r="AU49" t="s">
        <v>57</v>
      </c>
      <c r="AV49" t="s">
        <v>68</v>
      </c>
      <c r="AX49">
        <v>22001125</v>
      </c>
      <c r="AY49">
        <v>630300</v>
      </c>
      <c r="AZ49">
        <v>1206.6303</v>
      </c>
      <c r="BA49" s="23" t="s">
        <v>3</v>
      </c>
    </row>
    <row r="50" spans="1:53" x14ac:dyDescent="0.25">
      <c r="A50" t="s">
        <v>53</v>
      </c>
      <c r="B50" t="s">
        <v>54</v>
      </c>
      <c r="C50">
        <v>22001506</v>
      </c>
      <c r="D50">
        <v>1206</v>
      </c>
      <c r="E50" s="11">
        <v>44777</v>
      </c>
      <c r="F50" t="s">
        <v>127</v>
      </c>
      <c r="G50">
        <v>7.78</v>
      </c>
      <c r="H50">
        <v>7.78</v>
      </c>
      <c r="I50" t="s">
        <v>56</v>
      </c>
      <c r="J50" t="s">
        <v>56</v>
      </c>
      <c r="L50" s="24">
        <v>115552</v>
      </c>
      <c r="N50" s="24">
        <v>115552</v>
      </c>
      <c r="O50" t="s">
        <v>57</v>
      </c>
      <c r="Q50" t="s">
        <v>57</v>
      </c>
      <c r="R50" t="s">
        <v>58</v>
      </c>
      <c r="S50">
        <v>14860</v>
      </c>
      <c r="T50" t="s">
        <v>59</v>
      </c>
      <c r="U50" t="s">
        <v>60</v>
      </c>
      <c r="V50" t="s">
        <v>61</v>
      </c>
      <c r="W50" t="s">
        <v>62</v>
      </c>
      <c r="X50">
        <v>1927392</v>
      </c>
      <c r="Y50" s="11">
        <v>44777</v>
      </c>
      <c r="Z50" t="s">
        <v>57</v>
      </c>
      <c r="AA50">
        <v>1</v>
      </c>
      <c r="AB50" t="s">
        <v>57</v>
      </c>
      <c r="AD50" t="s">
        <v>57</v>
      </c>
      <c r="AE50" t="s">
        <v>57</v>
      </c>
      <c r="AF50" t="s">
        <v>57</v>
      </c>
      <c r="AG50">
        <v>1</v>
      </c>
      <c r="AH50" t="s">
        <v>57</v>
      </c>
      <c r="AI50">
        <v>55700143</v>
      </c>
      <c r="AJ50" t="s">
        <v>127</v>
      </c>
      <c r="AL50" t="s">
        <v>88</v>
      </c>
      <c r="AM50" s="11">
        <v>44764</v>
      </c>
      <c r="AN50" t="s">
        <v>64</v>
      </c>
      <c r="AO50" t="s">
        <v>65</v>
      </c>
      <c r="AP50">
        <v>1206</v>
      </c>
      <c r="AQ50" t="s">
        <v>66</v>
      </c>
      <c r="AR50" t="s">
        <v>88</v>
      </c>
      <c r="AU50" t="s">
        <v>57</v>
      </c>
      <c r="AV50" t="s">
        <v>68</v>
      </c>
      <c r="AX50">
        <v>22001128</v>
      </c>
      <c r="AY50">
        <v>630300</v>
      </c>
      <c r="AZ50">
        <v>1206.6303</v>
      </c>
      <c r="BA50" s="23" t="s">
        <v>3</v>
      </c>
    </row>
    <row r="51" spans="1:53" x14ac:dyDescent="0.25">
      <c r="A51" t="s">
        <v>53</v>
      </c>
      <c r="B51" t="s">
        <v>54</v>
      </c>
      <c r="C51">
        <v>22001508</v>
      </c>
      <c r="D51">
        <v>1206</v>
      </c>
      <c r="E51" s="11">
        <v>44777</v>
      </c>
      <c r="F51" t="s">
        <v>89</v>
      </c>
      <c r="G51">
        <v>1.41</v>
      </c>
      <c r="H51">
        <v>1.41</v>
      </c>
      <c r="I51" t="s">
        <v>56</v>
      </c>
      <c r="J51" t="s">
        <v>56</v>
      </c>
      <c r="L51" s="24">
        <v>21000</v>
      </c>
      <c r="N51" s="24">
        <v>21000</v>
      </c>
      <c r="O51" t="s">
        <v>57</v>
      </c>
      <c r="Q51" t="s">
        <v>57</v>
      </c>
      <c r="R51" t="s">
        <v>58</v>
      </c>
      <c r="S51">
        <v>14860</v>
      </c>
      <c r="T51" t="s">
        <v>59</v>
      </c>
      <c r="U51" t="s">
        <v>60</v>
      </c>
      <c r="V51" t="s">
        <v>61</v>
      </c>
      <c r="W51" t="s">
        <v>62</v>
      </c>
      <c r="X51">
        <v>1927429</v>
      </c>
      <c r="Y51" s="11">
        <v>44777</v>
      </c>
      <c r="Z51" t="s">
        <v>57</v>
      </c>
      <c r="AA51">
        <v>1</v>
      </c>
      <c r="AB51" t="s">
        <v>57</v>
      </c>
      <c r="AD51" t="s">
        <v>57</v>
      </c>
      <c r="AE51" t="s">
        <v>57</v>
      </c>
      <c r="AF51" t="s">
        <v>57</v>
      </c>
      <c r="AG51">
        <v>1</v>
      </c>
      <c r="AH51" t="s">
        <v>57</v>
      </c>
      <c r="AI51">
        <v>54000689</v>
      </c>
      <c r="AJ51" t="s">
        <v>89</v>
      </c>
      <c r="AL51" t="s">
        <v>128</v>
      </c>
      <c r="AM51" s="11">
        <v>44740</v>
      </c>
      <c r="AN51" t="s">
        <v>64</v>
      </c>
      <c r="AO51" t="s">
        <v>65</v>
      </c>
      <c r="AP51">
        <v>1206</v>
      </c>
      <c r="AQ51" t="s">
        <v>66</v>
      </c>
      <c r="AR51" t="s">
        <v>88</v>
      </c>
      <c r="AU51" t="s">
        <v>57</v>
      </c>
      <c r="AV51" t="s">
        <v>68</v>
      </c>
      <c r="AX51">
        <v>22001126</v>
      </c>
      <c r="AY51">
        <v>630300</v>
      </c>
      <c r="AZ51">
        <v>1206.6303</v>
      </c>
      <c r="BA51" s="23" t="s">
        <v>3</v>
      </c>
    </row>
    <row r="52" spans="1:53" x14ac:dyDescent="0.25">
      <c r="A52" t="s">
        <v>53</v>
      </c>
      <c r="B52" t="s">
        <v>54</v>
      </c>
      <c r="C52">
        <v>22001510</v>
      </c>
      <c r="D52">
        <v>1206</v>
      </c>
      <c r="E52" s="11">
        <v>44777</v>
      </c>
      <c r="F52" t="s">
        <v>129</v>
      </c>
      <c r="G52">
        <v>0.51</v>
      </c>
      <c r="H52">
        <v>0.51</v>
      </c>
      <c r="I52" t="s">
        <v>56</v>
      </c>
      <c r="J52" t="s">
        <v>56</v>
      </c>
      <c r="O52" t="s">
        <v>57</v>
      </c>
      <c r="Q52" t="s">
        <v>57</v>
      </c>
      <c r="R52" t="s">
        <v>58</v>
      </c>
      <c r="S52">
        <v>14860</v>
      </c>
      <c r="T52" t="s">
        <v>59</v>
      </c>
      <c r="U52" t="s">
        <v>60</v>
      </c>
      <c r="V52" t="s">
        <v>61</v>
      </c>
      <c r="W52" t="s">
        <v>62</v>
      </c>
      <c r="X52">
        <v>1927477</v>
      </c>
      <c r="Y52" s="11">
        <v>44777</v>
      </c>
      <c r="Z52" t="s">
        <v>57</v>
      </c>
      <c r="AA52">
        <v>2</v>
      </c>
      <c r="AB52" t="s">
        <v>57</v>
      </c>
      <c r="AD52" t="s">
        <v>57</v>
      </c>
      <c r="AE52" t="s">
        <v>57</v>
      </c>
      <c r="AF52" t="s">
        <v>57</v>
      </c>
      <c r="AH52" t="s">
        <v>57</v>
      </c>
      <c r="AI52">
        <v>56306480</v>
      </c>
      <c r="AJ52" t="s">
        <v>129</v>
      </c>
      <c r="AL52" t="s">
        <v>130</v>
      </c>
      <c r="AM52" s="11">
        <v>44756</v>
      </c>
      <c r="AN52" t="s">
        <v>64</v>
      </c>
      <c r="AO52" t="s">
        <v>65</v>
      </c>
      <c r="AP52">
        <v>1206</v>
      </c>
      <c r="AQ52" t="s">
        <v>66</v>
      </c>
      <c r="AR52" t="s">
        <v>131</v>
      </c>
      <c r="AU52" t="s">
        <v>57</v>
      </c>
      <c r="AV52" t="s">
        <v>68</v>
      </c>
      <c r="AX52">
        <v>22001083</v>
      </c>
      <c r="AY52">
        <v>630300</v>
      </c>
      <c r="AZ52">
        <v>1206.6303</v>
      </c>
      <c r="BA52" s="23" t="s">
        <v>3</v>
      </c>
    </row>
    <row r="53" spans="1:53" x14ac:dyDescent="0.25">
      <c r="A53" t="s">
        <v>53</v>
      </c>
      <c r="B53" t="s">
        <v>54</v>
      </c>
      <c r="C53">
        <v>22001512</v>
      </c>
      <c r="D53">
        <v>1206</v>
      </c>
      <c r="E53" s="11">
        <v>44777</v>
      </c>
      <c r="F53" t="s">
        <v>129</v>
      </c>
      <c r="G53">
        <v>0.09</v>
      </c>
      <c r="H53">
        <v>0.09</v>
      </c>
      <c r="I53" t="s">
        <v>56</v>
      </c>
      <c r="J53" t="s">
        <v>56</v>
      </c>
      <c r="O53" t="s">
        <v>57</v>
      </c>
      <c r="Q53" t="s">
        <v>57</v>
      </c>
      <c r="R53" t="s">
        <v>58</v>
      </c>
      <c r="S53">
        <v>14860</v>
      </c>
      <c r="T53" t="s">
        <v>59</v>
      </c>
      <c r="U53" t="s">
        <v>60</v>
      </c>
      <c r="V53" t="s">
        <v>61</v>
      </c>
      <c r="W53" t="s">
        <v>62</v>
      </c>
      <c r="X53">
        <v>1927477</v>
      </c>
      <c r="Y53" s="11">
        <v>44777</v>
      </c>
      <c r="Z53" t="s">
        <v>57</v>
      </c>
      <c r="AA53">
        <v>4</v>
      </c>
      <c r="AB53" t="s">
        <v>57</v>
      </c>
      <c r="AD53" t="s">
        <v>57</v>
      </c>
      <c r="AE53" t="s">
        <v>57</v>
      </c>
      <c r="AF53" t="s">
        <v>57</v>
      </c>
      <c r="AH53" t="s">
        <v>57</v>
      </c>
      <c r="AI53">
        <v>56306480</v>
      </c>
      <c r="AJ53" t="s">
        <v>129</v>
      </c>
      <c r="AL53" t="s">
        <v>132</v>
      </c>
      <c r="AM53" s="11">
        <v>44756</v>
      </c>
      <c r="AN53" t="s">
        <v>64</v>
      </c>
      <c r="AO53" t="s">
        <v>65</v>
      </c>
      <c r="AP53">
        <v>1206</v>
      </c>
      <c r="AQ53" t="s">
        <v>66</v>
      </c>
      <c r="AR53" t="s">
        <v>133</v>
      </c>
      <c r="AU53" t="s">
        <v>57</v>
      </c>
      <c r="AV53" t="s">
        <v>68</v>
      </c>
      <c r="AX53">
        <v>22001105</v>
      </c>
      <c r="AY53">
        <v>630300</v>
      </c>
      <c r="AZ53">
        <v>1206.6303</v>
      </c>
      <c r="BA53" s="23" t="s">
        <v>3</v>
      </c>
    </row>
    <row r="54" spans="1:53" x14ac:dyDescent="0.25">
      <c r="A54" t="s">
        <v>79</v>
      </c>
      <c r="B54" t="s">
        <v>80</v>
      </c>
      <c r="C54">
        <v>22001299</v>
      </c>
      <c r="D54">
        <v>1206</v>
      </c>
      <c r="E54" s="11">
        <v>44781</v>
      </c>
      <c r="F54" t="s">
        <v>129</v>
      </c>
      <c r="G54">
        <v>129.54</v>
      </c>
      <c r="H54">
        <v>129.54</v>
      </c>
      <c r="I54" t="s">
        <v>56</v>
      </c>
      <c r="J54" t="s">
        <v>56</v>
      </c>
      <c r="L54" s="24">
        <v>1925000</v>
      </c>
      <c r="N54" s="24">
        <v>1925000</v>
      </c>
      <c r="O54" t="s">
        <v>57</v>
      </c>
      <c r="Q54" t="s">
        <v>57</v>
      </c>
      <c r="R54" t="s">
        <v>58</v>
      </c>
      <c r="S54">
        <v>14860</v>
      </c>
      <c r="T54" t="s">
        <v>59</v>
      </c>
      <c r="U54" t="s">
        <v>60</v>
      </c>
      <c r="V54" t="s">
        <v>82</v>
      </c>
      <c r="W54" t="s">
        <v>83</v>
      </c>
      <c r="X54">
        <v>1928833</v>
      </c>
      <c r="Y54" s="11">
        <v>44781</v>
      </c>
      <c r="Z54" t="s">
        <v>57</v>
      </c>
      <c r="AA54">
        <v>1</v>
      </c>
      <c r="AB54" t="s">
        <v>57</v>
      </c>
      <c r="AD54" t="s">
        <v>57</v>
      </c>
      <c r="AE54" t="s">
        <v>57</v>
      </c>
      <c r="AF54" t="s">
        <v>57</v>
      </c>
      <c r="AG54">
        <v>5</v>
      </c>
      <c r="AH54" t="s">
        <v>57</v>
      </c>
      <c r="AI54">
        <v>56306480</v>
      </c>
      <c r="AJ54" t="s">
        <v>129</v>
      </c>
      <c r="AL54" t="s">
        <v>57</v>
      </c>
      <c r="AM54" s="11">
        <v>44781</v>
      </c>
      <c r="AN54" t="s">
        <v>158</v>
      </c>
      <c r="AO54" t="s">
        <v>65</v>
      </c>
      <c r="AP54">
        <v>1206</v>
      </c>
      <c r="AQ54" t="s">
        <v>66</v>
      </c>
      <c r="AR54" t="s">
        <v>280</v>
      </c>
      <c r="AU54" t="s">
        <v>57</v>
      </c>
      <c r="AV54" t="s">
        <v>68</v>
      </c>
      <c r="AX54">
        <v>22001127</v>
      </c>
      <c r="AY54">
        <v>630300</v>
      </c>
      <c r="AZ54">
        <v>1206.6303</v>
      </c>
      <c r="BA54" s="23" t="s">
        <v>3</v>
      </c>
    </row>
    <row r="55" spans="1:53" x14ac:dyDescent="0.25">
      <c r="A55" t="s">
        <v>53</v>
      </c>
      <c r="B55" t="s">
        <v>54</v>
      </c>
      <c r="C55">
        <v>22001529</v>
      </c>
      <c r="D55">
        <v>1206</v>
      </c>
      <c r="E55" s="11">
        <v>44782</v>
      </c>
      <c r="F55" t="s">
        <v>129</v>
      </c>
      <c r="G55">
        <v>0.18</v>
      </c>
      <c r="H55">
        <v>0.18</v>
      </c>
      <c r="I55" t="s">
        <v>56</v>
      </c>
      <c r="J55" t="s">
        <v>56</v>
      </c>
      <c r="O55" t="s">
        <v>57</v>
      </c>
      <c r="Q55" t="s">
        <v>57</v>
      </c>
      <c r="R55" t="s">
        <v>58</v>
      </c>
      <c r="S55">
        <v>14860</v>
      </c>
      <c r="T55" t="s">
        <v>59</v>
      </c>
      <c r="U55" t="s">
        <v>60</v>
      </c>
      <c r="V55" t="s">
        <v>61</v>
      </c>
      <c r="W55" t="s">
        <v>62</v>
      </c>
      <c r="X55">
        <v>1929144</v>
      </c>
      <c r="Y55" s="11">
        <v>44782</v>
      </c>
      <c r="Z55" t="s">
        <v>57</v>
      </c>
      <c r="AA55">
        <v>2</v>
      </c>
      <c r="AB55" t="s">
        <v>57</v>
      </c>
      <c r="AD55" t="s">
        <v>57</v>
      </c>
      <c r="AE55" t="s">
        <v>57</v>
      </c>
      <c r="AF55" t="s">
        <v>57</v>
      </c>
      <c r="AH55" t="s">
        <v>57</v>
      </c>
      <c r="AI55">
        <v>56306480</v>
      </c>
      <c r="AJ55" t="s">
        <v>129</v>
      </c>
      <c r="AL55" t="s">
        <v>281</v>
      </c>
      <c r="AM55" s="11">
        <v>44767</v>
      </c>
      <c r="AN55" t="s">
        <v>64</v>
      </c>
      <c r="AO55" t="s">
        <v>65</v>
      </c>
      <c r="AP55">
        <v>1206</v>
      </c>
      <c r="AQ55" t="s">
        <v>66</v>
      </c>
      <c r="AR55" t="s">
        <v>280</v>
      </c>
      <c r="AU55" t="s">
        <v>57</v>
      </c>
      <c r="AV55" t="s">
        <v>68</v>
      </c>
      <c r="AX55">
        <v>22001103</v>
      </c>
      <c r="AY55">
        <v>630300</v>
      </c>
      <c r="AZ55">
        <v>1206.6303</v>
      </c>
      <c r="BA55" s="23" t="s">
        <v>3</v>
      </c>
    </row>
    <row r="56" spans="1:53" x14ac:dyDescent="0.25">
      <c r="A56" t="s">
        <v>134</v>
      </c>
      <c r="B56" t="s">
        <v>135</v>
      </c>
      <c r="C56">
        <v>22001890</v>
      </c>
      <c r="D56">
        <v>1201</v>
      </c>
      <c r="E56" s="11">
        <v>44777</v>
      </c>
      <c r="F56" t="s">
        <v>313</v>
      </c>
      <c r="G56">
        <v>8.15</v>
      </c>
      <c r="H56">
        <v>8.15</v>
      </c>
      <c r="I56" t="s">
        <v>56</v>
      </c>
      <c r="O56" t="s">
        <v>57</v>
      </c>
      <c r="Q56" t="s">
        <v>57</v>
      </c>
      <c r="R56" t="s">
        <v>137</v>
      </c>
      <c r="T56" t="s">
        <v>59</v>
      </c>
      <c r="U56" t="s">
        <v>60</v>
      </c>
      <c r="V56" t="s">
        <v>138</v>
      </c>
      <c r="W56" t="s">
        <v>139</v>
      </c>
      <c r="X56">
        <v>1934224</v>
      </c>
      <c r="Y56" s="11">
        <v>44795</v>
      </c>
      <c r="Z56" t="s">
        <v>57</v>
      </c>
      <c r="AA56">
        <v>2</v>
      </c>
      <c r="AB56" t="s">
        <v>57</v>
      </c>
      <c r="AD56" t="s">
        <v>57</v>
      </c>
      <c r="AE56" t="s">
        <v>57</v>
      </c>
      <c r="AF56" t="s">
        <v>57</v>
      </c>
      <c r="AG56">
        <v>15</v>
      </c>
      <c r="AH56" t="s">
        <v>57</v>
      </c>
      <c r="AL56" t="s">
        <v>57</v>
      </c>
      <c r="AM56" s="11">
        <v>44777</v>
      </c>
      <c r="AN56" t="s">
        <v>164</v>
      </c>
      <c r="AO56" t="s">
        <v>65</v>
      </c>
      <c r="AP56">
        <v>1201</v>
      </c>
      <c r="AQ56" t="s">
        <v>66</v>
      </c>
      <c r="AR56">
        <v>79280</v>
      </c>
      <c r="AU56" t="s">
        <v>57</v>
      </c>
      <c r="AV56" t="s">
        <v>68</v>
      </c>
      <c r="AX56" t="s">
        <v>57</v>
      </c>
      <c r="AY56">
        <v>631180</v>
      </c>
      <c r="AZ56">
        <v>1201.6311800000001</v>
      </c>
      <c r="BA56" s="23" t="s">
        <v>4</v>
      </c>
    </row>
    <row r="57" spans="1:53" x14ac:dyDescent="0.25">
      <c r="A57" t="s">
        <v>134</v>
      </c>
      <c r="B57" t="s">
        <v>135</v>
      </c>
      <c r="C57">
        <v>22001890</v>
      </c>
      <c r="D57">
        <v>1201</v>
      </c>
      <c r="E57" s="11">
        <v>44777</v>
      </c>
      <c r="F57" t="s">
        <v>313</v>
      </c>
      <c r="G57">
        <v>0.28999999999999998</v>
      </c>
      <c r="H57">
        <v>0.28999999999999998</v>
      </c>
      <c r="I57" t="s">
        <v>56</v>
      </c>
      <c r="O57" t="s">
        <v>57</v>
      </c>
      <c r="Q57" t="s">
        <v>57</v>
      </c>
      <c r="R57" t="s">
        <v>137</v>
      </c>
      <c r="T57" t="s">
        <v>59</v>
      </c>
      <c r="U57" t="s">
        <v>60</v>
      </c>
      <c r="V57" t="s">
        <v>138</v>
      </c>
      <c r="W57" t="s">
        <v>139</v>
      </c>
      <c r="X57">
        <v>1934224</v>
      </c>
      <c r="Y57" s="11">
        <v>44795</v>
      </c>
      <c r="Z57" t="s">
        <v>57</v>
      </c>
      <c r="AA57">
        <v>4</v>
      </c>
      <c r="AB57" t="s">
        <v>57</v>
      </c>
      <c r="AD57" t="s">
        <v>57</v>
      </c>
      <c r="AE57" t="s">
        <v>57</v>
      </c>
      <c r="AF57" t="s">
        <v>57</v>
      </c>
      <c r="AG57">
        <v>3</v>
      </c>
      <c r="AH57" t="s">
        <v>57</v>
      </c>
      <c r="AL57" t="s">
        <v>57</v>
      </c>
      <c r="AM57" s="11">
        <v>44777</v>
      </c>
      <c r="AN57" t="s">
        <v>164</v>
      </c>
      <c r="AO57" t="s">
        <v>65</v>
      </c>
      <c r="AP57">
        <v>1201</v>
      </c>
      <c r="AQ57" t="s">
        <v>66</v>
      </c>
      <c r="AR57">
        <v>79282</v>
      </c>
      <c r="AU57" t="s">
        <v>57</v>
      </c>
      <c r="AV57" t="s">
        <v>68</v>
      </c>
      <c r="AX57" t="s">
        <v>57</v>
      </c>
      <c r="AY57">
        <v>631180</v>
      </c>
      <c r="AZ57">
        <v>1201.6311800000001</v>
      </c>
      <c r="BA57" s="23" t="s">
        <v>4</v>
      </c>
    </row>
    <row r="58" spans="1:53" x14ac:dyDescent="0.25">
      <c r="A58" t="s">
        <v>134</v>
      </c>
      <c r="B58" t="s">
        <v>135</v>
      </c>
      <c r="C58">
        <v>22001890</v>
      </c>
      <c r="D58">
        <v>1201</v>
      </c>
      <c r="E58" s="11">
        <v>44777</v>
      </c>
      <c r="F58" t="s">
        <v>313</v>
      </c>
      <c r="G58">
        <v>0.34</v>
      </c>
      <c r="H58">
        <v>0.34</v>
      </c>
      <c r="I58" t="s">
        <v>56</v>
      </c>
      <c r="O58" t="s">
        <v>57</v>
      </c>
      <c r="Q58" t="s">
        <v>57</v>
      </c>
      <c r="R58" t="s">
        <v>137</v>
      </c>
      <c r="T58" t="s">
        <v>59</v>
      </c>
      <c r="U58" t="s">
        <v>60</v>
      </c>
      <c r="V58" t="s">
        <v>138</v>
      </c>
      <c r="W58" t="s">
        <v>139</v>
      </c>
      <c r="X58">
        <v>1934224</v>
      </c>
      <c r="Y58" s="11">
        <v>44795</v>
      </c>
      <c r="Z58" t="s">
        <v>57</v>
      </c>
      <c r="AA58">
        <v>6</v>
      </c>
      <c r="AB58" t="s">
        <v>57</v>
      </c>
      <c r="AD58" t="s">
        <v>57</v>
      </c>
      <c r="AE58" t="s">
        <v>57</v>
      </c>
      <c r="AF58" t="s">
        <v>57</v>
      </c>
      <c r="AG58">
        <v>1</v>
      </c>
      <c r="AH58" t="s">
        <v>57</v>
      </c>
      <c r="AL58" t="s">
        <v>57</v>
      </c>
      <c r="AM58" s="11">
        <v>44777</v>
      </c>
      <c r="AN58" t="s">
        <v>164</v>
      </c>
      <c r="AO58" t="s">
        <v>65</v>
      </c>
      <c r="AP58">
        <v>1201</v>
      </c>
      <c r="AQ58" t="s">
        <v>66</v>
      </c>
      <c r="AR58">
        <v>76741</v>
      </c>
      <c r="AU58" t="s">
        <v>57</v>
      </c>
      <c r="AV58" t="s">
        <v>68</v>
      </c>
      <c r="AX58" t="s">
        <v>57</v>
      </c>
      <c r="AY58">
        <v>631180</v>
      </c>
      <c r="AZ58">
        <v>1201.6311800000001</v>
      </c>
      <c r="BA58" s="23" t="s">
        <v>4</v>
      </c>
    </row>
    <row r="59" spans="1:53" x14ac:dyDescent="0.25">
      <c r="A59" t="s">
        <v>134</v>
      </c>
      <c r="B59" t="s">
        <v>135</v>
      </c>
      <c r="C59">
        <v>22001891</v>
      </c>
      <c r="D59">
        <v>1201</v>
      </c>
      <c r="E59" s="11">
        <v>44777</v>
      </c>
      <c r="F59" t="s">
        <v>314</v>
      </c>
      <c r="G59">
        <v>0.77</v>
      </c>
      <c r="H59">
        <v>0.77</v>
      </c>
      <c r="I59" t="s">
        <v>56</v>
      </c>
      <c r="O59" t="s">
        <v>57</v>
      </c>
      <c r="Q59" t="s">
        <v>57</v>
      </c>
      <c r="R59" t="s">
        <v>137</v>
      </c>
      <c r="T59" t="s">
        <v>59</v>
      </c>
      <c r="U59" t="s">
        <v>60</v>
      </c>
      <c r="V59" t="s">
        <v>138</v>
      </c>
      <c r="W59" t="s">
        <v>139</v>
      </c>
      <c r="X59">
        <v>1934224</v>
      </c>
      <c r="Y59" s="11">
        <v>44795</v>
      </c>
      <c r="Z59" t="s">
        <v>57</v>
      </c>
      <c r="AA59">
        <v>2</v>
      </c>
      <c r="AB59" t="s">
        <v>57</v>
      </c>
      <c r="AD59" t="s">
        <v>57</v>
      </c>
      <c r="AE59" t="s">
        <v>57</v>
      </c>
      <c r="AF59" t="s">
        <v>57</v>
      </c>
      <c r="AG59">
        <v>4</v>
      </c>
      <c r="AH59" t="s">
        <v>57</v>
      </c>
      <c r="AL59" t="s">
        <v>57</v>
      </c>
      <c r="AM59" s="11">
        <v>44777</v>
      </c>
      <c r="AN59" t="s">
        <v>164</v>
      </c>
      <c r="AO59" t="s">
        <v>65</v>
      </c>
      <c r="AP59">
        <v>1201</v>
      </c>
      <c r="AQ59" t="s">
        <v>66</v>
      </c>
      <c r="AR59">
        <v>79248</v>
      </c>
      <c r="AU59" t="s">
        <v>57</v>
      </c>
      <c r="AV59" t="s">
        <v>68</v>
      </c>
      <c r="AX59" t="s">
        <v>57</v>
      </c>
      <c r="AY59">
        <v>631180</v>
      </c>
      <c r="AZ59">
        <v>1201.6311800000001</v>
      </c>
      <c r="BA59" s="23" t="s">
        <v>4</v>
      </c>
    </row>
    <row r="60" spans="1:53" x14ac:dyDescent="0.25">
      <c r="A60" t="s">
        <v>134</v>
      </c>
      <c r="B60" t="s">
        <v>135</v>
      </c>
      <c r="C60">
        <v>22001891</v>
      </c>
      <c r="D60">
        <v>1201</v>
      </c>
      <c r="E60" s="11">
        <v>44777</v>
      </c>
      <c r="F60" t="s">
        <v>314</v>
      </c>
      <c r="G60">
        <v>0.1</v>
      </c>
      <c r="H60">
        <v>0.1</v>
      </c>
      <c r="I60" t="s">
        <v>56</v>
      </c>
      <c r="O60" t="s">
        <v>57</v>
      </c>
      <c r="Q60" t="s">
        <v>57</v>
      </c>
      <c r="R60" t="s">
        <v>137</v>
      </c>
      <c r="T60" t="s">
        <v>59</v>
      </c>
      <c r="U60" t="s">
        <v>60</v>
      </c>
      <c r="V60" t="s">
        <v>138</v>
      </c>
      <c r="W60" t="s">
        <v>139</v>
      </c>
      <c r="X60">
        <v>1934224</v>
      </c>
      <c r="Y60" s="11">
        <v>44795</v>
      </c>
      <c r="Z60" t="s">
        <v>57</v>
      </c>
      <c r="AA60">
        <v>4</v>
      </c>
      <c r="AB60" t="s">
        <v>57</v>
      </c>
      <c r="AD60" t="s">
        <v>57</v>
      </c>
      <c r="AE60" t="s">
        <v>57</v>
      </c>
      <c r="AF60" t="s">
        <v>57</v>
      </c>
      <c r="AG60">
        <v>1</v>
      </c>
      <c r="AH60" t="s">
        <v>57</v>
      </c>
      <c r="AL60" t="s">
        <v>57</v>
      </c>
      <c r="AM60" s="11">
        <v>44777</v>
      </c>
      <c r="AN60" t="s">
        <v>164</v>
      </c>
      <c r="AO60" t="s">
        <v>65</v>
      </c>
      <c r="AP60">
        <v>1201</v>
      </c>
      <c r="AQ60" t="s">
        <v>66</v>
      </c>
      <c r="AR60">
        <v>79282</v>
      </c>
      <c r="AU60" t="s">
        <v>57</v>
      </c>
      <c r="AV60" t="s">
        <v>68</v>
      </c>
      <c r="AX60" t="s">
        <v>57</v>
      </c>
      <c r="AY60">
        <v>631180</v>
      </c>
      <c r="AZ60">
        <v>1201.6311800000001</v>
      </c>
      <c r="BA60" s="23" t="s">
        <v>4</v>
      </c>
    </row>
    <row r="61" spans="1:53" x14ac:dyDescent="0.25">
      <c r="A61" t="s">
        <v>134</v>
      </c>
      <c r="B61" t="s">
        <v>135</v>
      </c>
      <c r="C61">
        <v>22001892</v>
      </c>
      <c r="D61">
        <v>1201</v>
      </c>
      <c r="E61" s="11">
        <v>44777</v>
      </c>
      <c r="F61" t="s">
        <v>315</v>
      </c>
      <c r="G61">
        <v>13.79</v>
      </c>
      <c r="H61">
        <v>13.79</v>
      </c>
      <c r="I61" t="s">
        <v>56</v>
      </c>
      <c r="O61" t="s">
        <v>57</v>
      </c>
      <c r="Q61" t="s">
        <v>57</v>
      </c>
      <c r="R61" t="s">
        <v>137</v>
      </c>
      <c r="T61" t="s">
        <v>59</v>
      </c>
      <c r="U61" t="s">
        <v>60</v>
      </c>
      <c r="V61" t="s">
        <v>138</v>
      </c>
      <c r="W61" t="s">
        <v>139</v>
      </c>
      <c r="X61">
        <v>1934224</v>
      </c>
      <c r="Y61" s="11">
        <v>44795</v>
      </c>
      <c r="Z61" t="s">
        <v>57</v>
      </c>
      <c r="AA61">
        <v>2</v>
      </c>
      <c r="AB61" t="s">
        <v>57</v>
      </c>
      <c r="AD61" t="s">
        <v>57</v>
      </c>
      <c r="AE61" t="s">
        <v>57</v>
      </c>
      <c r="AF61" t="s">
        <v>57</v>
      </c>
      <c r="AG61">
        <v>40</v>
      </c>
      <c r="AH61" t="s">
        <v>57</v>
      </c>
      <c r="AL61" t="s">
        <v>57</v>
      </c>
      <c r="AM61" s="11">
        <v>44777</v>
      </c>
      <c r="AN61" t="s">
        <v>164</v>
      </c>
      <c r="AO61" t="s">
        <v>65</v>
      </c>
      <c r="AP61">
        <v>1201</v>
      </c>
      <c r="AQ61" t="s">
        <v>66</v>
      </c>
      <c r="AR61">
        <v>76741</v>
      </c>
      <c r="AU61" t="s">
        <v>57</v>
      </c>
      <c r="AV61" t="s">
        <v>68</v>
      </c>
      <c r="AX61" t="s">
        <v>57</v>
      </c>
      <c r="AY61">
        <v>631180</v>
      </c>
      <c r="AZ61">
        <v>1201.6311800000001</v>
      </c>
      <c r="BA61" s="23" t="s">
        <v>4</v>
      </c>
    </row>
    <row r="62" spans="1:53" x14ac:dyDescent="0.25">
      <c r="A62" t="s">
        <v>134</v>
      </c>
      <c r="B62" t="s">
        <v>135</v>
      </c>
      <c r="C62">
        <v>22001893</v>
      </c>
      <c r="D62">
        <v>1201</v>
      </c>
      <c r="E62" s="11">
        <v>44777</v>
      </c>
      <c r="F62" t="s">
        <v>316</v>
      </c>
      <c r="G62">
        <v>0.77</v>
      </c>
      <c r="H62">
        <v>0.77</v>
      </c>
      <c r="I62" t="s">
        <v>56</v>
      </c>
      <c r="O62" t="s">
        <v>57</v>
      </c>
      <c r="Q62" t="s">
        <v>57</v>
      </c>
      <c r="R62" t="s">
        <v>137</v>
      </c>
      <c r="T62" t="s">
        <v>59</v>
      </c>
      <c r="U62" t="s">
        <v>60</v>
      </c>
      <c r="V62" t="s">
        <v>138</v>
      </c>
      <c r="W62" t="s">
        <v>139</v>
      </c>
      <c r="X62">
        <v>1934224</v>
      </c>
      <c r="Y62" s="11">
        <v>44795</v>
      </c>
      <c r="Z62" t="s">
        <v>57</v>
      </c>
      <c r="AA62">
        <v>2</v>
      </c>
      <c r="AB62" t="s">
        <v>57</v>
      </c>
      <c r="AD62" t="s">
        <v>57</v>
      </c>
      <c r="AE62" t="s">
        <v>57</v>
      </c>
      <c r="AF62" t="s">
        <v>57</v>
      </c>
      <c r="AG62">
        <v>4</v>
      </c>
      <c r="AH62" t="s">
        <v>57</v>
      </c>
      <c r="AL62" t="s">
        <v>57</v>
      </c>
      <c r="AM62" s="11">
        <v>44777</v>
      </c>
      <c r="AN62" t="s">
        <v>164</v>
      </c>
      <c r="AO62" t="s">
        <v>65</v>
      </c>
      <c r="AP62">
        <v>1201</v>
      </c>
      <c r="AQ62" t="s">
        <v>66</v>
      </c>
      <c r="AR62">
        <v>79248</v>
      </c>
      <c r="AU62" t="s">
        <v>57</v>
      </c>
      <c r="AV62" t="s">
        <v>68</v>
      </c>
      <c r="AX62" t="s">
        <v>57</v>
      </c>
      <c r="AY62">
        <v>631180</v>
      </c>
      <c r="AZ62">
        <v>1201.6311800000001</v>
      </c>
      <c r="BA62" s="23" t="s">
        <v>4</v>
      </c>
    </row>
    <row r="63" spans="1:53" x14ac:dyDescent="0.25">
      <c r="A63" t="s">
        <v>134</v>
      </c>
      <c r="B63" t="s">
        <v>135</v>
      </c>
      <c r="C63">
        <v>22001894</v>
      </c>
      <c r="D63">
        <v>1201</v>
      </c>
      <c r="E63" s="11">
        <v>44783</v>
      </c>
      <c r="F63" t="s">
        <v>313</v>
      </c>
      <c r="G63">
        <v>2.72</v>
      </c>
      <c r="H63">
        <v>2.72</v>
      </c>
      <c r="I63" t="s">
        <v>56</v>
      </c>
      <c r="O63" t="s">
        <v>57</v>
      </c>
      <c r="Q63" t="s">
        <v>57</v>
      </c>
      <c r="R63" t="s">
        <v>137</v>
      </c>
      <c r="T63" t="s">
        <v>59</v>
      </c>
      <c r="U63" t="s">
        <v>60</v>
      </c>
      <c r="V63" t="s">
        <v>138</v>
      </c>
      <c r="W63" t="s">
        <v>139</v>
      </c>
      <c r="X63">
        <v>1934224</v>
      </c>
      <c r="Y63" s="11">
        <v>44795</v>
      </c>
      <c r="Z63" t="s">
        <v>57</v>
      </c>
      <c r="AA63">
        <v>2</v>
      </c>
      <c r="AB63" t="s">
        <v>57</v>
      </c>
      <c r="AD63" t="s">
        <v>57</v>
      </c>
      <c r="AE63" t="s">
        <v>57</v>
      </c>
      <c r="AF63" t="s">
        <v>57</v>
      </c>
      <c r="AG63">
        <v>5</v>
      </c>
      <c r="AH63" t="s">
        <v>57</v>
      </c>
      <c r="AL63" t="s">
        <v>57</v>
      </c>
      <c r="AM63" s="11">
        <v>44783</v>
      </c>
      <c r="AN63" t="s">
        <v>164</v>
      </c>
      <c r="AO63" t="s">
        <v>65</v>
      </c>
      <c r="AP63">
        <v>1201</v>
      </c>
      <c r="AQ63" t="s">
        <v>66</v>
      </c>
      <c r="AR63">
        <v>79280</v>
      </c>
      <c r="AU63" t="s">
        <v>57</v>
      </c>
      <c r="AV63" t="s">
        <v>68</v>
      </c>
      <c r="AX63" t="s">
        <v>57</v>
      </c>
      <c r="AY63">
        <v>631180</v>
      </c>
      <c r="AZ63">
        <v>1201.6311800000001</v>
      </c>
      <c r="BA63" s="23" t="s">
        <v>4</v>
      </c>
    </row>
    <row r="64" spans="1:53" x14ac:dyDescent="0.25">
      <c r="A64" t="s">
        <v>134</v>
      </c>
      <c r="B64" t="s">
        <v>135</v>
      </c>
      <c r="C64">
        <v>22001894</v>
      </c>
      <c r="D64">
        <v>1201</v>
      </c>
      <c r="E64" s="11">
        <v>44783</v>
      </c>
      <c r="F64" t="s">
        <v>313</v>
      </c>
      <c r="G64">
        <v>0.28999999999999998</v>
      </c>
      <c r="H64">
        <v>0.28999999999999998</v>
      </c>
      <c r="I64" t="s">
        <v>56</v>
      </c>
      <c r="O64" t="s">
        <v>57</v>
      </c>
      <c r="Q64" t="s">
        <v>57</v>
      </c>
      <c r="R64" t="s">
        <v>137</v>
      </c>
      <c r="T64" t="s">
        <v>59</v>
      </c>
      <c r="U64" t="s">
        <v>60</v>
      </c>
      <c r="V64" t="s">
        <v>138</v>
      </c>
      <c r="W64" t="s">
        <v>139</v>
      </c>
      <c r="X64">
        <v>1934224</v>
      </c>
      <c r="Y64" s="11">
        <v>44795</v>
      </c>
      <c r="Z64" t="s">
        <v>57</v>
      </c>
      <c r="AA64">
        <v>4</v>
      </c>
      <c r="AB64" t="s">
        <v>57</v>
      </c>
      <c r="AD64" t="s">
        <v>57</v>
      </c>
      <c r="AE64" t="s">
        <v>57</v>
      </c>
      <c r="AF64" t="s">
        <v>57</v>
      </c>
      <c r="AG64">
        <v>3</v>
      </c>
      <c r="AH64" t="s">
        <v>57</v>
      </c>
      <c r="AL64" t="s">
        <v>57</v>
      </c>
      <c r="AM64" s="11">
        <v>44783</v>
      </c>
      <c r="AN64" t="s">
        <v>164</v>
      </c>
      <c r="AO64" t="s">
        <v>65</v>
      </c>
      <c r="AP64">
        <v>1201</v>
      </c>
      <c r="AQ64" t="s">
        <v>66</v>
      </c>
      <c r="AR64">
        <v>79282</v>
      </c>
      <c r="AU64" t="s">
        <v>57</v>
      </c>
      <c r="AV64" t="s">
        <v>68</v>
      </c>
      <c r="AX64" t="s">
        <v>57</v>
      </c>
      <c r="AY64">
        <v>631180</v>
      </c>
      <c r="AZ64">
        <v>1201.6311800000001</v>
      </c>
      <c r="BA64" s="23" t="s">
        <v>4</v>
      </c>
    </row>
    <row r="65" spans="1:53" x14ac:dyDescent="0.25">
      <c r="A65" t="s">
        <v>134</v>
      </c>
      <c r="B65" t="s">
        <v>135</v>
      </c>
      <c r="C65">
        <v>22001895</v>
      </c>
      <c r="D65">
        <v>1201</v>
      </c>
      <c r="E65" s="11">
        <v>44784</v>
      </c>
      <c r="F65" t="s">
        <v>314</v>
      </c>
      <c r="G65">
        <v>0.28999999999999998</v>
      </c>
      <c r="H65">
        <v>0.28999999999999998</v>
      </c>
      <c r="I65" t="s">
        <v>56</v>
      </c>
      <c r="O65" t="s">
        <v>57</v>
      </c>
      <c r="Q65" t="s">
        <v>57</v>
      </c>
      <c r="R65" t="s">
        <v>137</v>
      </c>
      <c r="T65" t="s">
        <v>59</v>
      </c>
      <c r="U65" t="s">
        <v>60</v>
      </c>
      <c r="V65" t="s">
        <v>138</v>
      </c>
      <c r="W65" t="s">
        <v>139</v>
      </c>
      <c r="X65">
        <v>1934224</v>
      </c>
      <c r="Y65" s="11">
        <v>44795</v>
      </c>
      <c r="Z65" t="s">
        <v>57</v>
      </c>
      <c r="AA65">
        <v>2</v>
      </c>
      <c r="AB65" t="s">
        <v>57</v>
      </c>
      <c r="AD65" t="s">
        <v>57</v>
      </c>
      <c r="AE65" t="s">
        <v>57</v>
      </c>
      <c r="AF65" t="s">
        <v>57</v>
      </c>
      <c r="AG65">
        <v>3</v>
      </c>
      <c r="AH65" t="s">
        <v>57</v>
      </c>
      <c r="AL65" t="s">
        <v>57</v>
      </c>
      <c r="AM65" s="11">
        <v>44784</v>
      </c>
      <c r="AN65" t="s">
        <v>164</v>
      </c>
      <c r="AO65" t="s">
        <v>65</v>
      </c>
      <c r="AP65">
        <v>1201</v>
      </c>
      <c r="AQ65" t="s">
        <v>66</v>
      </c>
      <c r="AR65">
        <v>79282</v>
      </c>
      <c r="AU65" t="s">
        <v>57</v>
      </c>
      <c r="AV65" t="s">
        <v>68</v>
      </c>
      <c r="AX65" t="s">
        <v>57</v>
      </c>
      <c r="AY65">
        <v>631180</v>
      </c>
      <c r="AZ65">
        <v>1201.6311800000001</v>
      </c>
      <c r="BA65" s="23" t="s">
        <v>4</v>
      </c>
    </row>
    <row r="66" spans="1:53" x14ac:dyDescent="0.25">
      <c r="A66" t="s">
        <v>134</v>
      </c>
      <c r="B66" t="s">
        <v>135</v>
      </c>
      <c r="C66">
        <v>22001895</v>
      </c>
      <c r="D66">
        <v>1201</v>
      </c>
      <c r="E66" s="11">
        <v>44784</v>
      </c>
      <c r="F66" t="s">
        <v>314</v>
      </c>
      <c r="G66">
        <v>0.19</v>
      </c>
      <c r="H66">
        <v>0.19</v>
      </c>
      <c r="I66" t="s">
        <v>56</v>
      </c>
      <c r="O66" t="s">
        <v>57</v>
      </c>
      <c r="Q66" t="s">
        <v>57</v>
      </c>
      <c r="R66" t="s">
        <v>137</v>
      </c>
      <c r="T66" t="s">
        <v>59</v>
      </c>
      <c r="U66" t="s">
        <v>60</v>
      </c>
      <c r="V66" t="s">
        <v>138</v>
      </c>
      <c r="W66" t="s">
        <v>139</v>
      </c>
      <c r="X66">
        <v>1934224</v>
      </c>
      <c r="Y66" s="11">
        <v>44795</v>
      </c>
      <c r="Z66" t="s">
        <v>57</v>
      </c>
      <c r="AA66">
        <v>4</v>
      </c>
      <c r="AB66" t="s">
        <v>57</v>
      </c>
      <c r="AD66" t="s">
        <v>57</v>
      </c>
      <c r="AE66" t="s">
        <v>57</v>
      </c>
      <c r="AF66" t="s">
        <v>57</v>
      </c>
      <c r="AG66">
        <v>1</v>
      </c>
      <c r="AH66" t="s">
        <v>57</v>
      </c>
      <c r="AL66" t="s">
        <v>57</v>
      </c>
      <c r="AM66" s="11">
        <v>44784</v>
      </c>
      <c r="AN66" t="s">
        <v>164</v>
      </c>
      <c r="AO66" t="s">
        <v>65</v>
      </c>
      <c r="AP66">
        <v>1201</v>
      </c>
      <c r="AQ66" t="s">
        <v>66</v>
      </c>
      <c r="AR66">
        <v>79248</v>
      </c>
      <c r="AU66" t="s">
        <v>57</v>
      </c>
      <c r="AV66" t="s">
        <v>68</v>
      </c>
      <c r="AX66" t="s">
        <v>57</v>
      </c>
      <c r="AY66">
        <v>631180</v>
      </c>
      <c r="AZ66">
        <v>1201.6311800000001</v>
      </c>
      <c r="BA66" s="23" t="s">
        <v>4</v>
      </c>
    </row>
    <row r="67" spans="1:53" x14ac:dyDescent="0.25">
      <c r="A67" t="s">
        <v>134</v>
      </c>
      <c r="B67" t="s">
        <v>135</v>
      </c>
      <c r="C67">
        <v>22001896</v>
      </c>
      <c r="D67">
        <v>1201</v>
      </c>
      <c r="E67" s="11">
        <v>44784</v>
      </c>
      <c r="F67" t="s">
        <v>317</v>
      </c>
      <c r="G67">
        <v>1.1499999999999999</v>
      </c>
      <c r="H67">
        <v>1.1499999999999999</v>
      </c>
      <c r="I67" t="s">
        <v>56</v>
      </c>
      <c r="O67" t="s">
        <v>57</v>
      </c>
      <c r="Q67" t="s">
        <v>57</v>
      </c>
      <c r="R67" t="s">
        <v>137</v>
      </c>
      <c r="T67" t="s">
        <v>59</v>
      </c>
      <c r="U67" t="s">
        <v>60</v>
      </c>
      <c r="V67" t="s">
        <v>138</v>
      </c>
      <c r="W67" t="s">
        <v>139</v>
      </c>
      <c r="X67">
        <v>1934224</v>
      </c>
      <c r="Y67" s="11">
        <v>44795</v>
      </c>
      <c r="Z67" t="s">
        <v>57</v>
      </c>
      <c r="AA67">
        <v>2</v>
      </c>
      <c r="AB67" t="s">
        <v>57</v>
      </c>
      <c r="AD67" t="s">
        <v>57</v>
      </c>
      <c r="AE67" t="s">
        <v>57</v>
      </c>
      <c r="AF67" t="s">
        <v>57</v>
      </c>
      <c r="AG67">
        <v>12</v>
      </c>
      <c r="AH67" t="s">
        <v>57</v>
      </c>
      <c r="AL67" t="s">
        <v>57</v>
      </c>
      <c r="AM67" s="11">
        <v>44784</v>
      </c>
      <c r="AN67" t="s">
        <v>164</v>
      </c>
      <c r="AO67" t="s">
        <v>65</v>
      </c>
      <c r="AP67">
        <v>1201</v>
      </c>
      <c r="AQ67" t="s">
        <v>66</v>
      </c>
      <c r="AR67">
        <v>79282</v>
      </c>
      <c r="AU67" t="s">
        <v>57</v>
      </c>
      <c r="AV67" t="s">
        <v>68</v>
      </c>
      <c r="AX67" t="s">
        <v>57</v>
      </c>
      <c r="AY67">
        <v>631180</v>
      </c>
      <c r="AZ67">
        <v>1201.6311800000001</v>
      </c>
      <c r="BA67" s="23" t="s">
        <v>4</v>
      </c>
    </row>
    <row r="68" spans="1:53" x14ac:dyDescent="0.25">
      <c r="A68" t="s">
        <v>134</v>
      </c>
      <c r="B68" t="s">
        <v>135</v>
      </c>
      <c r="C68">
        <v>22001896</v>
      </c>
      <c r="D68">
        <v>1201</v>
      </c>
      <c r="E68" s="11">
        <v>44784</v>
      </c>
      <c r="F68" t="s">
        <v>317</v>
      </c>
      <c r="G68">
        <v>16.3</v>
      </c>
      <c r="H68">
        <v>16.3</v>
      </c>
      <c r="I68" t="s">
        <v>56</v>
      </c>
      <c r="O68" t="s">
        <v>57</v>
      </c>
      <c r="Q68" t="s">
        <v>57</v>
      </c>
      <c r="R68" t="s">
        <v>137</v>
      </c>
      <c r="T68" t="s">
        <v>59</v>
      </c>
      <c r="U68" t="s">
        <v>60</v>
      </c>
      <c r="V68" t="s">
        <v>138</v>
      </c>
      <c r="W68" t="s">
        <v>139</v>
      </c>
      <c r="X68">
        <v>1934224</v>
      </c>
      <c r="Y68" s="11">
        <v>44795</v>
      </c>
      <c r="Z68" t="s">
        <v>57</v>
      </c>
      <c r="AA68">
        <v>4</v>
      </c>
      <c r="AB68" t="s">
        <v>57</v>
      </c>
      <c r="AD68" t="s">
        <v>57</v>
      </c>
      <c r="AE68" t="s">
        <v>57</v>
      </c>
      <c r="AF68" t="s">
        <v>57</v>
      </c>
      <c r="AG68">
        <v>30</v>
      </c>
      <c r="AH68" t="s">
        <v>57</v>
      </c>
      <c r="AL68" t="s">
        <v>57</v>
      </c>
      <c r="AM68" s="11">
        <v>44784</v>
      </c>
      <c r="AN68" t="s">
        <v>164</v>
      </c>
      <c r="AO68" t="s">
        <v>65</v>
      </c>
      <c r="AP68">
        <v>1201</v>
      </c>
      <c r="AQ68" t="s">
        <v>66</v>
      </c>
      <c r="AR68">
        <v>79280</v>
      </c>
      <c r="AU68" t="s">
        <v>57</v>
      </c>
      <c r="AV68" t="s">
        <v>68</v>
      </c>
      <c r="AX68" t="s">
        <v>57</v>
      </c>
      <c r="AY68">
        <v>631180</v>
      </c>
      <c r="AZ68">
        <v>1201.6311800000001</v>
      </c>
      <c r="BA68" s="23" t="s">
        <v>4</v>
      </c>
    </row>
    <row r="69" spans="1:53" x14ac:dyDescent="0.25">
      <c r="A69" t="s">
        <v>134</v>
      </c>
      <c r="B69" t="s">
        <v>135</v>
      </c>
      <c r="C69">
        <v>22001897</v>
      </c>
      <c r="D69">
        <v>1201</v>
      </c>
      <c r="E69" s="11">
        <v>44784</v>
      </c>
      <c r="F69" t="s">
        <v>318</v>
      </c>
      <c r="G69">
        <v>2.2999999999999998</v>
      </c>
      <c r="H69">
        <v>2.2999999999999998</v>
      </c>
      <c r="I69" t="s">
        <v>56</v>
      </c>
      <c r="O69" t="s">
        <v>57</v>
      </c>
      <c r="Q69" t="s">
        <v>57</v>
      </c>
      <c r="R69" t="s">
        <v>137</v>
      </c>
      <c r="T69" t="s">
        <v>59</v>
      </c>
      <c r="U69" t="s">
        <v>60</v>
      </c>
      <c r="V69" t="s">
        <v>138</v>
      </c>
      <c r="W69" t="s">
        <v>139</v>
      </c>
      <c r="X69">
        <v>1934224</v>
      </c>
      <c r="Y69" s="11">
        <v>44795</v>
      </c>
      <c r="Z69" t="s">
        <v>57</v>
      </c>
      <c r="AA69">
        <v>2</v>
      </c>
      <c r="AB69" t="s">
        <v>57</v>
      </c>
      <c r="AD69" t="s">
        <v>57</v>
      </c>
      <c r="AE69" t="s">
        <v>57</v>
      </c>
      <c r="AF69" t="s">
        <v>57</v>
      </c>
      <c r="AG69">
        <v>12</v>
      </c>
      <c r="AH69" t="s">
        <v>57</v>
      </c>
      <c r="AL69" t="s">
        <v>57</v>
      </c>
      <c r="AM69" s="11">
        <v>44784</v>
      </c>
      <c r="AN69" t="s">
        <v>164</v>
      </c>
      <c r="AO69" t="s">
        <v>65</v>
      </c>
      <c r="AP69">
        <v>1201</v>
      </c>
      <c r="AQ69" t="s">
        <v>66</v>
      </c>
      <c r="AR69">
        <v>79248</v>
      </c>
      <c r="AU69" t="s">
        <v>57</v>
      </c>
      <c r="AV69" t="s">
        <v>68</v>
      </c>
      <c r="AX69" t="s">
        <v>57</v>
      </c>
      <c r="AY69">
        <v>631180</v>
      </c>
      <c r="AZ69">
        <v>1201.6311800000001</v>
      </c>
      <c r="BA69" s="23" t="s">
        <v>4</v>
      </c>
    </row>
    <row r="70" spans="1:53" x14ac:dyDescent="0.25">
      <c r="A70" t="s">
        <v>134</v>
      </c>
      <c r="B70" t="s">
        <v>135</v>
      </c>
      <c r="C70">
        <v>22001897</v>
      </c>
      <c r="D70">
        <v>1201</v>
      </c>
      <c r="E70" s="11">
        <v>44784</v>
      </c>
      <c r="F70" t="s">
        <v>318</v>
      </c>
      <c r="G70">
        <v>1.1499999999999999</v>
      </c>
      <c r="H70">
        <v>1.1499999999999999</v>
      </c>
      <c r="I70" t="s">
        <v>56</v>
      </c>
      <c r="O70" t="s">
        <v>57</v>
      </c>
      <c r="Q70" t="s">
        <v>57</v>
      </c>
      <c r="R70" t="s">
        <v>137</v>
      </c>
      <c r="T70" t="s">
        <v>59</v>
      </c>
      <c r="U70" t="s">
        <v>60</v>
      </c>
      <c r="V70" t="s">
        <v>138</v>
      </c>
      <c r="W70" t="s">
        <v>139</v>
      </c>
      <c r="X70">
        <v>1934224</v>
      </c>
      <c r="Y70" s="11">
        <v>44795</v>
      </c>
      <c r="Z70" t="s">
        <v>57</v>
      </c>
      <c r="AA70">
        <v>4</v>
      </c>
      <c r="AB70" t="s">
        <v>57</v>
      </c>
      <c r="AD70" t="s">
        <v>57</v>
      </c>
      <c r="AE70" t="s">
        <v>57</v>
      </c>
      <c r="AF70" t="s">
        <v>57</v>
      </c>
      <c r="AG70">
        <v>12</v>
      </c>
      <c r="AH70" t="s">
        <v>57</v>
      </c>
      <c r="AL70" t="s">
        <v>57</v>
      </c>
      <c r="AM70" s="11">
        <v>44784</v>
      </c>
      <c r="AN70" t="s">
        <v>164</v>
      </c>
      <c r="AO70" t="s">
        <v>65</v>
      </c>
      <c r="AP70">
        <v>1201</v>
      </c>
      <c r="AQ70" t="s">
        <v>66</v>
      </c>
      <c r="AR70">
        <v>79282</v>
      </c>
      <c r="AU70" t="s">
        <v>57</v>
      </c>
      <c r="AV70" t="s">
        <v>68</v>
      </c>
      <c r="AX70" t="s">
        <v>57</v>
      </c>
      <c r="AY70">
        <v>631180</v>
      </c>
      <c r="AZ70">
        <v>1201.6311800000001</v>
      </c>
      <c r="BA70" s="23" t="s">
        <v>4</v>
      </c>
    </row>
    <row r="71" spans="1:53" x14ac:dyDescent="0.25">
      <c r="A71" t="s">
        <v>134</v>
      </c>
      <c r="B71" t="s">
        <v>135</v>
      </c>
      <c r="C71">
        <v>22001898</v>
      </c>
      <c r="D71">
        <v>1201</v>
      </c>
      <c r="E71" s="11">
        <v>44788</v>
      </c>
      <c r="F71" t="s">
        <v>315</v>
      </c>
      <c r="G71">
        <v>4.5999999999999996</v>
      </c>
      <c r="H71">
        <v>4.5999999999999996</v>
      </c>
      <c r="I71" t="s">
        <v>56</v>
      </c>
      <c r="O71" t="s">
        <v>57</v>
      </c>
      <c r="Q71" t="s">
        <v>57</v>
      </c>
      <c r="R71" t="s">
        <v>137</v>
      </c>
      <c r="T71" t="s">
        <v>59</v>
      </c>
      <c r="U71" t="s">
        <v>60</v>
      </c>
      <c r="V71" t="s">
        <v>138</v>
      </c>
      <c r="W71" t="s">
        <v>139</v>
      </c>
      <c r="X71">
        <v>1934224</v>
      </c>
      <c r="Y71" s="11">
        <v>44795</v>
      </c>
      <c r="Z71" t="s">
        <v>57</v>
      </c>
      <c r="AA71">
        <v>2</v>
      </c>
      <c r="AB71" t="s">
        <v>57</v>
      </c>
      <c r="AD71" t="s">
        <v>57</v>
      </c>
      <c r="AE71" t="s">
        <v>57</v>
      </c>
      <c r="AF71" t="s">
        <v>57</v>
      </c>
      <c r="AG71">
        <v>24</v>
      </c>
      <c r="AH71" t="s">
        <v>57</v>
      </c>
      <c r="AL71" t="s">
        <v>57</v>
      </c>
      <c r="AM71" s="11">
        <v>44788</v>
      </c>
      <c r="AN71" t="s">
        <v>164</v>
      </c>
      <c r="AO71" t="s">
        <v>65</v>
      </c>
      <c r="AP71">
        <v>1201</v>
      </c>
      <c r="AQ71" t="s">
        <v>66</v>
      </c>
      <c r="AR71">
        <v>79248</v>
      </c>
      <c r="AU71" t="s">
        <v>57</v>
      </c>
      <c r="AV71" t="s">
        <v>68</v>
      </c>
      <c r="AX71" t="s">
        <v>57</v>
      </c>
      <c r="AY71">
        <v>631180</v>
      </c>
      <c r="AZ71">
        <v>1201.6311800000001</v>
      </c>
      <c r="BA71" s="23" t="s">
        <v>4</v>
      </c>
    </row>
    <row r="72" spans="1:53" x14ac:dyDescent="0.25">
      <c r="A72" t="s">
        <v>134</v>
      </c>
      <c r="B72" t="s">
        <v>135</v>
      </c>
      <c r="C72">
        <v>22001899</v>
      </c>
      <c r="D72">
        <v>1201</v>
      </c>
      <c r="E72" s="11">
        <v>44788</v>
      </c>
      <c r="F72" t="s">
        <v>313</v>
      </c>
      <c r="G72">
        <v>1.63</v>
      </c>
      <c r="H72">
        <v>1.63</v>
      </c>
      <c r="I72" t="s">
        <v>56</v>
      </c>
      <c r="O72" t="s">
        <v>57</v>
      </c>
      <c r="Q72" t="s">
        <v>57</v>
      </c>
      <c r="R72" t="s">
        <v>137</v>
      </c>
      <c r="T72" t="s">
        <v>59</v>
      </c>
      <c r="U72" t="s">
        <v>60</v>
      </c>
      <c r="V72" t="s">
        <v>138</v>
      </c>
      <c r="W72" t="s">
        <v>139</v>
      </c>
      <c r="X72">
        <v>1934224</v>
      </c>
      <c r="Y72" s="11">
        <v>44795</v>
      </c>
      <c r="Z72" t="s">
        <v>57</v>
      </c>
      <c r="AA72">
        <v>2</v>
      </c>
      <c r="AB72" t="s">
        <v>57</v>
      </c>
      <c r="AD72" t="s">
        <v>57</v>
      </c>
      <c r="AE72" t="s">
        <v>57</v>
      </c>
      <c r="AF72" t="s">
        <v>57</v>
      </c>
      <c r="AG72">
        <v>3</v>
      </c>
      <c r="AH72" t="s">
        <v>57</v>
      </c>
      <c r="AL72" t="s">
        <v>57</v>
      </c>
      <c r="AM72" s="11">
        <v>44788</v>
      </c>
      <c r="AN72" t="s">
        <v>164</v>
      </c>
      <c r="AO72" t="s">
        <v>65</v>
      </c>
      <c r="AP72">
        <v>1201</v>
      </c>
      <c r="AQ72" t="s">
        <v>66</v>
      </c>
      <c r="AR72">
        <v>79280</v>
      </c>
      <c r="AU72" t="s">
        <v>57</v>
      </c>
      <c r="AV72" t="s">
        <v>68</v>
      </c>
      <c r="AX72" t="s">
        <v>57</v>
      </c>
      <c r="AY72">
        <v>631180</v>
      </c>
      <c r="AZ72">
        <v>1201.6311800000001</v>
      </c>
      <c r="BA72" s="23" t="s">
        <v>4</v>
      </c>
    </row>
    <row r="73" spans="1:53" x14ac:dyDescent="0.25">
      <c r="A73" t="s">
        <v>134</v>
      </c>
      <c r="B73" t="s">
        <v>135</v>
      </c>
      <c r="C73">
        <v>22001899</v>
      </c>
      <c r="D73">
        <v>1201</v>
      </c>
      <c r="E73" s="11">
        <v>44788</v>
      </c>
      <c r="F73" t="s">
        <v>313</v>
      </c>
      <c r="G73">
        <v>0.1</v>
      </c>
      <c r="H73">
        <v>0.1</v>
      </c>
      <c r="I73" t="s">
        <v>56</v>
      </c>
      <c r="O73" t="s">
        <v>57</v>
      </c>
      <c r="Q73" t="s">
        <v>57</v>
      </c>
      <c r="R73" t="s">
        <v>137</v>
      </c>
      <c r="T73" t="s">
        <v>59</v>
      </c>
      <c r="U73" t="s">
        <v>60</v>
      </c>
      <c r="V73" t="s">
        <v>138</v>
      </c>
      <c r="W73" t="s">
        <v>139</v>
      </c>
      <c r="X73">
        <v>1934224</v>
      </c>
      <c r="Y73" s="11">
        <v>44795</v>
      </c>
      <c r="Z73" t="s">
        <v>57</v>
      </c>
      <c r="AA73">
        <v>4</v>
      </c>
      <c r="AB73" t="s">
        <v>57</v>
      </c>
      <c r="AD73" t="s">
        <v>57</v>
      </c>
      <c r="AE73" t="s">
        <v>57</v>
      </c>
      <c r="AF73" t="s">
        <v>57</v>
      </c>
      <c r="AG73">
        <v>1</v>
      </c>
      <c r="AH73" t="s">
        <v>57</v>
      </c>
      <c r="AL73" t="s">
        <v>57</v>
      </c>
      <c r="AM73" s="11">
        <v>44788</v>
      </c>
      <c r="AN73" t="s">
        <v>164</v>
      </c>
      <c r="AO73" t="s">
        <v>65</v>
      </c>
      <c r="AP73">
        <v>1201</v>
      </c>
      <c r="AQ73" t="s">
        <v>66</v>
      </c>
      <c r="AR73">
        <v>79282</v>
      </c>
      <c r="AU73" t="s">
        <v>57</v>
      </c>
      <c r="AV73" t="s">
        <v>68</v>
      </c>
      <c r="AX73" t="s">
        <v>57</v>
      </c>
      <c r="AY73">
        <v>631180</v>
      </c>
      <c r="AZ73">
        <v>1201.6311800000001</v>
      </c>
      <c r="BA73" s="23" t="s">
        <v>4</v>
      </c>
    </row>
    <row r="74" spans="1:53" x14ac:dyDescent="0.25">
      <c r="A74" t="s">
        <v>134</v>
      </c>
      <c r="B74" t="s">
        <v>135</v>
      </c>
      <c r="C74">
        <v>22001900</v>
      </c>
      <c r="D74">
        <v>1201</v>
      </c>
      <c r="E74" s="11">
        <v>44788</v>
      </c>
      <c r="F74" t="s">
        <v>319</v>
      </c>
      <c r="G74">
        <v>168.52</v>
      </c>
      <c r="H74">
        <v>168.52</v>
      </c>
      <c r="I74" t="s">
        <v>56</v>
      </c>
      <c r="O74" t="s">
        <v>57</v>
      </c>
      <c r="Q74" t="s">
        <v>57</v>
      </c>
      <c r="R74" t="s">
        <v>137</v>
      </c>
      <c r="T74" t="s">
        <v>59</v>
      </c>
      <c r="U74" t="s">
        <v>60</v>
      </c>
      <c r="V74" t="s">
        <v>138</v>
      </c>
      <c r="W74" t="s">
        <v>139</v>
      </c>
      <c r="X74">
        <v>1934224</v>
      </c>
      <c r="Y74" s="11">
        <v>44795</v>
      </c>
      <c r="Z74" t="s">
        <v>57</v>
      </c>
      <c r="AA74">
        <v>2</v>
      </c>
      <c r="AB74" t="s">
        <v>57</v>
      </c>
      <c r="AD74" t="s">
        <v>57</v>
      </c>
      <c r="AE74" t="s">
        <v>57</v>
      </c>
      <c r="AF74" t="s">
        <v>57</v>
      </c>
      <c r="AG74">
        <v>220</v>
      </c>
      <c r="AH74" t="s">
        <v>57</v>
      </c>
      <c r="AL74" t="s">
        <v>57</v>
      </c>
      <c r="AM74" s="11">
        <v>44788</v>
      </c>
      <c r="AN74" t="s">
        <v>164</v>
      </c>
      <c r="AO74" t="s">
        <v>65</v>
      </c>
      <c r="AP74">
        <v>1201</v>
      </c>
      <c r="AQ74" t="s">
        <v>66</v>
      </c>
      <c r="AR74">
        <v>253820</v>
      </c>
      <c r="AU74" t="s">
        <v>57</v>
      </c>
      <c r="AV74" t="s">
        <v>68</v>
      </c>
      <c r="AX74" t="s">
        <v>57</v>
      </c>
      <c r="AY74">
        <v>631180</v>
      </c>
      <c r="AZ74">
        <v>1201.6311800000001</v>
      </c>
      <c r="BA74" s="23" t="s">
        <v>4</v>
      </c>
    </row>
    <row r="75" spans="1:53" x14ac:dyDescent="0.25">
      <c r="A75" t="s">
        <v>134</v>
      </c>
      <c r="B75" t="s">
        <v>135</v>
      </c>
      <c r="C75">
        <v>22001900</v>
      </c>
      <c r="D75">
        <v>1201</v>
      </c>
      <c r="E75" s="11">
        <v>44788</v>
      </c>
      <c r="F75" t="s">
        <v>319</v>
      </c>
      <c r="G75">
        <v>339.57</v>
      </c>
      <c r="H75">
        <v>339.57</v>
      </c>
      <c r="I75" t="s">
        <v>56</v>
      </c>
      <c r="O75" t="s">
        <v>57</v>
      </c>
      <c r="Q75" t="s">
        <v>57</v>
      </c>
      <c r="R75" t="s">
        <v>137</v>
      </c>
      <c r="T75" t="s">
        <v>59</v>
      </c>
      <c r="U75" t="s">
        <v>60</v>
      </c>
      <c r="V75" t="s">
        <v>138</v>
      </c>
      <c r="W75" t="s">
        <v>139</v>
      </c>
      <c r="X75">
        <v>1934224</v>
      </c>
      <c r="Y75" s="11">
        <v>44795</v>
      </c>
      <c r="Z75" t="s">
        <v>57</v>
      </c>
      <c r="AA75">
        <v>4</v>
      </c>
      <c r="AB75" t="s">
        <v>57</v>
      </c>
      <c r="AD75" t="s">
        <v>57</v>
      </c>
      <c r="AE75" t="s">
        <v>57</v>
      </c>
      <c r="AF75" t="s">
        <v>57</v>
      </c>
      <c r="AG75">
        <v>150</v>
      </c>
      <c r="AH75" t="s">
        <v>57</v>
      </c>
      <c r="AL75" t="s">
        <v>57</v>
      </c>
      <c r="AM75" s="11">
        <v>44788</v>
      </c>
      <c r="AN75" t="s">
        <v>164</v>
      </c>
      <c r="AO75" t="s">
        <v>65</v>
      </c>
      <c r="AP75">
        <v>1201</v>
      </c>
      <c r="AQ75" t="s">
        <v>66</v>
      </c>
      <c r="AR75">
        <v>149711</v>
      </c>
      <c r="AU75" t="s">
        <v>57</v>
      </c>
      <c r="AV75" t="s">
        <v>68</v>
      </c>
      <c r="AX75" t="s">
        <v>57</v>
      </c>
      <c r="AY75">
        <v>631180</v>
      </c>
      <c r="AZ75">
        <v>1201.6311800000001</v>
      </c>
      <c r="BA75" s="23" t="s">
        <v>4</v>
      </c>
    </row>
    <row r="76" spans="1:53" x14ac:dyDescent="0.25">
      <c r="A76" t="s">
        <v>134</v>
      </c>
      <c r="B76" t="s">
        <v>135</v>
      </c>
      <c r="C76">
        <v>22001900</v>
      </c>
      <c r="D76">
        <v>1201</v>
      </c>
      <c r="E76" s="11">
        <v>44788</v>
      </c>
      <c r="F76" t="s">
        <v>319</v>
      </c>
      <c r="G76">
        <v>117.88</v>
      </c>
      <c r="H76">
        <v>117.88</v>
      </c>
      <c r="I76" t="s">
        <v>56</v>
      </c>
      <c r="O76" t="s">
        <v>57</v>
      </c>
      <c r="Q76" t="s">
        <v>57</v>
      </c>
      <c r="R76" t="s">
        <v>137</v>
      </c>
      <c r="T76" t="s">
        <v>59</v>
      </c>
      <c r="U76" t="s">
        <v>60</v>
      </c>
      <c r="V76" t="s">
        <v>138</v>
      </c>
      <c r="W76" t="s">
        <v>139</v>
      </c>
      <c r="X76">
        <v>1934224</v>
      </c>
      <c r="Y76" s="11">
        <v>44795</v>
      </c>
      <c r="Z76" t="s">
        <v>57</v>
      </c>
      <c r="AA76">
        <v>6</v>
      </c>
      <c r="AB76" t="s">
        <v>57</v>
      </c>
      <c r="AD76" t="s">
        <v>57</v>
      </c>
      <c r="AE76" t="s">
        <v>57</v>
      </c>
      <c r="AF76" t="s">
        <v>57</v>
      </c>
      <c r="AG76">
        <v>200</v>
      </c>
      <c r="AH76" t="s">
        <v>57</v>
      </c>
      <c r="AL76" t="s">
        <v>57</v>
      </c>
      <c r="AM76" s="11">
        <v>44788</v>
      </c>
      <c r="AN76" t="s">
        <v>164</v>
      </c>
      <c r="AO76" t="s">
        <v>65</v>
      </c>
      <c r="AP76">
        <v>1201</v>
      </c>
      <c r="AQ76" t="s">
        <v>66</v>
      </c>
      <c r="AR76">
        <v>220249</v>
      </c>
      <c r="AU76" t="s">
        <v>57</v>
      </c>
      <c r="AV76" t="s">
        <v>68</v>
      </c>
      <c r="AX76" t="s">
        <v>57</v>
      </c>
      <c r="AY76">
        <v>631180</v>
      </c>
      <c r="AZ76">
        <v>1201.6311800000001</v>
      </c>
      <c r="BA76" s="23" t="s">
        <v>4</v>
      </c>
    </row>
    <row r="77" spans="1:53" x14ac:dyDescent="0.25">
      <c r="A77" t="s">
        <v>134</v>
      </c>
      <c r="B77" t="s">
        <v>135</v>
      </c>
      <c r="C77">
        <v>22001900</v>
      </c>
      <c r="D77">
        <v>1201</v>
      </c>
      <c r="E77" s="11">
        <v>44788</v>
      </c>
      <c r="F77" t="s">
        <v>319</v>
      </c>
      <c r="G77">
        <v>54.07</v>
      </c>
      <c r="H77">
        <v>54.07</v>
      </c>
      <c r="I77" t="s">
        <v>56</v>
      </c>
      <c r="O77" t="s">
        <v>57</v>
      </c>
      <c r="Q77" t="s">
        <v>57</v>
      </c>
      <c r="R77" t="s">
        <v>137</v>
      </c>
      <c r="T77" t="s">
        <v>59</v>
      </c>
      <c r="U77" t="s">
        <v>60</v>
      </c>
      <c r="V77" t="s">
        <v>138</v>
      </c>
      <c r="W77" t="s">
        <v>139</v>
      </c>
      <c r="X77">
        <v>1934224</v>
      </c>
      <c r="Y77" s="11">
        <v>44795</v>
      </c>
      <c r="Z77" t="s">
        <v>57</v>
      </c>
      <c r="AA77">
        <v>8</v>
      </c>
      <c r="AB77" t="s">
        <v>57</v>
      </c>
      <c r="AD77" t="s">
        <v>57</v>
      </c>
      <c r="AE77" t="s">
        <v>57</v>
      </c>
      <c r="AF77" t="s">
        <v>57</v>
      </c>
      <c r="AG77">
        <v>225</v>
      </c>
      <c r="AH77" t="s">
        <v>57</v>
      </c>
      <c r="AL77" t="s">
        <v>57</v>
      </c>
      <c r="AM77" s="11">
        <v>44788</v>
      </c>
      <c r="AN77" t="s">
        <v>164</v>
      </c>
      <c r="AO77" t="s">
        <v>65</v>
      </c>
      <c r="AP77">
        <v>1201</v>
      </c>
      <c r="AQ77" t="s">
        <v>66</v>
      </c>
      <c r="AR77">
        <v>79293</v>
      </c>
      <c r="AU77" t="s">
        <v>57</v>
      </c>
      <c r="AV77" t="s">
        <v>68</v>
      </c>
      <c r="AX77" t="s">
        <v>57</v>
      </c>
      <c r="AY77">
        <v>631180</v>
      </c>
      <c r="AZ77">
        <v>1201.6311800000001</v>
      </c>
      <c r="BA77" s="23" t="s">
        <v>4</v>
      </c>
    </row>
    <row r="78" spans="1:53" x14ac:dyDescent="0.25">
      <c r="A78" t="s">
        <v>134</v>
      </c>
      <c r="B78" t="s">
        <v>135</v>
      </c>
      <c r="C78">
        <v>22001900</v>
      </c>
      <c r="D78">
        <v>1201</v>
      </c>
      <c r="E78" s="11">
        <v>44788</v>
      </c>
      <c r="F78" t="s">
        <v>319</v>
      </c>
      <c r="G78">
        <v>5.86</v>
      </c>
      <c r="H78">
        <v>5.86</v>
      </c>
      <c r="I78" t="s">
        <v>56</v>
      </c>
      <c r="O78" t="s">
        <v>57</v>
      </c>
      <c r="Q78" t="s">
        <v>57</v>
      </c>
      <c r="R78" t="s">
        <v>137</v>
      </c>
      <c r="T78" t="s">
        <v>59</v>
      </c>
      <c r="U78" t="s">
        <v>60</v>
      </c>
      <c r="V78" t="s">
        <v>138</v>
      </c>
      <c r="W78" t="s">
        <v>139</v>
      </c>
      <c r="X78">
        <v>1934224</v>
      </c>
      <c r="Y78" s="11">
        <v>44795</v>
      </c>
      <c r="Z78" t="s">
        <v>57</v>
      </c>
      <c r="AA78">
        <v>10</v>
      </c>
      <c r="AB78" t="s">
        <v>57</v>
      </c>
      <c r="AD78" t="s">
        <v>57</v>
      </c>
      <c r="AE78" t="s">
        <v>57</v>
      </c>
      <c r="AF78" t="s">
        <v>57</v>
      </c>
      <c r="AG78">
        <v>3</v>
      </c>
      <c r="AH78" t="s">
        <v>57</v>
      </c>
      <c r="AL78" t="s">
        <v>57</v>
      </c>
      <c r="AM78" s="11">
        <v>44788</v>
      </c>
      <c r="AN78" t="s">
        <v>164</v>
      </c>
      <c r="AO78" t="s">
        <v>65</v>
      </c>
      <c r="AP78">
        <v>1201</v>
      </c>
      <c r="AQ78" t="s">
        <v>66</v>
      </c>
      <c r="AR78">
        <v>264921</v>
      </c>
      <c r="AU78" t="s">
        <v>57</v>
      </c>
      <c r="AV78" t="s">
        <v>68</v>
      </c>
      <c r="AX78" t="s">
        <v>57</v>
      </c>
      <c r="AY78">
        <v>631180</v>
      </c>
      <c r="AZ78">
        <v>1201.6311800000001</v>
      </c>
      <c r="BA78" s="23" t="s">
        <v>4</v>
      </c>
    </row>
    <row r="79" spans="1:53" x14ac:dyDescent="0.25">
      <c r="A79" t="s">
        <v>134</v>
      </c>
      <c r="B79" t="s">
        <v>135</v>
      </c>
      <c r="C79">
        <v>22001901</v>
      </c>
      <c r="D79">
        <v>1201</v>
      </c>
      <c r="E79" s="11">
        <v>44789</v>
      </c>
      <c r="F79" t="s">
        <v>315</v>
      </c>
      <c r="G79">
        <v>4.8899999999999997</v>
      </c>
      <c r="H79">
        <v>4.8899999999999997</v>
      </c>
      <c r="I79" t="s">
        <v>56</v>
      </c>
      <c r="O79" t="s">
        <v>57</v>
      </c>
      <c r="Q79" t="s">
        <v>57</v>
      </c>
      <c r="R79" t="s">
        <v>137</v>
      </c>
      <c r="T79" t="s">
        <v>59</v>
      </c>
      <c r="U79" t="s">
        <v>60</v>
      </c>
      <c r="V79" t="s">
        <v>138</v>
      </c>
      <c r="W79" t="s">
        <v>139</v>
      </c>
      <c r="X79">
        <v>1934224</v>
      </c>
      <c r="Y79" s="11">
        <v>44795</v>
      </c>
      <c r="Z79" t="s">
        <v>57</v>
      </c>
      <c r="AA79">
        <v>2</v>
      </c>
      <c r="AB79" t="s">
        <v>57</v>
      </c>
      <c r="AD79" t="s">
        <v>57</v>
      </c>
      <c r="AE79" t="s">
        <v>57</v>
      </c>
      <c r="AF79" t="s">
        <v>57</v>
      </c>
      <c r="AG79">
        <v>9</v>
      </c>
      <c r="AH79" t="s">
        <v>57</v>
      </c>
      <c r="AL79" t="s">
        <v>57</v>
      </c>
      <c r="AM79" s="11">
        <v>44789</v>
      </c>
      <c r="AN79" t="s">
        <v>164</v>
      </c>
      <c r="AO79" t="s">
        <v>65</v>
      </c>
      <c r="AP79">
        <v>1201</v>
      </c>
      <c r="AQ79" t="s">
        <v>66</v>
      </c>
      <c r="AR79">
        <v>79280</v>
      </c>
      <c r="AU79" t="s">
        <v>57</v>
      </c>
      <c r="AV79" t="s">
        <v>68</v>
      </c>
      <c r="AX79" t="s">
        <v>57</v>
      </c>
      <c r="AY79">
        <v>631180</v>
      </c>
      <c r="AZ79">
        <v>1201.6311800000001</v>
      </c>
      <c r="BA79" s="23" t="s">
        <v>4</v>
      </c>
    </row>
    <row r="80" spans="1:53" x14ac:dyDescent="0.25">
      <c r="A80" t="s">
        <v>134</v>
      </c>
      <c r="B80" t="s">
        <v>135</v>
      </c>
      <c r="C80">
        <v>22001902</v>
      </c>
      <c r="D80">
        <v>1201</v>
      </c>
      <c r="E80" s="11">
        <v>44792</v>
      </c>
      <c r="F80" t="s">
        <v>313</v>
      </c>
      <c r="G80">
        <v>0.19</v>
      </c>
      <c r="H80">
        <v>0.19</v>
      </c>
      <c r="I80" t="s">
        <v>56</v>
      </c>
      <c r="O80" t="s">
        <v>57</v>
      </c>
      <c r="Q80" t="s">
        <v>57</v>
      </c>
      <c r="R80" t="s">
        <v>137</v>
      </c>
      <c r="T80" t="s">
        <v>59</v>
      </c>
      <c r="U80" t="s">
        <v>60</v>
      </c>
      <c r="V80" t="s">
        <v>138</v>
      </c>
      <c r="W80" t="s">
        <v>139</v>
      </c>
      <c r="X80">
        <v>1934224</v>
      </c>
      <c r="Y80" s="11">
        <v>44795</v>
      </c>
      <c r="Z80" t="s">
        <v>57</v>
      </c>
      <c r="AA80">
        <v>2</v>
      </c>
      <c r="AB80" t="s">
        <v>57</v>
      </c>
      <c r="AD80" t="s">
        <v>57</v>
      </c>
      <c r="AE80" t="s">
        <v>57</v>
      </c>
      <c r="AF80" t="s">
        <v>57</v>
      </c>
      <c r="AG80">
        <v>1</v>
      </c>
      <c r="AH80" t="s">
        <v>57</v>
      </c>
      <c r="AL80" t="s">
        <v>57</v>
      </c>
      <c r="AM80" s="11">
        <v>44792</v>
      </c>
      <c r="AN80" t="s">
        <v>164</v>
      </c>
      <c r="AO80" t="s">
        <v>65</v>
      </c>
      <c r="AP80">
        <v>1201</v>
      </c>
      <c r="AQ80" t="s">
        <v>66</v>
      </c>
      <c r="AR80">
        <v>79248</v>
      </c>
      <c r="AU80" t="s">
        <v>57</v>
      </c>
      <c r="AV80" t="s">
        <v>68</v>
      </c>
      <c r="AX80" t="s">
        <v>57</v>
      </c>
      <c r="AY80">
        <v>631180</v>
      </c>
      <c r="AZ80">
        <v>1201.6311800000001</v>
      </c>
      <c r="BA80" s="23" t="s">
        <v>4</v>
      </c>
    </row>
    <row r="81" spans="1:53" x14ac:dyDescent="0.25">
      <c r="A81" t="s">
        <v>134</v>
      </c>
      <c r="B81" t="s">
        <v>135</v>
      </c>
      <c r="C81">
        <v>22001902</v>
      </c>
      <c r="D81">
        <v>1201</v>
      </c>
      <c r="E81" s="11">
        <v>44792</v>
      </c>
      <c r="F81" t="s">
        <v>313</v>
      </c>
      <c r="G81">
        <v>3.26</v>
      </c>
      <c r="H81">
        <v>3.26</v>
      </c>
      <c r="I81" t="s">
        <v>56</v>
      </c>
      <c r="O81" t="s">
        <v>57</v>
      </c>
      <c r="Q81" t="s">
        <v>57</v>
      </c>
      <c r="R81" t="s">
        <v>137</v>
      </c>
      <c r="T81" t="s">
        <v>59</v>
      </c>
      <c r="U81" t="s">
        <v>60</v>
      </c>
      <c r="V81" t="s">
        <v>138</v>
      </c>
      <c r="W81" t="s">
        <v>139</v>
      </c>
      <c r="X81">
        <v>1934224</v>
      </c>
      <c r="Y81" s="11">
        <v>44795</v>
      </c>
      <c r="Z81" t="s">
        <v>57</v>
      </c>
      <c r="AA81">
        <v>4</v>
      </c>
      <c r="AB81" t="s">
        <v>57</v>
      </c>
      <c r="AD81" t="s">
        <v>57</v>
      </c>
      <c r="AE81" t="s">
        <v>57</v>
      </c>
      <c r="AF81" t="s">
        <v>57</v>
      </c>
      <c r="AG81">
        <v>6</v>
      </c>
      <c r="AH81" t="s">
        <v>57</v>
      </c>
      <c r="AL81" t="s">
        <v>57</v>
      </c>
      <c r="AM81" s="11">
        <v>44792</v>
      </c>
      <c r="AN81" t="s">
        <v>164</v>
      </c>
      <c r="AO81" t="s">
        <v>65</v>
      </c>
      <c r="AP81">
        <v>1201</v>
      </c>
      <c r="AQ81" t="s">
        <v>66</v>
      </c>
      <c r="AR81">
        <v>79280</v>
      </c>
      <c r="AU81" t="s">
        <v>57</v>
      </c>
      <c r="AV81" t="s">
        <v>68</v>
      </c>
      <c r="AX81" t="s">
        <v>57</v>
      </c>
      <c r="AY81">
        <v>631180</v>
      </c>
      <c r="AZ81">
        <v>1201.6311800000001</v>
      </c>
      <c r="BA81" s="23" t="s">
        <v>4</v>
      </c>
    </row>
    <row r="82" spans="1:53" x14ac:dyDescent="0.25">
      <c r="A82" t="s">
        <v>134</v>
      </c>
      <c r="B82" t="s">
        <v>135</v>
      </c>
      <c r="C82">
        <v>22001903</v>
      </c>
      <c r="D82">
        <v>1201</v>
      </c>
      <c r="E82" s="11">
        <v>44795</v>
      </c>
      <c r="F82" t="s">
        <v>313</v>
      </c>
      <c r="G82">
        <v>8.15</v>
      </c>
      <c r="H82">
        <v>8.15</v>
      </c>
      <c r="I82" t="s">
        <v>56</v>
      </c>
      <c r="O82" t="s">
        <v>57</v>
      </c>
      <c r="Q82" t="s">
        <v>57</v>
      </c>
      <c r="R82" t="s">
        <v>137</v>
      </c>
      <c r="T82" t="s">
        <v>59</v>
      </c>
      <c r="U82" t="s">
        <v>60</v>
      </c>
      <c r="V82" t="s">
        <v>138</v>
      </c>
      <c r="W82" t="s">
        <v>139</v>
      </c>
      <c r="X82">
        <v>1934224</v>
      </c>
      <c r="Y82" s="11">
        <v>44795</v>
      </c>
      <c r="Z82" t="s">
        <v>57</v>
      </c>
      <c r="AA82">
        <v>2</v>
      </c>
      <c r="AB82" t="s">
        <v>57</v>
      </c>
      <c r="AD82" t="s">
        <v>57</v>
      </c>
      <c r="AE82" t="s">
        <v>57</v>
      </c>
      <c r="AF82" t="s">
        <v>57</v>
      </c>
      <c r="AG82">
        <v>15</v>
      </c>
      <c r="AH82" t="s">
        <v>57</v>
      </c>
      <c r="AL82" t="s">
        <v>57</v>
      </c>
      <c r="AM82" s="11">
        <v>44795</v>
      </c>
      <c r="AN82" t="s">
        <v>164</v>
      </c>
      <c r="AO82" t="s">
        <v>65</v>
      </c>
      <c r="AP82">
        <v>1201</v>
      </c>
      <c r="AQ82" t="s">
        <v>66</v>
      </c>
      <c r="AR82">
        <v>79280</v>
      </c>
      <c r="AU82" t="s">
        <v>57</v>
      </c>
      <c r="AV82" t="s">
        <v>68</v>
      </c>
      <c r="AX82" t="s">
        <v>57</v>
      </c>
      <c r="AY82">
        <v>631180</v>
      </c>
      <c r="AZ82">
        <v>1201.6311800000001</v>
      </c>
      <c r="BA82" s="23" t="s">
        <v>4</v>
      </c>
    </row>
    <row r="83" spans="1:53" x14ac:dyDescent="0.25">
      <c r="A83" t="s">
        <v>134</v>
      </c>
      <c r="B83" t="s">
        <v>135</v>
      </c>
      <c r="C83">
        <v>22001786</v>
      </c>
      <c r="D83">
        <v>1204</v>
      </c>
      <c r="E83" s="11">
        <v>44774</v>
      </c>
      <c r="F83" t="s">
        <v>136</v>
      </c>
      <c r="G83">
        <v>21.6</v>
      </c>
      <c r="H83">
        <v>21.6</v>
      </c>
      <c r="I83" t="s">
        <v>56</v>
      </c>
      <c r="O83" t="s">
        <v>57</v>
      </c>
      <c r="Q83" t="s">
        <v>57</v>
      </c>
      <c r="R83" t="s">
        <v>137</v>
      </c>
      <c r="T83" t="s">
        <v>59</v>
      </c>
      <c r="U83" t="s">
        <v>60</v>
      </c>
      <c r="V83" t="s">
        <v>138</v>
      </c>
      <c r="W83" t="s">
        <v>139</v>
      </c>
      <c r="X83">
        <v>1925483</v>
      </c>
      <c r="Y83" s="11">
        <v>44774</v>
      </c>
      <c r="Z83" t="s">
        <v>57</v>
      </c>
      <c r="AA83">
        <v>2</v>
      </c>
      <c r="AB83" t="s">
        <v>57</v>
      </c>
      <c r="AD83" t="s">
        <v>57</v>
      </c>
      <c r="AE83" t="s">
        <v>57</v>
      </c>
      <c r="AF83" t="s">
        <v>57</v>
      </c>
      <c r="AG83">
        <v>112</v>
      </c>
      <c r="AH83" t="s">
        <v>57</v>
      </c>
      <c r="AL83" t="s">
        <v>57</v>
      </c>
      <c r="AM83" s="11">
        <v>44774</v>
      </c>
      <c r="AN83" t="s">
        <v>140</v>
      </c>
      <c r="AO83" t="s">
        <v>65</v>
      </c>
      <c r="AP83">
        <v>1204</v>
      </c>
      <c r="AQ83" t="s">
        <v>66</v>
      </c>
      <c r="AR83">
        <v>79248</v>
      </c>
      <c r="AU83" t="s">
        <v>57</v>
      </c>
      <c r="AV83" t="s">
        <v>68</v>
      </c>
      <c r="AX83" t="s">
        <v>57</v>
      </c>
      <c r="AY83">
        <v>631180</v>
      </c>
      <c r="AZ83">
        <v>1204.6311800000001</v>
      </c>
      <c r="BA83" s="23" t="s">
        <v>5</v>
      </c>
    </row>
    <row r="84" spans="1:53" x14ac:dyDescent="0.25">
      <c r="A84" t="s">
        <v>134</v>
      </c>
      <c r="B84" t="s">
        <v>135</v>
      </c>
      <c r="C84">
        <v>22001787</v>
      </c>
      <c r="D84">
        <v>1204</v>
      </c>
      <c r="E84" s="11">
        <v>44774</v>
      </c>
      <c r="F84" t="s">
        <v>141</v>
      </c>
      <c r="G84">
        <v>1.21</v>
      </c>
      <c r="H84">
        <v>1.21</v>
      </c>
      <c r="I84" t="s">
        <v>56</v>
      </c>
      <c r="O84" t="s">
        <v>57</v>
      </c>
      <c r="Q84" t="s">
        <v>57</v>
      </c>
      <c r="R84" t="s">
        <v>137</v>
      </c>
      <c r="T84" t="s">
        <v>59</v>
      </c>
      <c r="U84" t="s">
        <v>60</v>
      </c>
      <c r="V84" t="s">
        <v>138</v>
      </c>
      <c r="W84" t="s">
        <v>139</v>
      </c>
      <c r="X84">
        <v>1925483</v>
      </c>
      <c r="Y84" s="11">
        <v>44774</v>
      </c>
      <c r="Z84" t="s">
        <v>57</v>
      </c>
      <c r="AA84">
        <v>2</v>
      </c>
      <c r="AB84" t="s">
        <v>57</v>
      </c>
      <c r="AD84" t="s">
        <v>57</v>
      </c>
      <c r="AE84" t="s">
        <v>57</v>
      </c>
      <c r="AF84" t="s">
        <v>57</v>
      </c>
      <c r="AG84">
        <v>12</v>
      </c>
      <c r="AH84" t="s">
        <v>57</v>
      </c>
      <c r="AL84" t="s">
        <v>57</v>
      </c>
      <c r="AM84" s="11">
        <v>44774</v>
      </c>
      <c r="AN84" t="s">
        <v>140</v>
      </c>
      <c r="AO84" t="s">
        <v>65</v>
      </c>
      <c r="AP84">
        <v>1204</v>
      </c>
      <c r="AQ84" t="s">
        <v>66</v>
      </c>
      <c r="AR84">
        <v>79282</v>
      </c>
      <c r="AU84" t="s">
        <v>57</v>
      </c>
      <c r="AV84" t="s">
        <v>68</v>
      </c>
      <c r="AX84" t="s">
        <v>57</v>
      </c>
      <c r="AY84">
        <v>631180</v>
      </c>
      <c r="AZ84">
        <v>1204.6311800000001</v>
      </c>
      <c r="BA84" s="23" t="s">
        <v>5</v>
      </c>
    </row>
    <row r="85" spans="1:53" x14ac:dyDescent="0.25">
      <c r="A85" t="s">
        <v>134</v>
      </c>
      <c r="B85" t="s">
        <v>135</v>
      </c>
      <c r="C85">
        <v>22001788</v>
      </c>
      <c r="D85">
        <v>1204</v>
      </c>
      <c r="E85" s="11">
        <v>44774</v>
      </c>
      <c r="F85" t="s">
        <v>142</v>
      </c>
      <c r="G85">
        <v>42.56</v>
      </c>
      <c r="H85">
        <v>42.56</v>
      </c>
      <c r="I85" t="s">
        <v>56</v>
      </c>
      <c r="O85" t="s">
        <v>57</v>
      </c>
      <c r="Q85" t="s">
        <v>57</v>
      </c>
      <c r="R85" t="s">
        <v>137</v>
      </c>
      <c r="T85" t="s">
        <v>59</v>
      </c>
      <c r="U85" t="s">
        <v>60</v>
      </c>
      <c r="V85" t="s">
        <v>138</v>
      </c>
      <c r="W85" t="s">
        <v>139</v>
      </c>
      <c r="X85">
        <v>1925483</v>
      </c>
      <c r="Y85" s="11">
        <v>44774</v>
      </c>
      <c r="Z85" t="s">
        <v>57</v>
      </c>
      <c r="AA85">
        <v>2</v>
      </c>
      <c r="AB85" t="s">
        <v>57</v>
      </c>
      <c r="AD85" t="s">
        <v>57</v>
      </c>
      <c r="AE85" t="s">
        <v>57</v>
      </c>
      <c r="AF85" t="s">
        <v>57</v>
      </c>
      <c r="AG85">
        <v>79</v>
      </c>
      <c r="AH85" t="s">
        <v>57</v>
      </c>
      <c r="AL85" t="s">
        <v>57</v>
      </c>
      <c r="AM85" s="11">
        <v>44774</v>
      </c>
      <c r="AN85" t="s">
        <v>140</v>
      </c>
      <c r="AO85" t="s">
        <v>65</v>
      </c>
      <c r="AP85">
        <v>1204</v>
      </c>
      <c r="AQ85" t="s">
        <v>66</v>
      </c>
      <c r="AR85">
        <v>79280</v>
      </c>
      <c r="AU85" t="s">
        <v>57</v>
      </c>
      <c r="AV85" t="s">
        <v>68</v>
      </c>
      <c r="AX85" t="s">
        <v>57</v>
      </c>
      <c r="AY85">
        <v>631180</v>
      </c>
      <c r="AZ85">
        <v>1204.6311800000001</v>
      </c>
      <c r="BA85" s="23" t="s">
        <v>5</v>
      </c>
    </row>
    <row r="86" spans="1:53" x14ac:dyDescent="0.25">
      <c r="A86" t="s">
        <v>134</v>
      </c>
      <c r="B86" t="s">
        <v>135</v>
      </c>
      <c r="C86">
        <v>22001788</v>
      </c>
      <c r="D86">
        <v>1204</v>
      </c>
      <c r="E86" s="11">
        <v>44774</v>
      </c>
      <c r="F86" t="s">
        <v>142</v>
      </c>
      <c r="G86">
        <v>7.61</v>
      </c>
      <c r="H86">
        <v>7.61</v>
      </c>
      <c r="I86" t="s">
        <v>56</v>
      </c>
      <c r="O86" t="s">
        <v>57</v>
      </c>
      <c r="Q86" t="s">
        <v>57</v>
      </c>
      <c r="R86" t="s">
        <v>137</v>
      </c>
      <c r="T86" t="s">
        <v>59</v>
      </c>
      <c r="U86" t="s">
        <v>60</v>
      </c>
      <c r="V86" t="s">
        <v>138</v>
      </c>
      <c r="W86" t="s">
        <v>139</v>
      </c>
      <c r="X86">
        <v>1925483</v>
      </c>
      <c r="Y86" s="11">
        <v>44774</v>
      </c>
      <c r="Z86" t="s">
        <v>57</v>
      </c>
      <c r="AA86">
        <v>4</v>
      </c>
      <c r="AB86" t="s">
        <v>57</v>
      </c>
      <c r="AD86" t="s">
        <v>57</v>
      </c>
      <c r="AE86" t="s">
        <v>57</v>
      </c>
      <c r="AF86" t="s">
        <v>57</v>
      </c>
      <c r="AG86">
        <v>14</v>
      </c>
      <c r="AH86" t="s">
        <v>57</v>
      </c>
      <c r="AL86" t="s">
        <v>57</v>
      </c>
      <c r="AM86" s="11">
        <v>44774</v>
      </c>
      <c r="AN86" t="s">
        <v>140</v>
      </c>
      <c r="AO86" t="s">
        <v>65</v>
      </c>
      <c r="AP86">
        <v>1204</v>
      </c>
      <c r="AQ86" t="s">
        <v>66</v>
      </c>
      <c r="AR86">
        <v>79280</v>
      </c>
      <c r="AU86" t="s">
        <v>57</v>
      </c>
      <c r="AV86" t="s">
        <v>68</v>
      </c>
      <c r="AX86" t="s">
        <v>57</v>
      </c>
      <c r="AY86">
        <v>631180</v>
      </c>
      <c r="AZ86">
        <v>1204.6311800000001</v>
      </c>
      <c r="BA86" s="23" t="s">
        <v>5</v>
      </c>
    </row>
    <row r="87" spans="1:53" x14ac:dyDescent="0.25">
      <c r="A87" t="s">
        <v>134</v>
      </c>
      <c r="B87" t="s">
        <v>135</v>
      </c>
      <c r="C87">
        <v>22001789</v>
      </c>
      <c r="D87">
        <v>1204</v>
      </c>
      <c r="E87" s="11">
        <v>44774</v>
      </c>
      <c r="F87" t="s">
        <v>143</v>
      </c>
      <c r="G87">
        <v>15.6</v>
      </c>
      <c r="H87">
        <v>15.6</v>
      </c>
      <c r="I87" t="s">
        <v>56</v>
      </c>
      <c r="O87" t="s">
        <v>57</v>
      </c>
      <c r="Q87" t="s">
        <v>57</v>
      </c>
      <c r="R87" t="s">
        <v>137</v>
      </c>
      <c r="T87" t="s">
        <v>59</v>
      </c>
      <c r="U87" t="s">
        <v>60</v>
      </c>
      <c r="V87" t="s">
        <v>138</v>
      </c>
      <c r="W87" t="s">
        <v>139</v>
      </c>
      <c r="X87">
        <v>1925483</v>
      </c>
      <c r="Y87" s="11">
        <v>44774</v>
      </c>
      <c r="Z87" t="s">
        <v>57</v>
      </c>
      <c r="AA87">
        <v>2</v>
      </c>
      <c r="AB87" t="s">
        <v>57</v>
      </c>
      <c r="AD87" t="s">
        <v>57</v>
      </c>
      <c r="AE87" t="s">
        <v>57</v>
      </c>
      <c r="AF87" t="s">
        <v>57</v>
      </c>
      <c r="AG87">
        <v>46</v>
      </c>
      <c r="AH87" t="s">
        <v>57</v>
      </c>
      <c r="AL87" t="s">
        <v>57</v>
      </c>
      <c r="AM87" s="11">
        <v>44774</v>
      </c>
      <c r="AN87" t="s">
        <v>140</v>
      </c>
      <c r="AO87" t="s">
        <v>65</v>
      </c>
      <c r="AP87">
        <v>1204</v>
      </c>
      <c r="AQ87" t="s">
        <v>66</v>
      </c>
      <c r="AR87">
        <v>76741</v>
      </c>
      <c r="AU87" t="s">
        <v>57</v>
      </c>
      <c r="AV87" t="s">
        <v>68</v>
      </c>
      <c r="AX87" t="s">
        <v>57</v>
      </c>
      <c r="AY87">
        <v>631180</v>
      </c>
      <c r="AZ87">
        <v>1204.6311800000001</v>
      </c>
      <c r="BA87" s="23" t="s">
        <v>5</v>
      </c>
    </row>
    <row r="88" spans="1:53" x14ac:dyDescent="0.25">
      <c r="A88" t="s">
        <v>134</v>
      </c>
      <c r="B88" t="s">
        <v>135</v>
      </c>
      <c r="C88">
        <v>22001790</v>
      </c>
      <c r="D88">
        <v>1204</v>
      </c>
      <c r="E88" s="11">
        <v>44774</v>
      </c>
      <c r="F88" t="s">
        <v>144</v>
      </c>
      <c r="G88">
        <v>130.46</v>
      </c>
      <c r="H88">
        <v>130.46</v>
      </c>
      <c r="I88" t="s">
        <v>56</v>
      </c>
      <c r="O88" t="s">
        <v>57</v>
      </c>
      <c r="Q88" t="s">
        <v>57</v>
      </c>
      <c r="R88" t="s">
        <v>137</v>
      </c>
      <c r="T88" t="s">
        <v>59</v>
      </c>
      <c r="U88" t="s">
        <v>60</v>
      </c>
      <c r="V88" t="s">
        <v>138</v>
      </c>
      <c r="W88" t="s">
        <v>139</v>
      </c>
      <c r="X88">
        <v>1925483</v>
      </c>
      <c r="Y88" s="11">
        <v>44774</v>
      </c>
      <c r="Z88" t="s">
        <v>57</v>
      </c>
      <c r="AA88">
        <v>2</v>
      </c>
      <c r="AB88" t="s">
        <v>57</v>
      </c>
      <c r="AD88" t="s">
        <v>57</v>
      </c>
      <c r="AE88" t="s">
        <v>57</v>
      </c>
      <c r="AF88" t="s">
        <v>57</v>
      </c>
      <c r="AG88">
        <v>550</v>
      </c>
      <c r="AH88" t="s">
        <v>57</v>
      </c>
      <c r="AL88" t="s">
        <v>57</v>
      </c>
      <c r="AM88" s="11">
        <v>44774</v>
      </c>
      <c r="AN88" t="s">
        <v>140</v>
      </c>
      <c r="AO88" t="s">
        <v>65</v>
      </c>
      <c r="AP88">
        <v>1204</v>
      </c>
      <c r="AQ88" t="s">
        <v>66</v>
      </c>
      <c r="AR88">
        <v>79293</v>
      </c>
      <c r="AU88" t="s">
        <v>57</v>
      </c>
      <c r="AV88" t="s">
        <v>68</v>
      </c>
      <c r="AX88" t="s">
        <v>57</v>
      </c>
      <c r="AY88">
        <v>631180</v>
      </c>
      <c r="AZ88">
        <v>1204.6311800000001</v>
      </c>
      <c r="BA88" s="23" t="s">
        <v>5</v>
      </c>
    </row>
    <row r="89" spans="1:53" x14ac:dyDescent="0.25">
      <c r="A89" t="s">
        <v>134</v>
      </c>
      <c r="B89" t="s">
        <v>135</v>
      </c>
      <c r="C89">
        <v>22001790</v>
      </c>
      <c r="D89">
        <v>1204</v>
      </c>
      <c r="E89" s="11">
        <v>44774</v>
      </c>
      <c r="F89" t="s">
        <v>144</v>
      </c>
      <c r="G89">
        <v>28.98</v>
      </c>
      <c r="H89">
        <v>28.98</v>
      </c>
      <c r="I89" t="s">
        <v>56</v>
      </c>
      <c r="O89" t="s">
        <v>57</v>
      </c>
      <c r="Q89" t="s">
        <v>57</v>
      </c>
      <c r="R89" t="s">
        <v>137</v>
      </c>
      <c r="T89" t="s">
        <v>59</v>
      </c>
      <c r="U89" t="s">
        <v>60</v>
      </c>
      <c r="V89" t="s">
        <v>138</v>
      </c>
      <c r="W89" t="s">
        <v>139</v>
      </c>
      <c r="X89">
        <v>1925483</v>
      </c>
      <c r="Y89" s="11">
        <v>44774</v>
      </c>
      <c r="Z89" t="s">
        <v>57</v>
      </c>
      <c r="AA89">
        <v>4</v>
      </c>
      <c r="AB89" t="s">
        <v>57</v>
      </c>
      <c r="AD89" t="s">
        <v>57</v>
      </c>
      <c r="AE89" t="s">
        <v>57</v>
      </c>
      <c r="AF89" t="s">
        <v>57</v>
      </c>
      <c r="AG89">
        <v>125</v>
      </c>
      <c r="AH89" t="s">
        <v>57</v>
      </c>
      <c r="AL89" t="s">
        <v>57</v>
      </c>
      <c r="AM89" s="11">
        <v>44774</v>
      </c>
      <c r="AN89" t="s">
        <v>140</v>
      </c>
      <c r="AO89" t="s">
        <v>65</v>
      </c>
      <c r="AP89">
        <v>1204</v>
      </c>
      <c r="AQ89" t="s">
        <v>66</v>
      </c>
      <c r="AR89">
        <v>79293</v>
      </c>
      <c r="AU89" t="s">
        <v>57</v>
      </c>
      <c r="AV89" t="s">
        <v>68</v>
      </c>
      <c r="AX89" t="s">
        <v>57</v>
      </c>
      <c r="AY89">
        <v>631180</v>
      </c>
      <c r="AZ89">
        <v>1204.6311800000001</v>
      </c>
      <c r="BA89" s="23" t="s">
        <v>5</v>
      </c>
    </row>
    <row r="90" spans="1:53" x14ac:dyDescent="0.25">
      <c r="A90" t="s">
        <v>134</v>
      </c>
      <c r="B90" t="s">
        <v>135</v>
      </c>
      <c r="C90">
        <v>22001791</v>
      </c>
      <c r="D90">
        <v>1204</v>
      </c>
      <c r="E90" s="11">
        <v>44774</v>
      </c>
      <c r="F90" t="s">
        <v>145</v>
      </c>
      <c r="G90">
        <v>134.80000000000001</v>
      </c>
      <c r="H90">
        <v>134.80000000000001</v>
      </c>
      <c r="I90" t="s">
        <v>56</v>
      </c>
      <c r="O90" t="s">
        <v>57</v>
      </c>
      <c r="Q90" t="s">
        <v>57</v>
      </c>
      <c r="R90" t="s">
        <v>137</v>
      </c>
      <c r="T90" t="s">
        <v>59</v>
      </c>
      <c r="U90" t="s">
        <v>60</v>
      </c>
      <c r="V90" t="s">
        <v>138</v>
      </c>
      <c r="W90" t="s">
        <v>139</v>
      </c>
      <c r="X90">
        <v>1925491</v>
      </c>
      <c r="Y90" s="11">
        <v>44774</v>
      </c>
      <c r="Z90" t="s">
        <v>57</v>
      </c>
      <c r="AA90">
        <v>2</v>
      </c>
      <c r="AB90" t="s">
        <v>57</v>
      </c>
      <c r="AD90" t="s">
        <v>57</v>
      </c>
      <c r="AE90" t="s">
        <v>57</v>
      </c>
      <c r="AF90" t="s">
        <v>57</v>
      </c>
      <c r="AG90">
        <v>160</v>
      </c>
      <c r="AH90" t="s">
        <v>57</v>
      </c>
      <c r="AL90" t="s">
        <v>57</v>
      </c>
      <c r="AM90" s="11">
        <v>44774</v>
      </c>
      <c r="AN90" t="s">
        <v>140</v>
      </c>
      <c r="AO90" t="s">
        <v>65</v>
      </c>
      <c r="AP90">
        <v>1204</v>
      </c>
      <c r="AQ90" t="s">
        <v>66</v>
      </c>
      <c r="AR90">
        <v>79303</v>
      </c>
      <c r="AU90" t="s">
        <v>57</v>
      </c>
      <c r="AV90" t="s">
        <v>68</v>
      </c>
      <c r="AX90" t="s">
        <v>57</v>
      </c>
      <c r="AY90">
        <v>631180</v>
      </c>
      <c r="AZ90">
        <v>1204.6311800000001</v>
      </c>
      <c r="BA90" s="23" t="s">
        <v>5</v>
      </c>
    </row>
    <row r="91" spans="1:53" x14ac:dyDescent="0.25">
      <c r="A91" t="s">
        <v>134</v>
      </c>
      <c r="B91" t="s">
        <v>135</v>
      </c>
      <c r="C91">
        <v>22001792</v>
      </c>
      <c r="D91">
        <v>1204</v>
      </c>
      <c r="E91" s="11">
        <v>44774</v>
      </c>
      <c r="F91" t="s">
        <v>146</v>
      </c>
      <c r="G91">
        <v>101.1</v>
      </c>
      <c r="H91">
        <v>101.1</v>
      </c>
      <c r="I91" t="s">
        <v>56</v>
      </c>
      <c r="O91" t="s">
        <v>57</v>
      </c>
      <c r="Q91" t="s">
        <v>57</v>
      </c>
      <c r="R91" t="s">
        <v>137</v>
      </c>
      <c r="T91" t="s">
        <v>59</v>
      </c>
      <c r="U91" t="s">
        <v>60</v>
      </c>
      <c r="V91" t="s">
        <v>138</v>
      </c>
      <c r="W91" t="s">
        <v>139</v>
      </c>
      <c r="X91">
        <v>1925491</v>
      </c>
      <c r="Y91" s="11">
        <v>44774</v>
      </c>
      <c r="Z91" t="s">
        <v>57</v>
      </c>
      <c r="AA91">
        <v>2</v>
      </c>
      <c r="AB91" t="s">
        <v>57</v>
      </c>
      <c r="AD91" t="s">
        <v>57</v>
      </c>
      <c r="AE91" t="s">
        <v>57</v>
      </c>
      <c r="AF91" t="s">
        <v>57</v>
      </c>
      <c r="AG91">
        <v>120</v>
      </c>
      <c r="AH91" t="s">
        <v>57</v>
      </c>
      <c r="AL91" t="s">
        <v>57</v>
      </c>
      <c r="AM91" s="11">
        <v>44774</v>
      </c>
      <c r="AN91" t="s">
        <v>140</v>
      </c>
      <c r="AO91" t="s">
        <v>65</v>
      </c>
      <c r="AP91">
        <v>1204</v>
      </c>
      <c r="AQ91" t="s">
        <v>66</v>
      </c>
      <c r="AR91">
        <v>253820</v>
      </c>
      <c r="AU91" t="s">
        <v>57</v>
      </c>
      <c r="AV91" t="s">
        <v>68</v>
      </c>
      <c r="AX91" t="s">
        <v>57</v>
      </c>
      <c r="AY91">
        <v>631180</v>
      </c>
      <c r="AZ91">
        <v>1204.6311800000001</v>
      </c>
      <c r="BA91" s="23" t="s">
        <v>5</v>
      </c>
    </row>
    <row r="92" spans="1:53" x14ac:dyDescent="0.25">
      <c r="A92" t="s">
        <v>134</v>
      </c>
      <c r="B92" t="s">
        <v>135</v>
      </c>
      <c r="C92">
        <v>22001793</v>
      </c>
      <c r="D92">
        <v>1204</v>
      </c>
      <c r="E92" s="11">
        <v>44774</v>
      </c>
      <c r="F92" t="s">
        <v>147</v>
      </c>
      <c r="G92">
        <v>47.88</v>
      </c>
      <c r="H92">
        <v>47.88</v>
      </c>
      <c r="I92" t="s">
        <v>56</v>
      </c>
      <c r="O92" t="s">
        <v>57</v>
      </c>
      <c r="Q92" t="s">
        <v>57</v>
      </c>
      <c r="R92" t="s">
        <v>137</v>
      </c>
      <c r="T92" t="s">
        <v>59</v>
      </c>
      <c r="U92" t="s">
        <v>60</v>
      </c>
      <c r="V92" t="s">
        <v>138</v>
      </c>
      <c r="W92" t="s">
        <v>139</v>
      </c>
      <c r="X92">
        <v>1925491</v>
      </c>
      <c r="Y92" s="11">
        <v>44774</v>
      </c>
      <c r="Z92" t="s">
        <v>57</v>
      </c>
      <c r="AA92">
        <v>2</v>
      </c>
      <c r="AB92" t="s">
        <v>57</v>
      </c>
      <c r="AD92" t="s">
        <v>57</v>
      </c>
      <c r="AE92" t="s">
        <v>57</v>
      </c>
      <c r="AF92" t="s">
        <v>57</v>
      </c>
      <c r="AG92">
        <v>25</v>
      </c>
      <c r="AH92" t="s">
        <v>57</v>
      </c>
      <c r="AL92" t="s">
        <v>57</v>
      </c>
      <c r="AM92" s="11">
        <v>44774</v>
      </c>
      <c r="AN92" t="s">
        <v>140</v>
      </c>
      <c r="AO92" t="s">
        <v>65</v>
      </c>
      <c r="AP92">
        <v>1204</v>
      </c>
      <c r="AQ92" t="s">
        <v>66</v>
      </c>
      <c r="AR92">
        <v>79300</v>
      </c>
      <c r="AU92" t="s">
        <v>57</v>
      </c>
      <c r="AV92" t="s">
        <v>68</v>
      </c>
      <c r="AX92" t="s">
        <v>57</v>
      </c>
      <c r="AY92">
        <v>631180</v>
      </c>
      <c r="AZ92">
        <v>1204.6311800000001</v>
      </c>
      <c r="BA92" s="23" t="s">
        <v>5</v>
      </c>
    </row>
    <row r="93" spans="1:53" x14ac:dyDescent="0.25">
      <c r="A93" t="s">
        <v>134</v>
      </c>
      <c r="B93" t="s">
        <v>135</v>
      </c>
      <c r="C93">
        <v>22001794</v>
      </c>
      <c r="D93">
        <v>1204</v>
      </c>
      <c r="E93" s="11">
        <v>44774</v>
      </c>
      <c r="F93" t="s">
        <v>143</v>
      </c>
      <c r="G93">
        <v>3.39</v>
      </c>
      <c r="H93">
        <v>3.39</v>
      </c>
      <c r="I93" t="s">
        <v>56</v>
      </c>
      <c r="O93" t="s">
        <v>57</v>
      </c>
      <c r="Q93" t="s">
        <v>57</v>
      </c>
      <c r="R93" t="s">
        <v>137</v>
      </c>
      <c r="T93" t="s">
        <v>59</v>
      </c>
      <c r="U93" t="s">
        <v>60</v>
      </c>
      <c r="V93" t="s">
        <v>138</v>
      </c>
      <c r="W93" t="s">
        <v>139</v>
      </c>
      <c r="X93">
        <v>1925495</v>
      </c>
      <c r="Y93" s="11">
        <v>44774</v>
      </c>
      <c r="Z93" t="s">
        <v>57</v>
      </c>
      <c r="AA93">
        <v>2</v>
      </c>
      <c r="AB93" t="s">
        <v>57</v>
      </c>
      <c r="AD93" t="s">
        <v>57</v>
      </c>
      <c r="AE93" t="s">
        <v>57</v>
      </c>
      <c r="AF93" t="s">
        <v>57</v>
      </c>
      <c r="AG93">
        <v>10</v>
      </c>
      <c r="AH93" t="s">
        <v>57</v>
      </c>
      <c r="AL93" t="s">
        <v>57</v>
      </c>
      <c r="AM93" s="11">
        <v>44774</v>
      </c>
      <c r="AN93" t="s">
        <v>140</v>
      </c>
      <c r="AO93" t="s">
        <v>65</v>
      </c>
      <c r="AP93">
        <v>1204</v>
      </c>
      <c r="AQ93" t="s">
        <v>66</v>
      </c>
      <c r="AR93">
        <v>76741</v>
      </c>
      <c r="AU93" t="s">
        <v>57</v>
      </c>
      <c r="AV93" t="s">
        <v>68</v>
      </c>
      <c r="AX93" t="s">
        <v>57</v>
      </c>
      <c r="AY93">
        <v>631180</v>
      </c>
      <c r="AZ93">
        <v>1204.6311800000001</v>
      </c>
      <c r="BA93" s="23" t="s">
        <v>5</v>
      </c>
    </row>
    <row r="94" spans="1:53" x14ac:dyDescent="0.25">
      <c r="A94" t="s">
        <v>134</v>
      </c>
      <c r="B94" t="s">
        <v>135</v>
      </c>
      <c r="C94">
        <v>22001795</v>
      </c>
      <c r="D94">
        <v>1204</v>
      </c>
      <c r="E94" s="11">
        <v>44774</v>
      </c>
      <c r="F94" t="s">
        <v>142</v>
      </c>
      <c r="G94">
        <v>5.43</v>
      </c>
      <c r="H94">
        <v>5.43</v>
      </c>
      <c r="I94" t="s">
        <v>56</v>
      </c>
      <c r="O94" t="s">
        <v>57</v>
      </c>
      <c r="Q94" t="s">
        <v>57</v>
      </c>
      <c r="R94" t="s">
        <v>137</v>
      </c>
      <c r="T94" t="s">
        <v>59</v>
      </c>
      <c r="U94" t="s">
        <v>60</v>
      </c>
      <c r="V94" t="s">
        <v>138</v>
      </c>
      <c r="W94" t="s">
        <v>139</v>
      </c>
      <c r="X94">
        <v>1925495</v>
      </c>
      <c r="Y94" s="11">
        <v>44774</v>
      </c>
      <c r="Z94" t="s">
        <v>57</v>
      </c>
      <c r="AA94">
        <v>2</v>
      </c>
      <c r="AB94" t="s">
        <v>57</v>
      </c>
      <c r="AD94" t="s">
        <v>57</v>
      </c>
      <c r="AE94" t="s">
        <v>57</v>
      </c>
      <c r="AF94" t="s">
        <v>57</v>
      </c>
      <c r="AG94">
        <v>10</v>
      </c>
      <c r="AH94" t="s">
        <v>57</v>
      </c>
      <c r="AL94" t="s">
        <v>57</v>
      </c>
      <c r="AM94" s="11">
        <v>44774</v>
      </c>
      <c r="AN94" t="s">
        <v>140</v>
      </c>
      <c r="AO94" t="s">
        <v>65</v>
      </c>
      <c r="AP94">
        <v>1204</v>
      </c>
      <c r="AQ94" t="s">
        <v>66</v>
      </c>
      <c r="AR94">
        <v>79280</v>
      </c>
      <c r="AU94" t="s">
        <v>57</v>
      </c>
      <c r="AV94" t="s">
        <v>68</v>
      </c>
      <c r="AX94" t="s">
        <v>57</v>
      </c>
      <c r="AY94">
        <v>631180</v>
      </c>
      <c r="AZ94">
        <v>1204.6311800000001</v>
      </c>
      <c r="BA94" s="23" t="s">
        <v>5</v>
      </c>
    </row>
    <row r="95" spans="1:53" x14ac:dyDescent="0.25">
      <c r="A95" t="s">
        <v>134</v>
      </c>
      <c r="B95" t="s">
        <v>135</v>
      </c>
      <c r="C95">
        <v>22001796</v>
      </c>
      <c r="D95">
        <v>1204</v>
      </c>
      <c r="E95" s="11">
        <v>44774</v>
      </c>
      <c r="F95" t="s">
        <v>85</v>
      </c>
      <c r="G95">
        <v>11.88</v>
      </c>
      <c r="H95">
        <v>11.88</v>
      </c>
      <c r="I95" t="s">
        <v>56</v>
      </c>
      <c r="O95" t="s">
        <v>57</v>
      </c>
      <c r="Q95" t="s">
        <v>57</v>
      </c>
      <c r="R95" t="s">
        <v>137</v>
      </c>
      <c r="T95" t="s">
        <v>59</v>
      </c>
      <c r="U95" t="s">
        <v>60</v>
      </c>
      <c r="V95" t="s">
        <v>138</v>
      </c>
      <c r="W95" t="s">
        <v>139</v>
      </c>
      <c r="X95">
        <v>1925509</v>
      </c>
      <c r="Y95" s="11">
        <v>44774</v>
      </c>
      <c r="Z95" t="s">
        <v>57</v>
      </c>
      <c r="AA95">
        <v>2</v>
      </c>
      <c r="AB95" t="s">
        <v>57</v>
      </c>
      <c r="AD95" t="s">
        <v>57</v>
      </c>
      <c r="AE95" t="s">
        <v>57</v>
      </c>
      <c r="AF95" t="s">
        <v>57</v>
      </c>
      <c r="AG95">
        <v>8</v>
      </c>
      <c r="AH95" t="s">
        <v>57</v>
      </c>
      <c r="AL95" t="s">
        <v>57</v>
      </c>
      <c r="AM95" s="11">
        <v>44774</v>
      </c>
      <c r="AN95" t="s">
        <v>140</v>
      </c>
      <c r="AO95" t="s">
        <v>65</v>
      </c>
      <c r="AP95">
        <v>1204</v>
      </c>
      <c r="AQ95" t="s">
        <v>66</v>
      </c>
      <c r="AR95">
        <v>276660</v>
      </c>
      <c r="AU95" t="s">
        <v>57</v>
      </c>
      <c r="AV95" t="s">
        <v>68</v>
      </c>
      <c r="AX95" t="s">
        <v>57</v>
      </c>
      <c r="AY95">
        <v>631180</v>
      </c>
      <c r="AZ95">
        <v>1204.6311800000001</v>
      </c>
      <c r="BA95" s="23" t="s">
        <v>5</v>
      </c>
    </row>
    <row r="96" spans="1:53" x14ac:dyDescent="0.25">
      <c r="A96" t="s">
        <v>134</v>
      </c>
      <c r="B96" t="s">
        <v>135</v>
      </c>
      <c r="C96">
        <v>22001796</v>
      </c>
      <c r="D96">
        <v>1204</v>
      </c>
      <c r="E96" s="11">
        <v>44774</v>
      </c>
      <c r="F96" t="s">
        <v>85</v>
      </c>
      <c r="G96">
        <v>6.45</v>
      </c>
      <c r="H96">
        <v>6.45</v>
      </c>
      <c r="I96" t="s">
        <v>56</v>
      </c>
      <c r="O96" t="s">
        <v>57</v>
      </c>
      <c r="Q96" t="s">
        <v>57</v>
      </c>
      <c r="R96" t="s">
        <v>137</v>
      </c>
      <c r="T96" t="s">
        <v>59</v>
      </c>
      <c r="U96" t="s">
        <v>60</v>
      </c>
      <c r="V96" t="s">
        <v>138</v>
      </c>
      <c r="W96" t="s">
        <v>139</v>
      </c>
      <c r="X96">
        <v>1925509</v>
      </c>
      <c r="Y96" s="11">
        <v>44774</v>
      </c>
      <c r="Z96" t="s">
        <v>57</v>
      </c>
      <c r="AA96">
        <v>4</v>
      </c>
      <c r="AB96" t="s">
        <v>57</v>
      </c>
      <c r="AD96" t="s">
        <v>57</v>
      </c>
      <c r="AE96" t="s">
        <v>57</v>
      </c>
      <c r="AF96" t="s">
        <v>57</v>
      </c>
      <c r="AG96">
        <v>4</v>
      </c>
      <c r="AH96" t="s">
        <v>57</v>
      </c>
      <c r="AL96" t="s">
        <v>57</v>
      </c>
      <c r="AM96" s="11">
        <v>44774</v>
      </c>
      <c r="AN96" t="s">
        <v>140</v>
      </c>
      <c r="AO96" t="s">
        <v>65</v>
      </c>
      <c r="AP96">
        <v>1204</v>
      </c>
      <c r="AQ96" t="s">
        <v>66</v>
      </c>
      <c r="AR96">
        <v>276660</v>
      </c>
      <c r="AU96" t="s">
        <v>57</v>
      </c>
      <c r="AV96" t="s">
        <v>68</v>
      </c>
      <c r="AX96" t="s">
        <v>57</v>
      </c>
      <c r="AY96">
        <v>631180</v>
      </c>
      <c r="AZ96">
        <v>1204.6311800000001</v>
      </c>
      <c r="BA96" s="23" t="s">
        <v>5</v>
      </c>
    </row>
    <row r="97" spans="1:53" x14ac:dyDescent="0.25">
      <c r="A97" t="s">
        <v>134</v>
      </c>
      <c r="B97" t="s">
        <v>135</v>
      </c>
      <c r="C97">
        <v>22001816</v>
      </c>
      <c r="D97">
        <v>1204</v>
      </c>
      <c r="E97" s="11">
        <v>44778</v>
      </c>
      <c r="F97" t="s">
        <v>85</v>
      </c>
      <c r="G97">
        <v>19.350000000000001</v>
      </c>
      <c r="H97">
        <v>19.350000000000001</v>
      </c>
      <c r="I97" t="s">
        <v>56</v>
      </c>
      <c r="O97" t="s">
        <v>57</v>
      </c>
      <c r="Q97" t="s">
        <v>57</v>
      </c>
      <c r="R97" t="s">
        <v>137</v>
      </c>
      <c r="T97" t="s">
        <v>59</v>
      </c>
      <c r="U97" t="s">
        <v>60</v>
      </c>
      <c r="V97" t="s">
        <v>138</v>
      </c>
      <c r="W97" t="s">
        <v>139</v>
      </c>
      <c r="X97">
        <v>1928578</v>
      </c>
      <c r="Y97" s="11">
        <v>44778</v>
      </c>
      <c r="Z97" t="s">
        <v>57</v>
      </c>
      <c r="AA97">
        <v>2</v>
      </c>
      <c r="AB97" t="s">
        <v>57</v>
      </c>
      <c r="AD97" t="s">
        <v>57</v>
      </c>
      <c r="AE97" t="s">
        <v>57</v>
      </c>
      <c r="AF97" t="s">
        <v>57</v>
      </c>
      <c r="AG97">
        <v>12</v>
      </c>
      <c r="AH97" t="s">
        <v>57</v>
      </c>
      <c r="AL97" t="s">
        <v>57</v>
      </c>
      <c r="AM97" s="11">
        <v>44778</v>
      </c>
      <c r="AN97" t="s">
        <v>140</v>
      </c>
      <c r="AO97" t="s">
        <v>65</v>
      </c>
      <c r="AP97">
        <v>1204</v>
      </c>
      <c r="AQ97" t="s">
        <v>66</v>
      </c>
      <c r="AR97">
        <v>276660</v>
      </c>
      <c r="AU97" t="s">
        <v>57</v>
      </c>
      <c r="AV97" t="s">
        <v>68</v>
      </c>
      <c r="AX97" t="s">
        <v>57</v>
      </c>
      <c r="AY97">
        <v>631180</v>
      </c>
      <c r="AZ97">
        <v>1204.6311800000001</v>
      </c>
      <c r="BA97" s="23" t="s">
        <v>5</v>
      </c>
    </row>
    <row r="98" spans="1:53" x14ac:dyDescent="0.25">
      <c r="A98" t="s">
        <v>134</v>
      </c>
      <c r="B98" t="s">
        <v>135</v>
      </c>
      <c r="C98">
        <v>22001817</v>
      </c>
      <c r="D98">
        <v>1204</v>
      </c>
      <c r="E98" s="11">
        <v>44778</v>
      </c>
      <c r="F98" t="s">
        <v>136</v>
      </c>
      <c r="G98">
        <v>9.26</v>
      </c>
      <c r="H98">
        <v>9.26</v>
      </c>
      <c r="I98" t="s">
        <v>56</v>
      </c>
      <c r="O98" t="s">
        <v>57</v>
      </c>
      <c r="Q98" t="s">
        <v>57</v>
      </c>
      <c r="R98" t="s">
        <v>137</v>
      </c>
      <c r="T98" t="s">
        <v>59</v>
      </c>
      <c r="U98" t="s">
        <v>60</v>
      </c>
      <c r="V98" t="s">
        <v>138</v>
      </c>
      <c r="W98" t="s">
        <v>139</v>
      </c>
      <c r="X98">
        <v>1928579</v>
      </c>
      <c r="Y98" s="11">
        <v>44778</v>
      </c>
      <c r="Z98" t="s">
        <v>57</v>
      </c>
      <c r="AA98">
        <v>2</v>
      </c>
      <c r="AB98" t="s">
        <v>57</v>
      </c>
      <c r="AD98" t="s">
        <v>57</v>
      </c>
      <c r="AE98" t="s">
        <v>57</v>
      </c>
      <c r="AF98" t="s">
        <v>57</v>
      </c>
      <c r="AG98">
        <v>48</v>
      </c>
      <c r="AH98" t="s">
        <v>57</v>
      </c>
      <c r="AL98" t="s">
        <v>57</v>
      </c>
      <c r="AM98" s="11">
        <v>44778</v>
      </c>
      <c r="AN98" t="s">
        <v>140</v>
      </c>
      <c r="AO98" t="s">
        <v>65</v>
      </c>
      <c r="AP98">
        <v>1204</v>
      </c>
      <c r="AQ98" t="s">
        <v>66</v>
      </c>
      <c r="AR98">
        <v>79248</v>
      </c>
      <c r="AU98" t="s">
        <v>57</v>
      </c>
      <c r="AV98" t="s">
        <v>68</v>
      </c>
      <c r="AX98" t="s">
        <v>57</v>
      </c>
      <c r="AY98">
        <v>631180</v>
      </c>
      <c r="AZ98">
        <v>1204.6311800000001</v>
      </c>
      <c r="BA98" s="23" t="s">
        <v>5</v>
      </c>
    </row>
    <row r="99" spans="1:53" x14ac:dyDescent="0.25">
      <c r="A99" t="s">
        <v>134</v>
      </c>
      <c r="B99" t="s">
        <v>135</v>
      </c>
      <c r="C99">
        <v>22001818</v>
      </c>
      <c r="D99">
        <v>1204</v>
      </c>
      <c r="E99" s="11">
        <v>44778</v>
      </c>
      <c r="F99" t="s">
        <v>142</v>
      </c>
      <c r="G99">
        <v>143.97</v>
      </c>
      <c r="H99">
        <v>143.97</v>
      </c>
      <c r="I99" t="s">
        <v>56</v>
      </c>
      <c r="O99" t="s">
        <v>57</v>
      </c>
      <c r="Q99" t="s">
        <v>57</v>
      </c>
      <c r="R99" t="s">
        <v>137</v>
      </c>
      <c r="T99" t="s">
        <v>59</v>
      </c>
      <c r="U99" t="s">
        <v>60</v>
      </c>
      <c r="V99" t="s">
        <v>138</v>
      </c>
      <c r="W99" t="s">
        <v>139</v>
      </c>
      <c r="X99">
        <v>1928579</v>
      </c>
      <c r="Y99" s="11">
        <v>44778</v>
      </c>
      <c r="Z99" t="s">
        <v>57</v>
      </c>
      <c r="AA99">
        <v>2</v>
      </c>
      <c r="AB99" t="s">
        <v>57</v>
      </c>
      <c r="AD99" t="s">
        <v>57</v>
      </c>
      <c r="AE99" t="s">
        <v>57</v>
      </c>
      <c r="AF99" t="s">
        <v>57</v>
      </c>
      <c r="AG99">
        <v>265</v>
      </c>
      <c r="AH99" t="s">
        <v>57</v>
      </c>
      <c r="AL99" t="s">
        <v>57</v>
      </c>
      <c r="AM99" s="11">
        <v>44778</v>
      </c>
      <c r="AN99" t="s">
        <v>140</v>
      </c>
      <c r="AO99" t="s">
        <v>65</v>
      </c>
      <c r="AP99">
        <v>1204</v>
      </c>
      <c r="AQ99" t="s">
        <v>66</v>
      </c>
      <c r="AR99">
        <v>79280</v>
      </c>
      <c r="AU99" t="s">
        <v>57</v>
      </c>
      <c r="AV99" t="s">
        <v>68</v>
      </c>
      <c r="AX99" t="s">
        <v>57</v>
      </c>
      <c r="AY99">
        <v>631180</v>
      </c>
      <c r="AZ99">
        <v>1204.6311800000001</v>
      </c>
      <c r="BA99" s="23" t="s">
        <v>5</v>
      </c>
    </row>
    <row r="100" spans="1:53" x14ac:dyDescent="0.25">
      <c r="A100" t="s">
        <v>134</v>
      </c>
      <c r="B100" t="s">
        <v>135</v>
      </c>
      <c r="C100">
        <v>22001819</v>
      </c>
      <c r="D100">
        <v>1204</v>
      </c>
      <c r="E100" s="11">
        <v>44778</v>
      </c>
      <c r="F100" t="s">
        <v>143</v>
      </c>
      <c r="G100">
        <v>29.85</v>
      </c>
      <c r="H100">
        <v>29.85</v>
      </c>
      <c r="I100" t="s">
        <v>56</v>
      </c>
      <c r="O100" t="s">
        <v>57</v>
      </c>
      <c r="Q100" t="s">
        <v>57</v>
      </c>
      <c r="R100" t="s">
        <v>137</v>
      </c>
      <c r="T100" t="s">
        <v>59</v>
      </c>
      <c r="U100" t="s">
        <v>60</v>
      </c>
      <c r="V100" t="s">
        <v>138</v>
      </c>
      <c r="W100" t="s">
        <v>139</v>
      </c>
      <c r="X100">
        <v>1928581</v>
      </c>
      <c r="Y100" s="11">
        <v>44778</v>
      </c>
      <c r="Z100" t="s">
        <v>57</v>
      </c>
      <c r="AA100">
        <v>2</v>
      </c>
      <c r="AB100" t="s">
        <v>57</v>
      </c>
      <c r="AD100" t="s">
        <v>57</v>
      </c>
      <c r="AE100" t="s">
        <v>57</v>
      </c>
      <c r="AF100" t="s">
        <v>57</v>
      </c>
      <c r="AG100">
        <v>88</v>
      </c>
      <c r="AH100" t="s">
        <v>57</v>
      </c>
      <c r="AL100" t="s">
        <v>57</v>
      </c>
      <c r="AM100" s="11">
        <v>44778</v>
      </c>
      <c r="AN100" t="s">
        <v>140</v>
      </c>
      <c r="AO100" t="s">
        <v>65</v>
      </c>
      <c r="AP100">
        <v>1204</v>
      </c>
      <c r="AQ100" t="s">
        <v>66</v>
      </c>
      <c r="AR100">
        <v>76741</v>
      </c>
      <c r="AU100" t="s">
        <v>57</v>
      </c>
      <c r="AV100" t="s">
        <v>68</v>
      </c>
      <c r="AX100" t="s">
        <v>57</v>
      </c>
      <c r="AY100">
        <v>631180</v>
      </c>
      <c r="AZ100">
        <v>1204.6311800000001</v>
      </c>
      <c r="BA100" s="23" t="s">
        <v>5</v>
      </c>
    </row>
    <row r="101" spans="1:53" x14ac:dyDescent="0.25">
      <c r="A101" t="s">
        <v>134</v>
      </c>
      <c r="B101" t="s">
        <v>135</v>
      </c>
      <c r="C101">
        <v>22001820</v>
      </c>
      <c r="D101">
        <v>1204</v>
      </c>
      <c r="E101" s="11">
        <v>44778</v>
      </c>
      <c r="F101" t="s">
        <v>144</v>
      </c>
      <c r="G101">
        <v>260.77999999999997</v>
      </c>
      <c r="H101">
        <v>260.77999999999997</v>
      </c>
      <c r="I101" t="s">
        <v>56</v>
      </c>
      <c r="O101" t="s">
        <v>57</v>
      </c>
      <c r="Q101" t="s">
        <v>57</v>
      </c>
      <c r="R101" t="s">
        <v>137</v>
      </c>
      <c r="T101" t="s">
        <v>59</v>
      </c>
      <c r="U101" t="s">
        <v>60</v>
      </c>
      <c r="V101" t="s">
        <v>138</v>
      </c>
      <c r="W101" t="s">
        <v>139</v>
      </c>
      <c r="X101">
        <v>1928581</v>
      </c>
      <c r="Y101" s="11">
        <v>44778</v>
      </c>
      <c r="Z101" t="s">
        <v>57</v>
      </c>
      <c r="AA101">
        <v>2</v>
      </c>
      <c r="AB101" t="s">
        <v>57</v>
      </c>
      <c r="AD101" t="s">
        <v>57</v>
      </c>
      <c r="AE101" t="s">
        <v>57</v>
      </c>
      <c r="AF101" t="s">
        <v>57</v>
      </c>
      <c r="AG101" s="24">
        <v>1125</v>
      </c>
      <c r="AH101" t="s">
        <v>57</v>
      </c>
      <c r="AL101" t="s">
        <v>57</v>
      </c>
      <c r="AM101" s="11">
        <v>44778</v>
      </c>
      <c r="AN101" t="s">
        <v>140</v>
      </c>
      <c r="AO101" t="s">
        <v>65</v>
      </c>
      <c r="AP101">
        <v>1204</v>
      </c>
      <c r="AQ101" t="s">
        <v>66</v>
      </c>
      <c r="AR101">
        <v>79293</v>
      </c>
      <c r="AU101" t="s">
        <v>57</v>
      </c>
      <c r="AV101" t="s">
        <v>68</v>
      </c>
      <c r="AX101" t="s">
        <v>57</v>
      </c>
      <c r="AY101">
        <v>631180</v>
      </c>
      <c r="AZ101">
        <v>1204.6311800000001</v>
      </c>
      <c r="BA101" s="23" t="s">
        <v>5</v>
      </c>
    </row>
    <row r="102" spans="1:53" x14ac:dyDescent="0.25">
      <c r="A102" t="s">
        <v>134</v>
      </c>
      <c r="B102" t="s">
        <v>135</v>
      </c>
      <c r="C102">
        <v>22001821</v>
      </c>
      <c r="D102">
        <v>1204</v>
      </c>
      <c r="E102" s="11">
        <v>44778</v>
      </c>
      <c r="F102" t="s">
        <v>148</v>
      </c>
      <c r="G102">
        <v>49.72</v>
      </c>
      <c r="H102">
        <v>49.72</v>
      </c>
      <c r="I102" t="s">
        <v>56</v>
      </c>
      <c r="O102" t="s">
        <v>57</v>
      </c>
      <c r="Q102" t="s">
        <v>57</v>
      </c>
      <c r="R102" t="s">
        <v>137</v>
      </c>
      <c r="T102" t="s">
        <v>59</v>
      </c>
      <c r="U102" t="s">
        <v>60</v>
      </c>
      <c r="V102" t="s">
        <v>138</v>
      </c>
      <c r="W102" t="s">
        <v>139</v>
      </c>
      <c r="X102">
        <v>1928581</v>
      </c>
      <c r="Y102" s="11">
        <v>44778</v>
      </c>
      <c r="Z102" t="s">
        <v>57</v>
      </c>
      <c r="AA102">
        <v>2</v>
      </c>
      <c r="AB102" t="s">
        <v>57</v>
      </c>
      <c r="AD102" t="s">
        <v>57</v>
      </c>
      <c r="AE102" t="s">
        <v>57</v>
      </c>
      <c r="AF102" t="s">
        <v>57</v>
      </c>
      <c r="AG102">
        <v>80</v>
      </c>
      <c r="AH102" t="s">
        <v>57</v>
      </c>
      <c r="AL102" t="s">
        <v>57</v>
      </c>
      <c r="AM102" s="11">
        <v>44778</v>
      </c>
      <c r="AN102" t="s">
        <v>140</v>
      </c>
      <c r="AO102" t="s">
        <v>65</v>
      </c>
      <c r="AP102">
        <v>1204</v>
      </c>
      <c r="AQ102" t="s">
        <v>66</v>
      </c>
      <c r="AR102">
        <v>220249</v>
      </c>
      <c r="AU102" t="s">
        <v>57</v>
      </c>
      <c r="AV102" t="s">
        <v>68</v>
      </c>
      <c r="AX102" t="s">
        <v>57</v>
      </c>
      <c r="AY102">
        <v>631180</v>
      </c>
      <c r="AZ102">
        <v>1204.6311800000001</v>
      </c>
      <c r="BA102" s="23" t="s">
        <v>5</v>
      </c>
    </row>
    <row r="103" spans="1:53" x14ac:dyDescent="0.25">
      <c r="A103" t="s">
        <v>134</v>
      </c>
      <c r="B103" t="s">
        <v>135</v>
      </c>
      <c r="C103">
        <v>22001822</v>
      </c>
      <c r="D103">
        <v>1204</v>
      </c>
      <c r="E103" s="11">
        <v>44778</v>
      </c>
      <c r="F103" t="s">
        <v>145</v>
      </c>
      <c r="G103">
        <v>84.25</v>
      </c>
      <c r="H103">
        <v>84.25</v>
      </c>
      <c r="I103" t="s">
        <v>56</v>
      </c>
      <c r="O103" t="s">
        <v>57</v>
      </c>
      <c r="Q103" t="s">
        <v>57</v>
      </c>
      <c r="R103" t="s">
        <v>137</v>
      </c>
      <c r="T103" t="s">
        <v>59</v>
      </c>
      <c r="U103" t="s">
        <v>60</v>
      </c>
      <c r="V103" t="s">
        <v>138</v>
      </c>
      <c r="W103" t="s">
        <v>139</v>
      </c>
      <c r="X103">
        <v>1928581</v>
      </c>
      <c r="Y103" s="11">
        <v>44778</v>
      </c>
      <c r="Z103" t="s">
        <v>57</v>
      </c>
      <c r="AA103">
        <v>2</v>
      </c>
      <c r="AB103" t="s">
        <v>57</v>
      </c>
      <c r="AD103" t="s">
        <v>57</v>
      </c>
      <c r="AE103" t="s">
        <v>57</v>
      </c>
      <c r="AF103" t="s">
        <v>57</v>
      </c>
      <c r="AG103">
        <v>100</v>
      </c>
      <c r="AH103" t="s">
        <v>57</v>
      </c>
      <c r="AL103" t="s">
        <v>57</v>
      </c>
      <c r="AM103" s="11">
        <v>44778</v>
      </c>
      <c r="AN103" t="s">
        <v>140</v>
      </c>
      <c r="AO103" t="s">
        <v>65</v>
      </c>
      <c r="AP103">
        <v>1204</v>
      </c>
      <c r="AQ103" t="s">
        <v>66</v>
      </c>
      <c r="AR103">
        <v>79303</v>
      </c>
      <c r="AU103" t="s">
        <v>57</v>
      </c>
      <c r="AV103" t="s">
        <v>68</v>
      </c>
      <c r="AX103" t="s">
        <v>57</v>
      </c>
      <c r="AY103">
        <v>631180</v>
      </c>
      <c r="AZ103">
        <v>1204.6311800000001</v>
      </c>
      <c r="BA103" s="23" t="s">
        <v>5</v>
      </c>
    </row>
    <row r="104" spans="1:53" x14ac:dyDescent="0.25">
      <c r="A104" t="s">
        <v>134</v>
      </c>
      <c r="B104" t="s">
        <v>135</v>
      </c>
      <c r="C104">
        <v>22001823</v>
      </c>
      <c r="D104">
        <v>1204</v>
      </c>
      <c r="E104" s="11">
        <v>44778</v>
      </c>
      <c r="F104" t="s">
        <v>146</v>
      </c>
      <c r="G104">
        <v>84.25</v>
      </c>
      <c r="H104">
        <v>84.25</v>
      </c>
      <c r="I104" t="s">
        <v>56</v>
      </c>
      <c r="O104" t="s">
        <v>57</v>
      </c>
      <c r="Q104" t="s">
        <v>57</v>
      </c>
      <c r="R104" t="s">
        <v>137</v>
      </c>
      <c r="T104" t="s">
        <v>59</v>
      </c>
      <c r="U104" t="s">
        <v>60</v>
      </c>
      <c r="V104" t="s">
        <v>138</v>
      </c>
      <c r="W104" t="s">
        <v>139</v>
      </c>
      <c r="X104">
        <v>1928581</v>
      </c>
      <c r="Y104" s="11">
        <v>44778</v>
      </c>
      <c r="Z104" t="s">
        <v>57</v>
      </c>
      <c r="AA104">
        <v>2</v>
      </c>
      <c r="AB104" t="s">
        <v>57</v>
      </c>
      <c r="AD104" t="s">
        <v>57</v>
      </c>
      <c r="AE104" t="s">
        <v>57</v>
      </c>
      <c r="AF104" t="s">
        <v>57</v>
      </c>
      <c r="AG104">
        <v>100</v>
      </c>
      <c r="AH104" t="s">
        <v>57</v>
      </c>
      <c r="AL104" t="s">
        <v>57</v>
      </c>
      <c r="AM104" s="11">
        <v>44778</v>
      </c>
      <c r="AN104" t="s">
        <v>140</v>
      </c>
      <c r="AO104" t="s">
        <v>65</v>
      </c>
      <c r="AP104">
        <v>1204</v>
      </c>
      <c r="AQ104" t="s">
        <v>66</v>
      </c>
      <c r="AR104">
        <v>253820</v>
      </c>
      <c r="AU104" t="s">
        <v>57</v>
      </c>
      <c r="AV104" t="s">
        <v>68</v>
      </c>
      <c r="AX104" t="s">
        <v>57</v>
      </c>
      <c r="AY104">
        <v>631180</v>
      </c>
      <c r="AZ104">
        <v>1204.6311800000001</v>
      </c>
      <c r="BA104" s="23" t="s">
        <v>5</v>
      </c>
    </row>
    <row r="105" spans="1:53" x14ac:dyDescent="0.25">
      <c r="A105" t="s">
        <v>134</v>
      </c>
      <c r="B105" t="s">
        <v>135</v>
      </c>
      <c r="C105">
        <v>22001824</v>
      </c>
      <c r="D105">
        <v>1204</v>
      </c>
      <c r="E105" s="11">
        <v>44778</v>
      </c>
      <c r="F105" t="s">
        <v>147</v>
      </c>
      <c r="G105">
        <v>47.88</v>
      </c>
      <c r="H105">
        <v>47.88</v>
      </c>
      <c r="I105" t="s">
        <v>56</v>
      </c>
      <c r="O105" t="s">
        <v>57</v>
      </c>
      <c r="Q105" t="s">
        <v>57</v>
      </c>
      <c r="R105" t="s">
        <v>137</v>
      </c>
      <c r="T105" t="s">
        <v>59</v>
      </c>
      <c r="U105" t="s">
        <v>60</v>
      </c>
      <c r="V105" t="s">
        <v>138</v>
      </c>
      <c r="W105" t="s">
        <v>139</v>
      </c>
      <c r="X105">
        <v>1928581</v>
      </c>
      <c r="Y105" s="11">
        <v>44778</v>
      </c>
      <c r="Z105" t="s">
        <v>57</v>
      </c>
      <c r="AA105">
        <v>2</v>
      </c>
      <c r="AB105" t="s">
        <v>57</v>
      </c>
      <c r="AD105" t="s">
        <v>57</v>
      </c>
      <c r="AE105" t="s">
        <v>57</v>
      </c>
      <c r="AF105" t="s">
        <v>57</v>
      </c>
      <c r="AG105">
        <v>25</v>
      </c>
      <c r="AH105" t="s">
        <v>57</v>
      </c>
      <c r="AL105" t="s">
        <v>57</v>
      </c>
      <c r="AM105" s="11">
        <v>44778</v>
      </c>
      <c r="AN105" t="s">
        <v>140</v>
      </c>
      <c r="AO105" t="s">
        <v>65</v>
      </c>
      <c r="AP105">
        <v>1204</v>
      </c>
      <c r="AQ105" t="s">
        <v>66</v>
      </c>
      <c r="AR105">
        <v>79300</v>
      </c>
      <c r="AU105" t="s">
        <v>57</v>
      </c>
      <c r="AV105" t="s">
        <v>68</v>
      </c>
      <c r="AX105" t="s">
        <v>57</v>
      </c>
      <c r="AY105">
        <v>631180</v>
      </c>
      <c r="AZ105">
        <v>1204.6311800000001</v>
      </c>
      <c r="BA105" s="23" t="s">
        <v>5</v>
      </c>
    </row>
    <row r="106" spans="1:53" x14ac:dyDescent="0.25">
      <c r="A106" t="s">
        <v>134</v>
      </c>
      <c r="B106" t="s">
        <v>135</v>
      </c>
      <c r="C106">
        <v>22001857</v>
      </c>
      <c r="D106">
        <v>1204</v>
      </c>
      <c r="E106" s="11">
        <v>44785</v>
      </c>
      <c r="F106" t="s">
        <v>136</v>
      </c>
      <c r="G106">
        <v>8.2899999999999991</v>
      </c>
      <c r="H106">
        <v>8.2899999999999991</v>
      </c>
      <c r="I106" t="s">
        <v>56</v>
      </c>
      <c r="O106" t="s">
        <v>57</v>
      </c>
      <c r="Q106" t="s">
        <v>57</v>
      </c>
      <c r="R106" t="s">
        <v>137</v>
      </c>
      <c r="T106" t="s">
        <v>59</v>
      </c>
      <c r="U106" t="s">
        <v>60</v>
      </c>
      <c r="V106" t="s">
        <v>138</v>
      </c>
      <c r="W106" t="s">
        <v>139</v>
      </c>
      <c r="X106">
        <v>1930658</v>
      </c>
      <c r="Y106" s="11">
        <v>44785</v>
      </c>
      <c r="Z106" t="s">
        <v>57</v>
      </c>
      <c r="AA106">
        <v>2</v>
      </c>
      <c r="AB106" t="s">
        <v>57</v>
      </c>
      <c r="AD106" t="s">
        <v>57</v>
      </c>
      <c r="AE106" t="s">
        <v>57</v>
      </c>
      <c r="AF106" t="s">
        <v>57</v>
      </c>
      <c r="AG106">
        <v>43</v>
      </c>
      <c r="AH106" t="s">
        <v>57</v>
      </c>
      <c r="AL106" t="s">
        <v>57</v>
      </c>
      <c r="AM106" s="11">
        <v>44785</v>
      </c>
      <c r="AN106" t="s">
        <v>140</v>
      </c>
      <c r="AO106" t="s">
        <v>65</v>
      </c>
      <c r="AP106">
        <v>1204</v>
      </c>
      <c r="AQ106" t="s">
        <v>66</v>
      </c>
      <c r="AR106">
        <v>79248</v>
      </c>
      <c r="AU106" t="s">
        <v>57</v>
      </c>
      <c r="AV106" t="s">
        <v>68</v>
      </c>
      <c r="AX106" t="s">
        <v>57</v>
      </c>
      <c r="AY106">
        <v>631180</v>
      </c>
      <c r="AZ106">
        <v>1204.6311800000001</v>
      </c>
      <c r="BA106" s="23" t="s">
        <v>5</v>
      </c>
    </row>
    <row r="107" spans="1:53" x14ac:dyDescent="0.25">
      <c r="A107" t="s">
        <v>134</v>
      </c>
      <c r="B107" t="s">
        <v>135</v>
      </c>
      <c r="C107">
        <v>22001858</v>
      </c>
      <c r="D107">
        <v>1204</v>
      </c>
      <c r="E107" s="11">
        <v>44785</v>
      </c>
      <c r="F107" t="s">
        <v>143</v>
      </c>
      <c r="G107">
        <v>22.39</v>
      </c>
      <c r="H107">
        <v>22.39</v>
      </c>
      <c r="I107" t="s">
        <v>56</v>
      </c>
      <c r="O107" t="s">
        <v>57</v>
      </c>
      <c r="Q107" t="s">
        <v>57</v>
      </c>
      <c r="R107" t="s">
        <v>137</v>
      </c>
      <c r="T107" t="s">
        <v>59</v>
      </c>
      <c r="U107" t="s">
        <v>60</v>
      </c>
      <c r="V107" t="s">
        <v>138</v>
      </c>
      <c r="W107" t="s">
        <v>139</v>
      </c>
      <c r="X107">
        <v>1930658</v>
      </c>
      <c r="Y107" s="11">
        <v>44785</v>
      </c>
      <c r="Z107" t="s">
        <v>57</v>
      </c>
      <c r="AA107">
        <v>2</v>
      </c>
      <c r="AB107" t="s">
        <v>57</v>
      </c>
      <c r="AD107" t="s">
        <v>57</v>
      </c>
      <c r="AE107" t="s">
        <v>57</v>
      </c>
      <c r="AF107" t="s">
        <v>57</v>
      </c>
      <c r="AG107">
        <v>66</v>
      </c>
      <c r="AH107" t="s">
        <v>57</v>
      </c>
      <c r="AL107" t="s">
        <v>57</v>
      </c>
      <c r="AM107" s="11">
        <v>44785</v>
      </c>
      <c r="AN107" t="s">
        <v>140</v>
      </c>
      <c r="AO107" t="s">
        <v>65</v>
      </c>
      <c r="AP107">
        <v>1204</v>
      </c>
      <c r="AQ107" t="s">
        <v>66</v>
      </c>
      <c r="AR107">
        <v>76741</v>
      </c>
      <c r="AU107" t="s">
        <v>57</v>
      </c>
      <c r="AV107" t="s">
        <v>68</v>
      </c>
      <c r="AX107" t="s">
        <v>57</v>
      </c>
      <c r="AY107">
        <v>631180</v>
      </c>
      <c r="AZ107">
        <v>1204.6311800000001</v>
      </c>
      <c r="BA107" s="23" t="s">
        <v>5</v>
      </c>
    </row>
    <row r="108" spans="1:53" x14ac:dyDescent="0.25">
      <c r="A108" t="s">
        <v>134</v>
      </c>
      <c r="B108" t="s">
        <v>135</v>
      </c>
      <c r="C108">
        <v>22001859</v>
      </c>
      <c r="D108">
        <v>1204</v>
      </c>
      <c r="E108" s="11">
        <v>44785</v>
      </c>
      <c r="F108" t="s">
        <v>85</v>
      </c>
      <c r="G108">
        <v>19.350000000000001</v>
      </c>
      <c r="H108">
        <v>19.350000000000001</v>
      </c>
      <c r="I108" t="s">
        <v>56</v>
      </c>
      <c r="O108" t="s">
        <v>57</v>
      </c>
      <c r="Q108" t="s">
        <v>57</v>
      </c>
      <c r="R108" t="s">
        <v>137</v>
      </c>
      <c r="T108" t="s">
        <v>59</v>
      </c>
      <c r="U108" t="s">
        <v>60</v>
      </c>
      <c r="V108" t="s">
        <v>138</v>
      </c>
      <c r="W108" t="s">
        <v>139</v>
      </c>
      <c r="X108">
        <v>1930658</v>
      </c>
      <c r="Y108" s="11">
        <v>44785</v>
      </c>
      <c r="Z108" t="s">
        <v>57</v>
      </c>
      <c r="AA108">
        <v>2</v>
      </c>
      <c r="AB108" t="s">
        <v>57</v>
      </c>
      <c r="AD108" t="s">
        <v>57</v>
      </c>
      <c r="AE108" t="s">
        <v>57</v>
      </c>
      <c r="AF108" t="s">
        <v>57</v>
      </c>
      <c r="AG108">
        <v>12</v>
      </c>
      <c r="AH108" t="s">
        <v>57</v>
      </c>
      <c r="AL108" t="s">
        <v>57</v>
      </c>
      <c r="AM108" s="11">
        <v>44785</v>
      </c>
      <c r="AN108" t="s">
        <v>140</v>
      </c>
      <c r="AO108" t="s">
        <v>65</v>
      </c>
      <c r="AP108">
        <v>1204</v>
      </c>
      <c r="AQ108" t="s">
        <v>66</v>
      </c>
      <c r="AR108">
        <v>276660</v>
      </c>
      <c r="AU108" t="s">
        <v>57</v>
      </c>
      <c r="AV108" t="s">
        <v>68</v>
      </c>
      <c r="AX108" t="s">
        <v>57</v>
      </c>
      <c r="AY108">
        <v>631180</v>
      </c>
      <c r="AZ108">
        <v>1204.6311800000001</v>
      </c>
      <c r="BA108" s="23" t="s">
        <v>5</v>
      </c>
    </row>
    <row r="109" spans="1:53" x14ac:dyDescent="0.25">
      <c r="A109" t="s">
        <v>134</v>
      </c>
      <c r="B109" t="s">
        <v>135</v>
      </c>
      <c r="C109">
        <v>22001860</v>
      </c>
      <c r="D109">
        <v>1204</v>
      </c>
      <c r="E109" s="11">
        <v>44785</v>
      </c>
      <c r="F109" t="s">
        <v>148</v>
      </c>
      <c r="G109">
        <v>57.87</v>
      </c>
      <c r="H109">
        <v>57.87</v>
      </c>
      <c r="I109" t="s">
        <v>56</v>
      </c>
      <c r="O109" t="s">
        <v>57</v>
      </c>
      <c r="Q109" t="s">
        <v>57</v>
      </c>
      <c r="R109" t="s">
        <v>137</v>
      </c>
      <c r="T109" t="s">
        <v>59</v>
      </c>
      <c r="U109" t="s">
        <v>60</v>
      </c>
      <c r="V109" t="s">
        <v>138</v>
      </c>
      <c r="W109" t="s">
        <v>139</v>
      </c>
      <c r="X109">
        <v>1930658</v>
      </c>
      <c r="Y109" s="11">
        <v>44785</v>
      </c>
      <c r="Z109" t="s">
        <v>57</v>
      </c>
      <c r="AA109">
        <v>2</v>
      </c>
      <c r="AB109" t="s">
        <v>57</v>
      </c>
      <c r="AD109" t="s">
        <v>57</v>
      </c>
      <c r="AE109" t="s">
        <v>57</v>
      </c>
      <c r="AF109" t="s">
        <v>57</v>
      </c>
      <c r="AG109">
        <v>100</v>
      </c>
      <c r="AH109" t="s">
        <v>57</v>
      </c>
      <c r="AL109" t="s">
        <v>57</v>
      </c>
      <c r="AM109" s="11">
        <v>44785</v>
      </c>
      <c r="AN109" t="s">
        <v>140</v>
      </c>
      <c r="AO109" t="s">
        <v>65</v>
      </c>
      <c r="AP109">
        <v>1204</v>
      </c>
      <c r="AQ109" t="s">
        <v>66</v>
      </c>
      <c r="AR109">
        <v>220249</v>
      </c>
      <c r="AU109" t="s">
        <v>57</v>
      </c>
      <c r="AV109" t="s">
        <v>68</v>
      </c>
      <c r="AX109" t="s">
        <v>57</v>
      </c>
      <c r="AY109">
        <v>631180</v>
      </c>
      <c r="AZ109">
        <v>1204.6311800000001</v>
      </c>
      <c r="BA109" s="23" t="s">
        <v>5</v>
      </c>
    </row>
    <row r="110" spans="1:53" x14ac:dyDescent="0.25">
      <c r="A110" t="s">
        <v>134</v>
      </c>
      <c r="B110" t="s">
        <v>135</v>
      </c>
      <c r="C110">
        <v>22001861</v>
      </c>
      <c r="D110">
        <v>1204</v>
      </c>
      <c r="E110" s="11">
        <v>44785</v>
      </c>
      <c r="F110" t="s">
        <v>144</v>
      </c>
      <c r="G110">
        <v>260.77999999999997</v>
      </c>
      <c r="H110">
        <v>260.77999999999997</v>
      </c>
      <c r="I110" t="s">
        <v>56</v>
      </c>
      <c r="O110" t="s">
        <v>57</v>
      </c>
      <c r="Q110" t="s">
        <v>57</v>
      </c>
      <c r="R110" t="s">
        <v>137</v>
      </c>
      <c r="T110" t="s">
        <v>59</v>
      </c>
      <c r="U110" t="s">
        <v>60</v>
      </c>
      <c r="V110" t="s">
        <v>138</v>
      </c>
      <c r="W110" t="s">
        <v>139</v>
      </c>
      <c r="X110">
        <v>1930658</v>
      </c>
      <c r="Y110" s="11">
        <v>44785</v>
      </c>
      <c r="Z110" t="s">
        <v>57</v>
      </c>
      <c r="AA110">
        <v>2</v>
      </c>
      <c r="AB110" t="s">
        <v>57</v>
      </c>
      <c r="AD110" t="s">
        <v>57</v>
      </c>
      <c r="AE110" t="s">
        <v>57</v>
      </c>
      <c r="AF110" t="s">
        <v>57</v>
      </c>
      <c r="AG110" s="24">
        <v>1125</v>
      </c>
      <c r="AH110" t="s">
        <v>57</v>
      </c>
      <c r="AL110" t="s">
        <v>57</v>
      </c>
      <c r="AM110" s="11">
        <v>44785</v>
      </c>
      <c r="AN110" t="s">
        <v>140</v>
      </c>
      <c r="AO110" t="s">
        <v>65</v>
      </c>
      <c r="AP110">
        <v>1204</v>
      </c>
      <c r="AQ110" t="s">
        <v>66</v>
      </c>
      <c r="AR110">
        <v>79293</v>
      </c>
      <c r="AU110" t="s">
        <v>57</v>
      </c>
      <c r="AV110" t="s">
        <v>68</v>
      </c>
      <c r="AX110" t="s">
        <v>57</v>
      </c>
      <c r="AY110">
        <v>631180</v>
      </c>
      <c r="AZ110">
        <v>1204.6311800000001</v>
      </c>
      <c r="BA110" s="23" t="s">
        <v>5</v>
      </c>
    </row>
    <row r="111" spans="1:53" x14ac:dyDescent="0.25">
      <c r="A111" t="s">
        <v>134</v>
      </c>
      <c r="B111" t="s">
        <v>135</v>
      </c>
      <c r="C111">
        <v>22001862</v>
      </c>
      <c r="D111">
        <v>1204</v>
      </c>
      <c r="E111" s="11">
        <v>44785</v>
      </c>
      <c r="F111" t="s">
        <v>143</v>
      </c>
      <c r="G111">
        <v>6.11</v>
      </c>
      <c r="H111">
        <v>6.11</v>
      </c>
      <c r="I111" t="s">
        <v>56</v>
      </c>
      <c r="O111" t="s">
        <v>57</v>
      </c>
      <c r="Q111" t="s">
        <v>57</v>
      </c>
      <c r="R111" t="s">
        <v>137</v>
      </c>
      <c r="T111" t="s">
        <v>59</v>
      </c>
      <c r="U111" t="s">
        <v>60</v>
      </c>
      <c r="V111" t="s">
        <v>138</v>
      </c>
      <c r="W111" t="s">
        <v>139</v>
      </c>
      <c r="X111">
        <v>1930660</v>
      </c>
      <c r="Y111" s="11">
        <v>44785</v>
      </c>
      <c r="Z111" t="s">
        <v>57</v>
      </c>
      <c r="AA111">
        <v>2</v>
      </c>
      <c r="AB111" t="s">
        <v>57</v>
      </c>
      <c r="AD111" t="s">
        <v>57</v>
      </c>
      <c r="AE111" t="s">
        <v>57</v>
      </c>
      <c r="AF111" t="s">
        <v>57</v>
      </c>
      <c r="AG111">
        <v>18</v>
      </c>
      <c r="AH111" t="s">
        <v>57</v>
      </c>
      <c r="AL111" t="s">
        <v>57</v>
      </c>
      <c r="AM111" s="11">
        <v>44785</v>
      </c>
      <c r="AN111" t="s">
        <v>140</v>
      </c>
      <c r="AO111" t="s">
        <v>65</v>
      </c>
      <c r="AP111">
        <v>1204</v>
      </c>
      <c r="AQ111" t="s">
        <v>66</v>
      </c>
      <c r="AR111">
        <v>76741</v>
      </c>
      <c r="AU111" t="s">
        <v>57</v>
      </c>
      <c r="AV111" t="s">
        <v>68</v>
      </c>
      <c r="AX111" t="s">
        <v>57</v>
      </c>
      <c r="AY111">
        <v>631180</v>
      </c>
      <c r="AZ111">
        <v>1204.6311800000001</v>
      </c>
      <c r="BA111" s="23" t="s">
        <v>5</v>
      </c>
    </row>
    <row r="112" spans="1:53" x14ac:dyDescent="0.25">
      <c r="A112" t="s">
        <v>134</v>
      </c>
      <c r="B112" t="s">
        <v>135</v>
      </c>
      <c r="C112">
        <v>22001863</v>
      </c>
      <c r="D112">
        <v>1204</v>
      </c>
      <c r="E112" s="11">
        <v>44785</v>
      </c>
      <c r="F112" t="s">
        <v>143</v>
      </c>
      <c r="G112">
        <v>10.18</v>
      </c>
      <c r="H112">
        <v>10.18</v>
      </c>
      <c r="I112" t="s">
        <v>56</v>
      </c>
      <c r="O112" t="s">
        <v>57</v>
      </c>
      <c r="Q112" t="s">
        <v>57</v>
      </c>
      <c r="R112" t="s">
        <v>137</v>
      </c>
      <c r="T112" t="s">
        <v>59</v>
      </c>
      <c r="U112" t="s">
        <v>60</v>
      </c>
      <c r="V112" t="s">
        <v>138</v>
      </c>
      <c r="W112" t="s">
        <v>139</v>
      </c>
      <c r="X112">
        <v>1930661</v>
      </c>
      <c r="Y112" s="11">
        <v>44785</v>
      </c>
      <c r="Z112" t="s">
        <v>57</v>
      </c>
      <c r="AA112">
        <v>2</v>
      </c>
      <c r="AB112" t="s">
        <v>57</v>
      </c>
      <c r="AD112" t="s">
        <v>57</v>
      </c>
      <c r="AE112" t="s">
        <v>57</v>
      </c>
      <c r="AF112" t="s">
        <v>57</v>
      </c>
      <c r="AG112">
        <v>30</v>
      </c>
      <c r="AH112" t="s">
        <v>57</v>
      </c>
      <c r="AL112" t="s">
        <v>57</v>
      </c>
      <c r="AM112" s="11">
        <v>44785</v>
      </c>
      <c r="AN112" t="s">
        <v>140</v>
      </c>
      <c r="AO112" t="s">
        <v>65</v>
      </c>
      <c r="AP112">
        <v>1204</v>
      </c>
      <c r="AQ112" t="s">
        <v>66</v>
      </c>
      <c r="AR112">
        <v>76741</v>
      </c>
      <c r="AU112" t="s">
        <v>57</v>
      </c>
      <c r="AV112" t="s">
        <v>68</v>
      </c>
      <c r="AX112" t="s">
        <v>57</v>
      </c>
      <c r="AY112">
        <v>631180</v>
      </c>
      <c r="AZ112">
        <v>1204.6311800000001</v>
      </c>
      <c r="BA112" s="23" t="s">
        <v>5</v>
      </c>
    </row>
    <row r="113" spans="1:53" x14ac:dyDescent="0.25">
      <c r="A113" t="s">
        <v>134</v>
      </c>
      <c r="B113" t="s">
        <v>135</v>
      </c>
      <c r="C113">
        <v>22001863</v>
      </c>
      <c r="D113">
        <v>1204</v>
      </c>
      <c r="E113" s="11">
        <v>44785</v>
      </c>
      <c r="F113" t="s">
        <v>143</v>
      </c>
      <c r="G113">
        <v>14.3</v>
      </c>
      <c r="H113">
        <v>14.3</v>
      </c>
      <c r="I113" t="s">
        <v>56</v>
      </c>
      <c r="O113" t="s">
        <v>57</v>
      </c>
      <c r="Q113" t="s">
        <v>57</v>
      </c>
      <c r="R113" t="s">
        <v>137</v>
      </c>
      <c r="T113" t="s">
        <v>59</v>
      </c>
      <c r="U113" t="s">
        <v>60</v>
      </c>
      <c r="V113" t="s">
        <v>138</v>
      </c>
      <c r="W113" t="s">
        <v>139</v>
      </c>
      <c r="X113">
        <v>1930661</v>
      </c>
      <c r="Y113" s="11">
        <v>44785</v>
      </c>
      <c r="Z113" t="s">
        <v>57</v>
      </c>
      <c r="AA113">
        <v>4</v>
      </c>
      <c r="AB113" t="s">
        <v>57</v>
      </c>
      <c r="AD113" t="s">
        <v>57</v>
      </c>
      <c r="AE113" t="s">
        <v>57</v>
      </c>
      <c r="AF113" t="s">
        <v>57</v>
      </c>
      <c r="AG113">
        <v>43</v>
      </c>
      <c r="AH113" t="s">
        <v>57</v>
      </c>
      <c r="AL113" t="s">
        <v>57</v>
      </c>
      <c r="AM113" s="11">
        <v>44785</v>
      </c>
      <c r="AN113" t="s">
        <v>140</v>
      </c>
      <c r="AO113" t="s">
        <v>65</v>
      </c>
      <c r="AP113">
        <v>1204</v>
      </c>
      <c r="AQ113" t="s">
        <v>66</v>
      </c>
      <c r="AR113">
        <v>76741</v>
      </c>
      <c r="AU113" t="s">
        <v>57</v>
      </c>
      <c r="AV113" t="s">
        <v>68</v>
      </c>
      <c r="AX113" t="s">
        <v>57</v>
      </c>
      <c r="AY113">
        <v>631180</v>
      </c>
      <c r="AZ113">
        <v>1204.6311800000001</v>
      </c>
      <c r="BA113" s="23" t="s">
        <v>5</v>
      </c>
    </row>
    <row r="114" spans="1:53" x14ac:dyDescent="0.25">
      <c r="A114" t="s">
        <v>134</v>
      </c>
      <c r="B114" t="s">
        <v>135</v>
      </c>
      <c r="C114">
        <v>22001881</v>
      </c>
      <c r="D114">
        <v>1204</v>
      </c>
      <c r="E114" s="11">
        <v>44792</v>
      </c>
      <c r="F114" t="s">
        <v>143</v>
      </c>
      <c r="G114">
        <v>25.28</v>
      </c>
      <c r="H114">
        <v>25.28</v>
      </c>
      <c r="I114" t="s">
        <v>56</v>
      </c>
      <c r="O114" t="s">
        <v>57</v>
      </c>
      <c r="Q114" t="s">
        <v>57</v>
      </c>
      <c r="R114" t="s">
        <v>137</v>
      </c>
      <c r="T114" t="s">
        <v>59</v>
      </c>
      <c r="U114" t="s">
        <v>60</v>
      </c>
      <c r="V114" t="s">
        <v>138</v>
      </c>
      <c r="W114" t="s">
        <v>139</v>
      </c>
      <c r="X114">
        <v>1934015</v>
      </c>
      <c r="Y114" s="11">
        <v>44792</v>
      </c>
      <c r="Z114" t="s">
        <v>57</v>
      </c>
      <c r="AA114">
        <v>2</v>
      </c>
      <c r="AB114" t="s">
        <v>57</v>
      </c>
      <c r="AD114" t="s">
        <v>57</v>
      </c>
      <c r="AE114" t="s">
        <v>57</v>
      </c>
      <c r="AF114" t="s">
        <v>57</v>
      </c>
      <c r="AG114">
        <v>76</v>
      </c>
      <c r="AH114" t="s">
        <v>57</v>
      </c>
      <c r="AL114" t="s">
        <v>57</v>
      </c>
      <c r="AM114" s="11">
        <v>44792</v>
      </c>
      <c r="AN114" t="s">
        <v>140</v>
      </c>
      <c r="AO114" t="s">
        <v>65</v>
      </c>
      <c r="AP114">
        <v>1204</v>
      </c>
      <c r="AQ114" t="s">
        <v>66</v>
      </c>
      <c r="AR114">
        <v>76741</v>
      </c>
      <c r="AU114" t="s">
        <v>57</v>
      </c>
      <c r="AV114" t="s">
        <v>68</v>
      </c>
      <c r="AX114" t="s">
        <v>57</v>
      </c>
      <c r="AY114">
        <v>631180</v>
      </c>
      <c r="AZ114">
        <v>1204.6311800000001</v>
      </c>
      <c r="BA114" s="23" t="s">
        <v>5</v>
      </c>
    </row>
    <row r="115" spans="1:53" x14ac:dyDescent="0.25">
      <c r="A115" t="s">
        <v>134</v>
      </c>
      <c r="B115" t="s">
        <v>135</v>
      </c>
      <c r="C115">
        <v>22001882</v>
      </c>
      <c r="D115">
        <v>1204</v>
      </c>
      <c r="E115" s="11">
        <v>44792</v>
      </c>
      <c r="F115" t="s">
        <v>136</v>
      </c>
      <c r="G115">
        <v>5.79</v>
      </c>
      <c r="H115">
        <v>5.79</v>
      </c>
      <c r="I115" t="s">
        <v>56</v>
      </c>
      <c r="O115" t="s">
        <v>57</v>
      </c>
      <c r="Q115" t="s">
        <v>57</v>
      </c>
      <c r="R115" t="s">
        <v>137</v>
      </c>
      <c r="T115" t="s">
        <v>59</v>
      </c>
      <c r="U115" t="s">
        <v>60</v>
      </c>
      <c r="V115" t="s">
        <v>138</v>
      </c>
      <c r="W115" t="s">
        <v>139</v>
      </c>
      <c r="X115">
        <v>1934015</v>
      </c>
      <c r="Y115" s="11">
        <v>44792</v>
      </c>
      <c r="Z115" t="s">
        <v>57</v>
      </c>
      <c r="AA115">
        <v>2</v>
      </c>
      <c r="AB115" t="s">
        <v>57</v>
      </c>
      <c r="AD115" t="s">
        <v>57</v>
      </c>
      <c r="AE115" t="s">
        <v>57</v>
      </c>
      <c r="AF115" t="s">
        <v>57</v>
      </c>
      <c r="AG115">
        <v>30</v>
      </c>
      <c r="AH115" t="s">
        <v>57</v>
      </c>
      <c r="AL115" t="s">
        <v>57</v>
      </c>
      <c r="AM115" s="11">
        <v>44792</v>
      </c>
      <c r="AN115" t="s">
        <v>140</v>
      </c>
      <c r="AO115" t="s">
        <v>65</v>
      </c>
      <c r="AP115">
        <v>1204</v>
      </c>
      <c r="AQ115" t="s">
        <v>66</v>
      </c>
      <c r="AR115">
        <v>79248</v>
      </c>
      <c r="AU115" t="s">
        <v>57</v>
      </c>
      <c r="AV115" t="s">
        <v>68</v>
      </c>
      <c r="AX115" t="s">
        <v>57</v>
      </c>
      <c r="AY115">
        <v>631180</v>
      </c>
      <c r="AZ115">
        <v>1204.6311800000001</v>
      </c>
      <c r="BA115" s="23" t="s">
        <v>5</v>
      </c>
    </row>
    <row r="116" spans="1:53" x14ac:dyDescent="0.25">
      <c r="A116" t="s">
        <v>134</v>
      </c>
      <c r="B116" t="s">
        <v>135</v>
      </c>
      <c r="C116">
        <v>22001883</v>
      </c>
      <c r="D116">
        <v>1204</v>
      </c>
      <c r="E116" s="11">
        <v>44792</v>
      </c>
      <c r="F116" t="s">
        <v>142</v>
      </c>
      <c r="G116">
        <v>13.04</v>
      </c>
      <c r="H116">
        <v>13.04</v>
      </c>
      <c r="I116" t="s">
        <v>56</v>
      </c>
      <c r="O116" t="s">
        <v>57</v>
      </c>
      <c r="Q116" t="s">
        <v>57</v>
      </c>
      <c r="R116" t="s">
        <v>137</v>
      </c>
      <c r="T116" t="s">
        <v>59</v>
      </c>
      <c r="U116" t="s">
        <v>60</v>
      </c>
      <c r="V116" t="s">
        <v>138</v>
      </c>
      <c r="W116" t="s">
        <v>139</v>
      </c>
      <c r="X116">
        <v>1934015</v>
      </c>
      <c r="Y116" s="11">
        <v>44792</v>
      </c>
      <c r="Z116" t="s">
        <v>57</v>
      </c>
      <c r="AA116">
        <v>2</v>
      </c>
      <c r="AB116" t="s">
        <v>57</v>
      </c>
      <c r="AD116" t="s">
        <v>57</v>
      </c>
      <c r="AE116" t="s">
        <v>57</v>
      </c>
      <c r="AF116" t="s">
        <v>57</v>
      </c>
      <c r="AG116">
        <v>24</v>
      </c>
      <c r="AH116" t="s">
        <v>57</v>
      </c>
      <c r="AL116" t="s">
        <v>57</v>
      </c>
      <c r="AM116" s="11">
        <v>44792</v>
      </c>
      <c r="AN116" t="s">
        <v>140</v>
      </c>
      <c r="AO116" t="s">
        <v>65</v>
      </c>
      <c r="AP116">
        <v>1204</v>
      </c>
      <c r="AQ116" t="s">
        <v>66</v>
      </c>
      <c r="AR116">
        <v>79280</v>
      </c>
      <c r="AU116" t="s">
        <v>57</v>
      </c>
      <c r="AV116" t="s">
        <v>68</v>
      </c>
      <c r="AX116" t="s">
        <v>57</v>
      </c>
      <c r="AY116">
        <v>631180</v>
      </c>
      <c r="AZ116">
        <v>1204.6311800000001</v>
      </c>
      <c r="BA116" s="23" t="s">
        <v>5</v>
      </c>
    </row>
    <row r="117" spans="1:53" x14ac:dyDescent="0.25">
      <c r="A117" t="s">
        <v>134</v>
      </c>
      <c r="B117" t="s">
        <v>135</v>
      </c>
      <c r="C117">
        <v>22001884</v>
      </c>
      <c r="D117">
        <v>1204</v>
      </c>
      <c r="E117" s="11">
        <v>44792</v>
      </c>
      <c r="F117" t="s">
        <v>144</v>
      </c>
      <c r="G117">
        <v>347.7</v>
      </c>
      <c r="H117">
        <v>347.7</v>
      </c>
      <c r="I117" t="s">
        <v>56</v>
      </c>
      <c r="O117" t="s">
        <v>57</v>
      </c>
      <c r="Q117" t="s">
        <v>57</v>
      </c>
      <c r="R117" t="s">
        <v>137</v>
      </c>
      <c r="T117" t="s">
        <v>59</v>
      </c>
      <c r="U117" t="s">
        <v>60</v>
      </c>
      <c r="V117" t="s">
        <v>138</v>
      </c>
      <c r="W117" t="s">
        <v>139</v>
      </c>
      <c r="X117">
        <v>1934015</v>
      </c>
      <c r="Y117" s="11">
        <v>44792</v>
      </c>
      <c r="Z117" t="s">
        <v>57</v>
      </c>
      <c r="AA117">
        <v>2</v>
      </c>
      <c r="AB117" t="s">
        <v>57</v>
      </c>
      <c r="AD117" t="s">
        <v>57</v>
      </c>
      <c r="AE117" t="s">
        <v>57</v>
      </c>
      <c r="AF117" t="s">
        <v>57</v>
      </c>
      <c r="AG117" s="24">
        <v>1500</v>
      </c>
      <c r="AH117" t="s">
        <v>57</v>
      </c>
      <c r="AL117" t="s">
        <v>57</v>
      </c>
      <c r="AM117" s="11">
        <v>44792</v>
      </c>
      <c r="AN117" t="s">
        <v>140</v>
      </c>
      <c r="AO117" t="s">
        <v>65</v>
      </c>
      <c r="AP117">
        <v>1204</v>
      </c>
      <c r="AQ117" t="s">
        <v>66</v>
      </c>
      <c r="AR117">
        <v>79293</v>
      </c>
      <c r="AU117" t="s">
        <v>57</v>
      </c>
      <c r="AV117" t="s">
        <v>68</v>
      </c>
      <c r="AX117" t="s">
        <v>57</v>
      </c>
      <c r="AY117">
        <v>631180</v>
      </c>
      <c r="AZ117">
        <v>1204.6311800000001</v>
      </c>
      <c r="BA117" s="23" t="s">
        <v>5</v>
      </c>
    </row>
    <row r="118" spans="1:53" x14ac:dyDescent="0.25">
      <c r="A118" t="s">
        <v>134</v>
      </c>
      <c r="B118" t="s">
        <v>135</v>
      </c>
      <c r="C118">
        <v>22001885</v>
      </c>
      <c r="D118">
        <v>1204</v>
      </c>
      <c r="E118" s="11">
        <v>44792</v>
      </c>
      <c r="F118" t="s">
        <v>148</v>
      </c>
      <c r="G118">
        <v>57.87</v>
      </c>
      <c r="H118">
        <v>57.87</v>
      </c>
      <c r="I118" t="s">
        <v>56</v>
      </c>
      <c r="O118" t="s">
        <v>57</v>
      </c>
      <c r="Q118" t="s">
        <v>57</v>
      </c>
      <c r="R118" t="s">
        <v>137</v>
      </c>
      <c r="T118" t="s">
        <v>59</v>
      </c>
      <c r="U118" t="s">
        <v>60</v>
      </c>
      <c r="V118" t="s">
        <v>138</v>
      </c>
      <c r="W118" t="s">
        <v>139</v>
      </c>
      <c r="X118">
        <v>1934015</v>
      </c>
      <c r="Y118" s="11">
        <v>44792</v>
      </c>
      <c r="Z118" t="s">
        <v>57</v>
      </c>
      <c r="AA118">
        <v>2</v>
      </c>
      <c r="AB118" t="s">
        <v>57</v>
      </c>
      <c r="AD118" t="s">
        <v>57</v>
      </c>
      <c r="AE118" t="s">
        <v>57</v>
      </c>
      <c r="AF118" t="s">
        <v>57</v>
      </c>
      <c r="AG118">
        <v>100</v>
      </c>
      <c r="AH118" t="s">
        <v>57</v>
      </c>
      <c r="AL118" t="s">
        <v>57</v>
      </c>
      <c r="AM118" s="11">
        <v>44792</v>
      </c>
      <c r="AN118" t="s">
        <v>140</v>
      </c>
      <c r="AO118" t="s">
        <v>65</v>
      </c>
      <c r="AP118">
        <v>1204</v>
      </c>
      <c r="AQ118" t="s">
        <v>66</v>
      </c>
      <c r="AR118">
        <v>220249</v>
      </c>
      <c r="AU118" t="s">
        <v>57</v>
      </c>
      <c r="AV118" t="s">
        <v>68</v>
      </c>
      <c r="AX118" t="s">
        <v>57</v>
      </c>
      <c r="AY118">
        <v>631180</v>
      </c>
      <c r="AZ118">
        <v>1204.6311800000001</v>
      </c>
      <c r="BA118" s="23" t="s">
        <v>5</v>
      </c>
    </row>
    <row r="119" spans="1:53" x14ac:dyDescent="0.25">
      <c r="A119" t="s">
        <v>134</v>
      </c>
      <c r="B119" t="s">
        <v>135</v>
      </c>
      <c r="C119">
        <v>22001886</v>
      </c>
      <c r="D119">
        <v>1204</v>
      </c>
      <c r="E119" s="11">
        <v>44792</v>
      </c>
      <c r="F119" t="s">
        <v>147</v>
      </c>
      <c r="G119">
        <v>95.76</v>
      </c>
      <c r="H119">
        <v>95.76</v>
      </c>
      <c r="I119" t="s">
        <v>56</v>
      </c>
      <c r="O119" t="s">
        <v>57</v>
      </c>
      <c r="Q119" t="s">
        <v>57</v>
      </c>
      <c r="R119" t="s">
        <v>137</v>
      </c>
      <c r="T119" t="s">
        <v>59</v>
      </c>
      <c r="U119" t="s">
        <v>60</v>
      </c>
      <c r="V119" t="s">
        <v>138</v>
      </c>
      <c r="W119" t="s">
        <v>139</v>
      </c>
      <c r="X119">
        <v>1934015</v>
      </c>
      <c r="Y119" s="11">
        <v>44792</v>
      </c>
      <c r="Z119" t="s">
        <v>57</v>
      </c>
      <c r="AA119">
        <v>2</v>
      </c>
      <c r="AB119" t="s">
        <v>57</v>
      </c>
      <c r="AD119" t="s">
        <v>57</v>
      </c>
      <c r="AE119" t="s">
        <v>57</v>
      </c>
      <c r="AF119" t="s">
        <v>57</v>
      </c>
      <c r="AG119">
        <v>50</v>
      </c>
      <c r="AH119" t="s">
        <v>57</v>
      </c>
      <c r="AL119" t="s">
        <v>57</v>
      </c>
      <c r="AM119" s="11">
        <v>44792</v>
      </c>
      <c r="AN119" t="s">
        <v>140</v>
      </c>
      <c r="AO119" t="s">
        <v>65</v>
      </c>
      <c r="AP119">
        <v>1204</v>
      </c>
      <c r="AQ119" t="s">
        <v>66</v>
      </c>
      <c r="AR119">
        <v>79300</v>
      </c>
      <c r="AU119" t="s">
        <v>57</v>
      </c>
      <c r="AV119" t="s">
        <v>68</v>
      </c>
      <c r="AX119" t="s">
        <v>57</v>
      </c>
      <c r="AY119">
        <v>631180</v>
      </c>
      <c r="AZ119">
        <v>1204.6311800000001</v>
      </c>
      <c r="BA119" s="23" t="s">
        <v>5</v>
      </c>
    </row>
    <row r="120" spans="1:53" x14ac:dyDescent="0.25">
      <c r="A120" t="s">
        <v>134</v>
      </c>
      <c r="B120" t="s">
        <v>135</v>
      </c>
      <c r="C120">
        <v>22001887</v>
      </c>
      <c r="D120">
        <v>1204</v>
      </c>
      <c r="E120" s="11">
        <v>44792</v>
      </c>
      <c r="F120" t="s">
        <v>85</v>
      </c>
      <c r="G120">
        <v>19.350000000000001</v>
      </c>
      <c r="H120">
        <v>19.350000000000001</v>
      </c>
      <c r="I120" t="s">
        <v>56</v>
      </c>
      <c r="O120" t="s">
        <v>57</v>
      </c>
      <c r="Q120" t="s">
        <v>57</v>
      </c>
      <c r="R120" t="s">
        <v>137</v>
      </c>
      <c r="T120" t="s">
        <v>59</v>
      </c>
      <c r="U120" t="s">
        <v>60</v>
      </c>
      <c r="V120" t="s">
        <v>138</v>
      </c>
      <c r="W120" t="s">
        <v>139</v>
      </c>
      <c r="X120">
        <v>1934015</v>
      </c>
      <c r="Y120" s="11">
        <v>44792</v>
      </c>
      <c r="Z120" t="s">
        <v>57</v>
      </c>
      <c r="AA120">
        <v>2</v>
      </c>
      <c r="AB120" t="s">
        <v>57</v>
      </c>
      <c r="AD120" t="s">
        <v>57</v>
      </c>
      <c r="AE120" t="s">
        <v>57</v>
      </c>
      <c r="AF120" t="s">
        <v>57</v>
      </c>
      <c r="AG120">
        <v>12</v>
      </c>
      <c r="AH120" t="s">
        <v>57</v>
      </c>
      <c r="AL120" t="s">
        <v>57</v>
      </c>
      <c r="AM120" s="11">
        <v>44792</v>
      </c>
      <c r="AN120" t="s">
        <v>140</v>
      </c>
      <c r="AO120" t="s">
        <v>65</v>
      </c>
      <c r="AP120">
        <v>1204</v>
      </c>
      <c r="AQ120" t="s">
        <v>66</v>
      </c>
      <c r="AR120">
        <v>276660</v>
      </c>
      <c r="AU120" t="s">
        <v>57</v>
      </c>
      <c r="AV120" t="s">
        <v>68</v>
      </c>
      <c r="AX120" t="s">
        <v>57</v>
      </c>
      <c r="AY120">
        <v>631180</v>
      </c>
      <c r="AZ120">
        <v>1204.6311800000001</v>
      </c>
      <c r="BA120" s="23" t="s">
        <v>5</v>
      </c>
    </row>
    <row r="121" spans="1:53" x14ac:dyDescent="0.25">
      <c r="A121" t="s">
        <v>134</v>
      </c>
      <c r="B121" t="s">
        <v>135</v>
      </c>
      <c r="C121">
        <v>22001889</v>
      </c>
      <c r="D121">
        <v>1204</v>
      </c>
      <c r="E121" s="11">
        <v>44792</v>
      </c>
      <c r="F121" t="s">
        <v>143</v>
      </c>
      <c r="G121">
        <v>5.99</v>
      </c>
      <c r="H121">
        <v>5.99</v>
      </c>
      <c r="I121" t="s">
        <v>56</v>
      </c>
      <c r="O121" t="s">
        <v>57</v>
      </c>
      <c r="Q121" t="s">
        <v>57</v>
      </c>
      <c r="R121" t="s">
        <v>137</v>
      </c>
      <c r="T121" t="s">
        <v>59</v>
      </c>
      <c r="U121" t="s">
        <v>60</v>
      </c>
      <c r="V121" t="s">
        <v>138</v>
      </c>
      <c r="W121" t="s">
        <v>139</v>
      </c>
      <c r="X121">
        <v>1934057</v>
      </c>
      <c r="Y121" s="11">
        <v>44792</v>
      </c>
      <c r="Z121" t="s">
        <v>57</v>
      </c>
      <c r="AA121">
        <v>2</v>
      </c>
      <c r="AB121" t="s">
        <v>57</v>
      </c>
      <c r="AD121" t="s">
        <v>57</v>
      </c>
      <c r="AE121" t="s">
        <v>57</v>
      </c>
      <c r="AF121" t="s">
        <v>57</v>
      </c>
      <c r="AG121">
        <v>18</v>
      </c>
      <c r="AH121" t="s">
        <v>57</v>
      </c>
      <c r="AL121" t="s">
        <v>57</v>
      </c>
      <c r="AM121" s="11">
        <v>44792</v>
      </c>
      <c r="AN121" t="s">
        <v>140</v>
      </c>
      <c r="AO121" t="s">
        <v>65</v>
      </c>
      <c r="AP121">
        <v>1204</v>
      </c>
      <c r="AQ121" t="s">
        <v>66</v>
      </c>
      <c r="AR121">
        <v>76741</v>
      </c>
      <c r="AU121" t="s">
        <v>57</v>
      </c>
      <c r="AV121" t="s">
        <v>68</v>
      </c>
      <c r="AX121" t="s">
        <v>57</v>
      </c>
      <c r="AY121">
        <v>631180</v>
      </c>
      <c r="AZ121">
        <v>1204.6311800000001</v>
      </c>
      <c r="BA121" s="23" t="s">
        <v>5</v>
      </c>
    </row>
    <row r="122" spans="1:53" x14ac:dyDescent="0.25">
      <c r="A122" t="s">
        <v>134</v>
      </c>
      <c r="B122" t="s">
        <v>135</v>
      </c>
      <c r="C122">
        <v>22002266</v>
      </c>
      <c r="D122">
        <v>1205</v>
      </c>
      <c r="E122" s="11">
        <v>44775</v>
      </c>
      <c r="F122" t="s">
        <v>149</v>
      </c>
      <c r="G122">
        <v>163.08000000000001</v>
      </c>
      <c r="H122">
        <v>163.08000000000001</v>
      </c>
      <c r="I122" t="s">
        <v>56</v>
      </c>
      <c r="O122" t="s">
        <v>57</v>
      </c>
      <c r="Q122" t="s">
        <v>57</v>
      </c>
      <c r="R122" t="s">
        <v>137</v>
      </c>
      <c r="T122" t="s">
        <v>59</v>
      </c>
      <c r="U122" t="s">
        <v>60</v>
      </c>
      <c r="V122" t="s">
        <v>138</v>
      </c>
      <c r="W122" t="s">
        <v>139</v>
      </c>
      <c r="X122">
        <v>1926630</v>
      </c>
      <c r="Y122" s="11">
        <v>44775</v>
      </c>
      <c r="Z122" t="s">
        <v>57</v>
      </c>
      <c r="AA122">
        <v>2</v>
      </c>
      <c r="AB122" t="s">
        <v>57</v>
      </c>
      <c r="AD122" t="s">
        <v>57</v>
      </c>
      <c r="AE122" t="s">
        <v>57</v>
      </c>
      <c r="AF122" t="s">
        <v>57</v>
      </c>
      <c r="AG122">
        <v>675</v>
      </c>
      <c r="AH122" t="s">
        <v>57</v>
      </c>
      <c r="AL122" t="s">
        <v>57</v>
      </c>
      <c r="AM122" s="11">
        <v>44775</v>
      </c>
      <c r="AN122" t="s">
        <v>150</v>
      </c>
      <c r="AO122" t="s">
        <v>65</v>
      </c>
      <c r="AP122">
        <v>1205</v>
      </c>
      <c r="AQ122" t="s">
        <v>66</v>
      </c>
      <c r="AR122">
        <v>79293</v>
      </c>
      <c r="AU122" t="s">
        <v>57</v>
      </c>
      <c r="AV122" t="s">
        <v>68</v>
      </c>
      <c r="AX122" t="s">
        <v>57</v>
      </c>
      <c r="AY122">
        <v>631180</v>
      </c>
      <c r="AZ122">
        <v>1205.6311800000001</v>
      </c>
      <c r="BA122" s="23" t="s">
        <v>6</v>
      </c>
    </row>
    <row r="123" spans="1:53" x14ac:dyDescent="0.25">
      <c r="A123" t="s">
        <v>134</v>
      </c>
      <c r="B123" t="s">
        <v>135</v>
      </c>
      <c r="C123">
        <v>22002272</v>
      </c>
      <c r="D123">
        <v>1205</v>
      </c>
      <c r="E123" s="11">
        <v>44775</v>
      </c>
      <c r="F123" t="s">
        <v>151</v>
      </c>
      <c r="G123">
        <v>95.21</v>
      </c>
      <c r="H123">
        <v>95.21</v>
      </c>
      <c r="I123" t="s">
        <v>56</v>
      </c>
      <c r="O123" t="s">
        <v>57</v>
      </c>
      <c r="Q123" t="s">
        <v>57</v>
      </c>
      <c r="R123" t="s">
        <v>137</v>
      </c>
      <c r="T123" t="s">
        <v>59</v>
      </c>
      <c r="U123" t="s">
        <v>60</v>
      </c>
      <c r="V123" t="s">
        <v>138</v>
      </c>
      <c r="W123" t="s">
        <v>139</v>
      </c>
      <c r="X123">
        <v>1926728</v>
      </c>
      <c r="Y123" s="11">
        <v>44776</v>
      </c>
      <c r="Z123" t="s">
        <v>57</v>
      </c>
      <c r="AA123">
        <v>2</v>
      </c>
      <c r="AB123" t="s">
        <v>57</v>
      </c>
      <c r="AD123" t="s">
        <v>57</v>
      </c>
      <c r="AE123" t="s">
        <v>57</v>
      </c>
      <c r="AF123" t="s">
        <v>57</v>
      </c>
      <c r="AG123">
        <v>120</v>
      </c>
      <c r="AH123" t="s">
        <v>57</v>
      </c>
      <c r="AL123" t="s">
        <v>57</v>
      </c>
      <c r="AM123" s="11">
        <v>44775</v>
      </c>
      <c r="AN123" t="s">
        <v>150</v>
      </c>
      <c r="AO123" t="s">
        <v>65</v>
      </c>
      <c r="AP123">
        <v>1205</v>
      </c>
      <c r="AQ123" t="s">
        <v>66</v>
      </c>
      <c r="AR123">
        <v>253820</v>
      </c>
      <c r="AU123" t="s">
        <v>57</v>
      </c>
      <c r="AV123" t="s">
        <v>68</v>
      </c>
      <c r="AX123" t="s">
        <v>57</v>
      </c>
      <c r="AY123">
        <v>631180</v>
      </c>
      <c r="AZ123">
        <v>1205.6311800000001</v>
      </c>
      <c r="BA123" s="23" t="s">
        <v>6</v>
      </c>
    </row>
    <row r="124" spans="1:53" x14ac:dyDescent="0.25">
      <c r="A124" t="s">
        <v>134</v>
      </c>
      <c r="B124" t="s">
        <v>135</v>
      </c>
      <c r="C124">
        <v>22002270</v>
      </c>
      <c r="D124">
        <v>1205</v>
      </c>
      <c r="E124" s="11">
        <v>44776</v>
      </c>
      <c r="F124" t="s">
        <v>152</v>
      </c>
      <c r="G124">
        <v>66.89</v>
      </c>
      <c r="H124">
        <v>66.89</v>
      </c>
      <c r="I124" t="s">
        <v>56</v>
      </c>
      <c r="O124" t="s">
        <v>57</v>
      </c>
      <c r="Q124" t="s">
        <v>57</v>
      </c>
      <c r="R124" t="s">
        <v>137</v>
      </c>
      <c r="T124" t="s">
        <v>59</v>
      </c>
      <c r="U124" t="s">
        <v>60</v>
      </c>
      <c r="V124" t="s">
        <v>138</v>
      </c>
      <c r="W124" t="s">
        <v>139</v>
      </c>
      <c r="X124">
        <v>1926728</v>
      </c>
      <c r="Y124" s="11">
        <v>44776</v>
      </c>
      <c r="Z124" t="s">
        <v>57</v>
      </c>
      <c r="AA124">
        <v>2</v>
      </c>
      <c r="AB124" t="s">
        <v>57</v>
      </c>
      <c r="AD124" t="s">
        <v>57</v>
      </c>
      <c r="AE124" t="s">
        <v>57</v>
      </c>
      <c r="AF124" t="s">
        <v>57</v>
      </c>
      <c r="AG124">
        <v>80</v>
      </c>
      <c r="AH124" t="s">
        <v>57</v>
      </c>
      <c r="AL124" t="s">
        <v>57</v>
      </c>
      <c r="AM124" s="11">
        <v>44776</v>
      </c>
      <c r="AN124" t="s">
        <v>150</v>
      </c>
      <c r="AO124" t="s">
        <v>65</v>
      </c>
      <c r="AP124">
        <v>1205</v>
      </c>
      <c r="AQ124" t="s">
        <v>66</v>
      </c>
      <c r="AR124">
        <v>79303</v>
      </c>
      <c r="AU124" t="s">
        <v>57</v>
      </c>
      <c r="AV124" t="s">
        <v>68</v>
      </c>
      <c r="AX124" t="s">
        <v>57</v>
      </c>
      <c r="AY124">
        <v>631180</v>
      </c>
      <c r="AZ124">
        <v>1205.6311800000001</v>
      </c>
      <c r="BA124" s="23" t="s">
        <v>6</v>
      </c>
    </row>
    <row r="125" spans="1:53" x14ac:dyDescent="0.25">
      <c r="A125" t="s">
        <v>134</v>
      </c>
      <c r="B125" t="s">
        <v>135</v>
      </c>
      <c r="C125">
        <v>22002271</v>
      </c>
      <c r="D125">
        <v>1205</v>
      </c>
      <c r="E125" s="11">
        <v>44776</v>
      </c>
      <c r="F125" t="s">
        <v>151</v>
      </c>
      <c r="G125">
        <v>158.68</v>
      </c>
      <c r="H125">
        <v>158.68</v>
      </c>
      <c r="I125" t="s">
        <v>56</v>
      </c>
      <c r="O125" t="s">
        <v>57</v>
      </c>
      <c r="Q125" t="s">
        <v>57</v>
      </c>
      <c r="R125" t="s">
        <v>137</v>
      </c>
      <c r="T125" t="s">
        <v>59</v>
      </c>
      <c r="U125" t="s">
        <v>60</v>
      </c>
      <c r="V125" t="s">
        <v>138</v>
      </c>
      <c r="W125" t="s">
        <v>139</v>
      </c>
      <c r="X125">
        <v>1926728</v>
      </c>
      <c r="Y125" s="11">
        <v>44776</v>
      </c>
      <c r="Z125" t="s">
        <v>57</v>
      </c>
      <c r="AA125">
        <v>2</v>
      </c>
      <c r="AB125" t="s">
        <v>57</v>
      </c>
      <c r="AD125" t="s">
        <v>57</v>
      </c>
      <c r="AE125" t="s">
        <v>57</v>
      </c>
      <c r="AF125" t="s">
        <v>57</v>
      </c>
      <c r="AG125">
        <v>200</v>
      </c>
      <c r="AH125" t="s">
        <v>57</v>
      </c>
      <c r="AL125" t="s">
        <v>57</v>
      </c>
      <c r="AM125" s="11">
        <v>44776</v>
      </c>
      <c r="AN125" t="s">
        <v>150</v>
      </c>
      <c r="AO125" t="s">
        <v>65</v>
      </c>
      <c r="AP125">
        <v>1205</v>
      </c>
      <c r="AQ125" t="s">
        <v>66</v>
      </c>
      <c r="AR125">
        <v>253820</v>
      </c>
      <c r="AU125" t="s">
        <v>57</v>
      </c>
      <c r="AV125" t="s">
        <v>68</v>
      </c>
      <c r="AX125" t="s">
        <v>57</v>
      </c>
      <c r="AY125">
        <v>631180</v>
      </c>
      <c r="AZ125">
        <v>1205.6311800000001</v>
      </c>
      <c r="BA125" s="23" t="s">
        <v>6</v>
      </c>
    </row>
    <row r="126" spans="1:53" x14ac:dyDescent="0.25">
      <c r="A126" t="s">
        <v>134</v>
      </c>
      <c r="B126" t="s">
        <v>135</v>
      </c>
      <c r="C126">
        <v>22002274</v>
      </c>
      <c r="D126">
        <v>1205</v>
      </c>
      <c r="E126" s="11">
        <v>44776</v>
      </c>
      <c r="F126" t="s">
        <v>153</v>
      </c>
      <c r="G126">
        <v>15.71</v>
      </c>
      <c r="H126">
        <v>15.71</v>
      </c>
      <c r="I126" t="s">
        <v>56</v>
      </c>
      <c r="O126" t="s">
        <v>57</v>
      </c>
      <c r="Q126" t="s">
        <v>57</v>
      </c>
      <c r="R126" t="s">
        <v>137</v>
      </c>
      <c r="T126" t="s">
        <v>59</v>
      </c>
      <c r="U126" t="s">
        <v>60</v>
      </c>
      <c r="V126" t="s">
        <v>138</v>
      </c>
      <c r="W126" t="s">
        <v>139</v>
      </c>
      <c r="X126">
        <v>1926966</v>
      </c>
      <c r="Y126" s="11">
        <v>44776</v>
      </c>
      <c r="Z126" t="s">
        <v>57</v>
      </c>
      <c r="AA126">
        <v>2</v>
      </c>
      <c r="AB126" t="s">
        <v>57</v>
      </c>
      <c r="AD126" t="s">
        <v>57</v>
      </c>
      <c r="AE126" t="s">
        <v>57</v>
      </c>
      <c r="AF126" t="s">
        <v>57</v>
      </c>
      <c r="AG126">
        <v>30</v>
      </c>
      <c r="AH126" t="s">
        <v>57</v>
      </c>
      <c r="AL126" t="s">
        <v>57</v>
      </c>
      <c r="AM126" s="11">
        <v>44776</v>
      </c>
      <c r="AN126" t="s">
        <v>150</v>
      </c>
      <c r="AO126" t="s">
        <v>65</v>
      </c>
      <c r="AP126">
        <v>1205</v>
      </c>
      <c r="AQ126" t="s">
        <v>66</v>
      </c>
      <c r="AR126">
        <v>79280</v>
      </c>
      <c r="AU126" t="s">
        <v>57</v>
      </c>
      <c r="AV126" t="s">
        <v>68</v>
      </c>
      <c r="AX126" t="s">
        <v>57</v>
      </c>
      <c r="AY126">
        <v>631180</v>
      </c>
      <c r="AZ126">
        <v>1205.6311800000001</v>
      </c>
      <c r="BA126" s="23" t="s">
        <v>6</v>
      </c>
    </row>
    <row r="127" spans="1:53" x14ac:dyDescent="0.25">
      <c r="A127" t="s">
        <v>134</v>
      </c>
      <c r="B127" t="s">
        <v>135</v>
      </c>
      <c r="C127">
        <v>22002275</v>
      </c>
      <c r="D127">
        <v>1205</v>
      </c>
      <c r="E127" s="11">
        <v>44776</v>
      </c>
      <c r="F127" t="s">
        <v>154</v>
      </c>
      <c r="G127">
        <v>1.1599999999999999</v>
      </c>
      <c r="H127">
        <v>1.1599999999999999</v>
      </c>
      <c r="I127" t="s">
        <v>56</v>
      </c>
      <c r="O127" t="s">
        <v>57</v>
      </c>
      <c r="Q127" t="s">
        <v>57</v>
      </c>
      <c r="R127" t="s">
        <v>137</v>
      </c>
      <c r="T127" t="s">
        <v>59</v>
      </c>
      <c r="U127" t="s">
        <v>60</v>
      </c>
      <c r="V127" t="s">
        <v>138</v>
      </c>
      <c r="W127" t="s">
        <v>139</v>
      </c>
      <c r="X127">
        <v>1926982</v>
      </c>
      <c r="Y127" s="11">
        <v>44776</v>
      </c>
      <c r="Z127" t="s">
        <v>57</v>
      </c>
      <c r="AA127">
        <v>2</v>
      </c>
      <c r="AB127" t="s">
        <v>57</v>
      </c>
      <c r="AD127" t="s">
        <v>57</v>
      </c>
      <c r="AE127" t="s">
        <v>57</v>
      </c>
      <c r="AF127" t="s">
        <v>57</v>
      </c>
      <c r="AG127">
        <v>12</v>
      </c>
      <c r="AH127" t="s">
        <v>57</v>
      </c>
      <c r="AL127" t="s">
        <v>57</v>
      </c>
      <c r="AM127" s="11">
        <v>44776</v>
      </c>
      <c r="AN127" t="s">
        <v>150</v>
      </c>
      <c r="AO127" t="s">
        <v>65</v>
      </c>
      <c r="AP127">
        <v>1205</v>
      </c>
      <c r="AQ127" t="s">
        <v>66</v>
      </c>
      <c r="AR127">
        <v>79282</v>
      </c>
      <c r="AU127" t="s">
        <v>57</v>
      </c>
      <c r="AV127" t="s">
        <v>68</v>
      </c>
      <c r="AX127" t="s">
        <v>57</v>
      </c>
      <c r="AY127">
        <v>631180</v>
      </c>
      <c r="AZ127">
        <v>1205.6311800000001</v>
      </c>
      <c r="BA127" s="23" t="s">
        <v>6</v>
      </c>
    </row>
    <row r="128" spans="1:53" x14ac:dyDescent="0.25">
      <c r="A128" t="s">
        <v>134</v>
      </c>
      <c r="B128" t="s">
        <v>135</v>
      </c>
      <c r="C128">
        <v>22002283</v>
      </c>
      <c r="D128">
        <v>1205</v>
      </c>
      <c r="E128" s="11">
        <v>44777</v>
      </c>
      <c r="F128" t="s">
        <v>153</v>
      </c>
      <c r="G128">
        <v>6.29</v>
      </c>
      <c r="H128">
        <v>6.29</v>
      </c>
      <c r="I128" t="s">
        <v>56</v>
      </c>
      <c r="O128" t="s">
        <v>57</v>
      </c>
      <c r="Q128" t="s">
        <v>57</v>
      </c>
      <c r="R128" t="s">
        <v>137</v>
      </c>
      <c r="T128" t="s">
        <v>59</v>
      </c>
      <c r="U128" t="s">
        <v>60</v>
      </c>
      <c r="V128" t="s">
        <v>138</v>
      </c>
      <c r="W128" t="s">
        <v>139</v>
      </c>
      <c r="X128">
        <v>1927252</v>
      </c>
      <c r="Y128" s="11">
        <v>44777</v>
      </c>
      <c r="Z128" t="s">
        <v>57</v>
      </c>
      <c r="AA128">
        <v>2</v>
      </c>
      <c r="AB128" t="s">
        <v>57</v>
      </c>
      <c r="AD128" t="s">
        <v>57</v>
      </c>
      <c r="AE128" t="s">
        <v>57</v>
      </c>
      <c r="AF128" t="s">
        <v>57</v>
      </c>
      <c r="AG128">
        <v>12</v>
      </c>
      <c r="AH128" t="s">
        <v>57</v>
      </c>
      <c r="AL128" t="s">
        <v>57</v>
      </c>
      <c r="AM128" s="11">
        <v>44777</v>
      </c>
      <c r="AN128" t="s">
        <v>150</v>
      </c>
      <c r="AO128" t="s">
        <v>65</v>
      </c>
      <c r="AP128">
        <v>1205</v>
      </c>
      <c r="AQ128" t="s">
        <v>66</v>
      </c>
      <c r="AR128">
        <v>79280</v>
      </c>
      <c r="AU128" t="s">
        <v>57</v>
      </c>
      <c r="AV128" t="s">
        <v>68</v>
      </c>
      <c r="AX128" t="s">
        <v>57</v>
      </c>
      <c r="AY128">
        <v>631180</v>
      </c>
      <c r="AZ128">
        <v>1205.6311800000001</v>
      </c>
      <c r="BA128" s="23" t="s">
        <v>6</v>
      </c>
    </row>
    <row r="129" spans="1:53" x14ac:dyDescent="0.25">
      <c r="A129" t="s">
        <v>134</v>
      </c>
      <c r="B129" t="s">
        <v>135</v>
      </c>
      <c r="C129">
        <v>22002284</v>
      </c>
      <c r="D129">
        <v>1205</v>
      </c>
      <c r="E129" s="11">
        <v>44777</v>
      </c>
      <c r="F129" t="s">
        <v>155</v>
      </c>
      <c r="G129">
        <v>0.96</v>
      </c>
      <c r="H129">
        <v>0.96</v>
      </c>
      <c r="I129" t="s">
        <v>56</v>
      </c>
      <c r="O129" t="s">
        <v>57</v>
      </c>
      <c r="Q129" t="s">
        <v>57</v>
      </c>
      <c r="R129" t="s">
        <v>137</v>
      </c>
      <c r="T129" t="s">
        <v>59</v>
      </c>
      <c r="U129" t="s">
        <v>60</v>
      </c>
      <c r="V129" t="s">
        <v>138</v>
      </c>
      <c r="W129" t="s">
        <v>139</v>
      </c>
      <c r="X129">
        <v>1927252</v>
      </c>
      <c r="Y129" s="11">
        <v>44777</v>
      </c>
      <c r="Z129" t="s">
        <v>57</v>
      </c>
      <c r="AA129">
        <v>2</v>
      </c>
      <c r="AB129" t="s">
        <v>57</v>
      </c>
      <c r="AD129" t="s">
        <v>57</v>
      </c>
      <c r="AE129" t="s">
        <v>57</v>
      </c>
      <c r="AF129" t="s">
        <v>57</v>
      </c>
      <c r="AG129">
        <v>5</v>
      </c>
      <c r="AH129" t="s">
        <v>57</v>
      </c>
      <c r="AL129" t="s">
        <v>57</v>
      </c>
      <c r="AM129" s="11">
        <v>44777</v>
      </c>
      <c r="AN129" t="s">
        <v>150</v>
      </c>
      <c r="AO129" t="s">
        <v>65</v>
      </c>
      <c r="AP129">
        <v>1205</v>
      </c>
      <c r="AQ129" t="s">
        <v>66</v>
      </c>
      <c r="AR129">
        <v>79248</v>
      </c>
      <c r="AU129" t="s">
        <v>57</v>
      </c>
      <c r="AV129" t="s">
        <v>68</v>
      </c>
      <c r="AX129" t="s">
        <v>57</v>
      </c>
      <c r="AY129">
        <v>631180</v>
      </c>
      <c r="AZ129">
        <v>1205.6311800000001</v>
      </c>
      <c r="BA129" s="23" t="s">
        <v>6</v>
      </c>
    </row>
    <row r="130" spans="1:53" x14ac:dyDescent="0.25">
      <c r="A130" t="s">
        <v>134</v>
      </c>
      <c r="B130" t="s">
        <v>135</v>
      </c>
      <c r="C130">
        <v>22002285</v>
      </c>
      <c r="D130">
        <v>1205</v>
      </c>
      <c r="E130" s="11">
        <v>44777</v>
      </c>
      <c r="F130" t="s">
        <v>154</v>
      </c>
      <c r="G130">
        <v>0.19</v>
      </c>
      <c r="H130">
        <v>0.19</v>
      </c>
      <c r="I130" t="s">
        <v>56</v>
      </c>
      <c r="O130" t="s">
        <v>57</v>
      </c>
      <c r="Q130" t="s">
        <v>57</v>
      </c>
      <c r="R130" t="s">
        <v>137</v>
      </c>
      <c r="T130" t="s">
        <v>59</v>
      </c>
      <c r="U130" t="s">
        <v>60</v>
      </c>
      <c r="V130" t="s">
        <v>138</v>
      </c>
      <c r="W130" t="s">
        <v>139</v>
      </c>
      <c r="X130">
        <v>1927252</v>
      </c>
      <c r="Y130" s="11">
        <v>44777</v>
      </c>
      <c r="Z130" t="s">
        <v>57</v>
      </c>
      <c r="AA130">
        <v>2</v>
      </c>
      <c r="AB130" t="s">
        <v>57</v>
      </c>
      <c r="AD130" t="s">
        <v>57</v>
      </c>
      <c r="AE130" t="s">
        <v>57</v>
      </c>
      <c r="AF130" t="s">
        <v>57</v>
      </c>
      <c r="AG130">
        <v>2</v>
      </c>
      <c r="AH130" t="s">
        <v>57</v>
      </c>
      <c r="AL130" t="s">
        <v>57</v>
      </c>
      <c r="AM130" s="11">
        <v>44777</v>
      </c>
      <c r="AN130" t="s">
        <v>150</v>
      </c>
      <c r="AO130" t="s">
        <v>65</v>
      </c>
      <c r="AP130">
        <v>1205</v>
      </c>
      <c r="AQ130" t="s">
        <v>66</v>
      </c>
      <c r="AR130">
        <v>79282</v>
      </c>
      <c r="AU130" t="s">
        <v>57</v>
      </c>
      <c r="AV130" t="s">
        <v>68</v>
      </c>
      <c r="AX130" t="s">
        <v>57</v>
      </c>
      <c r="AY130">
        <v>631180</v>
      </c>
      <c r="AZ130">
        <v>1205.6311800000001</v>
      </c>
      <c r="BA130" s="23" t="s">
        <v>6</v>
      </c>
    </row>
    <row r="131" spans="1:53" x14ac:dyDescent="0.25">
      <c r="A131" t="s">
        <v>134</v>
      </c>
      <c r="B131" t="s">
        <v>135</v>
      </c>
      <c r="C131">
        <v>22002286</v>
      </c>
      <c r="D131">
        <v>1205</v>
      </c>
      <c r="E131" s="11">
        <v>44777</v>
      </c>
      <c r="F131" t="s">
        <v>156</v>
      </c>
      <c r="G131">
        <v>1.7</v>
      </c>
      <c r="H131">
        <v>1.7</v>
      </c>
      <c r="I131" t="s">
        <v>56</v>
      </c>
      <c r="O131" t="s">
        <v>57</v>
      </c>
      <c r="Q131" t="s">
        <v>57</v>
      </c>
      <c r="R131" t="s">
        <v>137</v>
      </c>
      <c r="T131" t="s">
        <v>59</v>
      </c>
      <c r="U131" t="s">
        <v>60</v>
      </c>
      <c r="V131" t="s">
        <v>138</v>
      </c>
      <c r="W131" t="s">
        <v>139</v>
      </c>
      <c r="X131">
        <v>1927252</v>
      </c>
      <c r="Y131" s="11">
        <v>44777</v>
      </c>
      <c r="Z131" t="s">
        <v>57</v>
      </c>
      <c r="AA131">
        <v>2</v>
      </c>
      <c r="AB131" t="s">
        <v>57</v>
      </c>
      <c r="AD131" t="s">
        <v>57</v>
      </c>
      <c r="AE131" t="s">
        <v>57</v>
      </c>
      <c r="AF131" t="s">
        <v>57</v>
      </c>
      <c r="AG131">
        <v>5</v>
      </c>
      <c r="AH131" t="s">
        <v>57</v>
      </c>
      <c r="AL131" t="s">
        <v>57</v>
      </c>
      <c r="AM131" s="11">
        <v>44777</v>
      </c>
      <c r="AN131" t="s">
        <v>150</v>
      </c>
      <c r="AO131" t="s">
        <v>65</v>
      </c>
      <c r="AP131">
        <v>1205</v>
      </c>
      <c r="AQ131" t="s">
        <v>66</v>
      </c>
      <c r="AR131">
        <v>76741</v>
      </c>
      <c r="AU131" t="s">
        <v>57</v>
      </c>
      <c r="AV131" t="s">
        <v>68</v>
      </c>
      <c r="AX131" t="s">
        <v>57</v>
      </c>
      <c r="AY131">
        <v>631180</v>
      </c>
      <c r="AZ131">
        <v>1205.6311800000001</v>
      </c>
      <c r="BA131" s="23" t="s">
        <v>6</v>
      </c>
    </row>
    <row r="132" spans="1:53" x14ac:dyDescent="0.25">
      <c r="A132" t="s">
        <v>134</v>
      </c>
      <c r="B132" t="s">
        <v>135</v>
      </c>
      <c r="C132">
        <v>22002313</v>
      </c>
      <c r="D132">
        <v>1205</v>
      </c>
      <c r="E132" s="11">
        <v>44782</v>
      </c>
      <c r="F132" t="s">
        <v>156</v>
      </c>
      <c r="G132">
        <v>24.42</v>
      </c>
      <c r="H132">
        <v>24.42</v>
      </c>
      <c r="I132" t="s">
        <v>56</v>
      </c>
      <c r="O132" t="s">
        <v>57</v>
      </c>
      <c r="Q132" t="s">
        <v>57</v>
      </c>
      <c r="R132" t="s">
        <v>137</v>
      </c>
      <c r="T132" t="s">
        <v>59</v>
      </c>
      <c r="U132" t="s">
        <v>60</v>
      </c>
      <c r="V132" t="s">
        <v>138</v>
      </c>
      <c r="W132" t="s">
        <v>139</v>
      </c>
      <c r="X132">
        <v>1929050</v>
      </c>
      <c r="Y132" s="11">
        <v>44782</v>
      </c>
      <c r="Z132" t="s">
        <v>57</v>
      </c>
      <c r="AA132">
        <v>2</v>
      </c>
      <c r="AB132" t="s">
        <v>57</v>
      </c>
      <c r="AD132" t="s">
        <v>57</v>
      </c>
      <c r="AE132" t="s">
        <v>57</v>
      </c>
      <c r="AF132" t="s">
        <v>57</v>
      </c>
      <c r="AG132">
        <v>72</v>
      </c>
      <c r="AH132" t="s">
        <v>57</v>
      </c>
      <c r="AL132" t="s">
        <v>57</v>
      </c>
      <c r="AM132" s="11">
        <v>44782</v>
      </c>
      <c r="AN132" t="s">
        <v>150</v>
      </c>
      <c r="AO132" t="s">
        <v>65</v>
      </c>
      <c r="AP132">
        <v>1205</v>
      </c>
      <c r="AQ132" t="s">
        <v>66</v>
      </c>
      <c r="AR132">
        <v>76741</v>
      </c>
      <c r="AU132" t="s">
        <v>57</v>
      </c>
      <c r="AV132" t="s">
        <v>68</v>
      </c>
      <c r="AX132" t="s">
        <v>57</v>
      </c>
      <c r="AY132">
        <v>631180</v>
      </c>
      <c r="AZ132">
        <v>1205.6311800000001</v>
      </c>
      <c r="BA132" s="23" t="s">
        <v>6</v>
      </c>
    </row>
    <row r="133" spans="1:53" x14ac:dyDescent="0.25">
      <c r="A133" t="s">
        <v>134</v>
      </c>
      <c r="B133" t="s">
        <v>135</v>
      </c>
      <c r="C133">
        <v>22002314</v>
      </c>
      <c r="D133">
        <v>1205</v>
      </c>
      <c r="E133" s="11">
        <v>44782</v>
      </c>
      <c r="F133" t="s">
        <v>149</v>
      </c>
      <c r="G133">
        <v>163.08000000000001</v>
      </c>
      <c r="H133">
        <v>163.08000000000001</v>
      </c>
      <c r="I133" t="s">
        <v>56</v>
      </c>
      <c r="O133" t="s">
        <v>57</v>
      </c>
      <c r="Q133" t="s">
        <v>57</v>
      </c>
      <c r="R133" t="s">
        <v>137</v>
      </c>
      <c r="T133" t="s">
        <v>59</v>
      </c>
      <c r="U133" t="s">
        <v>60</v>
      </c>
      <c r="V133" t="s">
        <v>138</v>
      </c>
      <c r="W133" t="s">
        <v>139</v>
      </c>
      <c r="X133">
        <v>1929050</v>
      </c>
      <c r="Y133" s="11">
        <v>44782</v>
      </c>
      <c r="Z133" t="s">
        <v>57</v>
      </c>
      <c r="AA133">
        <v>2</v>
      </c>
      <c r="AB133" t="s">
        <v>57</v>
      </c>
      <c r="AD133" t="s">
        <v>57</v>
      </c>
      <c r="AE133" t="s">
        <v>57</v>
      </c>
      <c r="AF133" t="s">
        <v>57</v>
      </c>
      <c r="AG133">
        <v>675</v>
      </c>
      <c r="AH133" t="s">
        <v>57</v>
      </c>
      <c r="AL133" t="s">
        <v>57</v>
      </c>
      <c r="AM133" s="11">
        <v>44782</v>
      </c>
      <c r="AN133" t="s">
        <v>150</v>
      </c>
      <c r="AO133" t="s">
        <v>65</v>
      </c>
      <c r="AP133">
        <v>1205</v>
      </c>
      <c r="AQ133" t="s">
        <v>66</v>
      </c>
      <c r="AR133">
        <v>79293</v>
      </c>
      <c r="AU133" t="s">
        <v>57</v>
      </c>
      <c r="AV133" t="s">
        <v>68</v>
      </c>
      <c r="AX133" t="s">
        <v>57</v>
      </c>
      <c r="AY133">
        <v>631180</v>
      </c>
      <c r="AZ133">
        <v>1205.6311800000001</v>
      </c>
      <c r="BA133" s="23" t="s">
        <v>6</v>
      </c>
    </row>
    <row r="134" spans="1:53" x14ac:dyDescent="0.25">
      <c r="A134" t="s">
        <v>134</v>
      </c>
      <c r="B134" t="s">
        <v>135</v>
      </c>
      <c r="C134">
        <v>22002315</v>
      </c>
      <c r="D134">
        <v>1205</v>
      </c>
      <c r="E134" s="11">
        <v>44782</v>
      </c>
      <c r="F134" t="s">
        <v>282</v>
      </c>
      <c r="G134">
        <v>61.18</v>
      </c>
      <c r="H134">
        <v>61.18</v>
      </c>
      <c r="I134" t="s">
        <v>56</v>
      </c>
      <c r="O134" t="s">
        <v>57</v>
      </c>
      <c r="Q134" t="s">
        <v>57</v>
      </c>
      <c r="R134" t="s">
        <v>137</v>
      </c>
      <c r="T134" t="s">
        <v>59</v>
      </c>
      <c r="U134" t="s">
        <v>60</v>
      </c>
      <c r="V134" t="s">
        <v>138</v>
      </c>
      <c r="W134" t="s">
        <v>139</v>
      </c>
      <c r="X134">
        <v>1929268</v>
      </c>
      <c r="Y134" s="11">
        <v>44782</v>
      </c>
      <c r="Z134" t="s">
        <v>57</v>
      </c>
      <c r="AA134">
        <v>2</v>
      </c>
      <c r="AB134" t="s">
        <v>57</v>
      </c>
      <c r="AD134" t="s">
        <v>57</v>
      </c>
      <c r="AE134" t="s">
        <v>57</v>
      </c>
      <c r="AF134" t="s">
        <v>57</v>
      </c>
      <c r="AG134">
        <v>101</v>
      </c>
      <c r="AH134" t="s">
        <v>57</v>
      </c>
      <c r="AL134" t="s">
        <v>57</v>
      </c>
      <c r="AM134" s="11">
        <v>44782</v>
      </c>
      <c r="AN134" t="s">
        <v>150</v>
      </c>
      <c r="AO134" t="s">
        <v>65</v>
      </c>
      <c r="AP134">
        <v>1205</v>
      </c>
      <c r="AQ134" t="s">
        <v>66</v>
      </c>
      <c r="AR134">
        <v>220249</v>
      </c>
      <c r="AU134" t="s">
        <v>57</v>
      </c>
      <c r="AV134" t="s">
        <v>68</v>
      </c>
      <c r="AX134" t="s">
        <v>57</v>
      </c>
      <c r="AY134">
        <v>631180</v>
      </c>
      <c r="AZ134">
        <v>1205.6311800000001</v>
      </c>
      <c r="BA134" s="23" t="s">
        <v>6</v>
      </c>
    </row>
    <row r="135" spans="1:53" x14ac:dyDescent="0.25">
      <c r="A135" t="s">
        <v>134</v>
      </c>
      <c r="B135" t="s">
        <v>135</v>
      </c>
      <c r="C135">
        <v>22002315</v>
      </c>
      <c r="D135">
        <v>1205</v>
      </c>
      <c r="E135" s="11">
        <v>44782</v>
      </c>
      <c r="F135" t="s">
        <v>282</v>
      </c>
      <c r="G135">
        <v>60.57</v>
      </c>
      <c r="H135">
        <v>60.57</v>
      </c>
      <c r="I135" t="s">
        <v>56</v>
      </c>
      <c r="O135" t="s">
        <v>57</v>
      </c>
      <c r="Q135" t="s">
        <v>57</v>
      </c>
      <c r="R135" t="s">
        <v>137</v>
      </c>
      <c r="T135" t="s">
        <v>59</v>
      </c>
      <c r="U135" t="s">
        <v>60</v>
      </c>
      <c r="V135" t="s">
        <v>138</v>
      </c>
      <c r="W135" t="s">
        <v>139</v>
      </c>
      <c r="X135">
        <v>1929268</v>
      </c>
      <c r="Y135" s="11">
        <v>44782</v>
      </c>
      <c r="Z135" t="s">
        <v>57</v>
      </c>
      <c r="AA135">
        <v>4</v>
      </c>
      <c r="AB135" t="s">
        <v>57</v>
      </c>
      <c r="AD135" t="s">
        <v>57</v>
      </c>
      <c r="AE135" t="s">
        <v>57</v>
      </c>
      <c r="AF135" t="s">
        <v>57</v>
      </c>
      <c r="AG135">
        <v>100</v>
      </c>
      <c r="AH135" t="s">
        <v>57</v>
      </c>
      <c r="AL135" t="s">
        <v>57</v>
      </c>
      <c r="AM135" s="11">
        <v>44782</v>
      </c>
      <c r="AN135" t="s">
        <v>150</v>
      </c>
      <c r="AO135" t="s">
        <v>65</v>
      </c>
      <c r="AP135">
        <v>1205</v>
      </c>
      <c r="AQ135" t="s">
        <v>66</v>
      </c>
      <c r="AR135">
        <v>220249</v>
      </c>
      <c r="AU135" t="s">
        <v>57</v>
      </c>
      <c r="AV135" t="s">
        <v>68</v>
      </c>
      <c r="AX135" t="s">
        <v>57</v>
      </c>
      <c r="AY135">
        <v>631180</v>
      </c>
      <c r="AZ135">
        <v>1205.6311800000001</v>
      </c>
      <c r="BA135" s="23" t="s">
        <v>6</v>
      </c>
    </row>
    <row r="136" spans="1:53" x14ac:dyDescent="0.25">
      <c r="A136" t="s">
        <v>134</v>
      </c>
      <c r="B136" t="s">
        <v>135</v>
      </c>
      <c r="C136">
        <v>22002327</v>
      </c>
      <c r="D136">
        <v>1205</v>
      </c>
      <c r="E136" s="11">
        <v>44782</v>
      </c>
      <c r="F136" t="s">
        <v>156</v>
      </c>
      <c r="G136">
        <v>8.14</v>
      </c>
      <c r="H136">
        <v>8.14</v>
      </c>
      <c r="I136" t="s">
        <v>56</v>
      </c>
      <c r="O136" t="s">
        <v>57</v>
      </c>
      <c r="Q136" t="s">
        <v>57</v>
      </c>
      <c r="R136" t="s">
        <v>137</v>
      </c>
      <c r="T136" t="s">
        <v>59</v>
      </c>
      <c r="U136" t="s">
        <v>60</v>
      </c>
      <c r="V136" t="s">
        <v>138</v>
      </c>
      <c r="W136" t="s">
        <v>139</v>
      </c>
      <c r="X136">
        <v>1930376</v>
      </c>
      <c r="Y136" s="11">
        <v>44784</v>
      </c>
      <c r="Z136" t="s">
        <v>57</v>
      </c>
      <c r="AA136">
        <v>2</v>
      </c>
      <c r="AB136" t="s">
        <v>57</v>
      </c>
      <c r="AD136" t="s">
        <v>57</v>
      </c>
      <c r="AE136" t="s">
        <v>57</v>
      </c>
      <c r="AF136" t="s">
        <v>57</v>
      </c>
      <c r="AG136">
        <v>24</v>
      </c>
      <c r="AH136" t="s">
        <v>57</v>
      </c>
      <c r="AL136" t="s">
        <v>57</v>
      </c>
      <c r="AM136" s="11">
        <v>44782</v>
      </c>
      <c r="AN136" t="s">
        <v>150</v>
      </c>
      <c r="AO136" t="s">
        <v>65</v>
      </c>
      <c r="AP136">
        <v>1205</v>
      </c>
      <c r="AQ136" t="s">
        <v>66</v>
      </c>
      <c r="AR136">
        <v>76741</v>
      </c>
      <c r="AU136" t="s">
        <v>57</v>
      </c>
      <c r="AV136" t="s">
        <v>68</v>
      </c>
      <c r="AX136" t="s">
        <v>57</v>
      </c>
      <c r="AY136">
        <v>631180</v>
      </c>
      <c r="AZ136">
        <v>1205.6311800000001</v>
      </c>
      <c r="BA136" s="23" t="s">
        <v>6</v>
      </c>
    </row>
    <row r="137" spans="1:53" x14ac:dyDescent="0.25">
      <c r="A137" t="s">
        <v>134</v>
      </c>
      <c r="B137" t="s">
        <v>135</v>
      </c>
      <c r="C137">
        <v>22002328</v>
      </c>
      <c r="D137">
        <v>1205</v>
      </c>
      <c r="E137" s="11">
        <v>44784</v>
      </c>
      <c r="F137" t="s">
        <v>282</v>
      </c>
      <c r="G137">
        <v>24.83</v>
      </c>
      <c r="H137">
        <v>24.83</v>
      </c>
      <c r="I137" t="s">
        <v>56</v>
      </c>
      <c r="O137" t="s">
        <v>57</v>
      </c>
      <c r="Q137" t="s">
        <v>57</v>
      </c>
      <c r="R137" t="s">
        <v>137</v>
      </c>
      <c r="T137" t="s">
        <v>59</v>
      </c>
      <c r="U137" t="s">
        <v>60</v>
      </c>
      <c r="V137" t="s">
        <v>138</v>
      </c>
      <c r="W137" t="s">
        <v>139</v>
      </c>
      <c r="X137">
        <v>1930382</v>
      </c>
      <c r="Y137" s="11">
        <v>44784</v>
      </c>
      <c r="Z137" t="s">
        <v>57</v>
      </c>
      <c r="AA137">
        <v>2</v>
      </c>
      <c r="AB137" t="s">
        <v>57</v>
      </c>
      <c r="AD137" t="s">
        <v>57</v>
      </c>
      <c r="AE137" t="s">
        <v>57</v>
      </c>
      <c r="AF137" t="s">
        <v>57</v>
      </c>
      <c r="AG137">
        <v>41</v>
      </c>
      <c r="AH137" t="s">
        <v>57</v>
      </c>
      <c r="AL137" t="s">
        <v>57</v>
      </c>
      <c r="AM137" s="11">
        <v>44784</v>
      </c>
      <c r="AN137" t="s">
        <v>150</v>
      </c>
      <c r="AO137" t="s">
        <v>65</v>
      </c>
      <c r="AP137">
        <v>1205</v>
      </c>
      <c r="AQ137" t="s">
        <v>66</v>
      </c>
      <c r="AR137">
        <v>220249</v>
      </c>
      <c r="AU137" t="s">
        <v>57</v>
      </c>
      <c r="AV137" t="s">
        <v>68</v>
      </c>
      <c r="AX137" t="s">
        <v>57</v>
      </c>
      <c r="AY137">
        <v>631180</v>
      </c>
      <c r="AZ137">
        <v>1205.6311800000001</v>
      </c>
      <c r="BA137" s="23" t="s">
        <v>6</v>
      </c>
    </row>
    <row r="138" spans="1:53" x14ac:dyDescent="0.25">
      <c r="A138" t="s">
        <v>134</v>
      </c>
      <c r="B138" t="s">
        <v>135</v>
      </c>
      <c r="C138">
        <v>22002328</v>
      </c>
      <c r="D138">
        <v>1205</v>
      </c>
      <c r="E138" s="11">
        <v>44784</v>
      </c>
      <c r="F138" t="s">
        <v>282</v>
      </c>
      <c r="G138">
        <v>36.340000000000003</v>
      </c>
      <c r="H138">
        <v>36.340000000000003</v>
      </c>
      <c r="I138" t="s">
        <v>56</v>
      </c>
      <c r="O138" t="s">
        <v>57</v>
      </c>
      <c r="Q138" t="s">
        <v>57</v>
      </c>
      <c r="R138" t="s">
        <v>137</v>
      </c>
      <c r="T138" t="s">
        <v>59</v>
      </c>
      <c r="U138" t="s">
        <v>60</v>
      </c>
      <c r="V138" t="s">
        <v>138</v>
      </c>
      <c r="W138" t="s">
        <v>139</v>
      </c>
      <c r="X138">
        <v>1930382</v>
      </c>
      <c r="Y138" s="11">
        <v>44784</v>
      </c>
      <c r="Z138" t="s">
        <v>57</v>
      </c>
      <c r="AA138">
        <v>4</v>
      </c>
      <c r="AB138" t="s">
        <v>57</v>
      </c>
      <c r="AD138" t="s">
        <v>57</v>
      </c>
      <c r="AE138" t="s">
        <v>57</v>
      </c>
      <c r="AF138" t="s">
        <v>57</v>
      </c>
      <c r="AG138">
        <v>60</v>
      </c>
      <c r="AH138" t="s">
        <v>57</v>
      </c>
      <c r="AL138" t="s">
        <v>57</v>
      </c>
      <c r="AM138" s="11">
        <v>44784</v>
      </c>
      <c r="AN138" t="s">
        <v>150</v>
      </c>
      <c r="AO138" t="s">
        <v>65</v>
      </c>
      <c r="AP138">
        <v>1205</v>
      </c>
      <c r="AQ138" t="s">
        <v>66</v>
      </c>
      <c r="AR138">
        <v>220249</v>
      </c>
      <c r="AU138" t="s">
        <v>57</v>
      </c>
      <c r="AV138" t="s">
        <v>68</v>
      </c>
      <c r="AX138" t="s">
        <v>57</v>
      </c>
      <c r="AY138">
        <v>631180</v>
      </c>
      <c r="AZ138">
        <v>1205.6311800000001</v>
      </c>
      <c r="BA138" s="23" t="s">
        <v>6</v>
      </c>
    </row>
    <row r="139" spans="1:53" x14ac:dyDescent="0.25">
      <c r="A139" t="s">
        <v>134</v>
      </c>
      <c r="B139" t="s">
        <v>135</v>
      </c>
      <c r="C139">
        <v>22002329</v>
      </c>
      <c r="D139">
        <v>1205</v>
      </c>
      <c r="E139" s="11">
        <v>44784</v>
      </c>
      <c r="F139" t="s">
        <v>152</v>
      </c>
      <c r="G139">
        <v>119.05</v>
      </c>
      <c r="H139">
        <v>119.05</v>
      </c>
      <c r="I139" t="s">
        <v>56</v>
      </c>
      <c r="O139" t="s">
        <v>57</v>
      </c>
      <c r="Q139" t="s">
        <v>57</v>
      </c>
      <c r="R139" t="s">
        <v>137</v>
      </c>
      <c r="T139" t="s">
        <v>59</v>
      </c>
      <c r="U139" t="s">
        <v>60</v>
      </c>
      <c r="V139" t="s">
        <v>138</v>
      </c>
      <c r="W139" t="s">
        <v>139</v>
      </c>
      <c r="X139">
        <v>1930382</v>
      </c>
      <c r="Y139" s="11">
        <v>44784</v>
      </c>
      <c r="Z139" t="s">
        <v>57</v>
      </c>
      <c r="AA139">
        <v>2</v>
      </c>
      <c r="AB139" t="s">
        <v>57</v>
      </c>
      <c r="AD139" t="s">
        <v>57</v>
      </c>
      <c r="AE139" t="s">
        <v>57</v>
      </c>
      <c r="AF139" t="s">
        <v>57</v>
      </c>
      <c r="AG139">
        <v>145</v>
      </c>
      <c r="AH139" t="s">
        <v>57</v>
      </c>
      <c r="AL139" t="s">
        <v>57</v>
      </c>
      <c r="AM139" s="11">
        <v>44784</v>
      </c>
      <c r="AN139" t="s">
        <v>150</v>
      </c>
      <c r="AO139" t="s">
        <v>65</v>
      </c>
      <c r="AP139">
        <v>1205</v>
      </c>
      <c r="AQ139" t="s">
        <v>66</v>
      </c>
      <c r="AR139">
        <v>79303</v>
      </c>
      <c r="AU139" t="s">
        <v>57</v>
      </c>
      <c r="AV139" t="s">
        <v>68</v>
      </c>
      <c r="AX139" t="s">
        <v>57</v>
      </c>
      <c r="AY139">
        <v>631180</v>
      </c>
      <c r="AZ139">
        <v>1205.6311800000001</v>
      </c>
      <c r="BA139" s="23" t="s">
        <v>6</v>
      </c>
    </row>
    <row r="140" spans="1:53" x14ac:dyDescent="0.25">
      <c r="A140" t="s">
        <v>134</v>
      </c>
      <c r="B140" t="s">
        <v>135</v>
      </c>
      <c r="C140">
        <v>22002330</v>
      </c>
      <c r="D140">
        <v>1205</v>
      </c>
      <c r="E140" s="11">
        <v>44784</v>
      </c>
      <c r="F140" t="s">
        <v>151</v>
      </c>
      <c r="G140">
        <v>47.6</v>
      </c>
      <c r="H140">
        <v>47.6</v>
      </c>
      <c r="I140" t="s">
        <v>56</v>
      </c>
      <c r="O140" t="s">
        <v>57</v>
      </c>
      <c r="Q140" t="s">
        <v>57</v>
      </c>
      <c r="R140" t="s">
        <v>137</v>
      </c>
      <c r="T140" t="s">
        <v>59</v>
      </c>
      <c r="U140" t="s">
        <v>60</v>
      </c>
      <c r="V140" t="s">
        <v>138</v>
      </c>
      <c r="W140" t="s">
        <v>139</v>
      </c>
      <c r="X140">
        <v>1930382</v>
      </c>
      <c r="Y140" s="11">
        <v>44784</v>
      </c>
      <c r="Z140" t="s">
        <v>57</v>
      </c>
      <c r="AA140">
        <v>2</v>
      </c>
      <c r="AB140" t="s">
        <v>57</v>
      </c>
      <c r="AD140" t="s">
        <v>57</v>
      </c>
      <c r="AE140" t="s">
        <v>57</v>
      </c>
      <c r="AF140" t="s">
        <v>57</v>
      </c>
      <c r="AG140">
        <v>60</v>
      </c>
      <c r="AH140" t="s">
        <v>57</v>
      </c>
      <c r="AL140" t="s">
        <v>57</v>
      </c>
      <c r="AM140" s="11">
        <v>44784</v>
      </c>
      <c r="AN140" t="s">
        <v>150</v>
      </c>
      <c r="AO140" t="s">
        <v>65</v>
      </c>
      <c r="AP140">
        <v>1205</v>
      </c>
      <c r="AQ140" t="s">
        <v>66</v>
      </c>
      <c r="AR140">
        <v>253820</v>
      </c>
      <c r="AU140" t="s">
        <v>57</v>
      </c>
      <c r="AV140" t="s">
        <v>68</v>
      </c>
      <c r="AX140" t="s">
        <v>57</v>
      </c>
      <c r="AY140">
        <v>631180</v>
      </c>
      <c r="AZ140">
        <v>1205.6311800000001</v>
      </c>
      <c r="BA140" s="23" t="s">
        <v>6</v>
      </c>
    </row>
    <row r="141" spans="1:53" x14ac:dyDescent="0.25">
      <c r="A141" t="s">
        <v>134</v>
      </c>
      <c r="B141" t="s">
        <v>135</v>
      </c>
      <c r="C141">
        <v>22002331</v>
      </c>
      <c r="D141">
        <v>1205</v>
      </c>
      <c r="E141" s="11">
        <v>44784</v>
      </c>
      <c r="F141" t="s">
        <v>153</v>
      </c>
      <c r="G141">
        <v>44.9</v>
      </c>
      <c r="H141">
        <v>44.9</v>
      </c>
      <c r="I141" t="s">
        <v>56</v>
      </c>
      <c r="O141" t="s">
        <v>57</v>
      </c>
      <c r="Q141" t="s">
        <v>57</v>
      </c>
      <c r="R141" t="s">
        <v>137</v>
      </c>
      <c r="T141" t="s">
        <v>59</v>
      </c>
      <c r="U141" t="s">
        <v>60</v>
      </c>
      <c r="V141" t="s">
        <v>138</v>
      </c>
      <c r="W141" t="s">
        <v>139</v>
      </c>
      <c r="X141">
        <v>1930382</v>
      </c>
      <c r="Y141" s="11">
        <v>44784</v>
      </c>
      <c r="Z141" t="s">
        <v>57</v>
      </c>
      <c r="AA141">
        <v>2</v>
      </c>
      <c r="AB141" t="s">
        <v>57</v>
      </c>
      <c r="AD141" t="s">
        <v>57</v>
      </c>
      <c r="AE141" t="s">
        <v>57</v>
      </c>
      <c r="AF141" t="s">
        <v>57</v>
      </c>
      <c r="AG141">
        <v>84</v>
      </c>
      <c r="AH141" t="s">
        <v>57</v>
      </c>
      <c r="AL141" t="s">
        <v>57</v>
      </c>
      <c r="AM141" s="11">
        <v>44784</v>
      </c>
      <c r="AN141" t="s">
        <v>150</v>
      </c>
      <c r="AO141" t="s">
        <v>65</v>
      </c>
      <c r="AP141">
        <v>1205</v>
      </c>
      <c r="AQ141" t="s">
        <v>66</v>
      </c>
      <c r="AR141">
        <v>79280</v>
      </c>
      <c r="AU141" t="s">
        <v>57</v>
      </c>
      <c r="AV141" t="s">
        <v>68</v>
      </c>
      <c r="AX141" t="s">
        <v>57</v>
      </c>
      <c r="AY141">
        <v>631180</v>
      </c>
      <c r="AZ141">
        <v>1205.6311800000001</v>
      </c>
      <c r="BA141" s="23" t="s">
        <v>6</v>
      </c>
    </row>
    <row r="142" spans="1:53" x14ac:dyDescent="0.25">
      <c r="A142" t="s">
        <v>134</v>
      </c>
      <c r="B142" t="s">
        <v>135</v>
      </c>
      <c r="C142">
        <v>22002332</v>
      </c>
      <c r="D142">
        <v>1205</v>
      </c>
      <c r="E142" s="11">
        <v>44784</v>
      </c>
      <c r="F142" t="s">
        <v>156</v>
      </c>
      <c r="G142">
        <v>1.36</v>
      </c>
      <c r="H142">
        <v>1.36</v>
      </c>
      <c r="I142" t="s">
        <v>56</v>
      </c>
      <c r="O142" t="s">
        <v>57</v>
      </c>
      <c r="Q142" t="s">
        <v>57</v>
      </c>
      <c r="R142" t="s">
        <v>137</v>
      </c>
      <c r="T142" t="s">
        <v>59</v>
      </c>
      <c r="U142" t="s">
        <v>60</v>
      </c>
      <c r="V142" t="s">
        <v>138</v>
      </c>
      <c r="W142" t="s">
        <v>139</v>
      </c>
      <c r="X142">
        <v>1930392</v>
      </c>
      <c r="Y142" s="11">
        <v>44784</v>
      </c>
      <c r="Z142" t="s">
        <v>57</v>
      </c>
      <c r="AA142">
        <v>2</v>
      </c>
      <c r="AB142" t="s">
        <v>57</v>
      </c>
      <c r="AD142" t="s">
        <v>57</v>
      </c>
      <c r="AE142" t="s">
        <v>57</v>
      </c>
      <c r="AF142" t="s">
        <v>57</v>
      </c>
      <c r="AG142">
        <v>4</v>
      </c>
      <c r="AH142" t="s">
        <v>57</v>
      </c>
      <c r="AL142" t="s">
        <v>57</v>
      </c>
      <c r="AM142" s="11">
        <v>44784</v>
      </c>
      <c r="AN142" t="s">
        <v>150</v>
      </c>
      <c r="AO142" t="s">
        <v>65</v>
      </c>
      <c r="AP142">
        <v>1205</v>
      </c>
      <c r="AQ142" t="s">
        <v>66</v>
      </c>
      <c r="AR142">
        <v>76741</v>
      </c>
      <c r="AU142" t="s">
        <v>57</v>
      </c>
      <c r="AV142" t="s">
        <v>68</v>
      </c>
      <c r="AX142" t="s">
        <v>57</v>
      </c>
      <c r="AY142">
        <v>631180</v>
      </c>
      <c r="AZ142">
        <v>1205.6311800000001</v>
      </c>
      <c r="BA142" s="23" t="s">
        <v>6</v>
      </c>
    </row>
    <row r="143" spans="1:53" x14ac:dyDescent="0.25">
      <c r="A143" t="s">
        <v>134</v>
      </c>
      <c r="B143" t="s">
        <v>135</v>
      </c>
      <c r="C143">
        <v>22002333</v>
      </c>
      <c r="D143">
        <v>1205</v>
      </c>
      <c r="E143" s="11">
        <v>44784</v>
      </c>
      <c r="F143" t="s">
        <v>153</v>
      </c>
      <c r="G143">
        <v>1.6</v>
      </c>
      <c r="H143">
        <v>1.6</v>
      </c>
      <c r="I143" t="s">
        <v>56</v>
      </c>
      <c r="O143" t="s">
        <v>57</v>
      </c>
      <c r="Q143" t="s">
        <v>57</v>
      </c>
      <c r="R143" t="s">
        <v>137</v>
      </c>
      <c r="T143" t="s">
        <v>59</v>
      </c>
      <c r="U143" t="s">
        <v>60</v>
      </c>
      <c r="V143" t="s">
        <v>138</v>
      </c>
      <c r="W143" t="s">
        <v>139</v>
      </c>
      <c r="X143">
        <v>1930392</v>
      </c>
      <c r="Y143" s="11">
        <v>44784</v>
      </c>
      <c r="Z143" t="s">
        <v>57</v>
      </c>
      <c r="AA143">
        <v>2</v>
      </c>
      <c r="AB143" t="s">
        <v>57</v>
      </c>
      <c r="AD143" t="s">
        <v>57</v>
      </c>
      <c r="AE143" t="s">
        <v>57</v>
      </c>
      <c r="AF143" t="s">
        <v>57</v>
      </c>
      <c r="AG143">
        <v>3</v>
      </c>
      <c r="AH143" t="s">
        <v>57</v>
      </c>
      <c r="AL143" t="s">
        <v>57</v>
      </c>
      <c r="AM143" s="11">
        <v>44784</v>
      </c>
      <c r="AN143" t="s">
        <v>150</v>
      </c>
      <c r="AO143" t="s">
        <v>65</v>
      </c>
      <c r="AP143">
        <v>1205</v>
      </c>
      <c r="AQ143" t="s">
        <v>66</v>
      </c>
      <c r="AR143">
        <v>79280</v>
      </c>
      <c r="AU143" t="s">
        <v>57</v>
      </c>
      <c r="AV143" t="s">
        <v>68</v>
      </c>
      <c r="AX143" t="s">
        <v>57</v>
      </c>
      <c r="AY143">
        <v>631180</v>
      </c>
      <c r="AZ143">
        <v>1205.6311800000001</v>
      </c>
      <c r="BA143" s="23" t="s">
        <v>6</v>
      </c>
    </row>
    <row r="144" spans="1:53" x14ac:dyDescent="0.25">
      <c r="A144" t="s">
        <v>134</v>
      </c>
      <c r="B144" t="s">
        <v>135</v>
      </c>
      <c r="C144">
        <v>22002334</v>
      </c>
      <c r="D144">
        <v>1205</v>
      </c>
      <c r="E144" s="11">
        <v>44784</v>
      </c>
      <c r="F144" t="s">
        <v>153</v>
      </c>
      <c r="G144">
        <v>2.62</v>
      </c>
      <c r="H144">
        <v>2.62</v>
      </c>
      <c r="I144" t="s">
        <v>56</v>
      </c>
      <c r="O144" t="s">
        <v>57</v>
      </c>
      <c r="Q144" t="s">
        <v>57</v>
      </c>
      <c r="R144" t="s">
        <v>137</v>
      </c>
      <c r="T144" t="s">
        <v>59</v>
      </c>
      <c r="U144" t="s">
        <v>60</v>
      </c>
      <c r="V144" t="s">
        <v>138</v>
      </c>
      <c r="W144" t="s">
        <v>139</v>
      </c>
      <c r="X144">
        <v>1930394</v>
      </c>
      <c r="Y144" s="11">
        <v>44784</v>
      </c>
      <c r="Z144" t="s">
        <v>57</v>
      </c>
      <c r="AA144">
        <v>4</v>
      </c>
      <c r="AB144" t="s">
        <v>57</v>
      </c>
      <c r="AD144" t="s">
        <v>57</v>
      </c>
      <c r="AE144" t="s">
        <v>57</v>
      </c>
      <c r="AF144" t="s">
        <v>57</v>
      </c>
      <c r="AG144">
        <v>5</v>
      </c>
      <c r="AH144" t="s">
        <v>57</v>
      </c>
      <c r="AL144" t="s">
        <v>57</v>
      </c>
      <c r="AM144" s="11">
        <v>44784</v>
      </c>
      <c r="AN144" t="s">
        <v>150</v>
      </c>
      <c r="AO144" t="s">
        <v>65</v>
      </c>
      <c r="AP144">
        <v>1205</v>
      </c>
      <c r="AQ144" t="s">
        <v>66</v>
      </c>
      <c r="AR144">
        <v>79280</v>
      </c>
      <c r="AU144" t="s">
        <v>57</v>
      </c>
      <c r="AV144" t="s">
        <v>68</v>
      </c>
      <c r="AX144" t="s">
        <v>57</v>
      </c>
      <c r="AY144">
        <v>631180</v>
      </c>
      <c r="AZ144">
        <v>1205.6311800000001</v>
      </c>
      <c r="BA144" s="23" t="s">
        <v>6</v>
      </c>
    </row>
    <row r="145" spans="1:53" x14ac:dyDescent="0.25">
      <c r="A145" t="s">
        <v>134</v>
      </c>
      <c r="B145" t="s">
        <v>135</v>
      </c>
      <c r="C145">
        <v>22002334</v>
      </c>
      <c r="D145">
        <v>1205</v>
      </c>
      <c r="E145" s="11">
        <v>44784</v>
      </c>
      <c r="F145" t="s">
        <v>153</v>
      </c>
      <c r="G145">
        <v>0.53</v>
      </c>
      <c r="H145">
        <v>0.53</v>
      </c>
      <c r="I145" t="s">
        <v>56</v>
      </c>
      <c r="O145" t="s">
        <v>57</v>
      </c>
      <c r="Q145" t="s">
        <v>57</v>
      </c>
      <c r="R145" t="s">
        <v>137</v>
      </c>
      <c r="T145" t="s">
        <v>59</v>
      </c>
      <c r="U145" t="s">
        <v>60</v>
      </c>
      <c r="V145" t="s">
        <v>138</v>
      </c>
      <c r="W145" t="s">
        <v>139</v>
      </c>
      <c r="X145">
        <v>1930394</v>
      </c>
      <c r="Y145" s="11">
        <v>44784</v>
      </c>
      <c r="Z145" t="s">
        <v>57</v>
      </c>
      <c r="AA145">
        <v>2</v>
      </c>
      <c r="AB145" t="s">
        <v>57</v>
      </c>
      <c r="AD145" t="s">
        <v>57</v>
      </c>
      <c r="AE145" t="s">
        <v>57</v>
      </c>
      <c r="AF145" t="s">
        <v>57</v>
      </c>
      <c r="AG145">
        <v>1</v>
      </c>
      <c r="AH145" t="s">
        <v>57</v>
      </c>
      <c r="AL145" t="s">
        <v>57</v>
      </c>
      <c r="AM145" s="11">
        <v>44784</v>
      </c>
      <c r="AN145" t="s">
        <v>150</v>
      </c>
      <c r="AO145" t="s">
        <v>65</v>
      </c>
      <c r="AP145">
        <v>1205</v>
      </c>
      <c r="AQ145" t="s">
        <v>66</v>
      </c>
      <c r="AR145">
        <v>79280</v>
      </c>
      <c r="AU145" t="s">
        <v>57</v>
      </c>
      <c r="AV145" t="s">
        <v>68</v>
      </c>
      <c r="AX145" t="s">
        <v>57</v>
      </c>
      <c r="AY145">
        <v>631180</v>
      </c>
      <c r="AZ145">
        <v>1205.6311800000001</v>
      </c>
      <c r="BA145" s="23" t="s">
        <v>6</v>
      </c>
    </row>
    <row r="146" spans="1:53" x14ac:dyDescent="0.25">
      <c r="A146" t="s">
        <v>134</v>
      </c>
      <c r="B146" t="s">
        <v>135</v>
      </c>
      <c r="C146">
        <v>22002335</v>
      </c>
      <c r="D146">
        <v>1205</v>
      </c>
      <c r="E146" s="11">
        <v>44784</v>
      </c>
      <c r="F146" t="s">
        <v>155</v>
      </c>
      <c r="G146">
        <v>4.59</v>
      </c>
      <c r="H146">
        <v>4.59</v>
      </c>
      <c r="I146" t="s">
        <v>56</v>
      </c>
      <c r="O146" t="s">
        <v>57</v>
      </c>
      <c r="Q146" t="s">
        <v>57</v>
      </c>
      <c r="R146" t="s">
        <v>137</v>
      </c>
      <c r="T146" t="s">
        <v>59</v>
      </c>
      <c r="U146" t="s">
        <v>60</v>
      </c>
      <c r="V146" t="s">
        <v>138</v>
      </c>
      <c r="W146" t="s">
        <v>139</v>
      </c>
      <c r="X146">
        <v>1930394</v>
      </c>
      <c r="Y146" s="11">
        <v>44784</v>
      </c>
      <c r="Z146" t="s">
        <v>57</v>
      </c>
      <c r="AA146">
        <v>2</v>
      </c>
      <c r="AB146" t="s">
        <v>57</v>
      </c>
      <c r="AD146" t="s">
        <v>57</v>
      </c>
      <c r="AE146" t="s">
        <v>57</v>
      </c>
      <c r="AF146" t="s">
        <v>57</v>
      </c>
      <c r="AG146">
        <v>24</v>
      </c>
      <c r="AH146" t="s">
        <v>57</v>
      </c>
      <c r="AL146" t="s">
        <v>57</v>
      </c>
      <c r="AM146" s="11">
        <v>44784</v>
      </c>
      <c r="AN146" t="s">
        <v>150</v>
      </c>
      <c r="AO146" t="s">
        <v>65</v>
      </c>
      <c r="AP146">
        <v>1205</v>
      </c>
      <c r="AQ146" t="s">
        <v>66</v>
      </c>
      <c r="AR146">
        <v>79248</v>
      </c>
      <c r="AU146" t="s">
        <v>57</v>
      </c>
      <c r="AV146" t="s">
        <v>68</v>
      </c>
      <c r="AX146" t="s">
        <v>57</v>
      </c>
      <c r="AY146">
        <v>631180</v>
      </c>
      <c r="AZ146">
        <v>1205.6311800000001</v>
      </c>
      <c r="BA146" s="23" t="s">
        <v>6</v>
      </c>
    </row>
    <row r="147" spans="1:53" x14ac:dyDescent="0.25">
      <c r="A147" t="s">
        <v>134</v>
      </c>
      <c r="B147" t="s">
        <v>135</v>
      </c>
      <c r="C147">
        <v>22002336</v>
      </c>
      <c r="D147">
        <v>1205</v>
      </c>
      <c r="E147" s="11">
        <v>44784</v>
      </c>
      <c r="F147" t="s">
        <v>156</v>
      </c>
      <c r="G147">
        <v>5.43</v>
      </c>
      <c r="H147">
        <v>5.43</v>
      </c>
      <c r="I147" t="s">
        <v>56</v>
      </c>
      <c r="O147" t="s">
        <v>57</v>
      </c>
      <c r="Q147" t="s">
        <v>57</v>
      </c>
      <c r="R147" t="s">
        <v>137</v>
      </c>
      <c r="T147" t="s">
        <v>59</v>
      </c>
      <c r="U147" t="s">
        <v>60</v>
      </c>
      <c r="V147" t="s">
        <v>138</v>
      </c>
      <c r="W147" t="s">
        <v>139</v>
      </c>
      <c r="X147">
        <v>1930394</v>
      </c>
      <c r="Y147" s="11">
        <v>44784</v>
      </c>
      <c r="Z147" t="s">
        <v>57</v>
      </c>
      <c r="AA147">
        <v>2</v>
      </c>
      <c r="AB147" t="s">
        <v>57</v>
      </c>
      <c r="AD147" t="s">
        <v>57</v>
      </c>
      <c r="AE147" t="s">
        <v>57</v>
      </c>
      <c r="AF147" t="s">
        <v>57</v>
      </c>
      <c r="AG147">
        <v>16</v>
      </c>
      <c r="AH147" t="s">
        <v>57</v>
      </c>
      <c r="AL147" t="s">
        <v>57</v>
      </c>
      <c r="AM147" s="11">
        <v>44784</v>
      </c>
      <c r="AN147" t="s">
        <v>150</v>
      </c>
      <c r="AO147" t="s">
        <v>65</v>
      </c>
      <c r="AP147">
        <v>1205</v>
      </c>
      <c r="AQ147" t="s">
        <v>66</v>
      </c>
      <c r="AR147">
        <v>76741</v>
      </c>
      <c r="AU147" t="s">
        <v>57</v>
      </c>
      <c r="AV147" t="s">
        <v>68</v>
      </c>
      <c r="AX147" t="s">
        <v>57</v>
      </c>
      <c r="AY147">
        <v>631180</v>
      </c>
      <c r="AZ147">
        <v>1205.6311800000001</v>
      </c>
      <c r="BA147" s="23" t="s">
        <v>6</v>
      </c>
    </row>
    <row r="148" spans="1:53" x14ac:dyDescent="0.25">
      <c r="A148" t="s">
        <v>134</v>
      </c>
      <c r="B148" t="s">
        <v>135</v>
      </c>
      <c r="C148">
        <v>22002337</v>
      </c>
      <c r="D148">
        <v>1205</v>
      </c>
      <c r="E148" s="11">
        <v>44784</v>
      </c>
      <c r="F148" t="s">
        <v>283</v>
      </c>
      <c r="G148">
        <v>9.66</v>
      </c>
      <c r="H148">
        <v>9.66</v>
      </c>
      <c r="I148" t="s">
        <v>56</v>
      </c>
      <c r="O148" t="s">
        <v>57</v>
      </c>
      <c r="Q148" t="s">
        <v>57</v>
      </c>
      <c r="R148" t="s">
        <v>137</v>
      </c>
      <c r="T148" t="s">
        <v>59</v>
      </c>
      <c r="U148" t="s">
        <v>60</v>
      </c>
      <c r="V148" t="s">
        <v>138</v>
      </c>
      <c r="W148" t="s">
        <v>139</v>
      </c>
      <c r="X148">
        <v>1930406</v>
      </c>
      <c r="Y148" s="11">
        <v>44784</v>
      </c>
      <c r="Z148" t="s">
        <v>57</v>
      </c>
      <c r="AA148">
        <v>2</v>
      </c>
      <c r="AB148" t="s">
        <v>57</v>
      </c>
      <c r="AD148" t="s">
        <v>57</v>
      </c>
      <c r="AE148" t="s">
        <v>57</v>
      </c>
      <c r="AF148" t="s">
        <v>57</v>
      </c>
      <c r="AG148">
        <v>72</v>
      </c>
      <c r="AH148" t="s">
        <v>57</v>
      </c>
      <c r="AL148" t="s">
        <v>57</v>
      </c>
      <c r="AM148" s="11">
        <v>44784</v>
      </c>
      <c r="AN148" t="s">
        <v>150</v>
      </c>
      <c r="AO148" t="s">
        <v>65</v>
      </c>
      <c r="AP148">
        <v>1205</v>
      </c>
      <c r="AQ148" t="s">
        <v>66</v>
      </c>
      <c r="AR148">
        <v>88349</v>
      </c>
      <c r="AU148" t="s">
        <v>57</v>
      </c>
      <c r="AV148" t="s">
        <v>68</v>
      </c>
      <c r="AX148" t="s">
        <v>57</v>
      </c>
      <c r="AY148">
        <v>631180</v>
      </c>
      <c r="AZ148">
        <v>1205.6311800000001</v>
      </c>
      <c r="BA148" s="23" t="s">
        <v>6</v>
      </c>
    </row>
    <row r="149" spans="1:53" x14ac:dyDescent="0.25">
      <c r="A149" t="s">
        <v>134</v>
      </c>
      <c r="B149" t="s">
        <v>135</v>
      </c>
      <c r="C149">
        <v>22002340</v>
      </c>
      <c r="D149">
        <v>1205</v>
      </c>
      <c r="E149" s="11">
        <v>44785</v>
      </c>
      <c r="F149" t="s">
        <v>282</v>
      </c>
      <c r="G149">
        <v>81.16</v>
      </c>
      <c r="H149">
        <v>81.16</v>
      </c>
      <c r="I149" t="s">
        <v>56</v>
      </c>
      <c r="O149" t="s">
        <v>57</v>
      </c>
      <c r="Q149" t="s">
        <v>57</v>
      </c>
      <c r="R149" t="s">
        <v>137</v>
      </c>
      <c r="T149" t="s">
        <v>59</v>
      </c>
      <c r="U149" t="s">
        <v>60</v>
      </c>
      <c r="V149" t="s">
        <v>138</v>
      </c>
      <c r="W149" t="s">
        <v>139</v>
      </c>
      <c r="X149">
        <v>1930648</v>
      </c>
      <c r="Y149" s="11">
        <v>44785</v>
      </c>
      <c r="Z149" t="s">
        <v>57</v>
      </c>
      <c r="AA149">
        <v>2</v>
      </c>
      <c r="AB149" t="s">
        <v>57</v>
      </c>
      <c r="AD149" t="s">
        <v>57</v>
      </c>
      <c r="AE149" t="s">
        <v>57</v>
      </c>
      <c r="AF149" t="s">
        <v>57</v>
      </c>
      <c r="AG149">
        <v>134</v>
      </c>
      <c r="AH149" t="s">
        <v>57</v>
      </c>
      <c r="AL149" t="s">
        <v>57</v>
      </c>
      <c r="AM149" s="11">
        <v>44785</v>
      </c>
      <c r="AN149" t="s">
        <v>150</v>
      </c>
      <c r="AO149" t="s">
        <v>65</v>
      </c>
      <c r="AP149">
        <v>1205</v>
      </c>
      <c r="AQ149" t="s">
        <v>66</v>
      </c>
      <c r="AR149">
        <v>220249</v>
      </c>
      <c r="AU149" t="s">
        <v>57</v>
      </c>
      <c r="AV149" t="s">
        <v>68</v>
      </c>
      <c r="AX149" t="s">
        <v>57</v>
      </c>
      <c r="AY149">
        <v>631180</v>
      </c>
      <c r="AZ149">
        <v>1205.6311800000001</v>
      </c>
      <c r="BA149" s="23" t="s">
        <v>6</v>
      </c>
    </row>
    <row r="150" spans="1:53" x14ac:dyDescent="0.25">
      <c r="A150" t="s">
        <v>134</v>
      </c>
      <c r="B150" t="s">
        <v>135</v>
      </c>
      <c r="C150">
        <v>22002340</v>
      </c>
      <c r="D150">
        <v>1205</v>
      </c>
      <c r="E150" s="11">
        <v>44785</v>
      </c>
      <c r="F150" t="s">
        <v>282</v>
      </c>
      <c r="G150">
        <v>54.51</v>
      </c>
      <c r="H150">
        <v>54.51</v>
      </c>
      <c r="I150" t="s">
        <v>56</v>
      </c>
      <c r="O150" t="s">
        <v>57</v>
      </c>
      <c r="Q150" t="s">
        <v>57</v>
      </c>
      <c r="R150" t="s">
        <v>137</v>
      </c>
      <c r="T150" t="s">
        <v>59</v>
      </c>
      <c r="U150" t="s">
        <v>60</v>
      </c>
      <c r="V150" t="s">
        <v>138</v>
      </c>
      <c r="W150" t="s">
        <v>139</v>
      </c>
      <c r="X150">
        <v>1930648</v>
      </c>
      <c r="Y150" s="11">
        <v>44785</v>
      </c>
      <c r="Z150" t="s">
        <v>57</v>
      </c>
      <c r="AA150">
        <v>4</v>
      </c>
      <c r="AB150" t="s">
        <v>57</v>
      </c>
      <c r="AD150" t="s">
        <v>57</v>
      </c>
      <c r="AE150" t="s">
        <v>57</v>
      </c>
      <c r="AF150" t="s">
        <v>57</v>
      </c>
      <c r="AG150">
        <v>90</v>
      </c>
      <c r="AH150" t="s">
        <v>57</v>
      </c>
      <c r="AL150" t="s">
        <v>57</v>
      </c>
      <c r="AM150" s="11">
        <v>44785</v>
      </c>
      <c r="AN150" t="s">
        <v>150</v>
      </c>
      <c r="AO150" t="s">
        <v>65</v>
      </c>
      <c r="AP150">
        <v>1205</v>
      </c>
      <c r="AQ150" t="s">
        <v>66</v>
      </c>
      <c r="AR150">
        <v>220249</v>
      </c>
      <c r="AU150" t="s">
        <v>57</v>
      </c>
      <c r="AV150" t="s">
        <v>68</v>
      </c>
      <c r="AX150" t="s">
        <v>57</v>
      </c>
      <c r="AY150">
        <v>631180</v>
      </c>
      <c r="AZ150">
        <v>1205.6311800000001</v>
      </c>
      <c r="BA150" s="23" t="s">
        <v>6</v>
      </c>
    </row>
    <row r="151" spans="1:53" x14ac:dyDescent="0.25">
      <c r="A151" t="s">
        <v>134</v>
      </c>
      <c r="B151" t="s">
        <v>135</v>
      </c>
      <c r="C151">
        <v>22002362</v>
      </c>
      <c r="D151">
        <v>1205</v>
      </c>
      <c r="E151" s="11">
        <v>44791</v>
      </c>
      <c r="F151" t="s">
        <v>156</v>
      </c>
      <c r="G151">
        <v>2.71</v>
      </c>
      <c r="H151">
        <v>2.71</v>
      </c>
      <c r="I151" t="s">
        <v>56</v>
      </c>
      <c r="O151" t="s">
        <v>57</v>
      </c>
      <c r="Q151" t="s">
        <v>57</v>
      </c>
      <c r="R151" t="s">
        <v>137</v>
      </c>
      <c r="T151" t="s">
        <v>59</v>
      </c>
      <c r="U151" t="s">
        <v>60</v>
      </c>
      <c r="V151" t="s">
        <v>138</v>
      </c>
      <c r="W151" t="s">
        <v>139</v>
      </c>
      <c r="X151">
        <v>1933461</v>
      </c>
      <c r="Y151" s="11">
        <v>44791</v>
      </c>
      <c r="Z151" t="s">
        <v>57</v>
      </c>
      <c r="AA151">
        <v>2</v>
      </c>
      <c r="AB151" t="s">
        <v>57</v>
      </c>
      <c r="AD151" t="s">
        <v>57</v>
      </c>
      <c r="AE151" t="s">
        <v>57</v>
      </c>
      <c r="AF151" t="s">
        <v>57</v>
      </c>
      <c r="AG151">
        <v>8</v>
      </c>
      <c r="AH151" t="s">
        <v>57</v>
      </c>
      <c r="AL151" t="s">
        <v>57</v>
      </c>
      <c r="AM151" s="11">
        <v>44791</v>
      </c>
      <c r="AN151" t="s">
        <v>150</v>
      </c>
      <c r="AO151" t="s">
        <v>65</v>
      </c>
      <c r="AP151">
        <v>1205</v>
      </c>
      <c r="AQ151" t="s">
        <v>66</v>
      </c>
      <c r="AR151">
        <v>76741</v>
      </c>
      <c r="AU151" t="s">
        <v>57</v>
      </c>
      <c r="AV151" t="s">
        <v>68</v>
      </c>
      <c r="AX151" t="s">
        <v>57</v>
      </c>
      <c r="AY151">
        <v>631180</v>
      </c>
      <c r="AZ151">
        <v>1205.6311800000001</v>
      </c>
      <c r="BA151" s="23" t="s">
        <v>6</v>
      </c>
    </row>
    <row r="152" spans="1:53" x14ac:dyDescent="0.25">
      <c r="A152" t="s">
        <v>134</v>
      </c>
      <c r="B152" t="s">
        <v>135</v>
      </c>
      <c r="C152">
        <v>22002363</v>
      </c>
      <c r="D152">
        <v>1205</v>
      </c>
      <c r="E152" s="11">
        <v>44791</v>
      </c>
      <c r="F152" t="s">
        <v>155</v>
      </c>
      <c r="G152">
        <v>0.96</v>
      </c>
      <c r="H152">
        <v>0.96</v>
      </c>
      <c r="I152" t="s">
        <v>56</v>
      </c>
      <c r="O152" t="s">
        <v>57</v>
      </c>
      <c r="Q152" t="s">
        <v>57</v>
      </c>
      <c r="R152" t="s">
        <v>137</v>
      </c>
      <c r="T152" t="s">
        <v>59</v>
      </c>
      <c r="U152" t="s">
        <v>60</v>
      </c>
      <c r="V152" t="s">
        <v>138</v>
      </c>
      <c r="W152" t="s">
        <v>139</v>
      </c>
      <c r="X152">
        <v>1933461</v>
      </c>
      <c r="Y152" s="11">
        <v>44791</v>
      </c>
      <c r="Z152" t="s">
        <v>57</v>
      </c>
      <c r="AA152">
        <v>2</v>
      </c>
      <c r="AB152" t="s">
        <v>57</v>
      </c>
      <c r="AD152" t="s">
        <v>57</v>
      </c>
      <c r="AE152" t="s">
        <v>57</v>
      </c>
      <c r="AF152" t="s">
        <v>57</v>
      </c>
      <c r="AG152">
        <v>5</v>
      </c>
      <c r="AH152" t="s">
        <v>57</v>
      </c>
      <c r="AL152" t="s">
        <v>57</v>
      </c>
      <c r="AM152" s="11">
        <v>44791</v>
      </c>
      <c r="AN152" t="s">
        <v>150</v>
      </c>
      <c r="AO152" t="s">
        <v>65</v>
      </c>
      <c r="AP152">
        <v>1205</v>
      </c>
      <c r="AQ152" t="s">
        <v>66</v>
      </c>
      <c r="AR152">
        <v>79248</v>
      </c>
      <c r="AU152" t="s">
        <v>57</v>
      </c>
      <c r="AV152" t="s">
        <v>68</v>
      </c>
      <c r="AX152" t="s">
        <v>57</v>
      </c>
      <c r="AY152">
        <v>631180</v>
      </c>
      <c r="AZ152">
        <v>1205.6311800000001</v>
      </c>
      <c r="BA152" s="23" t="s">
        <v>6</v>
      </c>
    </row>
    <row r="153" spans="1:53" x14ac:dyDescent="0.25">
      <c r="A153" t="s">
        <v>134</v>
      </c>
      <c r="B153" t="s">
        <v>135</v>
      </c>
      <c r="C153">
        <v>22002364</v>
      </c>
      <c r="D153">
        <v>1205</v>
      </c>
      <c r="E153" s="11">
        <v>44791</v>
      </c>
      <c r="F153" t="s">
        <v>154</v>
      </c>
      <c r="G153">
        <v>0.48</v>
      </c>
      <c r="H153">
        <v>0.48</v>
      </c>
      <c r="I153" t="s">
        <v>56</v>
      </c>
      <c r="O153" t="s">
        <v>57</v>
      </c>
      <c r="Q153" t="s">
        <v>57</v>
      </c>
      <c r="R153" t="s">
        <v>137</v>
      </c>
      <c r="T153" t="s">
        <v>59</v>
      </c>
      <c r="U153" t="s">
        <v>60</v>
      </c>
      <c r="V153" t="s">
        <v>138</v>
      </c>
      <c r="W153" t="s">
        <v>139</v>
      </c>
      <c r="X153">
        <v>1933461</v>
      </c>
      <c r="Y153" s="11">
        <v>44791</v>
      </c>
      <c r="Z153" t="s">
        <v>57</v>
      </c>
      <c r="AA153">
        <v>2</v>
      </c>
      <c r="AB153" t="s">
        <v>57</v>
      </c>
      <c r="AD153" t="s">
        <v>57</v>
      </c>
      <c r="AE153" t="s">
        <v>57</v>
      </c>
      <c r="AF153" t="s">
        <v>57</v>
      </c>
      <c r="AG153">
        <v>5</v>
      </c>
      <c r="AH153" t="s">
        <v>57</v>
      </c>
      <c r="AL153" t="s">
        <v>57</v>
      </c>
      <c r="AM153" s="11">
        <v>44791</v>
      </c>
      <c r="AN153" t="s">
        <v>150</v>
      </c>
      <c r="AO153" t="s">
        <v>65</v>
      </c>
      <c r="AP153">
        <v>1205</v>
      </c>
      <c r="AQ153" t="s">
        <v>66</v>
      </c>
      <c r="AR153">
        <v>79282</v>
      </c>
      <c r="AU153" t="s">
        <v>57</v>
      </c>
      <c r="AV153" t="s">
        <v>68</v>
      </c>
      <c r="AX153" t="s">
        <v>57</v>
      </c>
      <c r="AY153">
        <v>631180</v>
      </c>
      <c r="AZ153">
        <v>1205.6311800000001</v>
      </c>
      <c r="BA153" s="23" t="s">
        <v>6</v>
      </c>
    </row>
    <row r="154" spans="1:53" x14ac:dyDescent="0.25">
      <c r="A154" t="s">
        <v>134</v>
      </c>
      <c r="B154" t="s">
        <v>135</v>
      </c>
      <c r="C154">
        <v>22002365</v>
      </c>
      <c r="D154">
        <v>1205</v>
      </c>
      <c r="E154" s="11">
        <v>44791</v>
      </c>
      <c r="F154" t="s">
        <v>153</v>
      </c>
      <c r="G154">
        <v>2.62</v>
      </c>
      <c r="H154">
        <v>2.62</v>
      </c>
      <c r="I154" t="s">
        <v>56</v>
      </c>
      <c r="O154" t="s">
        <v>57</v>
      </c>
      <c r="Q154" t="s">
        <v>57</v>
      </c>
      <c r="R154" t="s">
        <v>137</v>
      </c>
      <c r="T154" t="s">
        <v>59</v>
      </c>
      <c r="U154" t="s">
        <v>60</v>
      </c>
      <c r="V154" t="s">
        <v>138</v>
      </c>
      <c r="W154" t="s">
        <v>139</v>
      </c>
      <c r="X154">
        <v>1933461</v>
      </c>
      <c r="Y154" s="11">
        <v>44791</v>
      </c>
      <c r="Z154" t="s">
        <v>57</v>
      </c>
      <c r="AA154">
        <v>2</v>
      </c>
      <c r="AB154" t="s">
        <v>57</v>
      </c>
      <c r="AD154" t="s">
        <v>57</v>
      </c>
      <c r="AE154" t="s">
        <v>57</v>
      </c>
      <c r="AF154" t="s">
        <v>57</v>
      </c>
      <c r="AG154">
        <v>5</v>
      </c>
      <c r="AH154" t="s">
        <v>57</v>
      </c>
      <c r="AL154" t="s">
        <v>57</v>
      </c>
      <c r="AM154" s="11">
        <v>44791</v>
      </c>
      <c r="AN154" t="s">
        <v>150</v>
      </c>
      <c r="AO154" t="s">
        <v>65</v>
      </c>
      <c r="AP154">
        <v>1205</v>
      </c>
      <c r="AQ154" t="s">
        <v>66</v>
      </c>
      <c r="AR154">
        <v>79280</v>
      </c>
      <c r="AU154" t="s">
        <v>57</v>
      </c>
      <c r="AV154" t="s">
        <v>68</v>
      </c>
      <c r="AX154" t="s">
        <v>57</v>
      </c>
      <c r="AY154">
        <v>631180</v>
      </c>
      <c r="AZ154">
        <v>1205.6311800000001</v>
      </c>
      <c r="BA154" s="23" t="s">
        <v>6</v>
      </c>
    </row>
    <row r="155" spans="1:53" x14ac:dyDescent="0.25">
      <c r="A155" t="s">
        <v>134</v>
      </c>
      <c r="B155" t="s">
        <v>135</v>
      </c>
      <c r="C155">
        <v>22002482</v>
      </c>
      <c r="D155">
        <v>1206</v>
      </c>
      <c r="E155" s="11">
        <v>44774</v>
      </c>
      <c r="F155" t="s">
        <v>157</v>
      </c>
      <c r="G155">
        <v>2.79</v>
      </c>
      <c r="H155">
        <v>2.79</v>
      </c>
      <c r="I155" t="s">
        <v>56</v>
      </c>
      <c r="O155" t="s">
        <v>57</v>
      </c>
      <c r="Q155" t="s">
        <v>57</v>
      </c>
      <c r="R155" t="s">
        <v>137</v>
      </c>
      <c r="T155" t="s">
        <v>59</v>
      </c>
      <c r="U155" t="s">
        <v>60</v>
      </c>
      <c r="V155" t="s">
        <v>138</v>
      </c>
      <c r="W155" t="s">
        <v>139</v>
      </c>
      <c r="X155">
        <v>1925385</v>
      </c>
      <c r="Y155" s="11">
        <v>44774</v>
      </c>
      <c r="Z155" t="s">
        <v>57</v>
      </c>
      <c r="AA155">
        <v>2</v>
      </c>
      <c r="AB155" t="s">
        <v>57</v>
      </c>
      <c r="AD155" t="s">
        <v>57</v>
      </c>
      <c r="AE155" t="s">
        <v>57</v>
      </c>
      <c r="AF155" t="s">
        <v>57</v>
      </c>
      <c r="AG155">
        <v>2</v>
      </c>
      <c r="AH155" t="s">
        <v>57</v>
      </c>
      <c r="AL155" t="s">
        <v>57</v>
      </c>
      <c r="AM155" s="11">
        <v>44774</v>
      </c>
      <c r="AN155" t="s">
        <v>158</v>
      </c>
      <c r="AO155" t="s">
        <v>65</v>
      </c>
      <c r="AP155">
        <v>1206</v>
      </c>
      <c r="AQ155" t="s">
        <v>66</v>
      </c>
      <c r="AR155">
        <v>276660</v>
      </c>
      <c r="AU155" t="s">
        <v>57</v>
      </c>
      <c r="AV155" t="s">
        <v>68</v>
      </c>
      <c r="AX155" t="s">
        <v>57</v>
      </c>
      <c r="AY155">
        <v>631180</v>
      </c>
      <c r="AZ155">
        <v>1206.6311800000001</v>
      </c>
      <c r="BA155" s="23" t="s">
        <v>7</v>
      </c>
    </row>
    <row r="156" spans="1:53" x14ac:dyDescent="0.25">
      <c r="A156" t="s">
        <v>134</v>
      </c>
      <c r="B156" t="s">
        <v>135</v>
      </c>
      <c r="C156">
        <v>22002519</v>
      </c>
      <c r="D156">
        <v>1206</v>
      </c>
      <c r="E156" s="11">
        <v>44774</v>
      </c>
      <c r="F156" t="s">
        <v>159</v>
      </c>
      <c r="G156">
        <v>52.34</v>
      </c>
      <c r="H156">
        <v>52.34</v>
      </c>
      <c r="I156" t="s">
        <v>56</v>
      </c>
      <c r="O156" t="s">
        <v>57</v>
      </c>
      <c r="Q156" t="s">
        <v>57</v>
      </c>
      <c r="R156" t="s">
        <v>137</v>
      </c>
      <c r="T156" t="s">
        <v>59</v>
      </c>
      <c r="U156" t="s">
        <v>60</v>
      </c>
      <c r="V156" t="s">
        <v>138</v>
      </c>
      <c r="W156" t="s">
        <v>139</v>
      </c>
      <c r="X156">
        <v>1928511</v>
      </c>
      <c r="Y156" s="11">
        <v>44778</v>
      </c>
      <c r="Z156" t="s">
        <v>57</v>
      </c>
      <c r="AA156">
        <v>2</v>
      </c>
      <c r="AB156" t="s">
        <v>57</v>
      </c>
      <c r="AD156" t="s">
        <v>57</v>
      </c>
      <c r="AE156" t="s">
        <v>57</v>
      </c>
      <c r="AF156" t="s">
        <v>57</v>
      </c>
      <c r="AG156">
        <v>225</v>
      </c>
      <c r="AH156" t="s">
        <v>57</v>
      </c>
      <c r="AL156" t="s">
        <v>57</v>
      </c>
      <c r="AM156" s="11">
        <v>44774</v>
      </c>
      <c r="AN156" t="s">
        <v>158</v>
      </c>
      <c r="AO156" t="s">
        <v>65</v>
      </c>
      <c r="AP156">
        <v>1206</v>
      </c>
      <c r="AQ156" t="s">
        <v>66</v>
      </c>
      <c r="AR156">
        <v>79293</v>
      </c>
      <c r="AU156" t="s">
        <v>57</v>
      </c>
      <c r="AV156" t="s">
        <v>68</v>
      </c>
      <c r="AX156" t="s">
        <v>57</v>
      </c>
      <c r="AY156">
        <v>631180</v>
      </c>
      <c r="AZ156">
        <v>1206.6311800000001</v>
      </c>
      <c r="BA156" s="23" t="s">
        <v>7</v>
      </c>
    </row>
    <row r="157" spans="1:53" x14ac:dyDescent="0.25">
      <c r="A157" t="s">
        <v>134</v>
      </c>
      <c r="B157" t="s">
        <v>135</v>
      </c>
      <c r="C157">
        <v>22002519</v>
      </c>
      <c r="D157">
        <v>1206</v>
      </c>
      <c r="E157" s="11">
        <v>44774</v>
      </c>
      <c r="F157" t="s">
        <v>159</v>
      </c>
      <c r="G157">
        <v>7.88</v>
      </c>
      <c r="H157">
        <v>7.88</v>
      </c>
      <c r="I157" t="s">
        <v>56</v>
      </c>
      <c r="O157" t="s">
        <v>57</v>
      </c>
      <c r="Q157" t="s">
        <v>57</v>
      </c>
      <c r="R157" t="s">
        <v>137</v>
      </c>
      <c r="T157" t="s">
        <v>59</v>
      </c>
      <c r="U157" t="s">
        <v>60</v>
      </c>
      <c r="V157" t="s">
        <v>138</v>
      </c>
      <c r="W157" t="s">
        <v>139</v>
      </c>
      <c r="X157">
        <v>1928511</v>
      </c>
      <c r="Y157" s="11">
        <v>44778</v>
      </c>
      <c r="Z157" t="s">
        <v>57</v>
      </c>
      <c r="AA157">
        <v>4</v>
      </c>
      <c r="AB157" t="s">
        <v>57</v>
      </c>
      <c r="AD157" t="s">
        <v>57</v>
      </c>
      <c r="AE157" t="s">
        <v>57</v>
      </c>
      <c r="AF157" t="s">
        <v>57</v>
      </c>
      <c r="AG157">
        <v>4</v>
      </c>
      <c r="AH157" t="s">
        <v>57</v>
      </c>
      <c r="AL157" t="s">
        <v>57</v>
      </c>
      <c r="AM157" s="11">
        <v>44774</v>
      </c>
      <c r="AN157" t="s">
        <v>158</v>
      </c>
      <c r="AO157" t="s">
        <v>65</v>
      </c>
      <c r="AP157">
        <v>1206</v>
      </c>
      <c r="AQ157" t="s">
        <v>66</v>
      </c>
      <c r="AR157">
        <v>79296</v>
      </c>
      <c r="AU157" t="s">
        <v>57</v>
      </c>
      <c r="AV157" t="s">
        <v>68</v>
      </c>
      <c r="AX157" t="s">
        <v>57</v>
      </c>
      <c r="AY157">
        <v>631180</v>
      </c>
      <c r="AZ157">
        <v>1206.6311800000001</v>
      </c>
      <c r="BA157" s="23" t="s">
        <v>7</v>
      </c>
    </row>
    <row r="158" spans="1:53" x14ac:dyDescent="0.25">
      <c r="A158" t="s">
        <v>134</v>
      </c>
      <c r="B158" t="s">
        <v>135</v>
      </c>
      <c r="C158">
        <v>22002519</v>
      </c>
      <c r="D158">
        <v>1206</v>
      </c>
      <c r="E158" s="11">
        <v>44774</v>
      </c>
      <c r="F158" t="s">
        <v>159</v>
      </c>
      <c r="G158">
        <v>33.44</v>
      </c>
      <c r="H158">
        <v>33.44</v>
      </c>
      <c r="I158" t="s">
        <v>56</v>
      </c>
      <c r="O158" t="s">
        <v>57</v>
      </c>
      <c r="Q158" t="s">
        <v>57</v>
      </c>
      <c r="R158" t="s">
        <v>137</v>
      </c>
      <c r="T158" t="s">
        <v>59</v>
      </c>
      <c r="U158" t="s">
        <v>60</v>
      </c>
      <c r="V158" t="s">
        <v>138</v>
      </c>
      <c r="W158" t="s">
        <v>139</v>
      </c>
      <c r="X158">
        <v>1928511</v>
      </c>
      <c r="Y158" s="11">
        <v>44778</v>
      </c>
      <c r="Z158" t="s">
        <v>57</v>
      </c>
      <c r="AA158">
        <v>6</v>
      </c>
      <c r="AB158" t="s">
        <v>57</v>
      </c>
      <c r="AD158" t="s">
        <v>57</v>
      </c>
      <c r="AE158" t="s">
        <v>57</v>
      </c>
      <c r="AF158" t="s">
        <v>57</v>
      </c>
      <c r="AG158">
        <v>42</v>
      </c>
      <c r="AH158" t="s">
        <v>57</v>
      </c>
      <c r="AL158" t="s">
        <v>57</v>
      </c>
      <c r="AM158" s="11">
        <v>44774</v>
      </c>
      <c r="AN158" t="s">
        <v>158</v>
      </c>
      <c r="AO158" t="s">
        <v>65</v>
      </c>
      <c r="AP158">
        <v>1206</v>
      </c>
      <c r="AQ158" t="s">
        <v>66</v>
      </c>
      <c r="AR158">
        <v>79303</v>
      </c>
      <c r="AU158" t="s">
        <v>57</v>
      </c>
      <c r="AV158" t="s">
        <v>68</v>
      </c>
      <c r="AX158" t="s">
        <v>57</v>
      </c>
      <c r="AY158">
        <v>631180</v>
      </c>
      <c r="AZ158">
        <v>1206.6311800000001</v>
      </c>
      <c r="BA158" s="23" t="s">
        <v>7</v>
      </c>
    </row>
    <row r="159" spans="1:53" x14ac:dyDescent="0.25">
      <c r="A159" t="s">
        <v>134</v>
      </c>
      <c r="B159" t="s">
        <v>135</v>
      </c>
      <c r="C159">
        <v>22002519</v>
      </c>
      <c r="D159">
        <v>1206</v>
      </c>
      <c r="E159" s="11">
        <v>44774</v>
      </c>
      <c r="F159" t="s">
        <v>159</v>
      </c>
      <c r="G159">
        <v>24.86</v>
      </c>
      <c r="H159">
        <v>24.86</v>
      </c>
      <c r="I159" t="s">
        <v>56</v>
      </c>
      <c r="O159" t="s">
        <v>57</v>
      </c>
      <c r="Q159" t="s">
        <v>57</v>
      </c>
      <c r="R159" t="s">
        <v>137</v>
      </c>
      <c r="T159" t="s">
        <v>59</v>
      </c>
      <c r="U159" t="s">
        <v>60</v>
      </c>
      <c r="V159" t="s">
        <v>138</v>
      </c>
      <c r="W159" t="s">
        <v>139</v>
      </c>
      <c r="X159">
        <v>1928511</v>
      </c>
      <c r="Y159" s="11">
        <v>44778</v>
      </c>
      <c r="Z159" t="s">
        <v>57</v>
      </c>
      <c r="AA159">
        <v>8</v>
      </c>
      <c r="AB159" t="s">
        <v>57</v>
      </c>
      <c r="AD159" t="s">
        <v>57</v>
      </c>
      <c r="AE159" t="s">
        <v>57</v>
      </c>
      <c r="AF159" t="s">
        <v>57</v>
      </c>
      <c r="AG159">
        <v>40</v>
      </c>
      <c r="AH159" t="s">
        <v>57</v>
      </c>
      <c r="AL159" t="s">
        <v>57</v>
      </c>
      <c r="AM159" s="11">
        <v>44774</v>
      </c>
      <c r="AN159" t="s">
        <v>158</v>
      </c>
      <c r="AO159" t="s">
        <v>65</v>
      </c>
      <c r="AP159">
        <v>1206</v>
      </c>
      <c r="AQ159" t="s">
        <v>66</v>
      </c>
      <c r="AR159">
        <v>220249</v>
      </c>
      <c r="AU159" t="s">
        <v>57</v>
      </c>
      <c r="AV159" t="s">
        <v>68</v>
      </c>
      <c r="AX159" t="s">
        <v>57</v>
      </c>
      <c r="AY159">
        <v>631180</v>
      </c>
      <c r="AZ159">
        <v>1206.6311800000001</v>
      </c>
      <c r="BA159" s="23" t="s">
        <v>7</v>
      </c>
    </row>
    <row r="160" spans="1:53" x14ac:dyDescent="0.25">
      <c r="A160" t="s">
        <v>134</v>
      </c>
      <c r="B160" t="s">
        <v>135</v>
      </c>
      <c r="C160">
        <v>22002523</v>
      </c>
      <c r="D160">
        <v>1206</v>
      </c>
      <c r="E160" s="11">
        <v>44774</v>
      </c>
      <c r="F160" t="s">
        <v>157</v>
      </c>
      <c r="G160">
        <v>2.79</v>
      </c>
      <c r="H160">
        <v>2.79</v>
      </c>
      <c r="I160" t="s">
        <v>56</v>
      </c>
      <c r="O160" t="s">
        <v>57</v>
      </c>
      <c r="Q160" t="s">
        <v>57</v>
      </c>
      <c r="R160" t="s">
        <v>137</v>
      </c>
      <c r="T160" t="s">
        <v>59</v>
      </c>
      <c r="U160" t="s">
        <v>60</v>
      </c>
      <c r="V160" t="s">
        <v>138</v>
      </c>
      <c r="W160" t="s">
        <v>139</v>
      </c>
      <c r="X160">
        <v>1928632</v>
      </c>
      <c r="Y160" s="11">
        <v>44778</v>
      </c>
      <c r="Z160" t="s">
        <v>57</v>
      </c>
      <c r="AA160">
        <v>2</v>
      </c>
      <c r="AB160" t="s">
        <v>57</v>
      </c>
      <c r="AD160" t="s">
        <v>57</v>
      </c>
      <c r="AE160" t="s">
        <v>57</v>
      </c>
      <c r="AF160" t="s">
        <v>57</v>
      </c>
      <c r="AG160">
        <v>2</v>
      </c>
      <c r="AH160" t="s">
        <v>57</v>
      </c>
      <c r="AL160" t="s">
        <v>57</v>
      </c>
      <c r="AM160" s="11">
        <v>44774</v>
      </c>
      <c r="AN160" t="s">
        <v>158</v>
      </c>
      <c r="AO160" t="s">
        <v>65</v>
      </c>
      <c r="AP160">
        <v>1206</v>
      </c>
      <c r="AQ160" t="s">
        <v>66</v>
      </c>
      <c r="AR160">
        <v>276660</v>
      </c>
      <c r="AU160" t="s">
        <v>57</v>
      </c>
      <c r="AV160" t="s">
        <v>68</v>
      </c>
      <c r="AX160" t="s">
        <v>57</v>
      </c>
      <c r="AY160">
        <v>631180</v>
      </c>
      <c r="AZ160">
        <v>1206.6311800000001</v>
      </c>
      <c r="BA160" s="23" t="s">
        <v>7</v>
      </c>
    </row>
    <row r="161" spans="1:53" x14ac:dyDescent="0.25">
      <c r="A161" t="s">
        <v>134</v>
      </c>
      <c r="B161" t="s">
        <v>135</v>
      </c>
      <c r="C161">
        <v>22002513</v>
      </c>
      <c r="D161">
        <v>1206</v>
      </c>
      <c r="E161" s="11">
        <v>44775</v>
      </c>
      <c r="F161" t="s">
        <v>160</v>
      </c>
      <c r="G161">
        <v>2.74</v>
      </c>
      <c r="H161">
        <v>2.74</v>
      </c>
      <c r="I161" t="s">
        <v>56</v>
      </c>
      <c r="O161" t="s">
        <v>57</v>
      </c>
      <c r="Q161" t="s">
        <v>57</v>
      </c>
      <c r="R161" t="s">
        <v>137</v>
      </c>
      <c r="T161" t="s">
        <v>59</v>
      </c>
      <c r="U161" t="s">
        <v>60</v>
      </c>
      <c r="V161" t="s">
        <v>138</v>
      </c>
      <c r="W161" t="s">
        <v>139</v>
      </c>
      <c r="X161">
        <v>1927655</v>
      </c>
      <c r="Y161" s="11">
        <v>44778</v>
      </c>
      <c r="Z161" t="s">
        <v>57</v>
      </c>
      <c r="AA161">
        <v>2</v>
      </c>
      <c r="AB161" t="s">
        <v>57</v>
      </c>
      <c r="AD161" t="s">
        <v>57</v>
      </c>
      <c r="AE161" t="s">
        <v>57</v>
      </c>
      <c r="AF161" t="s">
        <v>57</v>
      </c>
      <c r="AG161">
        <v>8</v>
      </c>
      <c r="AH161" t="s">
        <v>57</v>
      </c>
      <c r="AL161" t="s">
        <v>57</v>
      </c>
      <c r="AM161" s="11">
        <v>44775</v>
      </c>
      <c r="AN161" t="s">
        <v>158</v>
      </c>
      <c r="AO161" t="s">
        <v>65</v>
      </c>
      <c r="AP161">
        <v>1206</v>
      </c>
      <c r="AQ161" t="s">
        <v>66</v>
      </c>
      <c r="AR161">
        <v>76741</v>
      </c>
      <c r="AU161" t="s">
        <v>57</v>
      </c>
      <c r="AV161" t="s">
        <v>68</v>
      </c>
      <c r="AX161" t="s">
        <v>57</v>
      </c>
      <c r="AY161">
        <v>631180</v>
      </c>
      <c r="AZ161">
        <v>1206.6311800000001</v>
      </c>
      <c r="BA161" s="23" t="s">
        <v>7</v>
      </c>
    </row>
    <row r="162" spans="1:53" x14ac:dyDescent="0.25">
      <c r="A162" t="s">
        <v>134</v>
      </c>
      <c r="B162" t="s">
        <v>135</v>
      </c>
      <c r="C162">
        <v>22002514</v>
      </c>
      <c r="D162">
        <v>1206</v>
      </c>
      <c r="E162" s="11">
        <v>44775</v>
      </c>
      <c r="F162" t="s">
        <v>161</v>
      </c>
      <c r="G162">
        <v>2.67</v>
      </c>
      <c r="H162">
        <v>2.67</v>
      </c>
      <c r="I162" t="s">
        <v>56</v>
      </c>
      <c r="O162" t="s">
        <v>57</v>
      </c>
      <c r="Q162" t="s">
        <v>57</v>
      </c>
      <c r="R162" t="s">
        <v>137</v>
      </c>
      <c r="T162" t="s">
        <v>59</v>
      </c>
      <c r="U162" t="s">
        <v>60</v>
      </c>
      <c r="V162" t="s">
        <v>138</v>
      </c>
      <c r="W162" t="s">
        <v>139</v>
      </c>
      <c r="X162">
        <v>1927656</v>
      </c>
      <c r="Y162" s="11">
        <v>44778</v>
      </c>
      <c r="Z162" t="s">
        <v>57</v>
      </c>
      <c r="AA162">
        <v>2</v>
      </c>
      <c r="AB162" t="s">
        <v>57</v>
      </c>
      <c r="AD162" t="s">
        <v>57</v>
      </c>
      <c r="AE162" t="s">
        <v>57</v>
      </c>
      <c r="AF162" t="s">
        <v>57</v>
      </c>
      <c r="AG162">
        <v>14</v>
      </c>
      <c r="AH162" t="s">
        <v>57</v>
      </c>
      <c r="AL162" t="s">
        <v>57</v>
      </c>
      <c r="AM162" s="11">
        <v>44775</v>
      </c>
      <c r="AN162" t="s">
        <v>158</v>
      </c>
      <c r="AO162" t="s">
        <v>65</v>
      </c>
      <c r="AP162">
        <v>1206</v>
      </c>
      <c r="AQ162" t="s">
        <v>66</v>
      </c>
      <c r="AR162">
        <v>79248</v>
      </c>
      <c r="AU162" t="s">
        <v>57</v>
      </c>
      <c r="AV162" t="s">
        <v>68</v>
      </c>
      <c r="AX162" t="s">
        <v>57</v>
      </c>
      <c r="AY162">
        <v>631180</v>
      </c>
      <c r="AZ162">
        <v>1206.6311800000001</v>
      </c>
      <c r="BA162" s="23" t="s">
        <v>7</v>
      </c>
    </row>
    <row r="163" spans="1:53" x14ac:dyDescent="0.25">
      <c r="A163" t="s">
        <v>134</v>
      </c>
      <c r="B163" t="s">
        <v>135</v>
      </c>
      <c r="C163">
        <v>22002520</v>
      </c>
      <c r="D163">
        <v>1206</v>
      </c>
      <c r="E163" s="11">
        <v>44776</v>
      </c>
      <c r="F163" t="s">
        <v>159</v>
      </c>
      <c r="G163">
        <v>52.34</v>
      </c>
      <c r="H163">
        <v>52.34</v>
      </c>
      <c r="I163" t="s">
        <v>56</v>
      </c>
      <c r="O163" t="s">
        <v>57</v>
      </c>
      <c r="Q163" t="s">
        <v>57</v>
      </c>
      <c r="R163" t="s">
        <v>137</v>
      </c>
      <c r="T163" t="s">
        <v>59</v>
      </c>
      <c r="U163" t="s">
        <v>60</v>
      </c>
      <c r="V163" t="s">
        <v>138</v>
      </c>
      <c r="W163" t="s">
        <v>139</v>
      </c>
      <c r="X163">
        <v>1928513</v>
      </c>
      <c r="Y163" s="11">
        <v>44778</v>
      </c>
      <c r="Z163" t="s">
        <v>57</v>
      </c>
      <c r="AA163">
        <v>2</v>
      </c>
      <c r="AB163" t="s">
        <v>57</v>
      </c>
      <c r="AD163" t="s">
        <v>57</v>
      </c>
      <c r="AE163" t="s">
        <v>57</v>
      </c>
      <c r="AF163" t="s">
        <v>57</v>
      </c>
      <c r="AG163">
        <v>225</v>
      </c>
      <c r="AH163" t="s">
        <v>57</v>
      </c>
      <c r="AL163" t="s">
        <v>57</v>
      </c>
      <c r="AM163" s="11">
        <v>44776</v>
      </c>
      <c r="AN163" t="s">
        <v>158</v>
      </c>
      <c r="AO163" t="s">
        <v>65</v>
      </c>
      <c r="AP163">
        <v>1206</v>
      </c>
      <c r="AQ163" t="s">
        <v>66</v>
      </c>
      <c r="AR163">
        <v>79293</v>
      </c>
      <c r="AU163" t="s">
        <v>57</v>
      </c>
      <c r="AV163" t="s">
        <v>68</v>
      </c>
      <c r="AX163" t="s">
        <v>57</v>
      </c>
      <c r="AY163">
        <v>631180</v>
      </c>
      <c r="AZ163">
        <v>1206.6311800000001</v>
      </c>
      <c r="BA163" s="23" t="s">
        <v>7</v>
      </c>
    </row>
    <row r="164" spans="1:53" x14ac:dyDescent="0.25">
      <c r="A164" t="s">
        <v>134</v>
      </c>
      <c r="B164" t="s">
        <v>135</v>
      </c>
      <c r="C164">
        <v>22002520</v>
      </c>
      <c r="D164">
        <v>1206</v>
      </c>
      <c r="E164" s="11">
        <v>44776</v>
      </c>
      <c r="F164" t="s">
        <v>159</v>
      </c>
      <c r="G164">
        <v>24.86</v>
      </c>
      <c r="H164">
        <v>24.86</v>
      </c>
      <c r="I164" t="s">
        <v>56</v>
      </c>
      <c r="O164" t="s">
        <v>57</v>
      </c>
      <c r="Q164" t="s">
        <v>57</v>
      </c>
      <c r="R164" t="s">
        <v>137</v>
      </c>
      <c r="T164" t="s">
        <v>59</v>
      </c>
      <c r="U164" t="s">
        <v>60</v>
      </c>
      <c r="V164" t="s">
        <v>138</v>
      </c>
      <c r="W164" t="s">
        <v>139</v>
      </c>
      <c r="X164">
        <v>1928513</v>
      </c>
      <c r="Y164" s="11">
        <v>44778</v>
      </c>
      <c r="Z164" t="s">
        <v>57</v>
      </c>
      <c r="AA164">
        <v>4</v>
      </c>
      <c r="AB164" t="s">
        <v>57</v>
      </c>
      <c r="AD164" t="s">
        <v>57</v>
      </c>
      <c r="AE164" t="s">
        <v>57</v>
      </c>
      <c r="AF164" t="s">
        <v>57</v>
      </c>
      <c r="AG164">
        <v>40</v>
      </c>
      <c r="AH164" t="s">
        <v>57</v>
      </c>
      <c r="AL164" t="s">
        <v>57</v>
      </c>
      <c r="AM164" s="11">
        <v>44776</v>
      </c>
      <c r="AN164" t="s">
        <v>158</v>
      </c>
      <c r="AO164" t="s">
        <v>65</v>
      </c>
      <c r="AP164">
        <v>1206</v>
      </c>
      <c r="AQ164" t="s">
        <v>66</v>
      </c>
      <c r="AR164">
        <v>220249</v>
      </c>
      <c r="AU164" t="s">
        <v>57</v>
      </c>
      <c r="AV164" t="s">
        <v>68</v>
      </c>
      <c r="AX164" t="s">
        <v>57</v>
      </c>
      <c r="AY164">
        <v>631180</v>
      </c>
      <c r="AZ164">
        <v>1206.6311800000001</v>
      </c>
      <c r="BA164" s="23" t="s">
        <v>7</v>
      </c>
    </row>
    <row r="165" spans="1:53" x14ac:dyDescent="0.25">
      <c r="A165" t="s">
        <v>134</v>
      </c>
      <c r="B165" t="s">
        <v>135</v>
      </c>
      <c r="C165">
        <v>22002515</v>
      </c>
      <c r="D165">
        <v>1206</v>
      </c>
      <c r="E165" s="11">
        <v>44777</v>
      </c>
      <c r="F165" t="s">
        <v>160</v>
      </c>
      <c r="G165">
        <v>2.74</v>
      </c>
      <c r="H165">
        <v>2.74</v>
      </c>
      <c r="I165" t="s">
        <v>56</v>
      </c>
      <c r="O165" t="s">
        <v>57</v>
      </c>
      <c r="Q165" t="s">
        <v>57</v>
      </c>
      <c r="R165" t="s">
        <v>137</v>
      </c>
      <c r="T165" t="s">
        <v>59</v>
      </c>
      <c r="U165" t="s">
        <v>60</v>
      </c>
      <c r="V165" t="s">
        <v>138</v>
      </c>
      <c r="W165" t="s">
        <v>139</v>
      </c>
      <c r="X165">
        <v>1927657</v>
      </c>
      <c r="Y165" s="11">
        <v>44778</v>
      </c>
      <c r="Z165" t="s">
        <v>57</v>
      </c>
      <c r="AA165">
        <v>2</v>
      </c>
      <c r="AB165" t="s">
        <v>57</v>
      </c>
      <c r="AD165" t="s">
        <v>57</v>
      </c>
      <c r="AE165" t="s">
        <v>57</v>
      </c>
      <c r="AF165" t="s">
        <v>57</v>
      </c>
      <c r="AG165">
        <v>8</v>
      </c>
      <c r="AH165" t="s">
        <v>57</v>
      </c>
      <c r="AL165" t="s">
        <v>57</v>
      </c>
      <c r="AM165" s="11">
        <v>44777</v>
      </c>
      <c r="AN165" t="s">
        <v>158</v>
      </c>
      <c r="AO165" t="s">
        <v>65</v>
      </c>
      <c r="AP165">
        <v>1206</v>
      </c>
      <c r="AQ165" t="s">
        <v>66</v>
      </c>
      <c r="AR165">
        <v>76741</v>
      </c>
      <c r="AU165" t="s">
        <v>57</v>
      </c>
      <c r="AV165" t="s">
        <v>68</v>
      </c>
      <c r="AX165" t="s">
        <v>57</v>
      </c>
      <c r="AY165">
        <v>631180</v>
      </c>
      <c r="AZ165">
        <v>1206.6311800000001</v>
      </c>
      <c r="BA165" s="23" t="s">
        <v>7</v>
      </c>
    </row>
    <row r="166" spans="1:53" x14ac:dyDescent="0.25">
      <c r="A166" t="s">
        <v>134</v>
      </c>
      <c r="B166" t="s">
        <v>135</v>
      </c>
      <c r="C166">
        <v>22002516</v>
      </c>
      <c r="D166">
        <v>1206</v>
      </c>
      <c r="E166" s="11">
        <v>44778</v>
      </c>
      <c r="F166" t="s">
        <v>160</v>
      </c>
      <c r="G166">
        <v>2.74</v>
      </c>
      <c r="H166">
        <v>2.74</v>
      </c>
      <c r="I166" t="s">
        <v>56</v>
      </c>
      <c r="O166" t="s">
        <v>57</v>
      </c>
      <c r="Q166" t="s">
        <v>57</v>
      </c>
      <c r="R166" t="s">
        <v>137</v>
      </c>
      <c r="T166" t="s">
        <v>59</v>
      </c>
      <c r="U166" t="s">
        <v>60</v>
      </c>
      <c r="V166" t="s">
        <v>138</v>
      </c>
      <c r="W166" t="s">
        <v>139</v>
      </c>
      <c r="X166">
        <v>1927659</v>
      </c>
      <c r="Y166" s="11">
        <v>44778</v>
      </c>
      <c r="Z166" t="s">
        <v>57</v>
      </c>
      <c r="AA166">
        <v>2</v>
      </c>
      <c r="AB166" t="s">
        <v>57</v>
      </c>
      <c r="AD166" t="s">
        <v>57</v>
      </c>
      <c r="AE166" t="s">
        <v>57</v>
      </c>
      <c r="AF166" t="s">
        <v>57</v>
      </c>
      <c r="AG166">
        <v>8</v>
      </c>
      <c r="AH166" t="s">
        <v>57</v>
      </c>
      <c r="AL166" t="s">
        <v>57</v>
      </c>
      <c r="AM166" s="11">
        <v>44778</v>
      </c>
      <c r="AN166" t="s">
        <v>158</v>
      </c>
      <c r="AO166" t="s">
        <v>65</v>
      </c>
      <c r="AP166">
        <v>1206</v>
      </c>
      <c r="AQ166" t="s">
        <v>66</v>
      </c>
      <c r="AR166">
        <v>76741</v>
      </c>
      <c r="AU166" t="s">
        <v>57</v>
      </c>
      <c r="AV166" t="s">
        <v>68</v>
      </c>
      <c r="AX166" t="s">
        <v>57</v>
      </c>
      <c r="AY166">
        <v>631180</v>
      </c>
      <c r="AZ166">
        <v>1206.6311800000001</v>
      </c>
      <c r="BA166" s="23" t="s">
        <v>7</v>
      </c>
    </row>
    <row r="167" spans="1:53" x14ac:dyDescent="0.25">
      <c r="A167" t="s">
        <v>134</v>
      </c>
      <c r="B167" t="s">
        <v>135</v>
      </c>
      <c r="C167">
        <v>22002517</v>
      </c>
      <c r="D167">
        <v>1206</v>
      </c>
      <c r="E167" s="11">
        <v>44778</v>
      </c>
      <c r="F167" t="s">
        <v>162</v>
      </c>
      <c r="G167">
        <v>3.26</v>
      </c>
      <c r="H167">
        <v>3.26</v>
      </c>
      <c r="I167" t="s">
        <v>56</v>
      </c>
      <c r="O167" t="s">
        <v>57</v>
      </c>
      <c r="Q167" t="s">
        <v>57</v>
      </c>
      <c r="R167" t="s">
        <v>137</v>
      </c>
      <c r="T167" t="s">
        <v>59</v>
      </c>
      <c r="U167" t="s">
        <v>60</v>
      </c>
      <c r="V167" t="s">
        <v>138</v>
      </c>
      <c r="W167" t="s">
        <v>139</v>
      </c>
      <c r="X167">
        <v>1927662</v>
      </c>
      <c r="Y167" s="11">
        <v>44778</v>
      </c>
      <c r="Z167" t="s">
        <v>57</v>
      </c>
      <c r="AA167">
        <v>2</v>
      </c>
      <c r="AB167" t="s">
        <v>57</v>
      </c>
      <c r="AD167" t="s">
        <v>57</v>
      </c>
      <c r="AE167" t="s">
        <v>57</v>
      </c>
      <c r="AF167" t="s">
        <v>57</v>
      </c>
      <c r="AG167">
        <v>6</v>
      </c>
      <c r="AH167" t="s">
        <v>57</v>
      </c>
      <c r="AL167" t="s">
        <v>57</v>
      </c>
      <c r="AM167" s="11">
        <v>44778</v>
      </c>
      <c r="AN167" t="s">
        <v>158</v>
      </c>
      <c r="AO167" t="s">
        <v>65</v>
      </c>
      <c r="AP167">
        <v>1206</v>
      </c>
      <c r="AQ167" t="s">
        <v>66</v>
      </c>
      <c r="AR167">
        <v>79280</v>
      </c>
      <c r="AU167" t="s">
        <v>57</v>
      </c>
      <c r="AV167" t="s">
        <v>68</v>
      </c>
      <c r="AX167" t="s">
        <v>57</v>
      </c>
      <c r="AY167">
        <v>631180</v>
      </c>
      <c r="AZ167">
        <v>1206.6311800000001</v>
      </c>
      <c r="BA167" s="23" t="s">
        <v>7</v>
      </c>
    </row>
    <row r="168" spans="1:53" x14ac:dyDescent="0.25">
      <c r="A168" t="s">
        <v>134</v>
      </c>
      <c r="B168" t="s">
        <v>135</v>
      </c>
      <c r="C168">
        <v>22002521</v>
      </c>
      <c r="D168">
        <v>1206</v>
      </c>
      <c r="E168" s="11">
        <v>44778</v>
      </c>
      <c r="F168" t="s">
        <v>159</v>
      </c>
      <c r="G168">
        <v>52.34</v>
      </c>
      <c r="H168">
        <v>52.34</v>
      </c>
      <c r="I168" t="s">
        <v>56</v>
      </c>
      <c r="O168" t="s">
        <v>57</v>
      </c>
      <c r="Q168" t="s">
        <v>57</v>
      </c>
      <c r="R168" t="s">
        <v>137</v>
      </c>
      <c r="T168" t="s">
        <v>59</v>
      </c>
      <c r="U168" t="s">
        <v>60</v>
      </c>
      <c r="V168" t="s">
        <v>138</v>
      </c>
      <c r="W168" t="s">
        <v>139</v>
      </c>
      <c r="X168">
        <v>1928515</v>
      </c>
      <c r="Y168" s="11">
        <v>44778</v>
      </c>
      <c r="Z168" t="s">
        <v>57</v>
      </c>
      <c r="AA168">
        <v>2</v>
      </c>
      <c r="AB168" t="s">
        <v>57</v>
      </c>
      <c r="AD168" t="s">
        <v>57</v>
      </c>
      <c r="AE168" t="s">
        <v>57</v>
      </c>
      <c r="AF168" t="s">
        <v>57</v>
      </c>
      <c r="AG168">
        <v>225</v>
      </c>
      <c r="AH168" t="s">
        <v>57</v>
      </c>
      <c r="AL168" t="s">
        <v>57</v>
      </c>
      <c r="AM168" s="11">
        <v>44778</v>
      </c>
      <c r="AN168" t="s">
        <v>158</v>
      </c>
      <c r="AO168" t="s">
        <v>65</v>
      </c>
      <c r="AP168">
        <v>1206</v>
      </c>
      <c r="AQ168" t="s">
        <v>66</v>
      </c>
      <c r="AR168">
        <v>79293</v>
      </c>
      <c r="AU168" t="s">
        <v>57</v>
      </c>
      <c r="AV168" t="s">
        <v>68</v>
      </c>
      <c r="AX168" t="s">
        <v>57</v>
      </c>
      <c r="AY168">
        <v>631180</v>
      </c>
      <c r="AZ168">
        <v>1206.6311800000001</v>
      </c>
      <c r="BA168" s="23" t="s">
        <v>7</v>
      </c>
    </row>
    <row r="169" spans="1:53" x14ac:dyDescent="0.25">
      <c r="A169" t="s">
        <v>134</v>
      </c>
      <c r="B169" t="s">
        <v>135</v>
      </c>
      <c r="C169">
        <v>22002521</v>
      </c>
      <c r="D169">
        <v>1206</v>
      </c>
      <c r="E169" s="11">
        <v>44778</v>
      </c>
      <c r="F169" t="s">
        <v>159</v>
      </c>
      <c r="G169">
        <v>15.92</v>
      </c>
      <c r="H169">
        <v>15.92</v>
      </c>
      <c r="I169" t="s">
        <v>56</v>
      </c>
      <c r="O169" t="s">
        <v>57</v>
      </c>
      <c r="Q169" t="s">
        <v>57</v>
      </c>
      <c r="R169" t="s">
        <v>137</v>
      </c>
      <c r="T169" t="s">
        <v>59</v>
      </c>
      <c r="U169" t="s">
        <v>60</v>
      </c>
      <c r="V169" t="s">
        <v>138</v>
      </c>
      <c r="W169" t="s">
        <v>139</v>
      </c>
      <c r="X169">
        <v>1928515</v>
      </c>
      <c r="Y169" s="11">
        <v>44778</v>
      </c>
      <c r="Z169" t="s">
        <v>57</v>
      </c>
      <c r="AA169">
        <v>4</v>
      </c>
      <c r="AB169" t="s">
        <v>57</v>
      </c>
      <c r="AD169" t="s">
        <v>57</v>
      </c>
      <c r="AE169" t="s">
        <v>57</v>
      </c>
      <c r="AF169" t="s">
        <v>57</v>
      </c>
      <c r="AG169">
        <v>20</v>
      </c>
      <c r="AH169" t="s">
        <v>57</v>
      </c>
      <c r="AL169" t="s">
        <v>57</v>
      </c>
      <c r="AM169" s="11">
        <v>44778</v>
      </c>
      <c r="AN169" t="s">
        <v>158</v>
      </c>
      <c r="AO169" t="s">
        <v>65</v>
      </c>
      <c r="AP169">
        <v>1206</v>
      </c>
      <c r="AQ169" t="s">
        <v>66</v>
      </c>
      <c r="AR169">
        <v>79303</v>
      </c>
      <c r="AU169" t="s">
        <v>57</v>
      </c>
      <c r="AV169" t="s">
        <v>68</v>
      </c>
      <c r="AX169" t="s">
        <v>57</v>
      </c>
      <c r="AY169">
        <v>631180</v>
      </c>
      <c r="AZ169">
        <v>1206.6311800000001</v>
      </c>
      <c r="BA169" s="23" t="s">
        <v>7</v>
      </c>
    </row>
    <row r="170" spans="1:53" x14ac:dyDescent="0.25">
      <c r="A170" t="s">
        <v>134</v>
      </c>
      <c r="B170" t="s">
        <v>135</v>
      </c>
      <c r="C170">
        <v>22002521</v>
      </c>
      <c r="D170">
        <v>1206</v>
      </c>
      <c r="E170" s="11">
        <v>44778</v>
      </c>
      <c r="F170" t="s">
        <v>159</v>
      </c>
      <c r="G170">
        <v>136.47</v>
      </c>
      <c r="H170">
        <v>136.47</v>
      </c>
      <c r="I170" t="s">
        <v>56</v>
      </c>
      <c r="O170" t="s">
        <v>57</v>
      </c>
      <c r="Q170" t="s">
        <v>57</v>
      </c>
      <c r="R170" t="s">
        <v>137</v>
      </c>
      <c r="T170" t="s">
        <v>59</v>
      </c>
      <c r="U170" t="s">
        <v>60</v>
      </c>
      <c r="V170" t="s">
        <v>138</v>
      </c>
      <c r="W170" t="s">
        <v>139</v>
      </c>
      <c r="X170">
        <v>1928515</v>
      </c>
      <c r="Y170" s="11">
        <v>44778</v>
      </c>
      <c r="Z170" t="s">
        <v>57</v>
      </c>
      <c r="AA170">
        <v>6</v>
      </c>
      <c r="AB170" t="s">
        <v>57</v>
      </c>
      <c r="AD170" t="s">
        <v>57</v>
      </c>
      <c r="AE170" t="s">
        <v>57</v>
      </c>
      <c r="AF170" t="s">
        <v>57</v>
      </c>
      <c r="AG170">
        <v>58.65</v>
      </c>
      <c r="AH170" t="s">
        <v>57</v>
      </c>
      <c r="AL170" t="s">
        <v>57</v>
      </c>
      <c r="AM170" s="11">
        <v>44778</v>
      </c>
      <c r="AN170" t="s">
        <v>158</v>
      </c>
      <c r="AO170" t="s">
        <v>65</v>
      </c>
      <c r="AP170">
        <v>1206</v>
      </c>
      <c r="AQ170" t="s">
        <v>66</v>
      </c>
      <c r="AR170">
        <v>149711</v>
      </c>
      <c r="AU170" t="s">
        <v>57</v>
      </c>
      <c r="AV170" t="s">
        <v>68</v>
      </c>
      <c r="AX170" t="s">
        <v>57</v>
      </c>
      <c r="AY170">
        <v>631180</v>
      </c>
      <c r="AZ170">
        <v>1206.6311800000001</v>
      </c>
      <c r="BA170" s="23" t="s">
        <v>7</v>
      </c>
    </row>
    <row r="171" spans="1:53" x14ac:dyDescent="0.25">
      <c r="A171" t="s">
        <v>134</v>
      </c>
      <c r="B171" t="s">
        <v>135</v>
      </c>
      <c r="C171">
        <v>22002521</v>
      </c>
      <c r="D171">
        <v>1206</v>
      </c>
      <c r="E171" s="11">
        <v>44778</v>
      </c>
      <c r="F171" t="s">
        <v>159</v>
      </c>
      <c r="G171">
        <v>37.29</v>
      </c>
      <c r="H171">
        <v>37.29</v>
      </c>
      <c r="I171" t="s">
        <v>56</v>
      </c>
      <c r="O171" t="s">
        <v>57</v>
      </c>
      <c r="Q171" t="s">
        <v>57</v>
      </c>
      <c r="R171" t="s">
        <v>137</v>
      </c>
      <c r="T171" t="s">
        <v>59</v>
      </c>
      <c r="U171" t="s">
        <v>60</v>
      </c>
      <c r="V171" t="s">
        <v>138</v>
      </c>
      <c r="W171" t="s">
        <v>139</v>
      </c>
      <c r="X171">
        <v>1928515</v>
      </c>
      <c r="Y171" s="11">
        <v>44778</v>
      </c>
      <c r="Z171" t="s">
        <v>57</v>
      </c>
      <c r="AA171">
        <v>8</v>
      </c>
      <c r="AB171" t="s">
        <v>57</v>
      </c>
      <c r="AD171" t="s">
        <v>57</v>
      </c>
      <c r="AE171" t="s">
        <v>57</v>
      </c>
      <c r="AF171" t="s">
        <v>57</v>
      </c>
      <c r="AG171">
        <v>60</v>
      </c>
      <c r="AH171" t="s">
        <v>57</v>
      </c>
      <c r="AL171" t="s">
        <v>57</v>
      </c>
      <c r="AM171" s="11">
        <v>44778</v>
      </c>
      <c r="AN171" t="s">
        <v>158</v>
      </c>
      <c r="AO171" t="s">
        <v>65</v>
      </c>
      <c r="AP171">
        <v>1206</v>
      </c>
      <c r="AQ171" t="s">
        <v>66</v>
      </c>
      <c r="AR171">
        <v>220249</v>
      </c>
      <c r="AU171" t="s">
        <v>57</v>
      </c>
      <c r="AV171" t="s">
        <v>68</v>
      </c>
      <c r="AX171" t="s">
        <v>57</v>
      </c>
      <c r="AY171">
        <v>631180</v>
      </c>
      <c r="AZ171">
        <v>1206.6311800000001</v>
      </c>
      <c r="BA171" s="23" t="s">
        <v>7</v>
      </c>
    </row>
    <row r="172" spans="1:53" x14ac:dyDescent="0.25">
      <c r="A172" t="s">
        <v>134</v>
      </c>
      <c r="B172" t="s">
        <v>135</v>
      </c>
      <c r="C172">
        <v>22002522</v>
      </c>
      <c r="D172">
        <v>1206</v>
      </c>
      <c r="E172" s="11">
        <v>44778</v>
      </c>
      <c r="F172" t="s">
        <v>162</v>
      </c>
      <c r="G172">
        <v>3.26</v>
      </c>
      <c r="H172">
        <v>3.26</v>
      </c>
      <c r="I172" t="s">
        <v>56</v>
      </c>
      <c r="O172" t="s">
        <v>57</v>
      </c>
      <c r="Q172" t="s">
        <v>57</v>
      </c>
      <c r="R172" t="s">
        <v>137</v>
      </c>
      <c r="T172" t="s">
        <v>59</v>
      </c>
      <c r="U172" t="s">
        <v>60</v>
      </c>
      <c r="V172" t="s">
        <v>138</v>
      </c>
      <c r="W172" t="s">
        <v>139</v>
      </c>
      <c r="X172">
        <v>1928519</v>
      </c>
      <c r="Y172" s="11">
        <v>44778</v>
      </c>
      <c r="Z172" t="s">
        <v>57</v>
      </c>
      <c r="AA172">
        <v>2</v>
      </c>
      <c r="AB172" t="s">
        <v>57</v>
      </c>
      <c r="AD172" t="s">
        <v>57</v>
      </c>
      <c r="AE172" t="s">
        <v>57</v>
      </c>
      <c r="AF172" t="s">
        <v>57</v>
      </c>
      <c r="AG172">
        <v>6</v>
      </c>
      <c r="AH172" t="s">
        <v>57</v>
      </c>
      <c r="AL172" t="s">
        <v>57</v>
      </c>
      <c r="AM172" s="11">
        <v>44778</v>
      </c>
      <c r="AN172" t="s">
        <v>158</v>
      </c>
      <c r="AO172" t="s">
        <v>65</v>
      </c>
      <c r="AP172">
        <v>1206</v>
      </c>
      <c r="AQ172" t="s">
        <v>66</v>
      </c>
      <c r="AR172">
        <v>79280</v>
      </c>
      <c r="AU172" t="s">
        <v>57</v>
      </c>
      <c r="AV172" t="s">
        <v>68</v>
      </c>
      <c r="AX172" t="s">
        <v>57</v>
      </c>
      <c r="AY172">
        <v>631180</v>
      </c>
      <c r="AZ172">
        <v>1206.6311800000001</v>
      </c>
      <c r="BA172" s="23" t="s">
        <v>7</v>
      </c>
    </row>
    <row r="173" spans="1:53" x14ac:dyDescent="0.25">
      <c r="A173" t="s">
        <v>134</v>
      </c>
      <c r="B173" t="s">
        <v>135</v>
      </c>
      <c r="C173">
        <v>22002529</v>
      </c>
      <c r="D173">
        <v>1206</v>
      </c>
      <c r="E173" s="11">
        <v>44781</v>
      </c>
      <c r="F173" t="s">
        <v>157</v>
      </c>
      <c r="G173">
        <v>2.79</v>
      </c>
      <c r="H173">
        <v>2.79</v>
      </c>
      <c r="I173" t="s">
        <v>56</v>
      </c>
      <c r="O173" t="s">
        <v>57</v>
      </c>
      <c r="Q173" t="s">
        <v>57</v>
      </c>
      <c r="R173" t="s">
        <v>137</v>
      </c>
      <c r="T173" t="s">
        <v>59</v>
      </c>
      <c r="U173" t="s">
        <v>60</v>
      </c>
      <c r="V173" t="s">
        <v>138</v>
      </c>
      <c r="W173" t="s">
        <v>139</v>
      </c>
      <c r="X173">
        <v>1928797</v>
      </c>
      <c r="Y173" s="11">
        <v>44781</v>
      </c>
      <c r="Z173" t="s">
        <v>57</v>
      </c>
      <c r="AA173">
        <v>2</v>
      </c>
      <c r="AB173" t="s">
        <v>57</v>
      </c>
      <c r="AD173" t="s">
        <v>57</v>
      </c>
      <c r="AE173" t="s">
        <v>57</v>
      </c>
      <c r="AF173" t="s">
        <v>57</v>
      </c>
      <c r="AG173">
        <v>2</v>
      </c>
      <c r="AH173" t="s">
        <v>57</v>
      </c>
      <c r="AL173" t="s">
        <v>57</v>
      </c>
      <c r="AM173" s="11">
        <v>44781</v>
      </c>
      <c r="AN173" t="s">
        <v>158</v>
      </c>
      <c r="AO173" t="s">
        <v>65</v>
      </c>
      <c r="AP173">
        <v>1206</v>
      </c>
      <c r="AQ173" t="s">
        <v>66</v>
      </c>
      <c r="AR173">
        <v>276660</v>
      </c>
      <c r="AU173" t="s">
        <v>57</v>
      </c>
      <c r="AV173" t="s">
        <v>68</v>
      </c>
      <c r="AX173" t="s">
        <v>57</v>
      </c>
      <c r="AY173">
        <v>631180</v>
      </c>
      <c r="AZ173">
        <v>1206.6311800000001</v>
      </c>
      <c r="BA173" s="23" t="s">
        <v>7</v>
      </c>
    </row>
    <row r="174" spans="1:53" x14ac:dyDescent="0.25">
      <c r="A174" t="s">
        <v>134</v>
      </c>
      <c r="B174" t="s">
        <v>135</v>
      </c>
      <c r="C174">
        <v>22002535</v>
      </c>
      <c r="D174">
        <v>1206</v>
      </c>
      <c r="E174" s="11">
        <v>44781</v>
      </c>
      <c r="F174" t="s">
        <v>160</v>
      </c>
      <c r="G174">
        <v>2.74</v>
      </c>
      <c r="H174">
        <v>2.74</v>
      </c>
      <c r="I174" t="s">
        <v>56</v>
      </c>
      <c r="O174" t="s">
        <v>57</v>
      </c>
      <c r="Q174" t="s">
        <v>57</v>
      </c>
      <c r="R174" t="s">
        <v>137</v>
      </c>
      <c r="T174" t="s">
        <v>59</v>
      </c>
      <c r="U174" t="s">
        <v>60</v>
      </c>
      <c r="V174" t="s">
        <v>138</v>
      </c>
      <c r="W174" t="s">
        <v>139</v>
      </c>
      <c r="X174">
        <v>1929064</v>
      </c>
      <c r="Y174" s="11">
        <v>44782</v>
      </c>
      <c r="Z174" t="s">
        <v>57</v>
      </c>
      <c r="AA174">
        <v>2</v>
      </c>
      <c r="AB174" t="s">
        <v>57</v>
      </c>
      <c r="AD174" t="s">
        <v>57</v>
      </c>
      <c r="AE174" t="s">
        <v>57</v>
      </c>
      <c r="AF174" t="s">
        <v>57</v>
      </c>
      <c r="AG174">
        <v>8</v>
      </c>
      <c r="AH174" t="s">
        <v>57</v>
      </c>
      <c r="AL174" t="s">
        <v>57</v>
      </c>
      <c r="AM174" s="11">
        <v>44781</v>
      </c>
      <c r="AN174" t="s">
        <v>158</v>
      </c>
      <c r="AO174" t="s">
        <v>65</v>
      </c>
      <c r="AP174">
        <v>1206</v>
      </c>
      <c r="AQ174" t="s">
        <v>66</v>
      </c>
      <c r="AR174">
        <v>76741</v>
      </c>
      <c r="AU174" t="s">
        <v>57</v>
      </c>
      <c r="AV174" t="s">
        <v>68</v>
      </c>
      <c r="AX174" t="s">
        <v>57</v>
      </c>
      <c r="AY174">
        <v>631180</v>
      </c>
      <c r="AZ174">
        <v>1206.6311800000001</v>
      </c>
      <c r="BA174" s="23" t="s">
        <v>7</v>
      </c>
    </row>
    <row r="175" spans="1:53" x14ac:dyDescent="0.25">
      <c r="A175" t="s">
        <v>134</v>
      </c>
      <c r="B175" t="s">
        <v>135</v>
      </c>
      <c r="C175">
        <v>22002536</v>
      </c>
      <c r="D175">
        <v>1206</v>
      </c>
      <c r="E175" s="11">
        <v>44781</v>
      </c>
      <c r="F175" t="s">
        <v>162</v>
      </c>
      <c r="G175">
        <v>3.26</v>
      </c>
      <c r="H175">
        <v>3.26</v>
      </c>
      <c r="I175" t="s">
        <v>56</v>
      </c>
      <c r="O175" t="s">
        <v>57</v>
      </c>
      <c r="Q175" t="s">
        <v>57</v>
      </c>
      <c r="R175" t="s">
        <v>137</v>
      </c>
      <c r="T175" t="s">
        <v>59</v>
      </c>
      <c r="U175" t="s">
        <v>60</v>
      </c>
      <c r="V175" t="s">
        <v>138</v>
      </c>
      <c r="W175" t="s">
        <v>139</v>
      </c>
      <c r="X175">
        <v>1929065</v>
      </c>
      <c r="Y175" s="11">
        <v>44782</v>
      </c>
      <c r="Z175" t="s">
        <v>57</v>
      </c>
      <c r="AA175">
        <v>2</v>
      </c>
      <c r="AB175" t="s">
        <v>57</v>
      </c>
      <c r="AD175" t="s">
        <v>57</v>
      </c>
      <c r="AE175" t="s">
        <v>57</v>
      </c>
      <c r="AF175" t="s">
        <v>57</v>
      </c>
      <c r="AG175">
        <v>6</v>
      </c>
      <c r="AH175" t="s">
        <v>57</v>
      </c>
      <c r="AL175" t="s">
        <v>57</v>
      </c>
      <c r="AM175" s="11">
        <v>44781</v>
      </c>
      <c r="AN175" t="s">
        <v>158</v>
      </c>
      <c r="AO175" t="s">
        <v>65</v>
      </c>
      <c r="AP175">
        <v>1206</v>
      </c>
      <c r="AQ175" t="s">
        <v>66</v>
      </c>
      <c r="AR175">
        <v>79280</v>
      </c>
      <c r="AU175" t="s">
        <v>57</v>
      </c>
      <c r="AV175" t="s">
        <v>68</v>
      </c>
      <c r="AX175" t="s">
        <v>57</v>
      </c>
      <c r="AY175">
        <v>631180</v>
      </c>
      <c r="AZ175">
        <v>1206.6311800000001</v>
      </c>
      <c r="BA175" s="23" t="s">
        <v>7</v>
      </c>
    </row>
    <row r="176" spans="1:53" x14ac:dyDescent="0.25">
      <c r="A176" t="s">
        <v>134</v>
      </c>
      <c r="B176" t="s">
        <v>135</v>
      </c>
      <c r="C176">
        <v>22002567</v>
      </c>
      <c r="D176">
        <v>1206</v>
      </c>
      <c r="E176" s="11">
        <v>44781</v>
      </c>
      <c r="F176" t="s">
        <v>159</v>
      </c>
      <c r="G176">
        <v>24.23</v>
      </c>
      <c r="H176">
        <v>24.23</v>
      </c>
      <c r="I176" t="s">
        <v>56</v>
      </c>
      <c r="O176" t="s">
        <v>57</v>
      </c>
      <c r="Q176" t="s">
        <v>57</v>
      </c>
      <c r="R176" t="s">
        <v>137</v>
      </c>
      <c r="T176" t="s">
        <v>59</v>
      </c>
      <c r="U176" t="s">
        <v>60</v>
      </c>
      <c r="V176" t="s">
        <v>138</v>
      </c>
      <c r="W176" t="s">
        <v>139</v>
      </c>
      <c r="X176">
        <v>1930575</v>
      </c>
      <c r="Y176" s="11">
        <v>44785</v>
      </c>
      <c r="Z176" t="s">
        <v>57</v>
      </c>
      <c r="AA176">
        <v>2</v>
      </c>
      <c r="AB176" t="s">
        <v>57</v>
      </c>
      <c r="AD176" t="s">
        <v>57</v>
      </c>
      <c r="AE176" t="s">
        <v>57</v>
      </c>
      <c r="AF176" t="s">
        <v>57</v>
      </c>
      <c r="AG176">
        <v>40</v>
      </c>
      <c r="AH176" t="s">
        <v>57</v>
      </c>
      <c r="AL176" t="s">
        <v>57</v>
      </c>
      <c r="AM176" s="11">
        <v>44781</v>
      </c>
      <c r="AN176" t="s">
        <v>158</v>
      </c>
      <c r="AO176" t="s">
        <v>65</v>
      </c>
      <c r="AP176">
        <v>1206</v>
      </c>
      <c r="AQ176" t="s">
        <v>66</v>
      </c>
      <c r="AR176">
        <v>220249</v>
      </c>
      <c r="AU176" t="s">
        <v>57</v>
      </c>
      <c r="AV176" t="s">
        <v>68</v>
      </c>
      <c r="AX176" t="s">
        <v>57</v>
      </c>
      <c r="AY176">
        <v>631180</v>
      </c>
      <c r="AZ176">
        <v>1206.6311800000001</v>
      </c>
      <c r="BA176" s="23" t="s">
        <v>7</v>
      </c>
    </row>
    <row r="177" spans="1:53" x14ac:dyDescent="0.25">
      <c r="A177" t="s">
        <v>134</v>
      </c>
      <c r="B177" t="s">
        <v>135</v>
      </c>
      <c r="C177">
        <v>22002567</v>
      </c>
      <c r="D177">
        <v>1206</v>
      </c>
      <c r="E177" s="11">
        <v>44781</v>
      </c>
      <c r="F177" t="s">
        <v>159</v>
      </c>
      <c r="G177">
        <v>16.72</v>
      </c>
      <c r="H177">
        <v>16.72</v>
      </c>
      <c r="I177" t="s">
        <v>56</v>
      </c>
      <c r="O177" t="s">
        <v>57</v>
      </c>
      <c r="Q177" t="s">
        <v>57</v>
      </c>
      <c r="R177" t="s">
        <v>137</v>
      </c>
      <c r="T177" t="s">
        <v>59</v>
      </c>
      <c r="U177" t="s">
        <v>60</v>
      </c>
      <c r="V177" t="s">
        <v>138</v>
      </c>
      <c r="W177" t="s">
        <v>139</v>
      </c>
      <c r="X177">
        <v>1930575</v>
      </c>
      <c r="Y177" s="11">
        <v>44785</v>
      </c>
      <c r="Z177" t="s">
        <v>57</v>
      </c>
      <c r="AA177">
        <v>4</v>
      </c>
      <c r="AB177" t="s">
        <v>57</v>
      </c>
      <c r="AD177" t="s">
        <v>57</v>
      </c>
      <c r="AE177" t="s">
        <v>57</v>
      </c>
      <c r="AF177" t="s">
        <v>57</v>
      </c>
      <c r="AG177">
        <v>21</v>
      </c>
      <c r="AH177" t="s">
        <v>57</v>
      </c>
      <c r="AL177" t="s">
        <v>57</v>
      </c>
      <c r="AM177" s="11">
        <v>44781</v>
      </c>
      <c r="AN177" t="s">
        <v>158</v>
      </c>
      <c r="AO177" t="s">
        <v>65</v>
      </c>
      <c r="AP177">
        <v>1206</v>
      </c>
      <c r="AQ177" t="s">
        <v>66</v>
      </c>
      <c r="AR177">
        <v>79303</v>
      </c>
      <c r="AU177" t="s">
        <v>57</v>
      </c>
      <c r="AV177" t="s">
        <v>68</v>
      </c>
      <c r="AX177" t="s">
        <v>57</v>
      </c>
      <c r="AY177">
        <v>631180</v>
      </c>
      <c r="AZ177">
        <v>1206.6311800000001</v>
      </c>
      <c r="BA177" s="23" t="s">
        <v>7</v>
      </c>
    </row>
    <row r="178" spans="1:53" x14ac:dyDescent="0.25">
      <c r="A178" t="s">
        <v>134</v>
      </c>
      <c r="B178" t="s">
        <v>135</v>
      </c>
      <c r="C178">
        <v>22002567</v>
      </c>
      <c r="D178">
        <v>1206</v>
      </c>
      <c r="E178" s="11">
        <v>44781</v>
      </c>
      <c r="F178" t="s">
        <v>159</v>
      </c>
      <c r="G178">
        <v>5.91</v>
      </c>
      <c r="H178">
        <v>5.91</v>
      </c>
      <c r="I178" t="s">
        <v>56</v>
      </c>
      <c r="O178" t="s">
        <v>57</v>
      </c>
      <c r="Q178" t="s">
        <v>57</v>
      </c>
      <c r="R178" t="s">
        <v>137</v>
      </c>
      <c r="T178" t="s">
        <v>59</v>
      </c>
      <c r="U178" t="s">
        <v>60</v>
      </c>
      <c r="V178" t="s">
        <v>138</v>
      </c>
      <c r="W178" t="s">
        <v>139</v>
      </c>
      <c r="X178">
        <v>1930575</v>
      </c>
      <c r="Y178" s="11">
        <v>44785</v>
      </c>
      <c r="Z178" t="s">
        <v>57</v>
      </c>
      <c r="AA178">
        <v>6</v>
      </c>
      <c r="AB178" t="s">
        <v>57</v>
      </c>
      <c r="AD178" t="s">
        <v>57</v>
      </c>
      <c r="AE178" t="s">
        <v>57</v>
      </c>
      <c r="AF178" t="s">
        <v>57</v>
      </c>
      <c r="AG178">
        <v>3</v>
      </c>
      <c r="AH178" t="s">
        <v>57</v>
      </c>
      <c r="AL178" t="s">
        <v>57</v>
      </c>
      <c r="AM178" s="11">
        <v>44781</v>
      </c>
      <c r="AN178" t="s">
        <v>158</v>
      </c>
      <c r="AO178" t="s">
        <v>65</v>
      </c>
      <c r="AP178">
        <v>1206</v>
      </c>
      <c r="AQ178" t="s">
        <v>66</v>
      </c>
      <c r="AR178">
        <v>79296</v>
      </c>
      <c r="AU178" t="s">
        <v>57</v>
      </c>
      <c r="AV178" t="s">
        <v>68</v>
      </c>
      <c r="AX178" t="s">
        <v>57</v>
      </c>
      <c r="AY178">
        <v>631180</v>
      </c>
      <c r="AZ178">
        <v>1206.6311800000001</v>
      </c>
      <c r="BA178" s="23" t="s">
        <v>7</v>
      </c>
    </row>
    <row r="179" spans="1:53" x14ac:dyDescent="0.25">
      <c r="A179" t="s">
        <v>134</v>
      </c>
      <c r="B179" t="s">
        <v>135</v>
      </c>
      <c r="C179">
        <v>22002567</v>
      </c>
      <c r="D179">
        <v>1206</v>
      </c>
      <c r="E179" s="11">
        <v>44781</v>
      </c>
      <c r="F179" t="s">
        <v>159</v>
      </c>
      <c r="G179">
        <v>52.34</v>
      </c>
      <c r="H179">
        <v>52.34</v>
      </c>
      <c r="I179" t="s">
        <v>56</v>
      </c>
      <c r="O179" t="s">
        <v>57</v>
      </c>
      <c r="Q179" t="s">
        <v>57</v>
      </c>
      <c r="R179" t="s">
        <v>137</v>
      </c>
      <c r="T179" t="s">
        <v>59</v>
      </c>
      <c r="U179" t="s">
        <v>60</v>
      </c>
      <c r="V179" t="s">
        <v>138</v>
      </c>
      <c r="W179" t="s">
        <v>139</v>
      </c>
      <c r="X179">
        <v>1930575</v>
      </c>
      <c r="Y179" s="11">
        <v>44785</v>
      </c>
      <c r="Z179" t="s">
        <v>57</v>
      </c>
      <c r="AA179">
        <v>8</v>
      </c>
      <c r="AB179" t="s">
        <v>57</v>
      </c>
      <c r="AD179" t="s">
        <v>57</v>
      </c>
      <c r="AE179" t="s">
        <v>57</v>
      </c>
      <c r="AF179" t="s">
        <v>57</v>
      </c>
      <c r="AG179">
        <v>225</v>
      </c>
      <c r="AH179" t="s">
        <v>57</v>
      </c>
      <c r="AL179" t="s">
        <v>57</v>
      </c>
      <c r="AM179" s="11">
        <v>44781</v>
      </c>
      <c r="AN179" t="s">
        <v>158</v>
      </c>
      <c r="AO179" t="s">
        <v>65</v>
      </c>
      <c r="AP179">
        <v>1206</v>
      </c>
      <c r="AQ179" t="s">
        <v>66</v>
      </c>
      <c r="AR179">
        <v>79293</v>
      </c>
      <c r="AU179" t="s">
        <v>57</v>
      </c>
      <c r="AV179" t="s">
        <v>68</v>
      </c>
      <c r="AX179" t="s">
        <v>57</v>
      </c>
      <c r="AY179">
        <v>631180</v>
      </c>
      <c r="AZ179">
        <v>1206.6311800000001</v>
      </c>
      <c r="BA179" s="23" t="s">
        <v>7</v>
      </c>
    </row>
    <row r="180" spans="1:53" x14ac:dyDescent="0.25">
      <c r="A180" t="s">
        <v>134</v>
      </c>
      <c r="B180" t="s">
        <v>135</v>
      </c>
      <c r="C180">
        <v>22002537</v>
      </c>
      <c r="D180">
        <v>1206</v>
      </c>
      <c r="E180" s="11">
        <v>44782</v>
      </c>
      <c r="F180" t="s">
        <v>162</v>
      </c>
      <c r="G180">
        <v>39.07</v>
      </c>
      <c r="H180">
        <v>39.07</v>
      </c>
      <c r="I180" t="s">
        <v>56</v>
      </c>
      <c r="O180" t="s">
        <v>57</v>
      </c>
      <c r="Q180" t="s">
        <v>57</v>
      </c>
      <c r="R180" t="s">
        <v>137</v>
      </c>
      <c r="T180" t="s">
        <v>59</v>
      </c>
      <c r="U180" t="s">
        <v>60</v>
      </c>
      <c r="V180" t="s">
        <v>138</v>
      </c>
      <c r="W180" t="s">
        <v>139</v>
      </c>
      <c r="X180">
        <v>1929067</v>
      </c>
      <c r="Y180" s="11">
        <v>44782</v>
      </c>
      <c r="Z180" t="s">
        <v>57</v>
      </c>
      <c r="AA180">
        <v>2</v>
      </c>
      <c r="AB180" t="s">
        <v>57</v>
      </c>
      <c r="AD180" t="s">
        <v>57</v>
      </c>
      <c r="AE180" t="s">
        <v>57</v>
      </c>
      <c r="AF180" t="s">
        <v>57</v>
      </c>
      <c r="AG180">
        <v>72</v>
      </c>
      <c r="AH180" t="s">
        <v>57</v>
      </c>
      <c r="AL180" t="s">
        <v>57</v>
      </c>
      <c r="AM180" s="11">
        <v>44782</v>
      </c>
      <c r="AN180" t="s">
        <v>158</v>
      </c>
      <c r="AO180" t="s">
        <v>65</v>
      </c>
      <c r="AP180">
        <v>1206</v>
      </c>
      <c r="AQ180" t="s">
        <v>66</v>
      </c>
      <c r="AR180">
        <v>79280</v>
      </c>
      <c r="AU180" t="s">
        <v>57</v>
      </c>
      <c r="AV180" t="s">
        <v>68</v>
      </c>
      <c r="AX180" t="s">
        <v>57</v>
      </c>
      <c r="AY180">
        <v>631180</v>
      </c>
      <c r="AZ180">
        <v>1206.6311800000001</v>
      </c>
      <c r="BA180" s="23" t="s">
        <v>7</v>
      </c>
    </row>
    <row r="181" spans="1:53" x14ac:dyDescent="0.25">
      <c r="A181" t="s">
        <v>134</v>
      </c>
      <c r="B181" t="s">
        <v>135</v>
      </c>
      <c r="C181">
        <v>22002568</v>
      </c>
      <c r="D181">
        <v>1206</v>
      </c>
      <c r="E181" s="11">
        <v>44782</v>
      </c>
      <c r="F181" t="s">
        <v>159</v>
      </c>
      <c r="G181">
        <v>121.23</v>
      </c>
      <c r="H181">
        <v>121.23</v>
      </c>
      <c r="I181" t="s">
        <v>56</v>
      </c>
      <c r="O181" t="s">
        <v>57</v>
      </c>
      <c r="Q181" t="s">
        <v>57</v>
      </c>
      <c r="R181" t="s">
        <v>137</v>
      </c>
      <c r="T181" t="s">
        <v>59</v>
      </c>
      <c r="U181" t="s">
        <v>60</v>
      </c>
      <c r="V181" t="s">
        <v>138</v>
      </c>
      <c r="W181" t="s">
        <v>139</v>
      </c>
      <c r="X181">
        <v>1930577</v>
      </c>
      <c r="Y181" s="11">
        <v>44785</v>
      </c>
      <c r="Z181" t="s">
        <v>57</v>
      </c>
      <c r="AA181">
        <v>2</v>
      </c>
      <c r="AB181" t="s">
        <v>57</v>
      </c>
      <c r="AD181" t="s">
        <v>57</v>
      </c>
      <c r="AE181" t="s">
        <v>57</v>
      </c>
      <c r="AF181" t="s">
        <v>57</v>
      </c>
      <c r="AG181">
        <v>52.1</v>
      </c>
      <c r="AH181" t="s">
        <v>57</v>
      </c>
      <c r="AL181" t="s">
        <v>57</v>
      </c>
      <c r="AM181" s="11">
        <v>44782</v>
      </c>
      <c r="AN181" t="s">
        <v>158</v>
      </c>
      <c r="AO181" t="s">
        <v>65</v>
      </c>
      <c r="AP181">
        <v>1206</v>
      </c>
      <c r="AQ181" t="s">
        <v>66</v>
      </c>
      <c r="AR181">
        <v>149711</v>
      </c>
      <c r="AU181" t="s">
        <v>57</v>
      </c>
      <c r="AV181" t="s">
        <v>68</v>
      </c>
      <c r="AX181" t="s">
        <v>57</v>
      </c>
      <c r="AY181">
        <v>631180</v>
      </c>
      <c r="AZ181">
        <v>1206.6311800000001</v>
      </c>
      <c r="BA181" s="23" t="s">
        <v>7</v>
      </c>
    </row>
    <row r="182" spans="1:53" x14ac:dyDescent="0.25">
      <c r="A182" t="s">
        <v>134</v>
      </c>
      <c r="B182" t="s">
        <v>135</v>
      </c>
      <c r="C182">
        <v>22002568</v>
      </c>
      <c r="D182">
        <v>1206</v>
      </c>
      <c r="E182" s="11">
        <v>44782</v>
      </c>
      <c r="F182" t="s">
        <v>159</v>
      </c>
      <c r="G182">
        <v>122.51</v>
      </c>
      <c r="H182">
        <v>122.51</v>
      </c>
      <c r="I182" t="s">
        <v>56</v>
      </c>
      <c r="O182" t="s">
        <v>57</v>
      </c>
      <c r="Q182" t="s">
        <v>57</v>
      </c>
      <c r="R182" t="s">
        <v>137</v>
      </c>
      <c r="T182" t="s">
        <v>59</v>
      </c>
      <c r="U182" t="s">
        <v>60</v>
      </c>
      <c r="V182" t="s">
        <v>138</v>
      </c>
      <c r="W182" t="s">
        <v>139</v>
      </c>
      <c r="X182">
        <v>1930577</v>
      </c>
      <c r="Y182" s="11">
        <v>44785</v>
      </c>
      <c r="Z182" t="s">
        <v>57</v>
      </c>
      <c r="AA182">
        <v>4</v>
      </c>
      <c r="AB182" t="s">
        <v>57</v>
      </c>
      <c r="AD182" t="s">
        <v>57</v>
      </c>
      <c r="AE182" t="s">
        <v>57</v>
      </c>
      <c r="AF182" t="s">
        <v>57</v>
      </c>
      <c r="AG182">
        <v>52.65</v>
      </c>
      <c r="AH182" t="s">
        <v>57</v>
      </c>
      <c r="AL182" t="s">
        <v>57</v>
      </c>
      <c r="AM182" s="11">
        <v>44782</v>
      </c>
      <c r="AN182" t="s">
        <v>158</v>
      </c>
      <c r="AO182" t="s">
        <v>65</v>
      </c>
      <c r="AP182">
        <v>1206</v>
      </c>
      <c r="AQ182" t="s">
        <v>66</v>
      </c>
      <c r="AR182">
        <v>149711</v>
      </c>
      <c r="AU182" t="s">
        <v>57</v>
      </c>
      <c r="AV182" t="s">
        <v>68</v>
      </c>
      <c r="AX182" t="s">
        <v>57</v>
      </c>
      <c r="AY182">
        <v>631180</v>
      </c>
      <c r="AZ182">
        <v>1206.6311800000001</v>
      </c>
      <c r="BA182" s="23" t="s">
        <v>7</v>
      </c>
    </row>
    <row r="183" spans="1:53" x14ac:dyDescent="0.25">
      <c r="A183" t="s">
        <v>134</v>
      </c>
      <c r="B183" t="s">
        <v>135</v>
      </c>
      <c r="C183">
        <v>22002569</v>
      </c>
      <c r="D183">
        <v>1206</v>
      </c>
      <c r="E183" s="11">
        <v>44782</v>
      </c>
      <c r="F183" t="s">
        <v>284</v>
      </c>
      <c r="G183">
        <v>16.72</v>
      </c>
      <c r="H183">
        <v>16.72</v>
      </c>
      <c r="I183" t="s">
        <v>56</v>
      </c>
      <c r="O183" t="s">
        <v>57</v>
      </c>
      <c r="Q183" t="s">
        <v>57</v>
      </c>
      <c r="R183" t="s">
        <v>137</v>
      </c>
      <c r="T183" t="s">
        <v>59</v>
      </c>
      <c r="U183" t="s">
        <v>60</v>
      </c>
      <c r="V183" t="s">
        <v>138</v>
      </c>
      <c r="W183" t="s">
        <v>139</v>
      </c>
      <c r="X183">
        <v>1930578</v>
      </c>
      <c r="Y183" s="11">
        <v>44785</v>
      </c>
      <c r="Z183" t="s">
        <v>57</v>
      </c>
      <c r="AA183">
        <v>2</v>
      </c>
      <c r="AB183" t="s">
        <v>57</v>
      </c>
      <c r="AD183" t="s">
        <v>57</v>
      </c>
      <c r="AE183" t="s">
        <v>57</v>
      </c>
      <c r="AF183" t="s">
        <v>57</v>
      </c>
      <c r="AG183">
        <v>21</v>
      </c>
      <c r="AH183" t="s">
        <v>57</v>
      </c>
      <c r="AL183" t="s">
        <v>57</v>
      </c>
      <c r="AM183" s="11">
        <v>44782</v>
      </c>
      <c r="AN183" t="s">
        <v>158</v>
      </c>
      <c r="AO183" t="s">
        <v>65</v>
      </c>
      <c r="AP183">
        <v>1206</v>
      </c>
      <c r="AQ183" t="s">
        <v>66</v>
      </c>
      <c r="AR183">
        <v>79303</v>
      </c>
      <c r="AU183" t="s">
        <v>57</v>
      </c>
      <c r="AV183" t="s">
        <v>68</v>
      </c>
      <c r="AX183" t="s">
        <v>57</v>
      </c>
      <c r="AY183">
        <v>631180</v>
      </c>
      <c r="AZ183">
        <v>1206.6311800000001</v>
      </c>
      <c r="BA183" s="23" t="s">
        <v>7</v>
      </c>
    </row>
    <row r="184" spans="1:53" x14ac:dyDescent="0.25">
      <c r="A184" t="s">
        <v>134</v>
      </c>
      <c r="B184" t="s">
        <v>135</v>
      </c>
      <c r="C184">
        <v>22002556</v>
      </c>
      <c r="D184">
        <v>1206</v>
      </c>
      <c r="E184" s="11">
        <v>44783</v>
      </c>
      <c r="F184" t="s">
        <v>162</v>
      </c>
      <c r="G184">
        <v>3.26</v>
      </c>
      <c r="H184">
        <v>3.26</v>
      </c>
      <c r="I184" t="s">
        <v>56</v>
      </c>
      <c r="O184" t="s">
        <v>57</v>
      </c>
      <c r="Q184" t="s">
        <v>57</v>
      </c>
      <c r="R184" t="s">
        <v>137</v>
      </c>
      <c r="T184" t="s">
        <v>59</v>
      </c>
      <c r="U184" t="s">
        <v>60</v>
      </c>
      <c r="V184" t="s">
        <v>138</v>
      </c>
      <c r="W184" t="s">
        <v>139</v>
      </c>
      <c r="X184">
        <v>1930469</v>
      </c>
      <c r="Y184" s="11">
        <v>44784</v>
      </c>
      <c r="Z184" t="s">
        <v>57</v>
      </c>
      <c r="AA184">
        <v>2</v>
      </c>
      <c r="AB184" t="s">
        <v>57</v>
      </c>
      <c r="AD184" t="s">
        <v>57</v>
      </c>
      <c r="AE184" t="s">
        <v>57</v>
      </c>
      <c r="AF184" t="s">
        <v>57</v>
      </c>
      <c r="AG184">
        <v>6</v>
      </c>
      <c r="AH184" t="s">
        <v>57</v>
      </c>
      <c r="AL184" t="s">
        <v>57</v>
      </c>
      <c r="AM184" s="11">
        <v>44783</v>
      </c>
      <c r="AN184" t="s">
        <v>158</v>
      </c>
      <c r="AO184" t="s">
        <v>65</v>
      </c>
      <c r="AP184">
        <v>1206</v>
      </c>
      <c r="AQ184" t="s">
        <v>66</v>
      </c>
      <c r="AR184">
        <v>79280</v>
      </c>
      <c r="AU184" t="s">
        <v>57</v>
      </c>
      <c r="AV184" t="s">
        <v>68</v>
      </c>
      <c r="AX184" t="s">
        <v>57</v>
      </c>
      <c r="AY184">
        <v>631180</v>
      </c>
      <c r="AZ184">
        <v>1206.6311800000001</v>
      </c>
      <c r="BA184" s="23" t="s">
        <v>7</v>
      </c>
    </row>
    <row r="185" spans="1:53" x14ac:dyDescent="0.25">
      <c r="A185" t="s">
        <v>134</v>
      </c>
      <c r="B185" t="s">
        <v>135</v>
      </c>
      <c r="C185">
        <v>22002557</v>
      </c>
      <c r="D185">
        <v>1206</v>
      </c>
      <c r="E185" s="11">
        <v>44783</v>
      </c>
      <c r="F185" t="s">
        <v>160</v>
      </c>
      <c r="G185">
        <v>2.74</v>
      </c>
      <c r="H185">
        <v>2.74</v>
      </c>
      <c r="I185" t="s">
        <v>56</v>
      </c>
      <c r="O185" t="s">
        <v>57</v>
      </c>
      <c r="Q185" t="s">
        <v>57</v>
      </c>
      <c r="R185" t="s">
        <v>137</v>
      </c>
      <c r="T185" t="s">
        <v>59</v>
      </c>
      <c r="U185" t="s">
        <v>60</v>
      </c>
      <c r="V185" t="s">
        <v>138</v>
      </c>
      <c r="W185" t="s">
        <v>139</v>
      </c>
      <c r="X185">
        <v>1930470</v>
      </c>
      <c r="Y185" s="11">
        <v>44784</v>
      </c>
      <c r="Z185" t="s">
        <v>57</v>
      </c>
      <c r="AA185">
        <v>2</v>
      </c>
      <c r="AB185" t="s">
        <v>57</v>
      </c>
      <c r="AD185" t="s">
        <v>57</v>
      </c>
      <c r="AE185" t="s">
        <v>57</v>
      </c>
      <c r="AF185" t="s">
        <v>57</v>
      </c>
      <c r="AG185">
        <v>8</v>
      </c>
      <c r="AH185" t="s">
        <v>57</v>
      </c>
      <c r="AL185" t="s">
        <v>57</v>
      </c>
      <c r="AM185" s="11">
        <v>44783</v>
      </c>
      <c r="AN185" t="s">
        <v>158</v>
      </c>
      <c r="AO185" t="s">
        <v>65</v>
      </c>
      <c r="AP185">
        <v>1206</v>
      </c>
      <c r="AQ185" t="s">
        <v>66</v>
      </c>
      <c r="AR185">
        <v>76741</v>
      </c>
      <c r="AU185" t="s">
        <v>57</v>
      </c>
      <c r="AV185" t="s">
        <v>68</v>
      </c>
      <c r="AX185" t="s">
        <v>57</v>
      </c>
      <c r="AY185">
        <v>631180</v>
      </c>
      <c r="AZ185">
        <v>1206.6311800000001</v>
      </c>
      <c r="BA185" s="23" t="s">
        <v>7</v>
      </c>
    </row>
    <row r="186" spans="1:53" x14ac:dyDescent="0.25">
      <c r="A186" t="s">
        <v>134</v>
      </c>
      <c r="B186" t="s">
        <v>135</v>
      </c>
      <c r="C186">
        <v>22002570</v>
      </c>
      <c r="D186">
        <v>1206</v>
      </c>
      <c r="E186" s="11">
        <v>44783</v>
      </c>
      <c r="F186" t="s">
        <v>159</v>
      </c>
      <c r="G186">
        <v>52.34</v>
      </c>
      <c r="H186">
        <v>52.34</v>
      </c>
      <c r="I186" t="s">
        <v>56</v>
      </c>
      <c r="O186" t="s">
        <v>57</v>
      </c>
      <c r="Q186" t="s">
        <v>57</v>
      </c>
      <c r="R186" t="s">
        <v>137</v>
      </c>
      <c r="T186" t="s">
        <v>59</v>
      </c>
      <c r="U186" t="s">
        <v>60</v>
      </c>
      <c r="V186" t="s">
        <v>138</v>
      </c>
      <c r="W186" t="s">
        <v>139</v>
      </c>
      <c r="X186">
        <v>1930579</v>
      </c>
      <c r="Y186" s="11">
        <v>44785</v>
      </c>
      <c r="Z186" t="s">
        <v>57</v>
      </c>
      <c r="AA186">
        <v>4</v>
      </c>
      <c r="AB186" t="s">
        <v>57</v>
      </c>
      <c r="AD186" t="s">
        <v>57</v>
      </c>
      <c r="AE186" t="s">
        <v>57</v>
      </c>
      <c r="AF186" t="s">
        <v>57</v>
      </c>
      <c r="AG186">
        <v>225</v>
      </c>
      <c r="AH186" t="s">
        <v>57</v>
      </c>
      <c r="AL186" t="s">
        <v>57</v>
      </c>
      <c r="AM186" s="11">
        <v>44783</v>
      </c>
      <c r="AN186" t="s">
        <v>158</v>
      </c>
      <c r="AO186" t="s">
        <v>65</v>
      </c>
      <c r="AP186">
        <v>1206</v>
      </c>
      <c r="AQ186" t="s">
        <v>66</v>
      </c>
      <c r="AR186">
        <v>79293</v>
      </c>
      <c r="AU186" t="s">
        <v>57</v>
      </c>
      <c r="AV186" t="s">
        <v>68</v>
      </c>
      <c r="AX186" t="s">
        <v>57</v>
      </c>
      <c r="AY186">
        <v>631180</v>
      </c>
      <c r="AZ186">
        <v>1206.6311800000001</v>
      </c>
      <c r="BA186" s="23" t="s">
        <v>7</v>
      </c>
    </row>
    <row r="187" spans="1:53" x14ac:dyDescent="0.25">
      <c r="A187" t="s">
        <v>134</v>
      </c>
      <c r="B187" t="s">
        <v>135</v>
      </c>
      <c r="C187">
        <v>22002570</v>
      </c>
      <c r="D187">
        <v>1206</v>
      </c>
      <c r="E187" s="11">
        <v>44783</v>
      </c>
      <c r="F187" t="s">
        <v>159</v>
      </c>
      <c r="G187">
        <v>5.91</v>
      </c>
      <c r="H187">
        <v>5.91</v>
      </c>
      <c r="I187" t="s">
        <v>56</v>
      </c>
      <c r="O187" t="s">
        <v>57</v>
      </c>
      <c r="Q187" t="s">
        <v>57</v>
      </c>
      <c r="R187" t="s">
        <v>137</v>
      </c>
      <c r="T187" t="s">
        <v>59</v>
      </c>
      <c r="U187" t="s">
        <v>60</v>
      </c>
      <c r="V187" t="s">
        <v>138</v>
      </c>
      <c r="W187" t="s">
        <v>139</v>
      </c>
      <c r="X187">
        <v>1930579</v>
      </c>
      <c r="Y187" s="11">
        <v>44785</v>
      </c>
      <c r="Z187" t="s">
        <v>57</v>
      </c>
      <c r="AA187">
        <v>6</v>
      </c>
      <c r="AB187" t="s">
        <v>57</v>
      </c>
      <c r="AD187" t="s">
        <v>57</v>
      </c>
      <c r="AE187" t="s">
        <v>57</v>
      </c>
      <c r="AF187" t="s">
        <v>57</v>
      </c>
      <c r="AG187">
        <v>3</v>
      </c>
      <c r="AH187" t="s">
        <v>57</v>
      </c>
      <c r="AL187" t="s">
        <v>57</v>
      </c>
      <c r="AM187" s="11">
        <v>44783</v>
      </c>
      <c r="AN187" t="s">
        <v>158</v>
      </c>
      <c r="AO187" t="s">
        <v>65</v>
      </c>
      <c r="AP187">
        <v>1206</v>
      </c>
      <c r="AQ187" t="s">
        <v>66</v>
      </c>
      <c r="AR187">
        <v>79296</v>
      </c>
      <c r="AU187" t="s">
        <v>57</v>
      </c>
      <c r="AV187" t="s">
        <v>68</v>
      </c>
      <c r="AX187" t="s">
        <v>57</v>
      </c>
      <c r="AY187">
        <v>631180</v>
      </c>
      <c r="AZ187">
        <v>1206.6311800000001</v>
      </c>
      <c r="BA187" s="23" t="s">
        <v>7</v>
      </c>
    </row>
    <row r="188" spans="1:53" x14ac:dyDescent="0.25">
      <c r="A188" t="s">
        <v>134</v>
      </c>
      <c r="B188" t="s">
        <v>135</v>
      </c>
      <c r="C188">
        <v>22002570</v>
      </c>
      <c r="D188">
        <v>1206</v>
      </c>
      <c r="E188" s="11">
        <v>44783</v>
      </c>
      <c r="F188" t="s">
        <v>159</v>
      </c>
      <c r="G188">
        <v>33.44</v>
      </c>
      <c r="H188">
        <v>33.44</v>
      </c>
      <c r="I188" t="s">
        <v>56</v>
      </c>
      <c r="O188" t="s">
        <v>57</v>
      </c>
      <c r="Q188" t="s">
        <v>57</v>
      </c>
      <c r="R188" t="s">
        <v>137</v>
      </c>
      <c r="T188" t="s">
        <v>59</v>
      </c>
      <c r="U188" t="s">
        <v>60</v>
      </c>
      <c r="V188" t="s">
        <v>138</v>
      </c>
      <c r="W188" t="s">
        <v>139</v>
      </c>
      <c r="X188">
        <v>1930579</v>
      </c>
      <c r="Y188" s="11">
        <v>44785</v>
      </c>
      <c r="Z188" t="s">
        <v>57</v>
      </c>
      <c r="AA188">
        <v>8</v>
      </c>
      <c r="AB188" t="s">
        <v>57</v>
      </c>
      <c r="AD188" t="s">
        <v>57</v>
      </c>
      <c r="AE188" t="s">
        <v>57</v>
      </c>
      <c r="AF188" t="s">
        <v>57</v>
      </c>
      <c r="AG188">
        <v>42</v>
      </c>
      <c r="AH188" t="s">
        <v>57</v>
      </c>
      <c r="AL188" t="s">
        <v>57</v>
      </c>
      <c r="AM188" s="11">
        <v>44783</v>
      </c>
      <c r="AN188" t="s">
        <v>158</v>
      </c>
      <c r="AO188" t="s">
        <v>65</v>
      </c>
      <c r="AP188">
        <v>1206</v>
      </c>
      <c r="AQ188" t="s">
        <v>66</v>
      </c>
      <c r="AR188">
        <v>79303</v>
      </c>
      <c r="AU188" t="s">
        <v>57</v>
      </c>
      <c r="AV188" t="s">
        <v>68</v>
      </c>
      <c r="AX188" t="s">
        <v>57</v>
      </c>
      <c r="AY188">
        <v>631180</v>
      </c>
      <c r="AZ188">
        <v>1206.6311800000001</v>
      </c>
      <c r="BA188" s="23" t="s">
        <v>7</v>
      </c>
    </row>
    <row r="189" spans="1:53" x14ac:dyDescent="0.25">
      <c r="A189" t="s">
        <v>134</v>
      </c>
      <c r="B189" t="s">
        <v>135</v>
      </c>
      <c r="C189">
        <v>22002570</v>
      </c>
      <c r="D189">
        <v>1206</v>
      </c>
      <c r="E189" s="11">
        <v>44783</v>
      </c>
      <c r="F189" t="s">
        <v>159</v>
      </c>
      <c r="G189">
        <v>24.23</v>
      </c>
      <c r="H189">
        <v>24.23</v>
      </c>
      <c r="I189" t="s">
        <v>56</v>
      </c>
      <c r="O189" t="s">
        <v>57</v>
      </c>
      <c r="Q189" t="s">
        <v>57</v>
      </c>
      <c r="R189" t="s">
        <v>137</v>
      </c>
      <c r="T189" t="s">
        <v>59</v>
      </c>
      <c r="U189" t="s">
        <v>60</v>
      </c>
      <c r="V189" t="s">
        <v>138</v>
      </c>
      <c r="W189" t="s">
        <v>139</v>
      </c>
      <c r="X189">
        <v>1930579</v>
      </c>
      <c r="Y189" s="11">
        <v>44785</v>
      </c>
      <c r="Z189" t="s">
        <v>57</v>
      </c>
      <c r="AA189">
        <v>2</v>
      </c>
      <c r="AB189" t="s">
        <v>57</v>
      </c>
      <c r="AD189" t="s">
        <v>57</v>
      </c>
      <c r="AE189" t="s">
        <v>57</v>
      </c>
      <c r="AF189" t="s">
        <v>57</v>
      </c>
      <c r="AG189">
        <v>40</v>
      </c>
      <c r="AH189" t="s">
        <v>57</v>
      </c>
      <c r="AL189" t="s">
        <v>57</v>
      </c>
      <c r="AM189" s="11">
        <v>44783</v>
      </c>
      <c r="AN189" t="s">
        <v>158</v>
      </c>
      <c r="AO189" t="s">
        <v>65</v>
      </c>
      <c r="AP189">
        <v>1206</v>
      </c>
      <c r="AQ189" t="s">
        <v>66</v>
      </c>
      <c r="AR189">
        <v>220249</v>
      </c>
      <c r="AU189" t="s">
        <v>57</v>
      </c>
      <c r="AV189" t="s">
        <v>68</v>
      </c>
      <c r="AX189" t="s">
        <v>57</v>
      </c>
      <c r="AY189">
        <v>631180</v>
      </c>
      <c r="AZ189">
        <v>1206.6311800000001</v>
      </c>
      <c r="BA189" s="23" t="s">
        <v>7</v>
      </c>
    </row>
    <row r="190" spans="1:53" x14ac:dyDescent="0.25">
      <c r="A190" t="s">
        <v>134</v>
      </c>
      <c r="B190" t="s">
        <v>135</v>
      </c>
      <c r="C190">
        <v>22002558</v>
      </c>
      <c r="D190">
        <v>1206</v>
      </c>
      <c r="E190" s="11">
        <v>44784</v>
      </c>
      <c r="F190" t="s">
        <v>162</v>
      </c>
      <c r="G190">
        <v>3.26</v>
      </c>
      <c r="H190">
        <v>3.26</v>
      </c>
      <c r="I190" t="s">
        <v>56</v>
      </c>
      <c r="O190" t="s">
        <v>57</v>
      </c>
      <c r="Q190" t="s">
        <v>57</v>
      </c>
      <c r="R190" t="s">
        <v>137</v>
      </c>
      <c r="T190" t="s">
        <v>59</v>
      </c>
      <c r="U190" t="s">
        <v>60</v>
      </c>
      <c r="V190" t="s">
        <v>138</v>
      </c>
      <c r="W190" t="s">
        <v>139</v>
      </c>
      <c r="X190">
        <v>1930471</v>
      </c>
      <c r="Y190" s="11">
        <v>44784</v>
      </c>
      <c r="Z190" t="s">
        <v>57</v>
      </c>
      <c r="AA190">
        <v>2</v>
      </c>
      <c r="AB190" t="s">
        <v>57</v>
      </c>
      <c r="AD190" t="s">
        <v>57</v>
      </c>
      <c r="AE190" t="s">
        <v>57</v>
      </c>
      <c r="AF190" t="s">
        <v>57</v>
      </c>
      <c r="AG190">
        <v>6</v>
      </c>
      <c r="AH190" t="s">
        <v>57</v>
      </c>
      <c r="AL190" t="s">
        <v>57</v>
      </c>
      <c r="AM190" s="11">
        <v>44784</v>
      </c>
      <c r="AN190" t="s">
        <v>158</v>
      </c>
      <c r="AO190" t="s">
        <v>65</v>
      </c>
      <c r="AP190">
        <v>1206</v>
      </c>
      <c r="AQ190" t="s">
        <v>66</v>
      </c>
      <c r="AR190">
        <v>79280</v>
      </c>
      <c r="AU190" t="s">
        <v>57</v>
      </c>
      <c r="AV190" t="s">
        <v>68</v>
      </c>
      <c r="AX190" t="s">
        <v>57</v>
      </c>
      <c r="AY190">
        <v>631180</v>
      </c>
      <c r="AZ190">
        <v>1206.6311800000001</v>
      </c>
      <c r="BA190" s="23" t="s">
        <v>7</v>
      </c>
    </row>
    <row r="191" spans="1:53" x14ac:dyDescent="0.25">
      <c r="A191" t="s">
        <v>134</v>
      </c>
      <c r="B191" t="s">
        <v>135</v>
      </c>
      <c r="C191">
        <v>22002559</v>
      </c>
      <c r="D191">
        <v>1206</v>
      </c>
      <c r="E191" s="11">
        <v>44784</v>
      </c>
      <c r="F191" t="s">
        <v>160</v>
      </c>
      <c r="G191">
        <v>5.47</v>
      </c>
      <c r="H191">
        <v>5.47</v>
      </c>
      <c r="I191" t="s">
        <v>56</v>
      </c>
      <c r="O191" t="s">
        <v>57</v>
      </c>
      <c r="Q191" t="s">
        <v>57</v>
      </c>
      <c r="R191" t="s">
        <v>137</v>
      </c>
      <c r="T191" t="s">
        <v>59</v>
      </c>
      <c r="U191" t="s">
        <v>60</v>
      </c>
      <c r="V191" t="s">
        <v>138</v>
      </c>
      <c r="W191" t="s">
        <v>139</v>
      </c>
      <c r="X191">
        <v>1930473</v>
      </c>
      <c r="Y191" s="11">
        <v>44784</v>
      </c>
      <c r="Z191" t="s">
        <v>57</v>
      </c>
      <c r="AA191">
        <v>2</v>
      </c>
      <c r="AB191" t="s">
        <v>57</v>
      </c>
      <c r="AD191" t="s">
        <v>57</v>
      </c>
      <c r="AE191" t="s">
        <v>57</v>
      </c>
      <c r="AF191" t="s">
        <v>57</v>
      </c>
      <c r="AG191">
        <v>16</v>
      </c>
      <c r="AH191" t="s">
        <v>57</v>
      </c>
      <c r="AL191" t="s">
        <v>57</v>
      </c>
      <c r="AM191" s="11">
        <v>44784</v>
      </c>
      <c r="AN191" t="s">
        <v>158</v>
      </c>
      <c r="AO191" t="s">
        <v>65</v>
      </c>
      <c r="AP191">
        <v>1206</v>
      </c>
      <c r="AQ191" t="s">
        <v>66</v>
      </c>
      <c r="AR191">
        <v>76741</v>
      </c>
      <c r="AU191" t="s">
        <v>57</v>
      </c>
      <c r="AV191" t="s">
        <v>68</v>
      </c>
      <c r="AX191" t="s">
        <v>57</v>
      </c>
      <c r="AY191">
        <v>631180</v>
      </c>
      <c r="AZ191">
        <v>1206.6311800000001</v>
      </c>
      <c r="BA191" s="23" t="s">
        <v>7</v>
      </c>
    </row>
    <row r="192" spans="1:53" x14ac:dyDescent="0.25">
      <c r="A192" t="s">
        <v>134</v>
      </c>
      <c r="B192" t="s">
        <v>135</v>
      </c>
      <c r="C192">
        <v>22002571</v>
      </c>
      <c r="D192">
        <v>1206</v>
      </c>
      <c r="E192" s="11">
        <v>44785</v>
      </c>
      <c r="F192" t="s">
        <v>159</v>
      </c>
      <c r="G192">
        <v>12.11</v>
      </c>
      <c r="H192">
        <v>12.11</v>
      </c>
      <c r="I192" t="s">
        <v>56</v>
      </c>
      <c r="O192" t="s">
        <v>57</v>
      </c>
      <c r="Q192" t="s">
        <v>57</v>
      </c>
      <c r="R192" t="s">
        <v>137</v>
      </c>
      <c r="T192" t="s">
        <v>59</v>
      </c>
      <c r="U192" t="s">
        <v>60</v>
      </c>
      <c r="V192" t="s">
        <v>138</v>
      </c>
      <c r="W192" t="s">
        <v>139</v>
      </c>
      <c r="X192">
        <v>1930581</v>
      </c>
      <c r="Y192" s="11">
        <v>44785</v>
      </c>
      <c r="Z192" t="s">
        <v>57</v>
      </c>
      <c r="AA192">
        <v>2</v>
      </c>
      <c r="AB192" t="s">
        <v>57</v>
      </c>
      <c r="AD192" t="s">
        <v>57</v>
      </c>
      <c r="AE192" t="s">
        <v>57</v>
      </c>
      <c r="AF192" t="s">
        <v>57</v>
      </c>
      <c r="AG192">
        <v>20</v>
      </c>
      <c r="AH192" t="s">
        <v>57</v>
      </c>
      <c r="AL192" t="s">
        <v>57</v>
      </c>
      <c r="AM192" s="11">
        <v>44785</v>
      </c>
      <c r="AN192" t="s">
        <v>158</v>
      </c>
      <c r="AO192" t="s">
        <v>65</v>
      </c>
      <c r="AP192">
        <v>1206</v>
      </c>
      <c r="AQ192" t="s">
        <v>66</v>
      </c>
      <c r="AR192">
        <v>220249</v>
      </c>
      <c r="AU192" t="s">
        <v>57</v>
      </c>
      <c r="AV192" t="s">
        <v>68</v>
      </c>
      <c r="AX192" t="s">
        <v>57</v>
      </c>
      <c r="AY192">
        <v>631180</v>
      </c>
      <c r="AZ192">
        <v>1206.6311800000001</v>
      </c>
      <c r="BA192" s="23" t="s">
        <v>7</v>
      </c>
    </row>
    <row r="193" spans="1:53" x14ac:dyDescent="0.25">
      <c r="A193" t="s">
        <v>134</v>
      </c>
      <c r="B193" t="s">
        <v>135</v>
      </c>
      <c r="C193">
        <v>22002571</v>
      </c>
      <c r="D193">
        <v>1206</v>
      </c>
      <c r="E193" s="11">
        <v>44785</v>
      </c>
      <c r="F193" t="s">
        <v>159</v>
      </c>
      <c r="G193">
        <v>16.72</v>
      </c>
      <c r="H193">
        <v>16.72</v>
      </c>
      <c r="I193" t="s">
        <v>56</v>
      </c>
      <c r="O193" t="s">
        <v>57</v>
      </c>
      <c r="Q193" t="s">
        <v>57</v>
      </c>
      <c r="R193" t="s">
        <v>137</v>
      </c>
      <c r="T193" t="s">
        <v>59</v>
      </c>
      <c r="U193" t="s">
        <v>60</v>
      </c>
      <c r="V193" t="s">
        <v>138</v>
      </c>
      <c r="W193" t="s">
        <v>139</v>
      </c>
      <c r="X193">
        <v>1930581</v>
      </c>
      <c r="Y193" s="11">
        <v>44785</v>
      </c>
      <c r="Z193" t="s">
        <v>57</v>
      </c>
      <c r="AA193">
        <v>4</v>
      </c>
      <c r="AB193" t="s">
        <v>57</v>
      </c>
      <c r="AD193" t="s">
        <v>57</v>
      </c>
      <c r="AE193" t="s">
        <v>57</v>
      </c>
      <c r="AF193" t="s">
        <v>57</v>
      </c>
      <c r="AG193">
        <v>21</v>
      </c>
      <c r="AH193" t="s">
        <v>57</v>
      </c>
      <c r="AL193" t="s">
        <v>57</v>
      </c>
      <c r="AM193" s="11">
        <v>44785</v>
      </c>
      <c r="AN193" t="s">
        <v>158</v>
      </c>
      <c r="AO193" t="s">
        <v>65</v>
      </c>
      <c r="AP193">
        <v>1206</v>
      </c>
      <c r="AQ193" t="s">
        <v>66</v>
      </c>
      <c r="AR193">
        <v>79303</v>
      </c>
      <c r="AU193" t="s">
        <v>57</v>
      </c>
      <c r="AV193" t="s">
        <v>68</v>
      </c>
      <c r="AX193" t="s">
        <v>57</v>
      </c>
      <c r="AY193">
        <v>631180</v>
      </c>
      <c r="AZ193">
        <v>1206.6311800000001</v>
      </c>
      <c r="BA193" s="23" t="s">
        <v>7</v>
      </c>
    </row>
    <row r="194" spans="1:53" x14ac:dyDescent="0.25">
      <c r="A194" t="s">
        <v>134</v>
      </c>
      <c r="B194" t="s">
        <v>135</v>
      </c>
      <c r="C194">
        <v>22002580</v>
      </c>
      <c r="D194">
        <v>1206</v>
      </c>
      <c r="E194" s="11">
        <v>44788</v>
      </c>
      <c r="F194" t="s">
        <v>160</v>
      </c>
      <c r="G194">
        <v>2.74</v>
      </c>
      <c r="H194">
        <v>2.74</v>
      </c>
      <c r="I194" t="s">
        <v>56</v>
      </c>
      <c r="O194" t="s">
        <v>57</v>
      </c>
      <c r="Q194" t="s">
        <v>57</v>
      </c>
      <c r="R194" t="s">
        <v>137</v>
      </c>
      <c r="T194" t="s">
        <v>59</v>
      </c>
      <c r="U194" t="s">
        <v>60</v>
      </c>
      <c r="V194" t="s">
        <v>138</v>
      </c>
      <c r="W194" t="s">
        <v>139</v>
      </c>
      <c r="X194">
        <v>1932945</v>
      </c>
      <c r="Y194" s="11">
        <v>44789</v>
      </c>
      <c r="Z194" t="s">
        <v>57</v>
      </c>
      <c r="AA194">
        <v>2</v>
      </c>
      <c r="AB194" t="s">
        <v>57</v>
      </c>
      <c r="AD194" t="s">
        <v>57</v>
      </c>
      <c r="AE194" t="s">
        <v>57</v>
      </c>
      <c r="AF194" t="s">
        <v>57</v>
      </c>
      <c r="AG194">
        <v>8</v>
      </c>
      <c r="AH194" t="s">
        <v>57</v>
      </c>
      <c r="AL194" t="s">
        <v>57</v>
      </c>
      <c r="AM194" s="11">
        <v>44788</v>
      </c>
      <c r="AN194" t="s">
        <v>158</v>
      </c>
      <c r="AO194" t="s">
        <v>65</v>
      </c>
      <c r="AP194">
        <v>1206</v>
      </c>
      <c r="AQ194" t="s">
        <v>66</v>
      </c>
      <c r="AR194">
        <v>76741</v>
      </c>
      <c r="AU194" t="s">
        <v>57</v>
      </c>
      <c r="AV194" t="s">
        <v>68</v>
      </c>
      <c r="AX194" t="s">
        <v>57</v>
      </c>
      <c r="AY194">
        <v>631180</v>
      </c>
      <c r="AZ194">
        <v>1206.6311800000001</v>
      </c>
      <c r="BA194" s="23" t="s">
        <v>7</v>
      </c>
    </row>
    <row r="195" spans="1:53" x14ac:dyDescent="0.25">
      <c r="A195" t="s">
        <v>134</v>
      </c>
      <c r="B195" t="s">
        <v>135</v>
      </c>
      <c r="C195">
        <v>22002581</v>
      </c>
      <c r="D195">
        <v>1206</v>
      </c>
      <c r="E195" s="11">
        <v>44788</v>
      </c>
      <c r="F195" t="s">
        <v>162</v>
      </c>
      <c r="G195">
        <v>3.26</v>
      </c>
      <c r="H195">
        <v>3.26</v>
      </c>
      <c r="I195" t="s">
        <v>56</v>
      </c>
      <c r="O195" t="s">
        <v>57</v>
      </c>
      <c r="Q195" t="s">
        <v>57</v>
      </c>
      <c r="R195" t="s">
        <v>137</v>
      </c>
      <c r="T195" t="s">
        <v>59</v>
      </c>
      <c r="U195" t="s">
        <v>60</v>
      </c>
      <c r="V195" t="s">
        <v>138</v>
      </c>
      <c r="W195" t="s">
        <v>139</v>
      </c>
      <c r="X195">
        <v>1932947</v>
      </c>
      <c r="Y195" s="11">
        <v>44789</v>
      </c>
      <c r="Z195" t="s">
        <v>57</v>
      </c>
      <c r="AA195">
        <v>2</v>
      </c>
      <c r="AB195" t="s">
        <v>57</v>
      </c>
      <c r="AD195" t="s">
        <v>57</v>
      </c>
      <c r="AE195" t="s">
        <v>57</v>
      </c>
      <c r="AF195" t="s">
        <v>57</v>
      </c>
      <c r="AG195">
        <v>6</v>
      </c>
      <c r="AH195" t="s">
        <v>57</v>
      </c>
      <c r="AL195" t="s">
        <v>57</v>
      </c>
      <c r="AM195" s="11">
        <v>44788</v>
      </c>
      <c r="AN195" t="s">
        <v>158</v>
      </c>
      <c r="AO195" t="s">
        <v>65</v>
      </c>
      <c r="AP195">
        <v>1206</v>
      </c>
      <c r="AQ195" t="s">
        <v>66</v>
      </c>
      <c r="AR195">
        <v>79280</v>
      </c>
      <c r="AU195" t="s">
        <v>57</v>
      </c>
      <c r="AV195" t="s">
        <v>68</v>
      </c>
      <c r="AX195" t="s">
        <v>57</v>
      </c>
      <c r="AY195">
        <v>631180</v>
      </c>
      <c r="AZ195">
        <v>1206.6311800000001</v>
      </c>
      <c r="BA195" s="23" t="s">
        <v>7</v>
      </c>
    </row>
    <row r="196" spans="1:53" x14ac:dyDescent="0.25">
      <c r="A196" t="s">
        <v>134</v>
      </c>
      <c r="B196" t="s">
        <v>135</v>
      </c>
      <c r="C196">
        <v>22002595</v>
      </c>
      <c r="D196">
        <v>1206</v>
      </c>
      <c r="E196" s="11">
        <v>44788</v>
      </c>
      <c r="F196" t="s">
        <v>159</v>
      </c>
      <c r="G196">
        <v>52.34</v>
      </c>
      <c r="H196">
        <v>52.34</v>
      </c>
      <c r="I196" t="s">
        <v>56</v>
      </c>
      <c r="O196" t="s">
        <v>57</v>
      </c>
      <c r="Q196" t="s">
        <v>57</v>
      </c>
      <c r="R196" t="s">
        <v>137</v>
      </c>
      <c r="T196" t="s">
        <v>59</v>
      </c>
      <c r="U196" t="s">
        <v>60</v>
      </c>
      <c r="V196" t="s">
        <v>138</v>
      </c>
      <c r="W196" t="s">
        <v>139</v>
      </c>
      <c r="X196">
        <v>1933566</v>
      </c>
      <c r="Y196" s="11">
        <v>44792</v>
      </c>
      <c r="Z196" t="s">
        <v>57</v>
      </c>
      <c r="AA196">
        <v>2</v>
      </c>
      <c r="AB196" t="s">
        <v>57</v>
      </c>
      <c r="AD196" t="s">
        <v>57</v>
      </c>
      <c r="AE196" t="s">
        <v>57</v>
      </c>
      <c r="AF196" t="s">
        <v>57</v>
      </c>
      <c r="AG196">
        <v>225</v>
      </c>
      <c r="AH196" t="s">
        <v>57</v>
      </c>
      <c r="AL196" t="s">
        <v>57</v>
      </c>
      <c r="AM196" s="11">
        <v>44788</v>
      </c>
      <c r="AN196" t="s">
        <v>158</v>
      </c>
      <c r="AO196" t="s">
        <v>65</v>
      </c>
      <c r="AP196">
        <v>1206</v>
      </c>
      <c r="AQ196" t="s">
        <v>66</v>
      </c>
      <c r="AR196">
        <v>79293</v>
      </c>
      <c r="AU196" t="s">
        <v>57</v>
      </c>
      <c r="AV196" t="s">
        <v>68</v>
      </c>
      <c r="AX196" t="s">
        <v>57</v>
      </c>
      <c r="AY196">
        <v>631180</v>
      </c>
      <c r="AZ196">
        <v>1206.6311800000001</v>
      </c>
      <c r="BA196" s="23" t="s">
        <v>7</v>
      </c>
    </row>
    <row r="197" spans="1:53" x14ac:dyDescent="0.25">
      <c r="A197" t="s">
        <v>134</v>
      </c>
      <c r="B197" t="s">
        <v>135</v>
      </c>
      <c r="C197">
        <v>22002595</v>
      </c>
      <c r="D197">
        <v>1206</v>
      </c>
      <c r="E197" s="11">
        <v>44788</v>
      </c>
      <c r="F197" t="s">
        <v>159</v>
      </c>
      <c r="G197">
        <v>33.44</v>
      </c>
      <c r="H197">
        <v>33.44</v>
      </c>
      <c r="I197" t="s">
        <v>56</v>
      </c>
      <c r="O197" t="s">
        <v>57</v>
      </c>
      <c r="Q197" t="s">
        <v>57</v>
      </c>
      <c r="R197" t="s">
        <v>137</v>
      </c>
      <c r="T197" t="s">
        <v>59</v>
      </c>
      <c r="U197" t="s">
        <v>60</v>
      </c>
      <c r="V197" t="s">
        <v>138</v>
      </c>
      <c r="W197" t="s">
        <v>139</v>
      </c>
      <c r="X197">
        <v>1933566</v>
      </c>
      <c r="Y197" s="11">
        <v>44792</v>
      </c>
      <c r="Z197" t="s">
        <v>57</v>
      </c>
      <c r="AA197">
        <v>4</v>
      </c>
      <c r="AB197" t="s">
        <v>57</v>
      </c>
      <c r="AD197" t="s">
        <v>57</v>
      </c>
      <c r="AE197" t="s">
        <v>57</v>
      </c>
      <c r="AF197" t="s">
        <v>57</v>
      </c>
      <c r="AG197">
        <v>42</v>
      </c>
      <c r="AH197" t="s">
        <v>57</v>
      </c>
      <c r="AL197" t="s">
        <v>57</v>
      </c>
      <c r="AM197" s="11">
        <v>44788</v>
      </c>
      <c r="AN197" t="s">
        <v>158</v>
      </c>
      <c r="AO197" t="s">
        <v>65</v>
      </c>
      <c r="AP197">
        <v>1206</v>
      </c>
      <c r="AQ197" t="s">
        <v>66</v>
      </c>
      <c r="AR197">
        <v>79303</v>
      </c>
      <c r="AU197" t="s">
        <v>57</v>
      </c>
      <c r="AV197" t="s">
        <v>68</v>
      </c>
      <c r="AX197" t="s">
        <v>57</v>
      </c>
      <c r="AY197">
        <v>631180</v>
      </c>
      <c r="AZ197">
        <v>1206.6311800000001</v>
      </c>
      <c r="BA197" s="23" t="s">
        <v>7</v>
      </c>
    </row>
    <row r="198" spans="1:53" x14ac:dyDescent="0.25">
      <c r="A198" t="s">
        <v>134</v>
      </c>
      <c r="B198" t="s">
        <v>135</v>
      </c>
      <c r="C198">
        <v>22002595</v>
      </c>
      <c r="D198">
        <v>1206</v>
      </c>
      <c r="E198" s="11">
        <v>44788</v>
      </c>
      <c r="F198" t="s">
        <v>159</v>
      </c>
      <c r="G198">
        <v>5.91</v>
      </c>
      <c r="H198">
        <v>5.91</v>
      </c>
      <c r="I198" t="s">
        <v>56</v>
      </c>
      <c r="O198" t="s">
        <v>57</v>
      </c>
      <c r="Q198" t="s">
        <v>57</v>
      </c>
      <c r="R198" t="s">
        <v>137</v>
      </c>
      <c r="T198" t="s">
        <v>59</v>
      </c>
      <c r="U198" t="s">
        <v>60</v>
      </c>
      <c r="V198" t="s">
        <v>138</v>
      </c>
      <c r="W198" t="s">
        <v>139</v>
      </c>
      <c r="X198">
        <v>1933566</v>
      </c>
      <c r="Y198" s="11">
        <v>44792</v>
      </c>
      <c r="Z198" t="s">
        <v>57</v>
      </c>
      <c r="AA198">
        <v>6</v>
      </c>
      <c r="AB198" t="s">
        <v>57</v>
      </c>
      <c r="AD198" t="s">
        <v>57</v>
      </c>
      <c r="AE198" t="s">
        <v>57</v>
      </c>
      <c r="AF198" t="s">
        <v>57</v>
      </c>
      <c r="AG198">
        <v>3</v>
      </c>
      <c r="AH198" t="s">
        <v>57</v>
      </c>
      <c r="AL198" t="s">
        <v>57</v>
      </c>
      <c r="AM198" s="11">
        <v>44788</v>
      </c>
      <c r="AN198" t="s">
        <v>158</v>
      </c>
      <c r="AO198" t="s">
        <v>65</v>
      </c>
      <c r="AP198">
        <v>1206</v>
      </c>
      <c r="AQ198" t="s">
        <v>66</v>
      </c>
      <c r="AR198">
        <v>79296</v>
      </c>
      <c r="AU198" t="s">
        <v>57</v>
      </c>
      <c r="AV198" t="s">
        <v>68</v>
      </c>
      <c r="AX198" t="s">
        <v>57</v>
      </c>
      <c r="AY198">
        <v>631180</v>
      </c>
      <c r="AZ198">
        <v>1206.6311800000001</v>
      </c>
      <c r="BA198" s="23" t="s">
        <v>7</v>
      </c>
    </row>
    <row r="199" spans="1:53" x14ac:dyDescent="0.25">
      <c r="A199" t="s">
        <v>134</v>
      </c>
      <c r="B199" t="s">
        <v>135</v>
      </c>
      <c r="C199">
        <v>22002595</v>
      </c>
      <c r="D199">
        <v>1206</v>
      </c>
      <c r="E199" s="11">
        <v>44788</v>
      </c>
      <c r="F199" t="s">
        <v>159</v>
      </c>
      <c r="G199">
        <v>103.66</v>
      </c>
      <c r="H199">
        <v>103.66</v>
      </c>
      <c r="I199" t="s">
        <v>56</v>
      </c>
      <c r="O199" t="s">
        <v>57</v>
      </c>
      <c r="Q199" t="s">
        <v>57</v>
      </c>
      <c r="R199" t="s">
        <v>137</v>
      </c>
      <c r="T199" t="s">
        <v>59</v>
      </c>
      <c r="U199" t="s">
        <v>60</v>
      </c>
      <c r="V199" t="s">
        <v>138</v>
      </c>
      <c r="W199" t="s">
        <v>139</v>
      </c>
      <c r="X199">
        <v>1933566</v>
      </c>
      <c r="Y199" s="11">
        <v>44792</v>
      </c>
      <c r="Z199" t="s">
        <v>57</v>
      </c>
      <c r="AA199">
        <v>8</v>
      </c>
      <c r="AB199" t="s">
        <v>57</v>
      </c>
      <c r="AD199" t="s">
        <v>57</v>
      </c>
      <c r="AE199" t="s">
        <v>57</v>
      </c>
      <c r="AF199" t="s">
        <v>57</v>
      </c>
      <c r="AG199">
        <v>44.55</v>
      </c>
      <c r="AH199" t="s">
        <v>57</v>
      </c>
      <c r="AL199" t="s">
        <v>57</v>
      </c>
      <c r="AM199" s="11">
        <v>44788</v>
      </c>
      <c r="AN199" t="s">
        <v>158</v>
      </c>
      <c r="AO199" t="s">
        <v>65</v>
      </c>
      <c r="AP199">
        <v>1206</v>
      </c>
      <c r="AQ199" t="s">
        <v>66</v>
      </c>
      <c r="AR199">
        <v>149711</v>
      </c>
      <c r="AU199" t="s">
        <v>57</v>
      </c>
      <c r="AV199" t="s">
        <v>68</v>
      </c>
      <c r="AX199" t="s">
        <v>57</v>
      </c>
      <c r="AY199">
        <v>631180</v>
      </c>
      <c r="AZ199">
        <v>1206.6311800000001</v>
      </c>
      <c r="BA199" s="23" t="s">
        <v>7</v>
      </c>
    </row>
    <row r="200" spans="1:53" x14ac:dyDescent="0.25">
      <c r="A200" t="s">
        <v>134</v>
      </c>
      <c r="B200" t="s">
        <v>135</v>
      </c>
      <c r="C200">
        <v>22002595</v>
      </c>
      <c r="D200">
        <v>1206</v>
      </c>
      <c r="E200" s="11">
        <v>44788</v>
      </c>
      <c r="F200" t="s">
        <v>159</v>
      </c>
      <c r="G200">
        <v>24.23</v>
      </c>
      <c r="H200">
        <v>24.23</v>
      </c>
      <c r="I200" t="s">
        <v>56</v>
      </c>
      <c r="O200" t="s">
        <v>57</v>
      </c>
      <c r="Q200" t="s">
        <v>57</v>
      </c>
      <c r="R200" t="s">
        <v>137</v>
      </c>
      <c r="T200" t="s">
        <v>59</v>
      </c>
      <c r="U200" t="s">
        <v>60</v>
      </c>
      <c r="V200" t="s">
        <v>138</v>
      </c>
      <c r="W200" t="s">
        <v>139</v>
      </c>
      <c r="X200">
        <v>1933566</v>
      </c>
      <c r="Y200" s="11">
        <v>44792</v>
      </c>
      <c r="Z200" t="s">
        <v>57</v>
      </c>
      <c r="AA200">
        <v>10</v>
      </c>
      <c r="AB200" t="s">
        <v>57</v>
      </c>
      <c r="AD200" t="s">
        <v>57</v>
      </c>
      <c r="AE200" t="s">
        <v>57</v>
      </c>
      <c r="AF200" t="s">
        <v>57</v>
      </c>
      <c r="AG200">
        <v>40</v>
      </c>
      <c r="AH200" t="s">
        <v>57</v>
      </c>
      <c r="AL200" t="s">
        <v>57</v>
      </c>
      <c r="AM200" s="11">
        <v>44788</v>
      </c>
      <c r="AN200" t="s">
        <v>158</v>
      </c>
      <c r="AO200" t="s">
        <v>65</v>
      </c>
      <c r="AP200">
        <v>1206</v>
      </c>
      <c r="AQ200" t="s">
        <v>66</v>
      </c>
      <c r="AR200">
        <v>220249</v>
      </c>
      <c r="AU200" t="s">
        <v>57</v>
      </c>
      <c r="AV200" t="s">
        <v>68</v>
      </c>
      <c r="AX200" t="s">
        <v>57</v>
      </c>
      <c r="AY200">
        <v>631180</v>
      </c>
      <c r="AZ200">
        <v>1206.6311800000001</v>
      </c>
      <c r="BA200" s="23" t="s">
        <v>7</v>
      </c>
    </row>
    <row r="201" spans="1:53" x14ac:dyDescent="0.25">
      <c r="A201" t="s">
        <v>134</v>
      </c>
      <c r="B201" t="s">
        <v>135</v>
      </c>
      <c r="C201">
        <v>22002582</v>
      </c>
      <c r="D201">
        <v>1206</v>
      </c>
      <c r="E201" s="11">
        <v>44789</v>
      </c>
      <c r="F201" t="s">
        <v>160</v>
      </c>
      <c r="G201">
        <v>2.74</v>
      </c>
      <c r="H201">
        <v>2.74</v>
      </c>
      <c r="I201" t="s">
        <v>56</v>
      </c>
      <c r="O201" t="s">
        <v>57</v>
      </c>
      <c r="Q201" t="s">
        <v>57</v>
      </c>
      <c r="R201" t="s">
        <v>137</v>
      </c>
      <c r="T201" t="s">
        <v>59</v>
      </c>
      <c r="U201" t="s">
        <v>60</v>
      </c>
      <c r="V201" t="s">
        <v>138</v>
      </c>
      <c r="W201" t="s">
        <v>139</v>
      </c>
      <c r="X201">
        <v>1932950</v>
      </c>
      <c r="Y201" s="11">
        <v>44789</v>
      </c>
      <c r="Z201" t="s">
        <v>57</v>
      </c>
      <c r="AA201">
        <v>2</v>
      </c>
      <c r="AB201" t="s">
        <v>57</v>
      </c>
      <c r="AD201" t="s">
        <v>57</v>
      </c>
      <c r="AE201" t="s">
        <v>57</v>
      </c>
      <c r="AF201" t="s">
        <v>57</v>
      </c>
      <c r="AG201">
        <v>8</v>
      </c>
      <c r="AH201" t="s">
        <v>57</v>
      </c>
      <c r="AL201" t="s">
        <v>57</v>
      </c>
      <c r="AM201" s="11">
        <v>44789</v>
      </c>
      <c r="AN201" t="s">
        <v>158</v>
      </c>
      <c r="AO201" t="s">
        <v>65</v>
      </c>
      <c r="AP201">
        <v>1206</v>
      </c>
      <c r="AQ201" t="s">
        <v>66</v>
      </c>
      <c r="AR201">
        <v>76741</v>
      </c>
      <c r="AU201" t="s">
        <v>57</v>
      </c>
      <c r="AV201" t="s">
        <v>68</v>
      </c>
      <c r="AX201" t="s">
        <v>57</v>
      </c>
      <c r="AY201">
        <v>631180</v>
      </c>
      <c r="AZ201">
        <v>1206.6311800000001</v>
      </c>
      <c r="BA201" s="23" t="s">
        <v>7</v>
      </c>
    </row>
    <row r="202" spans="1:53" x14ac:dyDescent="0.25">
      <c r="A202" t="s">
        <v>134</v>
      </c>
      <c r="B202" t="s">
        <v>135</v>
      </c>
      <c r="C202">
        <v>22002596</v>
      </c>
      <c r="D202">
        <v>1206</v>
      </c>
      <c r="E202" s="11">
        <v>44791</v>
      </c>
      <c r="F202" t="s">
        <v>159</v>
      </c>
      <c r="G202">
        <v>52.34</v>
      </c>
      <c r="H202">
        <v>52.34</v>
      </c>
      <c r="I202" t="s">
        <v>56</v>
      </c>
      <c r="O202" t="s">
        <v>57</v>
      </c>
      <c r="Q202" t="s">
        <v>57</v>
      </c>
      <c r="R202" t="s">
        <v>137</v>
      </c>
      <c r="T202" t="s">
        <v>59</v>
      </c>
      <c r="U202" t="s">
        <v>60</v>
      </c>
      <c r="V202" t="s">
        <v>138</v>
      </c>
      <c r="W202" t="s">
        <v>139</v>
      </c>
      <c r="X202">
        <v>1933570</v>
      </c>
      <c r="Y202" s="11">
        <v>44792</v>
      </c>
      <c r="Z202" t="s">
        <v>57</v>
      </c>
      <c r="AA202">
        <v>2</v>
      </c>
      <c r="AB202" t="s">
        <v>57</v>
      </c>
      <c r="AD202" t="s">
        <v>57</v>
      </c>
      <c r="AE202" t="s">
        <v>57</v>
      </c>
      <c r="AF202" t="s">
        <v>57</v>
      </c>
      <c r="AG202">
        <v>225</v>
      </c>
      <c r="AH202" t="s">
        <v>57</v>
      </c>
      <c r="AL202" t="s">
        <v>57</v>
      </c>
      <c r="AM202" s="11">
        <v>44791</v>
      </c>
      <c r="AN202" t="s">
        <v>158</v>
      </c>
      <c r="AO202" t="s">
        <v>65</v>
      </c>
      <c r="AP202">
        <v>1206</v>
      </c>
      <c r="AQ202" t="s">
        <v>66</v>
      </c>
      <c r="AR202">
        <v>79293</v>
      </c>
      <c r="AU202" t="s">
        <v>57</v>
      </c>
      <c r="AV202" t="s">
        <v>68</v>
      </c>
      <c r="AX202" t="s">
        <v>57</v>
      </c>
      <c r="AY202">
        <v>631180</v>
      </c>
      <c r="AZ202">
        <v>1206.6311800000001</v>
      </c>
      <c r="BA202" s="23" t="s">
        <v>7</v>
      </c>
    </row>
    <row r="203" spans="1:53" x14ac:dyDescent="0.25">
      <c r="A203" t="s">
        <v>134</v>
      </c>
      <c r="B203" t="s">
        <v>135</v>
      </c>
      <c r="C203">
        <v>22002596</v>
      </c>
      <c r="D203">
        <v>1206</v>
      </c>
      <c r="E203" s="11">
        <v>44791</v>
      </c>
      <c r="F203" t="s">
        <v>159</v>
      </c>
      <c r="G203">
        <v>5.91</v>
      </c>
      <c r="H203">
        <v>5.91</v>
      </c>
      <c r="I203" t="s">
        <v>56</v>
      </c>
      <c r="O203" t="s">
        <v>57</v>
      </c>
      <c r="Q203" t="s">
        <v>57</v>
      </c>
      <c r="R203" t="s">
        <v>137</v>
      </c>
      <c r="T203" t="s">
        <v>59</v>
      </c>
      <c r="U203" t="s">
        <v>60</v>
      </c>
      <c r="V203" t="s">
        <v>138</v>
      </c>
      <c r="W203" t="s">
        <v>139</v>
      </c>
      <c r="X203">
        <v>1933570</v>
      </c>
      <c r="Y203" s="11">
        <v>44792</v>
      </c>
      <c r="Z203" t="s">
        <v>57</v>
      </c>
      <c r="AA203">
        <v>4</v>
      </c>
      <c r="AB203" t="s">
        <v>57</v>
      </c>
      <c r="AD203" t="s">
        <v>57</v>
      </c>
      <c r="AE203" t="s">
        <v>57</v>
      </c>
      <c r="AF203" t="s">
        <v>57</v>
      </c>
      <c r="AG203">
        <v>3</v>
      </c>
      <c r="AH203" t="s">
        <v>57</v>
      </c>
      <c r="AL203" t="s">
        <v>57</v>
      </c>
      <c r="AM203" s="11">
        <v>44791</v>
      </c>
      <c r="AN203" t="s">
        <v>158</v>
      </c>
      <c r="AO203" t="s">
        <v>65</v>
      </c>
      <c r="AP203">
        <v>1206</v>
      </c>
      <c r="AQ203" t="s">
        <v>66</v>
      </c>
      <c r="AR203">
        <v>79296</v>
      </c>
      <c r="AU203" t="s">
        <v>57</v>
      </c>
      <c r="AV203" t="s">
        <v>68</v>
      </c>
      <c r="AX203" t="s">
        <v>57</v>
      </c>
      <c r="AY203">
        <v>631180</v>
      </c>
      <c r="AZ203">
        <v>1206.6311800000001</v>
      </c>
      <c r="BA203" s="23" t="s">
        <v>7</v>
      </c>
    </row>
    <row r="204" spans="1:53" x14ac:dyDescent="0.25">
      <c r="A204" t="s">
        <v>134</v>
      </c>
      <c r="B204" t="s">
        <v>135</v>
      </c>
      <c r="C204">
        <v>22002596</v>
      </c>
      <c r="D204">
        <v>1206</v>
      </c>
      <c r="E204" s="11">
        <v>44791</v>
      </c>
      <c r="F204" t="s">
        <v>159</v>
      </c>
      <c r="G204">
        <v>12.11</v>
      </c>
      <c r="H204">
        <v>12.11</v>
      </c>
      <c r="I204" t="s">
        <v>56</v>
      </c>
      <c r="O204" t="s">
        <v>57</v>
      </c>
      <c r="Q204" t="s">
        <v>57</v>
      </c>
      <c r="R204" t="s">
        <v>137</v>
      </c>
      <c r="T204" t="s">
        <v>59</v>
      </c>
      <c r="U204" t="s">
        <v>60</v>
      </c>
      <c r="V204" t="s">
        <v>138</v>
      </c>
      <c r="W204" t="s">
        <v>139</v>
      </c>
      <c r="X204">
        <v>1933570</v>
      </c>
      <c r="Y204" s="11">
        <v>44792</v>
      </c>
      <c r="Z204" t="s">
        <v>57</v>
      </c>
      <c r="AA204">
        <v>6</v>
      </c>
      <c r="AB204" t="s">
        <v>57</v>
      </c>
      <c r="AD204" t="s">
        <v>57</v>
      </c>
      <c r="AE204" t="s">
        <v>57</v>
      </c>
      <c r="AF204" t="s">
        <v>57</v>
      </c>
      <c r="AG204">
        <v>20</v>
      </c>
      <c r="AH204" t="s">
        <v>57</v>
      </c>
      <c r="AL204" t="s">
        <v>57</v>
      </c>
      <c r="AM204" s="11">
        <v>44791</v>
      </c>
      <c r="AN204" t="s">
        <v>158</v>
      </c>
      <c r="AO204" t="s">
        <v>65</v>
      </c>
      <c r="AP204">
        <v>1206</v>
      </c>
      <c r="AQ204" t="s">
        <v>66</v>
      </c>
      <c r="AR204">
        <v>220249</v>
      </c>
      <c r="AU204" t="s">
        <v>57</v>
      </c>
      <c r="AV204" t="s">
        <v>68</v>
      </c>
      <c r="AX204" t="s">
        <v>57</v>
      </c>
      <c r="AY204">
        <v>631180</v>
      </c>
      <c r="AZ204">
        <v>1206.6311800000001</v>
      </c>
      <c r="BA204" s="23" t="s">
        <v>7</v>
      </c>
    </row>
    <row r="205" spans="1:53" x14ac:dyDescent="0.25">
      <c r="A205" t="s">
        <v>134</v>
      </c>
      <c r="B205" t="s">
        <v>135</v>
      </c>
      <c r="C205">
        <v>22001843</v>
      </c>
      <c r="D205">
        <v>1201</v>
      </c>
      <c r="E205" s="11">
        <v>44774</v>
      </c>
      <c r="F205" t="s">
        <v>163</v>
      </c>
      <c r="G205">
        <v>1.95</v>
      </c>
      <c r="H205">
        <v>1.95</v>
      </c>
      <c r="I205" t="s">
        <v>56</v>
      </c>
      <c r="O205" t="s">
        <v>57</v>
      </c>
      <c r="Q205" t="s">
        <v>57</v>
      </c>
      <c r="R205" t="s">
        <v>137</v>
      </c>
      <c r="T205" t="s">
        <v>59</v>
      </c>
      <c r="U205" t="s">
        <v>60</v>
      </c>
      <c r="V205" t="s">
        <v>138</v>
      </c>
      <c r="W205" t="s">
        <v>139</v>
      </c>
      <c r="X205">
        <v>1927080</v>
      </c>
      <c r="Y205" s="11">
        <v>44777</v>
      </c>
      <c r="Z205" t="s">
        <v>57</v>
      </c>
      <c r="AA205">
        <v>6</v>
      </c>
      <c r="AB205" t="s">
        <v>57</v>
      </c>
      <c r="AD205" t="s">
        <v>57</v>
      </c>
      <c r="AE205" t="s">
        <v>57</v>
      </c>
      <c r="AF205" t="s">
        <v>57</v>
      </c>
      <c r="AG205">
        <v>70</v>
      </c>
      <c r="AH205" t="s">
        <v>57</v>
      </c>
      <c r="AL205" t="s">
        <v>57</v>
      </c>
      <c r="AM205" s="11">
        <v>44774</v>
      </c>
      <c r="AN205" t="s">
        <v>164</v>
      </c>
      <c r="AO205" t="s">
        <v>65</v>
      </c>
      <c r="AP205">
        <v>1201</v>
      </c>
      <c r="AQ205" t="s">
        <v>66</v>
      </c>
      <c r="AR205">
        <v>265957</v>
      </c>
      <c r="AU205" t="s">
        <v>57</v>
      </c>
      <c r="AV205" t="s">
        <v>68</v>
      </c>
      <c r="AX205" t="s">
        <v>57</v>
      </c>
      <c r="AY205">
        <v>631150</v>
      </c>
      <c r="AZ205">
        <v>1201.6311499999999</v>
      </c>
      <c r="BA205" s="23" t="s">
        <v>8</v>
      </c>
    </row>
    <row r="206" spans="1:53" x14ac:dyDescent="0.25">
      <c r="A206" t="s">
        <v>134</v>
      </c>
      <c r="B206" t="s">
        <v>135</v>
      </c>
      <c r="C206">
        <v>22001845</v>
      </c>
      <c r="D206">
        <v>1201</v>
      </c>
      <c r="E206" s="11">
        <v>44777</v>
      </c>
      <c r="F206" t="s">
        <v>165</v>
      </c>
      <c r="G206">
        <v>9.5</v>
      </c>
      <c r="H206">
        <v>9.5</v>
      </c>
      <c r="I206" t="s">
        <v>56</v>
      </c>
      <c r="O206" t="s">
        <v>57</v>
      </c>
      <c r="Q206" t="s">
        <v>57</v>
      </c>
      <c r="R206" t="s">
        <v>137</v>
      </c>
      <c r="T206" t="s">
        <v>59</v>
      </c>
      <c r="U206" t="s">
        <v>60</v>
      </c>
      <c r="V206" t="s">
        <v>138</v>
      </c>
      <c r="W206" t="s">
        <v>139</v>
      </c>
      <c r="X206">
        <v>1927384</v>
      </c>
      <c r="Y206" s="11">
        <v>44777</v>
      </c>
      <c r="Z206" t="s">
        <v>57</v>
      </c>
      <c r="AA206">
        <v>2</v>
      </c>
      <c r="AB206" t="s">
        <v>57</v>
      </c>
      <c r="AD206" t="s">
        <v>57</v>
      </c>
      <c r="AE206" t="s">
        <v>57</v>
      </c>
      <c r="AF206" t="s">
        <v>57</v>
      </c>
      <c r="AG206">
        <v>200</v>
      </c>
      <c r="AH206" t="s">
        <v>57</v>
      </c>
      <c r="AL206" t="s">
        <v>57</v>
      </c>
      <c r="AM206" s="11">
        <v>44777</v>
      </c>
      <c r="AN206" t="s">
        <v>166</v>
      </c>
      <c r="AO206" t="s">
        <v>65</v>
      </c>
      <c r="AP206">
        <v>1201</v>
      </c>
      <c r="AQ206" t="s">
        <v>66</v>
      </c>
      <c r="AR206">
        <v>266903</v>
      </c>
      <c r="AU206" t="s">
        <v>57</v>
      </c>
      <c r="AV206" t="s">
        <v>68</v>
      </c>
      <c r="AX206" t="s">
        <v>57</v>
      </c>
      <c r="AY206">
        <v>631150</v>
      </c>
      <c r="AZ206">
        <v>1201.6311499999999</v>
      </c>
      <c r="BA206" s="23" t="s">
        <v>8</v>
      </c>
    </row>
    <row r="207" spans="1:53" x14ac:dyDescent="0.25">
      <c r="A207" t="s">
        <v>134</v>
      </c>
      <c r="B207" t="s">
        <v>135</v>
      </c>
      <c r="C207">
        <v>22001884</v>
      </c>
      <c r="D207">
        <v>1201</v>
      </c>
      <c r="E207" s="11">
        <v>44784</v>
      </c>
      <c r="F207" t="s">
        <v>163</v>
      </c>
      <c r="G207">
        <v>9.1</v>
      </c>
      <c r="H207">
        <v>9.1</v>
      </c>
      <c r="I207" t="s">
        <v>56</v>
      </c>
      <c r="O207" t="s">
        <v>57</v>
      </c>
      <c r="Q207" t="s">
        <v>57</v>
      </c>
      <c r="R207" t="s">
        <v>137</v>
      </c>
      <c r="T207" t="s">
        <v>59</v>
      </c>
      <c r="U207" t="s">
        <v>60</v>
      </c>
      <c r="V207" t="s">
        <v>138</v>
      </c>
      <c r="W207" t="s">
        <v>139</v>
      </c>
      <c r="X207">
        <v>1934031</v>
      </c>
      <c r="Y207" s="11">
        <v>44792</v>
      </c>
      <c r="Z207" t="s">
        <v>57</v>
      </c>
      <c r="AA207">
        <v>2</v>
      </c>
      <c r="AB207" t="s">
        <v>57</v>
      </c>
      <c r="AD207" t="s">
        <v>57</v>
      </c>
      <c r="AE207" t="s">
        <v>57</v>
      </c>
      <c r="AF207" t="s">
        <v>57</v>
      </c>
      <c r="AG207">
        <v>200</v>
      </c>
      <c r="AH207" t="s">
        <v>57</v>
      </c>
      <c r="AL207" t="s">
        <v>57</v>
      </c>
      <c r="AM207" s="11">
        <v>44784</v>
      </c>
      <c r="AN207" t="s">
        <v>164</v>
      </c>
      <c r="AO207" t="s">
        <v>65</v>
      </c>
      <c r="AP207">
        <v>1201</v>
      </c>
      <c r="AQ207" t="s">
        <v>66</v>
      </c>
      <c r="AR207">
        <v>268576</v>
      </c>
      <c r="AU207" t="s">
        <v>57</v>
      </c>
      <c r="AV207" t="s">
        <v>68</v>
      </c>
      <c r="AX207" t="s">
        <v>57</v>
      </c>
      <c r="AY207">
        <v>631150</v>
      </c>
      <c r="AZ207">
        <v>1201.6311499999999</v>
      </c>
      <c r="BA207" s="23" t="s">
        <v>8</v>
      </c>
    </row>
    <row r="208" spans="1:53" x14ac:dyDescent="0.25">
      <c r="A208" t="s">
        <v>134</v>
      </c>
      <c r="B208" t="s">
        <v>135</v>
      </c>
      <c r="C208">
        <v>22001870</v>
      </c>
      <c r="D208">
        <v>1201</v>
      </c>
      <c r="E208" s="11">
        <v>44785</v>
      </c>
      <c r="F208" t="s">
        <v>285</v>
      </c>
      <c r="I208" t="s">
        <v>56</v>
      </c>
      <c r="O208" t="s">
        <v>57</v>
      </c>
      <c r="Q208" t="s">
        <v>57</v>
      </c>
      <c r="R208" t="s">
        <v>137</v>
      </c>
      <c r="T208" t="s">
        <v>59</v>
      </c>
      <c r="U208" t="s">
        <v>60</v>
      </c>
      <c r="V208" t="s">
        <v>138</v>
      </c>
      <c r="W208" t="s">
        <v>139</v>
      </c>
      <c r="X208">
        <v>1930674</v>
      </c>
      <c r="Y208" s="11">
        <v>44785</v>
      </c>
      <c r="Z208" t="s">
        <v>57</v>
      </c>
      <c r="AA208">
        <v>2</v>
      </c>
      <c r="AB208" t="s">
        <v>57</v>
      </c>
      <c r="AD208" t="s">
        <v>57</v>
      </c>
      <c r="AE208" t="s">
        <v>57</v>
      </c>
      <c r="AF208" t="s">
        <v>57</v>
      </c>
      <c r="AG208">
        <v>2</v>
      </c>
      <c r="AH208" t="s">
        <v>57</v>
      </c>
      <c r="AL208" t="s">
        <v>57</v>
      </c>
      <c r="AM208" s="11">
        <v>44785</v>
      </c>
      <c r="AN208" t="s">
        <v>164</v>
      </c>
      <c r="AO208" t="s">
        <v>65</v>
      </c>
      <c r="AP208">
        <v>1201</v>
      </c>
      <c r="AQ208" t="s">
        <v>66</v>
      </c>
      <c r="AR208">
        <v>284537</v>
      </c>
      <c r="AU208" t="s">
        <v>57</v>
      </c>
      <c r="AV208" t="s">
        <v>68</v>
      </c>
      <c r="AX208" t="s">
        <v>57</v>
      </c>
      <c r="AY208">
        <v>631150</v>
      </c>
      <c r="AZ208">
        <v>1201.6311499999999</v>
      </c>
      <c r="BA208" s="23" t="s">
        <v>8</v>
      </c>
    </row>
    <row r="209" spans="1:53" x14ac:dyDescent="0.25">
      <c r="A209" t="s">
        <v>134</v>
      </c>
      <c r="B209" t="s">
        <v>135</v>
      </c>
      <c r="C209">
        <v>22001870</v>
      </c>
      <c r="D209">
        <v>1201</v>
      </c>
      <c r="E209" s="11">
        <v>44785</v>
      </c>
      <c r="F209" t="s">
        <v>285</v>
      </c>
      <c r="I209" t="s">
        <v>56</v>
      </c>
      <c r="O209" t="s">
        <v>57</v>
      </c>
      <c r="Q209" t="s">
        <v>57</v>
      </c>
      <c r="R209" t="s">
        <v>137</v>
      </c>
      <c r="T209" t="s">
        <v>59</v>
      </c>
      <c r="U209" t="s">
        <v>60</v>
      </c>
      <c r="V209" t="s">
        <v>138</v>
      </c>
      <c r="W209" t="s">
        <v>139</v>
      </c>
      <c r="X209">
        <v>1930674</v>
      </c>
      <c r="Y209" s="11">
        <v>44785</v>
      </c>
      <c r="Z209" t="s">
        <v>57</v>
      </c>
      <c r="AA209">
        <v>4</v>
      </c>
      <c r="AB209" t="s">
        <v>57</v>
      </c>
      <c r="AD209" t="s">
        <v>57</v>
      </c>
      <c r="AE209" t="s">
        <v>57</v>
      </c>
      <c r="AF209" t="s">
        <v>57</v>
      </c>
      <c r="AG209">
        <v>2</v>
      </c>
      <c r="AH209" t="s">
        <v>57</v>
      </c>
      <c r="AL209" t="s">
        <v>57</v>
      </c>
      <c r="AM209" s="11">
        <v>44785</v>
      </c>
      <c r="AN209" t="s">
        <v>164</v>
      </c>
      <c r="AO209" t="s">
        <v>65</v>
      </c>
      <c r="AP209">
        <v>1201</v>
      </c>
      <c r="AQ209" t="s">
        <v>66</v>
      </c>
      <c r="AR209">
        <v>284537</v>
      </c>
      <c r="AU209" t="s">
        <v>57</v>
      </c>
      <c r="AV209" t="s">
        <v>68</v>
      </c>
      <c r="AX209" t="s">
        <v>57</v>
      </c>
      <c r="AY209">
        <v>631150</v>
      </c>
      <c r="AZ209">
        <v>1201.6311499999999</v>
      </c>
      <c r="BA209" s="23" t="s">
        <v>8</v>
      </c>
    </row>
    <row r="210" spans="1:53" x14ac:dyDescent="0.25">
      <c r="A210" t="s">
        <v>134</v>
      </c>
      <c r="B210" t="s">
        <v>135</v>
      </c>
      <c r="C210">
        <v>22001870</v>
      </c>
      <c r="D210">
        <v>1201</v>
      </c>
      <c r="E210" s="11">
        <v>44785</v>
      </c>
      <c r="F210" t="s">
        <v>285</v>
      </c>
      <c r="I210" t="s">
        <v>56</v>
      </c>
      <c r="O210" t="s">
        <v>57</v>
      </c>
      <c r="Q210" t="s">
        <v>57</v>
      </c>
      <c r="R210" t="s">
        <v>137</v>
      </c>
      <c r="T210" t="s">
        <v>59</v>
      </c>
      <c r="U210" t="s">
        <v>60</v>
      </c>
      <c r="V210" t="s">
        <v>138</v>
      </c>
      <c r="W210" t="s">
        <v>139</v>
      </c>
      <c r="X210">
        <v>1930674</v>
      </c>
      <c r="Y210" s="11">
        <v>44785</v>
      </c>
      <c r="Z210" t="s">
        <v>57</v>
      </c>
      <c r="AA210">
        <v>6</v>
      </c>
      <c r="AB210" t="s">
        <v>57</v>
      </c>
      <c r="AD210" t="s">
        <v>57</v>
      </c>
      <c r="AE210" t="s">
        <v>57</v>
      </c>
      <c r="AF210" t="s">
        <v>57</v>
      </c>
      <c r="AG210">
        <v>2</v>
      </c>
      <c r="AH210" t="s">
        <v>57</v>
      </c>
      <c r="AL210" t="s">
        <v>57</v>
      </c>
      <c r="AM210" s="11">
        <v>44785</v>
      </c>
      <c r="AN210" t="s">
        <v>164</v>
      </c>
      <c r="AO210" t="s">
        <v>65</v>
      </c>
      <c r="AP210">
        <v>1201</v>
      </c>
      <c r="AQ210" t="s">
        <v>66</v>
      </c>
      <c r="AR210">
        <v>284537</v>
      </c>
      <c r="AU210" t="s">
        <v>57</v>
      </c>
      <c r="AV210" t="s">
        <v>68</v>
      </c>
      <c r="AX210" t="s">
        <v>57</v>
      </c>
      <c r="AY210">
        <v>631150</v>
      </c>
      <c r="AZ210">
        <v>1201.6311499999999</v>
      </c>
      <c r="BA210" s="23" t="s">
        <v>8</v>
      </c>
    </row>
    <row r="211" spans="1:53" x14ac:dyDescent="0.25">
      <c r="A211" t="s">
        <v>134</v>
      </c>
      <c r="B211" t="s">
        <v>135</v>
      </c>
      <c r="C211">
        <v>22001870</v>
      </c>
      <c r="D211">
        <v>1201</v>
      </c>
      <c r="E211" s="11">
        <v>44785</v>
      </c>
      <c r="F211" t="s">
        <v>285</v>
      </c>
      <c r="I211" t="s">
        <v>56</v>
      </c>
      <c r="O211" t="s">
        <v>57</v>
      </c>
      <c r="Q211" t="s">
        <v>57</v>
      </c>
      <c r="R211" t="s">
        <v>137</v>
      </c>
      <c r="T211" t="s">
        <v>59</v>
      </c>
      <c r="U211" t="s">
        <v>60</v>
      </c>
      <c r="V211" t="s">
        <v>138</v>
      </c>
      <c r="W211" t="s">
        <v>139</v>
      </c>
      <c r="X211">
        <v>1930674</v>
      </c>
      <c r="Y211" s="11">
        <v>44785</v>
      </c>
      <c r="Z211" t="s">
        <v>57</v>
      </c>
      <c r="AA211">
        <v>36</v>
      </c>
      <c r="AB211" t="s">
        <v>57</v>
      </c>
      <c r="AD211" t="s">
        <v>57</v>
      </c>
      <c r="AE211" t="s">
        <v>57</v>
      </c>
      <c r="AF211" t="s">
        <v>57</v>
      </c>
      <c r="AG211">
        <v>2</v>
      </c>
      <c r="AH211" t="s">
        <v>57</v>
      </c>
      <c r="AL211" t="s">
        <v>57</v>
      </c>
      <c r="AM211" s="11">
        <v>44785</v>
      </c>
      <c r="AN211" t="s">
        <v>164</v>
      </c>
      <c r="AO211" t="s">
        <v>65</v>
      </c>
      <c r="AP211">
        <v>1201</v>
      </c>
      <c r="AQ211" t="s">
        <v>66</v>
      </c>
      <c r="AR211">
        <v>284543</v>
      </c>
      <c r="AU211" t="s">
        <v>57</v>
      </c>
      <c r="AV211" t="s">
        <v>68</v>
      </c>
      <c r="AX211" t="s">
        <v>57</v>
      </c>
      <c r="AY211">
        <v>631150</v>
      </c>
      <c r="AZ211">
        <v>1201.6311499999999</v>
      </c>
      <c r="BA211" s="23" t="s">
        <v>8</v>
      </c>
    </row>
    <row r="212" spans="1:53" x14ac:dyDescent="0.25">
      <c r="A212" t="s">
        <v>134</v>
      </c>
      <c r="B212" t="s">
        <v>135</v>
      </c>
      <c r="C212">
        <v>22001887</v>
      </c>
      <c r="D212">
        <v>1201</v>
      </c>
      <c r="E212" s="11">
        <v>44789</v>
      </c>
      <c r="F212" t="s">
        <v>306</v>
      </c>
      <c r="G212">
        <v>6.6</v>
      </c>
      <c r="H212">
        <v>6.6</v>
      </c>
      <c r="I212" t="s">
        <v>56</v>
      </c>
      <c r="O212" t="s">
        <v>57</v>
      </c>
      <c r="Q212" t="s">
        <v>57</v>
      </c>
      <c r="R212" t="s">
        <v>137</v>
      </c>
      <c r="T212" t="s">
        <v>59</v>
      </c>
      <c r="U212" t="s">
        <v>60</v>
      </c>
      <c r="V212" t="s">
        <v>138</v>
      </c>
      <c r="W212" t="s">
        <v>139</v>
      </c>
      <c r="X212">
        <v>1934031</v>
      </c>
      <c r="Y212" s="11">
        <v>44792</v>
      </c>
      <c r="Z212" t="s">
        <v>57</v>
      </c>
      <c r="AA212">
        <v>2</v>
      </c>
      <c r="AB212" t="s">
        <v>57</v>
      </c>
      <c r="AD212" t="s">
        <v>57</v>
      </c>
      <c r="AE212" t="s">
        <v>57</v>
      </c>
      <c r="AF212" t="s">
        <v>57</v>
      </c>
      <c r="AG212">
        <v>300</v>
      </c>
      <c r="AH212" t="s">
        <v>57</v>
      </c>
      <c r="AL212" t="s">
        <v>57</v>
      </c>
      <c r="AM212" s="11">
        <v>44789</v>
      </c>
      <c r="AN212" t="s">
        <v>164</v>
      </c>
      <c r="AO212" t="s">
        <v>65</v>
      </c>
      <c r="AP212">
        <v>1201</v>
      </c>
      <c r="AQ212" t="s">
        <v>66</v>
      </c>
      <c r="AR212">
        <v>118314</v>
      </c>
      <c r="AU212" t="s">
        <v>57</v>
      </c>
      <c r="AV212" t="s">
        <v>68</v>
      </c>
      <c r="AX212" t="s">
        <v>57</v>
      </c>
      <c r="AY212">
        <v>631150</v>
      </c>
      <c r="AZ212">
        <v>1201.6311499999999</v>
      </c>
      <c r="BA212" s="23" t="s">
        <v>8</v>
      </c>
    </row>
    <row r="213" spans="1:53" x14ac:dyDescent="0.25">
      <c r="A213" t="s">
        <v>134</v>
      </c>
      <c r="B213" t="s">
        <v>135</v>
      </c>
      <c r="C213">
        <v>22001887</v>
      </c>
      <c r="D213">
        <v>1201</v>
      </c>
      <c r="E213" s="11">
        <v>44789</v>
      </c>
      <c r="F213" t="s">
        <v>306</v>
      </c>
      <c r="G213">
        <v>1.23</v>
      </c>
      <c r="H213">
        <v>1.23</v>
      </c>
      <c r="I213" t="s">
        <v>56</v>
      </c>
      <c r="O213" t="s">
        <v>57</v>
      </c>
      <c r="Q213" t="s">
        <v>57</v>
      </c>
      <c r="R213" t="s">
        <v>137</v>
      </c>
      <c r="T213" t="s">
        <v>59</v>
      </c>
      <c r="U213" t="s">
        <v>60</v>
      </c>
      <c r="V213" t="s">
        <v>138</v>
      </c>
      <c r="W213" t="s">
        <v>139</v>
      </c>
      <c r="X213">
        <v>1934031</v>
      </c>
      <c r="Y213" s="11">
        <v>44792</v>
      </c>
      <c r="Z213" t="s">
        <v>57</v>
      </c>
      <c r="AA213">
        <v>4</v>
      </c>
      <c r="AB213" t="s">
        <v>57</v>
      </c>
      <c r="AD213" t="s">
        <v>57</v>
      </c>
      <c r="AE213" t="s">
        <v>57</v>
      </c>
      <c r="AF213" t="s">
        <v>57</v>
      </c>
      <c r="AG213">
        <v>86</v>
      </c>
      <c r="AH213" t="s">
        <v>57</v>
      </c>
      <c r="AL213" t="s">
        <v>57</v>
      </c>
      <c r="AM213" s="11">
        <v>44789</v>
      </c>
      <c r="AN213" t="s">
        <v>164</v>
      </c>
      <c r="AO213" t="s">
        <v>65</v>
      </c>
      <c r="AP213">
        <v>1201</v>
      </c>
      <c r="AQ213" t="s">
        <v>66</v>
      </c>
      <c r="AR213">
        <v>238989</v>
      </c>
      <c r="AU213" t="s">
        <v>57</v>
      </c>
      <c r="AV213" t="s">
        <v>68</v>
      </c>
      <c r="AX213" t="s">
        <v>57</v>
      </c>
      <c r="AY213">
        <v>631150</v>
      </c>
      <c r="AZ213">
        <v>1201.6311499999999</v>
      </c>
      <c r="BA213" s="23" t="s">
        <v>8</v>
      </c>
    </row>
    <row r="214" spans="1:53" x14ac:dyDescent="0.25">
      <c r="A214" t="s">
        <v>134</v>
      </c>
      <c r="B214" t="s">
        <v>135</v>
      </c>
      <c r="C214">
        <v>22001887</v>
      </c>
      <c r="D214">
        <v>1201</v>
      </c>
      <c r="E214" s="11">
        <v>44789</v>
      </c>
      <c r="F214" t="s">
        <v>306</v>
      </c>
      <c r="G214">
        <v>0.73</v>
      </c>
      <c r="H214">
        <v>0.73</v>
      </c>
      <c r="I214" t="s">
        <v>56</v>
      </c>
      <c r="O214" t="s">
        <v>57</v>
      </c>
      <c r="Q214" t="s">
        <v>57</v>
      </c>
      <c r="R214" t="s">
        <v>137</v>
      </c>
      <c r="T214" t="s">
        <v>59</v>
      </c>
      <c r="U214" t="s">
        <v>60</v>
      </c>
      <c r="V214" t="s">
        <v>138</v>
      </c>
      <c r="W214" t="s">
        <v>139</v>
      </c>
      <c r="X214">
        <v>1934031</v>
      </c>
      <c r="Y214" s="11">
        <v>44792</v>
      </c>
      <c r="Z214" t="s">
        <v>57</v>
      </c>
      <c r="AA214">
        <v>6</v>
      </c>
      <c r="AB214" t="s">
        <v>57</v>
      </c>
      <c r="AD214" t="s">
        <v>57</v>
      </c>
      <c r="AE214" t="s">
        <v>57</v>
      </c>
      <c r="AF214" t="s">
        <v>57</v>
      </c>
      <c r="AG214">
        <v>51</v>
      </c>
      <c r="AH214" t="s">
        <v>57</v>
      </c>
      <c r="AL214" t="s">
        <v>57</v>
      </c>
      <c r="AM214" s="11">
        <v>44789</v>
      </c>
      <c r="AN214" t="s">
        <v>164</v>
      </c>
      <c r="AO214" t="s">
        <v>65</v>
      </c>
      <c r="AP214">
        <v>1201</v>
      </c>
      <c r="AQ214" t="s">
        <v>66</v>
      </c>
      <c r="AR214">
        <v>238989</v>
      </c>
      <c r="AU214" t="s">
        <v>57</v>
      </c>
      <c r="AV214" t="s">
        <v>68</v>
      </c>
      <c r="AX214" t="s">
        <v>57</v>
      </c>
      <c r="AY214">
        <v>631150</v>
      </c>
      <c r="AZ214">
        <v>1201.6311499999999</v>
      </c>
      <c r="BA214" s="23" t="s">
        <v>8</v>
      </c>
    </row>
    <row r="215" spans="1:53" x14ac:dyDescent="0.25">
      <c r="A215" t="s">
        <v>134</v>
      </c>
      <c r="B215" t="s">
        <v>135</v>
      </c>
      <c r="C215">
        <v>22001887</v>
      </c>
      <c r="D215">
        <v>1201</v>
      </c>
      <c r="E215" s="11">
        <v>44789</v>
      </c>
      <c r="F215" t="s">
        <v>306</v>
      </c>
      <c r="G215">
        <v>1.5</v>
      </c>
      <c r="H215">
        <v>1.5</v>
      </c>
      <c r="I215" t="s">
        <v>56</v>
      </c>
      <c r="O215" t="s">
        <v>57</v>
      </c>
      <c r="Q215" t="s">
        <v>57</v>
      </c>
      <c r="R215" t="s">
        <v>137</v>
      </c>
      <c r="T215" t="s">
        <v>59</v>
      </c>
      <c r="U215" t="s">
        <v>60</v>
      </c>
      <c r="V215" t="s">
        <v>138</v>
      </c>
      <c r="W215" t="s">
        <v>139</v>
      </c>
      <c r="X215">
        <v>1934031</v>
      </c>
      <c r="Y215" s="11">
        <v>44792</v>
      </c>
      <c r="Z215" t="s">
        <v>57</v>
      </c>
      <c r="AA215">
        <v>8</v>
      </c>
      <c r="AB215" t="s">
        <v>57</v>
      </c>
      <c r="AD215" t="s">
        <v>57</v>
      </c>
      <c r="AE215" t="s">
        <v>57</v>
      </c>
      <c r="AF215" t="s">
        <v>57</v>
      </c>
      <c r="AG215">
        <v>100</v>
      </c>
      <c r="AH215" t="s">
        <v>57</v>
      </c>
      <c r="AL215" t="s">
        <v>57</v>
      </c>
      <c r="AM215" s="11">
        <v>44789</v>
      </c>
      <c r="AN215" t="s">
        <v>164</v>
      </c>
      <c r="AO215" t="s">
        <v>65</v>
      </c>
      <c r="AP215">
        <v>1201</v>
      </c>
      <c r="AQ215" t="s">
        <v>66</v>
      </c>
      <c r="AR215">
        <v>238989</v>
      </c>
      <c r="AU215" t="s">
        <v>57</v>
      </c>
      <c r="AV215" t="s">
        <v>68</v>
      </c>
      <c r="AX215" t="s">
        <v>57</v>
      </c>
      <c r="AY215">
        <v>631150</v>
      </c>
      <c r="AZ215">
        <v>1201.6311499999999</v>
      </c>
      <c r="BA215" s="23" t="s">
        <v>8</v>
      </c>
    </row>
    <row r="216" spans="1:53" x14ac:dyDescent="0.25">
      <c r="A216" t="s">
        <v>134</v>
      </c>
      <c r="B216" t="s">
        <v>135</v>
      </c>
      <c r="C216">
        <v>22001887</v>
      </c>
      <c r="D216">
        <v>1201</v>
      </c>
      <c r="E216" s="11">
        <v>44789</v>
      </c>
      <c r="F216" t="s">
        <v>306</v>
      </c>
      <c r="G216">
        <v>2.14</v>
      </c>
      <c r="H216">
        <v>2.14</v>
      </c>
      <c r="I216" t="s">
        <v>56</v>
      </c>
      <c r="O216" t="s">
        <v>57</v>
      </c>
      <c r="Q216" t="s">
        <v>57</v>
      </c>
      <c r="R216" t="s">
        <v>137</v>
      </c>
      <c r="T216" t="s">
        <v>59</v>
      </c>
      <c r="U216" t="s">
        <v>60</v>
      </c>
      <c r="V216" t="s">
        <v>138</v>
      </c>
      <c r="W216" t="s">
        <v>139</v>
      </c>
      <c r="X216">
        <v>1934031</v>
      </c>
      <c r="Y216" s="11">
        <v>44792</v>
      </c>
      <c r="Z216" t="s">
        <v>57</v>
      </c>
      <c r="AA216">
        <v>10</v>
      </c>
      <c r="AB216" t="s">
        <v>57</v>
      </c>
      <c r="AD216" t="s">
        <v>57</v>
      </c>
      <c r="AE216" t="s">
        <v>57</v>
      </c>
      <c r="AF216" t="s">
        <v>57</v>
      </c>
      <c r="AG216">
        <v>60</v>
      </c>
      <c r="AH216" t="s">
        <v>57</v>
      </c>
      <c r="AL216" t="s">
        <v>57</v>
      </c>
      <c r="AM216" s="11">
        <v>44789</v>
      </c>
      <c r="AN216" t="s">
        <v>164</v>
      </c>
      <c r="AO216" t="s">
        <v>65</v>
      </c>
      <c r="AP216">
        <v>1201</v>
      </c>
      <c r="AQ216" t="s">
        <v>66</v>
      </c>
      <c r="AR216">
        <v>268975</v>
      </c>
      <c r="AU216" t="s">
        <v>57</v>
      </c>
      <c r="AV216" t="s">
        <v>68</v>
      </c>
      <c r="AX216" t="s">
        <v>57</v>
      </c>
      <c r="AY216">
        <v>631150</v>
      </c>
      <c r="AZ216">
        <v>1201.6311499999999</v>
      </c>
      <c r="BA216" s="23" t="s">
        <v>8</v>
      </c>
    </row>
    <row r="217" spans="1:53" x14ac:dyDescent="0.25">
      <c r="A217" t="s">
        <v>134</v>
      </c>
      <c r="B217" t="s">
        <v>135</v>
      </c>
      <c r="C217">
        <v>22001887</v>
      </c>
      <c r="D217">
        <v>1201</v>
      </c>
      <c r="E217" s="11">
        <v>44789</v>
      </c>
      <c r="F217" t="s">
        <v>306</v>
      </c>
      <c r="G217">
        <v>0.32</v>
      </c>
      <c r="H217">
        <v>0.32</v>
      </c>
      <c r="I217" t="s">
        <v>56</v>
      </c>
      <c r="O217" t="s">
        <v>57</v>
      </c>
      <c r="Q217" t="s">
        <v>57</v>
      </c>
      <c r="R217" t="s">
        <v>137</v>
      </c>
      <c r="T217" t="s">
        <v>59</v>
      </c>
      <c r="U217" t="s">
        <v>60</v>
      </c>
      <c r="V217" t="s">
        <v>138</v>
      </c>
      <c r="W217" t="s">
        <v>139</v>
      </c>
      <c r="X217">
        <v>1934031</v>
      </c>
      <c r="Y217" s="11">
        <v>44792</v>
      </c>
      <c r="Z217" t="s">
        <v>57</v>
      </c>
      <c r="AA217">
        <v>12</v>
      </c>
      <c r="AB217" t="s">
        <v>57</v>
      </c>
      <c r="AD217" t="s">
        <v>57</v>
      </c>
      <c r="AE217" t="s">
        <v>57</v>
      </c>
      <c r="AF217" t="s">
        <v>57</v>
      </c>
      <c r="AG217">
        <v>9</v>
      </c>
      <c r="AH217" t="s">
        <v>57</v>
      </c>
      <c r="AL217" t="s">
        <v>57</v>
      </c>
      <c r="AM217" s="11">
        <v>44789</v>
      </c>
      <c r="AN217" t="s">
        <v>164</v>
      </c>
      <c r="AO217" t="s">
        <v>65</v>
      </c>
      <c r="AP217">
        <v>1201</v>
      </c>
      <c r="AQ217" t="s">
        <v>66</v>
      </c>
      <c r="AR217">
        <v>268975</v>
      </c>
      <c r="AU217" t="s">
        <v>57</v>
      </c>
      <c r="AV217" t="s">
        <v>68</v>
      </c>
      <c r="AX217" t="s">
        <v>57</v>
      </c>
      <c r="AY217">
        <v>631150</v>
      </c>
      <c r="AZ217">
        <v>1201.6311499999999</v>
      </c>
      <c r="BA217" s="23" t="s">
        <v>8</v>
      </c>
    </row>
    <row r="218" spans="1:53" x14ac:dyDescent="0.25">
      <c r="A218" t="s">
        <v>134</v>
      </c>
      <c r="B218" t="s">
        <v>135</v>
      </c>
      <c r="C218">
        <v>22001887</v>
      </c>
      <c r="D218">
        <v>1201</v>
      </c>
      <c r="E218" s="11">
        <v>44789</v>
      </c>
      <c r="F218" t="s">
        <v>306</v>
      </c>
      <c r="G218">
        <v>0.32</v>
      </c>
      <c r="H218">
        <v>0.32</v>
      </c>
      <c r="I218" t="s">
        <v>56</v>
      </c>
      <c r="O218" t="s">
        <v>57</v>
      </c>
      <c r="Q218" t="s">
        <v>57</v>
      </c>
      <c r="R218" t="s">
        <v>137</v>
      </c>
      <c r="T218" t="s">
        <v>59</v>
      </c>
      <c r="U218" t="s">
        <v>60</v>
      </c>
      <c r="V218" t="s">
        <v>138</v>
      </c>
      <c r="W218" t="s">
        <v>139</v>
      </c>
      <c r="X218">
        <v>1934031</v>
      </c>
      <c r="Y218" s="11">
        <v>44792</v>
      </c>
      <c r="Z218" t="s">
        <v>57</v>
      </c>
      <c r="AA218">
        <v>14</v>
      </c>
      <c r="AB218" t="s">
        <v>57</v>
      </c>
      <c r="AD218" t="s">
        <v>57</v>
      </c>
      <c r="AE218" t="s">
        <v>57</v>
      </c>
      <c r="AF218" t="s">
        <v>57</v>
      </c>
      <c r="AG218">
        <v>9</v>
      </c>
      <c r="AH218" t="s">
        <v>57</v>
      </c>
      <c r="AL218" t="s">
        <v>57</v>
      </c>
      <c r="AM218" s="11">
        <v>44789</v>
      </c>
      <c r="AN218" t="s">
        <v>164</v>
      </c>
      <c r="AO218" t="s">
        <v>65</v>
      </c>
      <c r="AP218">
        <v>1201</v>
      </c>
      <c r="AQ218" t="s">
        <v>66</v>
      </c>
      <c r="AR218">
        <v>268975</v>
      </c>
      <c r="AU218" t="s">
        <v>57</v>
      </c>
      <c r="AV218" t="s">
        <v>68</v>
      </c>
      <c r="AX218" t="s">
        <v>57</v>
      </c>
      <c r="AY218">
        <v>631150</v>
      </c>
      <c r="AZ218">
        <v>1201.6311499999999</v>
      </c>
      <c r="BA218" s="23" t="s">
        <v>8</v>
      </c>
    </row>
    <row r="219" spans="1:53" x14ac:dyDescent="0.25">
      <c r="A219" t="s">
        <v>134</v>
      </c>
      <c r="B219" t="s">
        <v>135</v>
      </c>
      <c r="C219">
        <v>22001842</v>
      </c>
      <c r="D219">
        <v>1201</v>
      </c>
      <c r="E219" s="11">
        <v>44776</v>
      </c>
      <c r="F219" t="s">
        <v>167</v>
      </c>
      <c r="G219">
        <v>0.08</v>
      </c>
      <c r="H219">
        <v>0.08</v>
      </c>
      <c r="I219" t="s">
        <v>56</v>
      </c>
      <c r="O219" t="s">
        <v>57</v>
      </c>
      <c r="Q219" t="s">
        <v>57</v>
      </c>
      <c r="R219" t="s">
        <v>137</v>
      </c>
      <c r="T219" t="s">
        <v>59</v>
      </c>
      <c r="U219" t="s">
        <v>60</v>
      </c>
      <c r="V219" t="s">
        <v>138</v>
      </c>
      <c r="W219" t="s">
        <v>139</v>
      </c>
      <c r="X219">
        <v>1926942</v>
      </c>
      <c r="Y219" s="11">
        <v>44776</v>
      </c>
      <c r="Z219" t="s">
        <v>57</v>
      </c>
      <c r="AA219">
        <v>2</v>
      </c>
      <c r="AB219" t="s">
        <v>57</v>
      </c>
      <c r="AD219" t="s">
        <v>57</v>
      </c>
      <c r="AE219" t="s">
        <v>57</v>
      </c>
      <c r="AF219" t="s">
        <v>57</v>
      </c>
      <c r="AG219">
        <v>1</v>
      </c>
      <c r="AH219" t="s">
        <v>57</v>
      </c>
      <c r="AL219" t="s">
        <v>57</v>
      </c>
      <c r="AM219" s="11">
        <v>44776</v>
      </c>
      <c r="AN219" t="s">
        <v>166</v>
      </c>
      <c r="AO219" t="s">
        <v>65</v>
      </c>
      <c r="AP219">
        <v>1201</v>
      </c>
      <c r="AQ219" t="s">
        <v>66</v>
      </c>
      <c r="AR219">
        <v>92908</v>
      </c>
      <c r="AU219" t="s">
        <v>57</v>
      </c>
      <c r="AV219" t="s">
        <v>68</v>
      </c>
      <c r="AX219" t="s">
        <v>57</v>
      </c>
      <c r="AY219">
        <v>631110</v>
      </c>
      <c r="AZ219">
        <v>1201.63111</v>
      </c>
      <c r="BA219" s="23" t="s">
        <v>11</v>
      </c>
    </row>
    <row r="220" spans="1:53" x14ac:dyDescent="0.25">
      <c r="A220" t="s">
        <v>134</v>
      </c>
      <c r="B220" t="s">
        <v>135</v>
      </c>
      <c r="C220">
        <v>22001842</v>
      </c>
      <c r="D220">
        <v>1201</v>
      </c>
      <c r="E220" s="11">
        <v>44776</v>
      </c>
      <c r="F220" t="s">
        <v>167</v>
      </c>
      <c r="G220">
        <v>0.08</v>
      </c>
      <c r="H220">
        <v>0.08</v>
      </c>
      <c r="I220" t="s">
        <v>56</v>
      </c>
      <c r="O220" t="s">
        <v>57</v>
      </c>
      <c r="Q220" t="s">
        <v>57</v>
      </c>
      <c r="R220" t="s">
        <v>137</v>
      </c>
      <c r="T220" t="s">
        <v>59</v>
      </c>
      <c r="U220" t="s">
        <v>60</v>
      </c>
      <c r="V220" t="s">
        <v>138</v>
      </c>
      <c r="W220" t="s">
        <v>139</v>
      </c>
      <c r="X220">
        <v>1926942</v>
      </c>
      <c r="Y220" s="11">
        <v>44776</v>
      </c>
      <c r="Z220" t="s">
        <v>57</v>
      </c>
      <c r="AA220">
        <v>4</v>
      </c>
      <c r="AB220" t="s">
        <v>57</v>
      </c>
      <c r="AD220" t="s">
        <v>57</v>
      </c>
      <c r="AE220" t="s">
        <v>57</v>
      </c>
      <c r="AF220" t="s">
        <v>57</v>
      </c>
      <c r="AG220">
        <v>1</v>
      </c>
      <c r="AH220" t="s">
        <v>57</v>
      </c>
      <c r="AL220" t="s">
        <v>57</v>
      </c>
      <c r="AM220" s="11">
        <v>44776</v>
      </c>
      <c r="AN220" t="s">
        <v>166</v>
      </c>
      <c r="AO220" t="s">
        <v>65</v>
      </c>
      <c r="AP220">
        <v>1201</v>
      </c>
      <c r="AQ220" t="s">
        <v>66</v>
      </c>
      <c r="AR220">
        <v>91480</v>
      </c>
      <c r="AU220" t="s">
        <v>57</v>
      </c>
      <c r="AV220" t="s">
        <v>68</v>
      </c>
      <c r="AX220" t="s">
        <v>57</v>
      </c>
      <c r="AY220">
        <v>631110</v>
      </c>
      <c r="AZ220">
        <v>1201.63111</v>
      </c>
      <c r="BA220" s="23" t="s">
        <v>11</v>
      </c>
    </row>
    <row r="221" spans="1:53" x14ac:dyDescent="0.25">
      <c r="A221" t="s">
        <v>134</v>
      </c>
      <c r="B221" t="s">
        <v>135</v>
      </c>
      <c r="C221">
        <v>22001842</v>
      </c>
      <c r="D221">
        <v>1201</v>
      </c>
      <c r="E221" s="11">
        <v>44776</v>
      </c>
      <c r="F221" t="s">
        <v>167</v>
      </c>
      <c r="G221">
        <v>4.5999999999999996</v>
      </c>
      <c r="H221">
        <v>4.5999999999999996</v>
      </c>
      <c r="I221" t="s">
        <v>56</v>
      </c>
      <c r="O221" t="s">
        <v>57</v>
      </c>
      <c r="Q221" t="s">
        <v>57</v>
      </c>
      <c r="R221" t="s">
        <v>137</v>
      </c>
      <c r="T221" t="s">
        <v>59</v>
      </c>
      <c r="U221" t="s">
        <v>60</v>
      </c>
      <c r="V221" t="s">
        <v>138</v>
      </c>
      <c r="W221" t="s">
        <v>139</v>
      </c>
      <c r="X221">
        <v>1926942</v>
      </c>
      <c r="Y221" s="11">
        <v>44776</v>
      </c>
      <c r="Z221" t="s">
        <v>57</v>
      </c>
      <c r="AA221">
        <v>6</v>
      </c>
      <c r="AB221" t="s">
        <v>57</v>
      </c>
      <c r="AD221" t="s">
        <v>57</v>
      </c>
      <c r="AE221" t="s">
        <v>57</v>
      </c>
      <c r="AF221" t="s">
        <v>57</v>
      </c>
      <c r="AG221">
        <v>41</v>
      </c>
      <c r="AH221" t="s">
        <v>57</v>
      </c>
      <c r="AL221" t="s">
        <v>57</v>
      </c>
      <c r="AM221" s="11">
        <v>44776</v>
      </c>
      <c r="AN221" t="s">
        <v>166</v>
      </c>
      <c r="AO221" t="s">
        <v>65</v>
      </c>
      <c r="AP221">
        <v>1201</v>
      </c>
      <c r="AQ221" t="s">
        <v>66</v>
      </c>
      <c r="AR221">
        <v>264575</v>
      </c>
      <c r="AU221" t="s">
        <v>57</v>
      </c>
      <c r="AV221" t="s">
        <v>68</v>
      </c>
      <c r="AX221" t="s">
        <v>57</v>
      </c>
      <c r="AY221">
        <v>631110</v>
      </c>
      <c r="AZ221">
        <v>1201.63111</v>
      </c>
      <c r="BA221" s="23" t="s">
        <v>11</v>
      </c>
    </row>
    <row r="222" spans="1:53" x14ac:dyDescent="0.25">
      <c r="A222" t="s">
        <v>134</v>
      </c>
      <c r="B222" t="s">
        <v>135</v>
      </c>
      <c r="C222">
        <v>22001842</v>
      </c>
      <c r="D222">
        <v>1201</v>
      </c>
      <c r="E222" s="11">
        <v>44776</v>
      </c>
      <c r="F222" t="s">
        <v>167</v>
      </c>
      <c r="I222" t="s">
        <v>56</v>
      </c>
      <c r="O222" t="s">
        <v>57</v>
      </c>
      <c r="Q222" t="s">
        <v>57</v>
      </c>
      <c r="R222" t="s">
        <v>137</v>
      </c>
      <c r="T222" t="s">
        <v>59</v>
      </c>
      <c r="U222" t="s">
        <v>60</v>
      </c>
      <c r="V222" t="s">
        <v>138</v>
      </c>
      <c r="W222" t="s">
        <v>139</v>
      </c>
      <c r="X222">
        <v>1926942</v>
      </c>
      <c r="Y222" s="11">
        <v>44776</v>
      </c>
      <c r="Z222" t="s">
        <v>57</v>
      </c>
      <c r="AA222">
        <v>8</v>
      </c>
      <c r="AB222" t="s">
        <v>57</v>
      </c>
      <c r="AD222" t="s">
        <v>57</v>
      </c>
      <c r="AE222" t="s">
        <v>57</v>
      </c>
      <c r="AF222" t="s">
        <v>57</v>
      </c>
      <c r="AG222">
        <v>2</v>
      </c>
      <c r="AH222" t="s">
        <v>57</v>
      </c>
      <c r="AL222" t="s">
        <v>57</v>
      </c>
      <c r="AM222" s="11">
        <v>44776</v>
      </c>
      <c r="AN222" t="s">
        <v>166</v>
      </c>
      <c r="AO222" t="s">
        <v>65</v>
      </c>
      <c r="AP222">
        <v>1201</v>
      </c>
      <c r="AQ222" t="s">
        <v>66</v>
      </c>
      <c r="AR222">
        <v>89745</v>
      </c>
      <c r="AU222" t="s">
        <v>57</v>
      </c>
      <c r="AV222" t="s">
        <v>68</v>
      </c>
      <c r="AX222" t="s">
        <v>57</v>
      </c>
      <c r="AY222">
        <v>631110</v>
      </c>
      <c r="AZ222">
        <v>1201.63111</v>
      </c>
      <c r="BA222" s="23" t="s">
        <v>11</v>
      </c>
    </row>
    <row r="223" spans="1:53" x14ac:dyDescent="0.25">
      <c r="A223" t="s">
        <v>134</v>
      </c>
      <c r="B223" t="s">
        <v>135</v>
      </c>
      <c r="C223">
        <v>22001842</v>
      </c>
      <c r="D223">
        <v>1201</v>
      </c>
      <c r="E223" s="11">
        <v>44776</v>
      </c>
      <c r="F223" t="s">
        <v>167</v>
      </c>
      <c r="G223">
        <v>0.78</v>
      </c>
      <c r="H223">
        <v>0.78</v>
      </c>
      <c r="I223" t="s">
        <v>56</v>
      </c>
      <c r="O223" t="s">
        <v>57</v>
      </c>
      <c r="Q223" t="s">
        <v>57</v>
      </c>
      <c r="R223" t="s">
        <v>137</v>
      </c>
      <c r="T223" t="s">
        <v>59</v>
      </c>
      <c r="U223" t="s">
        <v>60</v>
      </c>
      <c r="V223" t="s">
        <v>138</v>
      </c>
      <c r="W223" t="s">
        <v>139</v>
      </c>
      <c r="X223">
        <v>1926942</v>
      </c>
      <c r="Y223" s="11">
        <v>44776</v>
      </c>
      <c r="Z223" t="s">
        <v>57</v>
      </c>
      <c r="AA223">
        <v>10</v>
      </c>
      <c r="AB223" t="s">
        <v>57</v>
      </c>
      <c r="AD223" t="s">
        <v>57</v>
      </c>
      <c r="AE223" t="s">
        <v>57</v>
      </c>
      <c r="AF223" t="s">
        <v>57</v>
      </c>
      <c r="AG223">
        <v>10</v>
      </c>
      <c r="AH223" t="s">
        <v>57</v>
      </c>
      <c r="AL223" t="s">
        <v>57</v>
      </c>
      <c r="AM223" s="11">
        <v>44776</v>
      </c>
      <c r="AN223" t="s">
        <v>166</v>
      </c>
      <c r="AO223" t="s">
        <v>65</v>
      </c>
      <c r="AP223">
        <v>1201</v>
      </c>
      <c r="AQ223" t="s">
        <v>66</v>
      </c>
      <c r="AR223">
        <v>93455</v>
      </c>
      <c r="AU223" t="s">
        <v>57</v>
      </c>
      <c r="AV223" t="s">
        <v>68</v>
      </c>
      <c r="AX223" t="s">
        <v>57</v>
      </c>
      <c r="AY223">
        <v>631110</v>
      </c>
      <c r="AZ223">
        <v>1201.63111</v>
      </c>
      <c r="BA223" s="23" t="s">
        <v>11</v>
      </c>
    </row>
    <row r="224" spans="1:53" x14ac:dyDescent="0.25">
      <c r="A224" t="s">
        <v>134</v>
      </c>
      <c r="B224" t="s">
        <v>135</v>
      </c>
      <c r="C224">
        <v>22001842</v>
      </c>
      <c r="D224">
        <v>1201</v>
      </c>
      <c r="E224" s="11">
        <v>44776</v>
      </c>
      <c r="F224" t="s">
        <v>167</v>
      </c>
      <c r="G224">
        <v>1.68</v>
      </c>
      <c r="H224">
        <v>1.68</v>
      </c>
      <c r="I224" t="s">
        <v>56</v>
      </c>
      <c r="O224" t="s">
        <v>57</v>
      </c>
      <c r="Q224" t="s">
        <v>57</v>
      </c>
      <c r="R224" t="s">
        <v>137</v>
      </c>
      <c r="T224" t="s">
        <v>59</v>
      </c>
      <c r="U224" t="s">
        <v>60</v>
      </c>
      <c r="V224" t="s">
        <v>138</v>
      </c>
      <c r="W224" t="s">
        <v>139</v>
      </c>
      <c r="X224">
        <v>1926942</v>
      </c>
      <c r="Y224" s="11">
        <v>44776</v>
      </c>
      <c r="Z224" t="s">
        <v>57</v>
      </c>
      <c r="AA224">
        <v>12</v>
      </c>
      <c r="AB224" t="s">
        <v>57</v>
      </c>
      <c r="AD224" t="s">
        <v>57</v>
      </c>
      <c r="AE224" t="s">
        <v>57</v>
      </c>
      <c r="AF224" t="s">
        <v>57</v>
      </c>
      <c r="AG224">
        <v>10</v>
      </c>
      <c r="AH224" t="s">
        <v>57</v>
      </c>
      <c r="AL224" t="s">
        <v>57</v>
      </c>
      <c r="AM224" s="11">
        <v>44776</v>
      </c>
      <c r="AN224" t="s">
        <v>166</v>
      </c>
      <c r="AO224" t="s">
        <v>65</v>
      </c>
      <c r="AP224">
        <v>1201</v>
      </c>
      <c r="AQ224" t="s">
        <v>66</v>
      </c>
      <c r="AR224">
        <v>265523</v>
      </c>
      <c r="AU224" t="s">
        <v>57</v>
      </c>
      <c r="AV224" t="s">
        <v>68</v>
      </c>
      <c r="AX224" t="s">
        <v>57</v>
      </c>
      <c r="AY224">
        <v>631110</v>
      </c>
      <c r="AZ224">
        <v>1201.63111</v>
      </c>
      <c r="BA224" s="23" t="s">
        <v>11</v>
      </c>
    </row>
    <row r="225" spans="1:53" x14ac:dyDescent="0.25">
      <c r="A225" t="s">
        <v>134</v>
      </c>
      <c r="B225" t="s">
        <v>135</v>
      </c>
      <c r="C225">
        <v>22001842</v>
      </c>
      <c r="D225">
        <v>1201</v>
      </c>
      <c r="E225" s="11">
        <v>44776</v>
      </c>
      <c r="F225" t="s">
        <v>167</v>
      </c>
      <c r="G225">
        <v>4.78</v>
      </c>
      <c r="H225">
        <v>4.78</v>
      </c>
      <c r="I225" t="s">
        <v>56</v>
      </c>
      <c r="O225" t="s">
        <v>57</v>
      </c>
      <c r="Q225" t="s">
        <v>57</v>
      </c>
      <c r="R225" t="s">
        <v>137</v>
      </c>
      <c r="T225" t="s">
        <v>59</v>
      </c>
      <c r="U225" t="s">
        <v>60</v>
      </c>
      <c r="V225" t="s">
        <v>138</v>
      </c>
      <c r="W225" t="s">
        <v>139</v>
      </c>
      <c r="X225">
        <v>1926942</v>
      </c>
      <c r="Y225" s="11">
        <v>44776</v>
      </c>
      <c r="Z225" t="s">
        <v>57</v>
      </c>
      <c r="AA225">
        <v>14</v>
      </c>
      <c r="AB225" t="s">
        <v>57</v>
      </c>
      <c r="AD225" t="s">
        <v>57</v>
      </c>
      <c r="AE225" t="s">
        <v>57</v>
      </c>
      <c r="AF225" t="s">
        <v>57</v>
      </c>
      <c r="AG225">
        <v>30</v>
      </c>
      <c r="AH225" t="s">
        <v>57</v>
      </c>
      <c r="AL225" t="s">
        <v>57</v>
      </c>
      <c r="AM225" s="11">
        <v>44776</v>
      </c>
      <c r="AN225" t="s">
        <v>166</v>
      </c>
      <c r="AO225" t="s">
        <v>65</v>
      </c>
      <c r="AP225">
        <v>1201</v>
      </c>
      <c r="AQ225" t="s">
        <v>66</v>
      </c>
      <c r="AR225">
        <v>89712</v>
      </c>
      <c r="AU225" t="s">
        <v>57</v>
      </c>
      <c r="AV225" t="s">
        <v>68</v>
      </c>
      <c r="AX225" t="s">
        <v>57</v>
      </c>
      <c r="AY225">
        <v>631110</v>
      </c>
      <c r="AZ225">
        <v>1201.63111</v>
      </c>
      <c r="BA225" s="23" t="s">
        <v>11</v>
      </c>
    </row>
    <row r="226" spans="1:53" x14ac:dyDescent="0.25">
      <c r="A226" t="s">
        <v>134</v>
      </c>
      <c r="B226" t="s">
        <v>135</v>
      </c>
      <c r="C226">
        <v>22001842</v>
      </c>
      <c r="D226">
        <v>1201</v>
      </c>
      <c r="E226" s="11">
        <v>44776</v>
      </c>
      <c r="F226" t="s">
        <v>167</v>
      </c>
      <c r="I226" t="s">
        <v>56</v>
      </c>
      <c r="O226" t="s">
        <v>57</v>
      </c>
      <c r="Q226" t="s">
        <v>57</v>
      </c>
      <c r="R226" t="s">
        <v>137</v>
      </c>
      <c r="T226" t="s">
        <v>59</v>
      </c>
      <c r="U226" t="s">
        <v>60</v>
      </c>
      <c r="V226" t="s">
        <v>138</v>
      </c>
      <c r="W226" t="s">
        <v>139</v>
      </c>
      <c r="X226">
        <v>1926942</v>
      </c>
      <c r="Y226" s="11">
        <v>44776</v>
      </c>
      <c r="Z226" t="s">
        <v>57</v>
      </c>
      <c r="AA226">
        <v>16</v>
      </c>
      <c r="AB226" t="s">
        <v>57</v>
      </c>
      <c r="AD226" t="s">
        <v>57</v>
      </c>
      <c r="AE226" t="s">
        <v>57</v>
      </c>
      <c r="AF226" t="s">
        <v>57</v>
      </c>
      <c r="AG226">
        <v>10</v>
      </c>
      <c r="AH226" t="s">
        <v>57</v>
      </c>
      <c r="AL226" t="s">
        <v>57</v>
      </c>
      <c r="AM226" s="11">
        <v>44776</v>
      </c>
      <c r="AN226" t="s">
        <v>166</v>
      </c>
      <c r="AO226" t="s">
        <v>65</v>
      </c>
      <c r="AP226">
        <v>1201</v>
      </c>
      <c r="AQ226" t="s">
        <v>66</v>
      </c>
      <c r="AR226">
        <v>89719</v>
      </c>
      <c r="AU226" t="s">
        <v>57</v>
      </c>
      <c r="AV226" t="s">
        <v>68</v>
      </c>
      <c r="AX226" t="s">
        <v>57</v>
      </c>
      <c r="AY226">
        <v>631110</v>
      </c>
      <c r="AZ226">
        <v>1201.63111</v>
      </c>
      <c r="BA226" s="23" t="s">
        <v>11</v>
      </c>
    </row>
    <row r="227" spans="1:53" x14ac:dyDescent="0.25">
      <c r="A227" t="s">
        <v>134</v>
      </c>
      <c r="B227" t="s">
        <v>135</v>
      </c>
      <c r="C227">
        <v>22001842</v>
      </c>
      <c r="D227">
        <v>1201</v>
      </c>
      <c r="E227" s="11">
        <v>44776</v>
      </c>
      <c r="F227" t="s">
        <v>167</v>
      </c>
      <c r="I227" t="s">
        <v>56</v>
      </c>
      <c r="O227" t="s">
        <v>57</v>
      </c>
      <c r="Q227" t="s">
        <v>57</v>
      </c>
      <c r="R227" t="s">
        <v>137</v>
      </c>
      <c r="T227" t="s">
        <v>59</v>
      </c>
      <c r="U227" t="s">
        <v>60</v>
      </c>
      <c r="V227" t="s">
        <v>138</v>
      </c>
      <c r="W227" t="s">
        <v>139</v>
      </c>
      <c r="X227">
        <v>1926942</v>
      </c>
      <c r="Y227" s="11">
        <v>44776</v>
      </c>
      <c r="Z227" t="s">
        <v>57</v>
      </c>
      <c r="AA227">
        <v>18</v>
      </c>
      <c r="AB227" t="s">
        <v>57</v>
      </c>
      <c r="AD227" t="s">
        <v>57</v>
      </c>
      <c r="AE227" t="s">
        <v>57</v>
      </c>
      <c r="AF227" t="s">
        <v>57</v>
      </c>
      <c r="AG227">
        <v>10</v>
      </c>
      <c r="AH227" t="s">
        <v>57</v>
      </c>
      <c r="AL227" t="s">
        <v>57</v>
      </c>
      <c r="AM227" s="11">
        <v>44776</v>
      </c>
      <c r="AN227" t="s">
        <v>166</v>
      </c>
      <c r="AO227" t="s">
        <v>65</v>
      </c>
      <c r="AP227">
        <v>1201</v>
      </c>
      <c r="AQ227" t="s">
        <v>66</v>
      </c>
      <c r="AR227">
        <v>89709</v>
      </c>
      <c r="AU227" t="s">
        <v>57</v>
      </c>
      <c r="AV227" t="s">
        <v>68</v>
      </c>
      <c r="AX227" t="s">
        <v>57</v>
      </c>
      <c r="AY227">
        <v>631110</v>
      </c>
      <c r="AZ227">
        <v>1201.63111</v>
      </c>
      <c r="BA227" s="23" t="s">
        <v>11</v>
      </c>
    </row>
    <row r="228" spans="1:53" x14ac:dyDescent="0.25">
      <c r="A228" t="s">
        <v>134</v>
      </c>
      <c r="B228" t="s">
        <v>135</v>
      </c>
      <c r="C228">
        <v>22001842</v>
      </c>
      <c r="D228">
        <v>1201</v>
      </c>
      <c r="E228" s="11">
        <v>44776</v>
      </c>
      <c r="F228" t="s">
        <v>167</v>
      </c>
      <c r="G228">
        <v>0.77</v>
      </c>
      <c r="H228">
        <v>0.77</v>
      </c>
      <c r="I228" t="s">
        <v>56</v>
      </c>
      <c r="O228" t="s">
        <v>57</v>
      </c>
      <c r="Q228" t="s">
        <v>57</v>
      </c>
      <c r="R228" t="s">
        <v>137</v>
      </c>
      <c r="T228" t="s">
        <v>59</v>
      </c>
      <c r="U228" t="s">
        <v>60</v>
      </c>
      <c r="V228" t="s">
        <v>138</v>
      </c>
      <c r="W228" t="s">
        <v>139</v>
      </c>
      <c r="X228">
        <v>1926942</v>
      </c>
      <c r="Y228" s="11">
        <v>44776</v>
      </c>
      <c r="Z228" t="s">
        <v>57</v>
      </c>
      <c r="AA228">
        <v>20</v>
      </c>
      <c r="AB228" t="s">
        <v>57</v>
      </c>
      <c r="AD228" t="s">
        <v>57</v>
      </c>
      <c r="AE228" t="s">
        <v>57</v>
      </c>
      <c r="AF228" t="s">
        <v>57</v>
      </c>
      <c r="AG228">
        <v>10</v>
      </c>
      <c r="AH228" t="s">
        <v>57</v>
      </c>
      <c r="AL228" t="s">
        <v>57</v>
      </c>
      <c r="AM228" s="11">
        <v>44776</v>
      </c>
      <c r="AN228" t="s">
        <v>166</v>
      </c>
      <c r="AO228" t="s">
        <v>65</v>
      </c>
      <c r="AP228">
        <v>1201</v>
      </c>
      <c r="AQ228" t="s">
        <v>66</v>
      </c>
      <c r="AR228">
        <v>91479</v>
      </c>
      <c r="AU228" t="s">
        <v>57</v>
      </c>
      <c r="AV228" t="s">
        <v>68</v>
      </c>
      <c r="AX228" t="s">
        <v>57</v>
      </c>
      <c r="AY228">
        <v>631110</v>
      </c>
      <c r="AZ228">
        <v>1201.63111</v>
      </c>
      <c r="BA228" s="23" t="s">
        <v>11</v>
      </c>
    </row>
    <row r="229" spans="1:53" x14ac:dyDescent="0.25">
      <c r="A229" t="s">
        <v>134</v>
      </c>
      <c r="B229" t="s">
        <v>135</v>
      </c>
      <c r="C229">
        <v>22001844</v>
      </c>
      <c r="D229">
        <v>1201</v>
      </c>
      <c r="E229" s="11">
        <v>44777</v>
      </c>
      <c r="F229" t="s">
        <v>168</v>
      </c>
      <c r="G229">
        <v>1.55</v>
      </c>
      <c r="H229">
        <v>1.55</v>
      </c>
      <c r="I229" t="s">
        <v>56</v>
      </c>
      <c r="O229" t="s">
        <v>57</v>
      </c>
      <c r="Q229" t="s">
        <v>57</v>
      </c>
      <c r="R229" t="s">
        <v>137</v>
      </c>
      <c r="T229" t="s">
        <v>59</v>
      </c>
      <c r="U229" t="s">
        <v>60</v>
      </c>
      <c r="V229" t="s">
        <v>138</v>
      </c>
      <c r="W229" t="s">
        <v>139</v>
      </c>
      <c r="X229">
        <v>1927384</v>
      </c>
      <c r="Y229" s="11">
        <v>44777</v>
      </c>
      <c r="Z229" t="s">
        <v>57</v>
      </c>
      <c r="AA229">
        <v>2</v>
      </c>
      <c r="AB229" t="s">
        <v>57</v>
      </c>
      <c r="AD229" t="s">
        <v>57</v>
      </c>
      <c r="AE229" t="s">
        <v>57</v>
      </c>
      <c r="AF229" t="s">
        <v>57</v>
      </c>
      <c r="AG229">
        <v>20</v>
      </c>
      <c r="AH229" t="s">
        <v>57</v>
      </c>
      <c r="AL229" t="s">
        <v>57</v>
      </c>
      <c r="AM229" s="11">
        <v>44777</v>
      </c>
      <c r="AN229" t="s">
        <v>166</v>
      </c>
      <c r="AO229" t="s">
        <v>65</v>
      </c>
      <c r="AP229">
        <v>1201</v>
      </c>
      <c r="AQ229" t="s">
        <v>66</v>
      </c>
      <c r="AR229">
        <v>91479</v>
      </c>
      <c r="AU229" t="s">
        <v>57</v>
      </c>
      <c r="AV229" t="s">
        <v>68</v>
      </c>
      <c r="AX229" t="s">
        <v>57</v>
      </c>
      <c r="AY229">
        <v>631110</v>
      </c>
      <c r="AZ229">
        <v>1201.63111</v>
      </c>
      <c r="BA229" s="23" t="s">
        <v>11</v>
      </c>
    </row>
    <row r="230" spans="1:53" x14ac:dyDescent="0.25">
      <c r="A230" t="s">
        <v>134</v>
      </c>
      <c r="B230" t="s">
        <v>135</v>
      </c>
      <c r="C230">
        <v>22001844</v>
      </c>
      <c r="D230">
        <v>1201</v>
      </c>
      <c r="E230" s="11">
        <v>44777</v>
      </c>
      <c r="F230" t="s">
        <v>168</v>
      </c>
      <c r="G230">
        <v>2.23</v>
      </c>
      <c r="H230">
        <v>2.23</v>
      </c>
      <c r="I230" t="s">
        <v>56</v>
      </c>
      <c r="O230" t="s">
        <v>57</v>
      </c>
      <c r="Q230" t="s">
        <v>57</v>
      </c>
      <c r="R230" t="s">
        <v>137</v>
      </c>
      <c r="T230" t="s">
        <v>59</v>
      </c>
      <c r="U230" t="s">
        <v>60</v>
      </c>
      <c r="V230" t="s">
        <v>138</v>
      </c>
      <c r="W230" t="s">
        <v>139</v>
      </c>
      <c r="X230">
        <v>1927384</v>
      </c>
      <c r="Y230" s="11">
        <v>44777</v>
      </c>
      <c r="Z230" t="s">
        <v>57</v>
      </c>
      <c r="AA230">
        <v>4</v>
      </c>
      <c r="AB230" t="s">
        <v>57</v>
      </c>
      <c r="AD230" t="s">
        <v>57</v>
      </c>
      <c r="AE230" t="s">
        <v>57</v>
      </c>
      <c r="AF230" t="s">
        <v>57</v>
      </c>
      <c r="AG230">
        <v>20</v>
      </c>
      <c r="AH230" t="s">
        <v>57</v>
      </c>
      <c r="AL230" t="s">
        <v>57</v>
      </c>
      <c r="AM230" s="11">
        <v>44777</v>
      </c>
      <c r="AN230" t="s">
        <v>166</v>
      </c>
      <c r="AO230" t="s">
        <v>65</v>
      </c>
      <c r="AP230">
        <v>1201</v>
      </c>
      <c r="AQ230" t="s">
        <v>66</v>
      </c>
      <c r="AR230">
        <v>264575</v>
      </c>
      <c r="AU230" t="s">
        <v>57</v>
      </c>
      <c r="AV230" t="s">
        <v>68</v>
      </c>
      <c r="AX230" t="s">
        <v>57</v>
      </c>
      <c r="AY230">
        <v>631110</v>
      </c>
      <c r="AZ230">
        <v>1201.63111</v>
      </c>
      <c r="BA230" s="23" t="s">
        <v>11</v>
      </c>
    </row>
    <row r="231" spans="1:53" x14ac:dyDescent="0.25">
      <c r="A231" t="s">
        <v>134</v>
      </c>
      <c r="B231" t="s">
        <v>135</v>
      </c>
      <c r="C231">
        <v>22001844</v>
      </c>
      <c r="D231">
        <v>1201</v>
      </c>
      <c r="E231" s="11">
        <v>44777</v>
      </c>
      <c r="F231" t="s">
        <v>168</v>
      </c>
      <c r="G231">
        <v>1.59</v>
      </c>
      <c r="H231">
        <v>1.59</v>
      </c>
      <c r="I231" t="s">
        <v>56</v>
      </c>
      <c r="O231" t="s">
        <v>57</v>
      </c>
      <c r="Q231" t="s">
        <v>57</v>
      </c>
      <c r="R231" t="s">
        <v>137</v>
      </c>
      <c r="T231" t="s">
        <v>59</v>
      </c>
      <c r="U231" t="s">
        <v>60</v>
      </c>
      <c r="V231" t="s">
        <v>138</v>
      </c>
      <c r="W231" t="s">
        <v>139</v>
      </c>
      <c r="X231">
        <v>1927384</v>
      </c>
      <c r="Y231" s="11">
        <v>44777</v>
      </c>
      <c r="Z231" t="s">
        <v>57</v>
      </c>
      <c r="AA231">
        <v>6</v>
      </c>
      <c r="AB231" t="s">
        <v>57</v>
      </c>
      <c r="AD231" t="s">
        <v>57</v>
      </c>
      <c r="AE231" t="s">
        <v>57</v>
      </c>
      <c r="AF231" t="s">
        <v>57</v>
      </c>
      <c r="AG231">
        <v>10</v>
      </c>
      <c r="AH231" t="s">
        <v>57</v>
      </c>
      <c r="AL231" t="s">
        <v>57</v>
      </c>
      <c r="AM231" s="11">
        <v>44777</v>
      </c>
      <c r="AN231" t="s">
        <v>166</v>
      </c>
      <c r="AO231" t="s">
        <v>65</v>
      </c>
      <c r="AP231">
        <v>1201</v>
      </c>
      <c r="AQ231" t="s">
        <v>66</v>
      </c>
      <c r="AR231">
        <v>89712</v>
      </c>
      <c r="AU231" t="s">
        <v>57</v>
      </c>
      <c r="AV231" t="s">
        <v>68</v>
      </c>
      <c r="AX231" t="s">
        <v>57</v>
      </c>
      <c r="AY231">
        <v>631110</v>
      </c>
      <c r="AZ231">
        <v>1201.63111</v>
      </c>
      <c r="BA231" s="23" t="s">
        <v>11</v>
      </c>
    </row>
    <row r="232" spans="1:53" x14ac:dyDescent="0.25">
      <c r="A232" t="s">
        <v>134</v>
      </c>
      <c r="B232" t="s">
        <v>135</v>
      </c>
      <c r="C232">
        <v>22001844</v>
      </c>
      <c r="D232">
        <v>1201</v>
      </c>
      <c r="E232" s="11">
        <v>44777</v>
      </c>
      <c r="F232" t="s">
        <v>168</v>
      </c>
      <c r="I232" t="s">
        <v>56</v>
      </c>
      <c r="O232" t="s">
        <v>57</v>
      </c>
      <c r="Q232" t="s">
        <v>57</v>
      </c>
      <c r="R232" t="s">
        <v>137</v>
      </c>
      <c r="T232" t="s">
        <v>59</v>
      </c>
      <c r="U232" t="s">
        <v>60</v>
      </c>
      <c r="V232" t="s">
        <v>138</v>
      </c>
      <c r="W232" t="s">
        <v>139</v>
      </c>
      <c r="X232">
        <v>1927384</v>
      </c>
      <c r="Y232" s="11">
        <v>44777</v>
      </c>
      <c r="Z232" t="s">
        <v>57</v>
      </c>
      <c r="AA232">
        <v>8</v>
      </c>
      <c r="AB232" t="s">
        <v>57</v>
      </c>
      <c r="AD232" t="s">
        <v>57</v>
      </c>
      <c r="AE232" t="s">
        <v>57</v>
      </c>
      <c r="AF232" t="s">
        <v>57</v>
      </c>
      <c r="AG232">
        <v>10</v>
      </c>
      <c r="AH232" t="s">
        <v>57</v>
      </c>
      <c r="AL232" t="s">
        <v>57</v>
      </c>
      <c r="AM232" s="11">
        <v>44777</v>
      </c>
      <c r="AN232" t="s">
        <v>166</v>
      </c>
      <c r="AO232" t="s">
        <v>65</v>
      </c>
      <c r="AP232">
        <v>1201</v>
      </c>
      <c r="AQ232" t="s">
        <v>66</v>
      </c>
      <c r="AR232">
        <v>89719</v>
      </c>
      <c r="AU232" t="s">
        <v>57</v>
      </c>
      <c r="AV232" t="s">
        <v>68</v>
      </c>
      <c r="AX232" t="s">
        <v>57</v>
      </c>
      <c r="AY232">
        <v>631110</v>
      </c>
      <c r="AZ232">
        <v>1201.63111</v>
      </c>
      <c r="BA232" s="23" t="s">
        <v>11</v>
      </c>
    </row>
    <row r="233" spans="1:53" x14ac:dyDescent="0.25">
      <c r="A233" t="s">
        <v>134</v>
      </c>
      <c r="B233" t="s">
        <v>135</v>
      </c>
      <c r="C233">
        <v>22001850</v>
      </c>
      <c r="D233">
        <v>1201</v>
      </c>
      <c r="E233" s="11">
        <v>44778</v>
      </c>
      <c r="F233" t="s">
        <v>169</v>
      </c>
      <c r="G233">
        <v>15.67</v>
      </c>
      <c r="H233">
        <v>15.67</v>
      </c>
      <c r="I233" t="s">
        <v>56</v>
      </c>
      <c r="O233" t="s">
        <v>57</v>
      </c>
      <c r="Q233" t="s">
        <v>57</v>
      </c>
      <c r="R233" t="s">
        <v>137</v>
      </c>
      <c r="T233" t="s">
        <v>59</v>
      </c>
      <c r="U233" t="s">
        <v>60</v>
      </c>
      <c r="V233" t="s">
        <v>138</v>
      </c>
      <c r="W233" t="s">
        <v>139</v>
      </c>
      <c r="X233">
        <v>1928678</v>
      </c>
      <c r="Y233" s="11">
        <v>44778</v>
      </c>
      <c r="Z233" t="s">
        <v>57</v>
      </c>
      <c r="AA233">
        <v>12</v>
      </c>
      <c r="AB233" t="s">
        <v>57</v>
      </c>
      <c r="AD233" t="s">
        <v>57</v>
      </c>
      <c r="AE233" t="s">
        <v>57</v>
      </c>
      <c r="AF233" t="s">
        <v>57</v>
      </c>
      <c r="AG233">
        <v>1</v>
      </c>
      <c r="AH233" t="s">
        <v>57</v>
      </c>
      <c r="AL233" t="s">
        <v>57</v>
      </c>
      <c r="AM233" s="11">
        <v>44778</v>
      </c>
      <c r="AN233" t="s">
        <v>170</v>
      </c>
      <c r="AO233" t="s">
        <v>65</v>
      </c>
      <c r="AP233">
        <v>1201</v>
      </c>
      <c r="AQ233" t="s">
        <v>66</v>
      </c>
      <c r="AR233">
        <v>163472</v>
      </c>
      <c r="AU233" t="s">
        <v>57</v>
      </c>
      <c r="AV233" t="s">
        <v>68</v>
      </c>
      <c r="AX233" t="s">
        <v>57</v>
      </c>
      <c r="AY233">
        <v>631110</v>
      </c>
      <c r="AZ233">
        <v>1201.63111</v>
      </c>
      <c r="BA233" s="23" t="s">
        <v>11</v>
      </c>
    </row>
    <row r="234" spans="1:53" x14ac:dyDescent="0.25">
      <c r="A234" t="s">
        <v>134</v>
      </c>
      <c r="B234" t="s">
        <v>135</v>
      </c>
      <c r="C234">
        <v>22001850</v>
      </c>
      <c r="D234">
        <v>1201</v>
      </c>
      <c r="E234" s="11">
        <v>44778</v>
      </c>
      <c r="F234" t="s">
        <v>169</v>
      </c>
      <c r="G234">
        <v>13.9</v>
      </c>
      <c r="H234">
        <v>13.9</v>
      </c>
      <c r="I234" t="s">
        <v>56</v>
      </c>
      <c r="O234" t="s">
        <v>57</v>
      </c>
      <c r="Q234" t="s">
        <v>57</v>
      </c>
      <c r="R234" t="s">
        <v>137</v>
      </c>
      <c r="T234" t="s">
        <v>59</v>
      </c>
      <c r="U234" t="s">
        <v>60</v>
      </c>
      <c r="V234" t="s">
        <v>138</v>
      </c>
      <c r="W234" t="s">
        <v>139</v>
      </c>
      <c r="X234">
        <v>1928678</v>
      </c>
      <c r="Y234" s="11">
        <v>44778</v>
      </c>
      <c r="Z234" t="s">
        <v>57</v>
      </c>
      <c r="AA234">
        <v>14</v>
      </c>
      <c r="AB234" t="s">
        <v>57</v>
      </c>
      <c r="AD234" t="s">
        <v>57</v>
      </c>
      <c r="AE234" t="s">
        <v>57</v>
      </c>
      <c r="AF234" t="s">
        <v>57</v>
      </c>
      <c r="AG234">
        <v>10</v>
      </c>
      <c r="AH234" t="s">
        <v>57</v>
      </c>
      <c r="AL234" t="s">
        <v>57</v>
      </c>
      <c r="AM234" s="11">
        <v>44778</v>
      </c>
      <c r="AN234" t="s">
        <v>170</v>
      </c>
      <c r="AO234" t="s">
        <v>65</v>
      </c>
      <c r="AP234">
        <v>1201</v>
      </c>
      <c r="AQ234" t="s">
        <v>66</v>
      </c>
      <c r="AR234">
        <v>163503</v>
      </c>
      <c r="AU234" t="s">
        <v>57</v>
      </c>
      <c r="AV234" t="s">
        <v>68</v>
      </c>
      <c r="AX234" t="s">
        <v>57</v>
      </c>
      <c r="AY234">
        <v>631110</v>
      </c>
      <c r="AZ234">
        <v>1201.63111</v>
      </c>
      <c r="BA234" s="23" t="s">
        <v>11</v>
      </c>
    </row>
    <row r="235" spans="1:53" x14ac:dyDescent="0.25">
      <c r="A235" t="s">
        <v>134</v>
      </c>
      <c r="B235" t="s">
        <v>135</v>
      </c>
      <c r="C235">
        <v>22001850</v>
      </c>
      <c r="D235">
        <v>1201</v>
      </c>
      <c r="E235" s="11">
        <v>44778</v>
      </c>
      <c r="F235" t="s">
        <v>169</v>
      </c>
      <c r="G235">
        <v>17.989999999999998</v>
      </c>
      <c r="H235">
        <v>17.989999999999998</v>
      </c>
      <c r="I235" t="s">
        <v>56</v>
      </c>
      <c r="O235" t="s">
        <v>57</v>
      </c>
      <c r="Q235" t="s">
        <v>57</v>
      </c>
      <c r="R235" t="s">
        <v>137</v>
      </c>
      <c r="T235" t="s">
        <v>59</v>
      </c>
      <c r="U235" t="s">
        <v>60</v>
      </c>
      <c r="V235" t="s">
        <v>138</v>
      </c>
      <c r="W235" t="s">
        <v>139</v>
      </c>
      <c r="X235">
        <v>1928678</v>
      </c>
      <c r="Y235" s="11">
        <v>44778</v>
      </c>
      <c r="Z235" t="s">
        <v>57</v>
      </c>
      <c r="AA235">
        <v>16</v>
      </c>
      <c r="AB235" t="s">
        <v>57</v>
      </c>
      <c r="AD235" t="s">
        <v>57</v>
      </c>
      <c r="AE235" t="s">
        <v>57</v>
      </c>
      <c r="AF235" t="s">
        <v>57</v>
      </c>
      <c r="AG235">
        <v>5</v>
      </c>
      <c r="AH235" t="s">
        <v>57</v>
      </c>
      <c r="AL235" t="s">
        <v>57</v>
      </c>
      <c r="AM235" s="11">
        <v>44778</v>
      </c>
      <c r="AN235" t="s">
        <v>170</v>
      </c>
      <c r="AO235" t="s">
        <v>65</v>
      </c>
      <c r="AP235">
        <v>1201</v>
      </c>
      <c r="AQ235" t="s">
        <v>66</v>
      </c>
      <c r="AR235">
        <v>230640</v>
      </c>
      <c r="AU235" t="s">
        <v>57</v>
      </c>
      <c r="AV235" t="s">
        <v>68</v>
      </c>
      <c r="AX235" t="s">
        <v>57</v>
      </c>
      <c r="AY235">
        <v>631110</v>
      </c>
      <c r="AZ235">
        <v>1201.63111</v>
      </c>
      <c r="BA235" s="23" t="s">
        <v>11</v>
      </c>
    </row>
    <row r="236" spans="1:53" x14ac:dyDescent="0.25">
      <c r="A236" t="s">
        <v>134</v>
      </c>
      <c r="B236" t="s">
        <v>135</v>
      </c>
      <c r="C236">
        <v>22001850</v>
      </c>
      <c r="D236">
        <v>1201</v>
      </c>
      <c r="E236" s="11">
        <v>44778</v>
      </c>
      <c r="F236" t="s">
        <v>169</v>
      </c>
      <c r="G236">
        <v>2.09</v>
      </c>
      <c r="H236">
        <v>2.09</v>
      </c>
      <c r="I236" t="s">
        <v>56</v>
      </c>
      <c r="O236" t="s">
        <v>57</v>
      </c>
      <c r="Q236" t="s">
        <v>57</v>
      </c>
      <c r="R236" t="s">
        <v>137</v>
      </c>
      <c r="T236" t="s">
        <v>59</v>
      </c>
      <c r="U236" t="s">
        <v>60</v>
      </c>
      <c r="V236" t="s">
        <v>138</v>
      </c>
      <c r="W236" t="s">
        <v>139</v>
      </c>
      <c r="X236">
        <v>1928678</v>
      </c>
      <c r="Y236" s="11">
        <v>44778</v>
      </c>
      <c r="Z236" t="s">
        <v>57</v>
      </c>
      <c r="AA236">
        <v>18</v>
      </c>
      <c r="AB236" t="s">
        <v>57</v>
      </c>
      <c r="AD236" t="s">
        <v>57</v>
      </c>
      <c r="AE236" t="s">
        <v>57</v>
      </c>
      <c r="AF236" t="s">
        <v>57</v>
      </c>
      <c r="AG236">
        <v>1</v>
      </c>
      <c r="AH236" t="s">
        <v>57</v>
      </c>
      <c r="AL236" t="s">
        <v>57</v>
      </c>
      <c r="AM236" s="11">
        <v>44778</v>
      </c>
      <c r="AN236" t="s">
        <v>170</v>
      </c>
      <c r="AO236" t="s">
        <v>65</v>
      </c>
      <c r="AP236">
        <v>1201</v>
      </c>
      <c r="AQ236" t="s">
        <v>66</v>
      </c>
      <c r="AR236">
        <v>250199</v>
      </c>
      <c r="AU236" t="s">
        <v>57</v>
      </c>
      <c r="AV236" t="s">
        <v>68</v>
      </c>
      <c r="AX236" t="s">
        <v>57</v>
      </c>
      <c r="AY236">
        <v>631110</v>
      </c>
      <c r="AZ236">
        <v>1201.63111</v>
      </c>
      <c r="BA236" s="23" t="s">
        <v>11</v>
      </c>
    </row>
    <row r="237" spans="1:53" x14ac:dyDescent="0.25">
      <c r="A237" t="s">
        <v>134</v>
      </c>
      <c r="B237" t="s">
        <v>135</v>
      </c>
      <c r="C237">
        <v>22001850</v>
      </c>
      <c r="D237">
        <v>1201</v>
      </c>
      <c r="E237" s="11">
        <v>44778</v>
      </c>
      <c r="F237" t="s">
        <v>169</v>
      </c>
      <c r="G237">
        <v>0.45</v>
      </c>
      <c r="H237">
        <v>0.45</v>
      </c>
      <c r="I237" t="s">
        <v>56</v>
      </c>
      <c r="O237" t="s">
        <v>57</v>
      </c>
      <c r="Q237" t="s">
        <v>57</v>
      </c>
      <c r="R237" t="s">
        <v>137</v>
      </c>
      <c r="T237" t="s">
        <v>59</v>
      </c>
      <c r="U237" t="s">
        <v>60</v>
      </c>
      <c r="V237" t="s">
        <v>138</v>
      </c>
      <c r="W237" t="s">
        <v>139</v>
      </c>
      <c r="X237">
        <v>1928678</v>
      </c>
      <c r="Y237" s="11">
        <v>44778</v>
      </c>
      <c r="Z237" t="s">
        <v>57</v>
      </c>
      <c r="AA237">
        <v>20</v>
      </c>
      <c r="AB237" t="s">
        <v>57</v>
      </c>
      <c r="AD237" t="s">
        <v>57</v>
      </c>
      <c r="AE237" t="s">
        <v>57</v>
      </c>
      <c r="AF237" t="s">
        <v>57</v>
      </c>
      <c r="AG237">
        <v>1</v>
      </c>
      <c r="AH237" t="s">
        <v>57</v>
      </c>
      <c r="AL237" t="s">
        <v>57</v>
      </c>
      <c r="AM237" s="11">
        <v>44778</v>
      </c>
      <c r="AN237" t="s">
        <v>170</v>
      </c>
      <c r="AO237" t="s">
        <v>65</v>
      </c>
      <c r="AP237">
        <v>1201</v>
      </c>
      <c r="AQ237" t="s">
        <v>66</v>
      </c>
      <c r="AR237">
        <v>91268</v>
      </c>
      <c r="AU237" t="s">
        <v>57</v>
      </c>
      <c r="AV237" t="s">
        <v>68</v>
      </c>
      <c r="AX237" t="s">
        <v>57</v>
      </c>
      <c r="AY237">
        <v>631110</v>
      </c>
      <c r="AZ237">
        <v>1201.63111</v>
      </c>
      <c r="BA237" s="23" t="s">
        <v>11</v>
      </c>
    </row>
    <row r="238" spans="1:53" x14ac:dyDescent="0.25">
      <c r="A238" t="s">
        <v>134</v>
      </c>
      <c r="B238" t="s">
        <v>135</v>
      </c>
      <c r="C238">
        <v>22001850</v>
      </c>
      <c r="D238">
        <v>1201</v>
      </c>
      <c r="E238" s="11">
        <v>44778</v>
      </c>
      <c r="F238" t="s">
        <v>169</v>
      </c>
      <c r="G238">
        <v>0.7</v>
      </c>
      <c r="H238">
        <v>0.7</v>
      </c>
      <c r="I238" t="s">
        <v>56</v>
      </c>
      <c r="O238" t="s">
        <v>57</v>
      </c>
      <c r="Q238" t="s">
        <v>57</v>
      </c>
      <c r="R238" t="s">
        <v>137</v>
      </c>
      <c r="T238" t="s">
        <v>59</v>
      </c>
      <c r="U238" t="s">
        <v>60</v>
      </c>
      <c r="V238" t="s">
        <v>138</v>
      </c>
      <c r="W238" t="s">
        <v>139</v>
      </c>
      <c r="X238">
        <v>1928678</v>
      </c>
      <c r="Y238" s="11">
        <v>44778</v>
      </c>
      <c r="Z238" t="s">
        <v>57</v>
      </c>
      <c r="AA238">
        <v>22</v>
      </c>
      <c r="AB238" t="s">
        <v>57</v>
      </c>
      <c r="AD238" t="s">
        <v>57</v>
      </c>
      <c r="AE238" t="s">
        <v>57</v>
      </c>
      <c r="AF238" t="s">
        <v>57</v>
      </c>
      <c r="AG238">
        <v>1</v>
      </c>
      <c r="AH238" t="s">
        <v>57</v>
      </c>
      <c r="AL238" t="s">
        <v>57</v>
      </c>
      <c r="AM238" s="11">
        <v>44778</v>
      </c>
      <c r="AN238" t="s">
        <v>170</v>
      </c>
      <c r="AO238" t="s">
        <v>65</v>
      </c>
      <c r="AP238">
        <v>1201</v>
      </c>
      <c r="AQ238" t="s">
        <v>66</v>
      </c>
      <c r="AR238">
        <v>88732</v>
      </c>
      <c r="AU238" t="s">
        <v>57</v>
      </c>
      <c r="AV238" t="s">
        <v>68</v>
      </c>
      <c r="AX238" t="s">
        <v>57</v>
      </c>
      <c r="AY238">
        <v>631110</v>
      </c>
      <c r="AZ238">
        <v>1201.63111</v>
      </c>
      <c r="BA238" s="23" t="s">
        <v>11</v>
      </c>
    </row>
    <row r="239" spans="1:53" x14ac:dyDescent="0.25">
      <c r="A239" t="s">
        <v>134</v>
      </c>
      <c r="B239" t="s">
        <v>135</v>
      </c>
      <c r="C239">
        <v>22001850</v>
      </c>
      <c r="D239">
        <v>1201</v>
      </c>
      <c r="E239" s="11">
        <v>44778</v>
      </c>
      <c r="F239" t="s">
        <v>169</v>
      </c>
      <c r="G239">
        <v>0.19</v>
      </c>
      <c r="H239">
        <v>0.19</v>
      </c>
      <c r="I239" t="s">
        <v>56</v>
      </c>
      <c r="O239" t="s">
        <v>57</v>
      </c>
      <c r="Q239" t="s">
        <v>57</v>
      </c>
      <c r="R239" t="s">
        <v>137</v>
      </c>
      <c r="T239" t="s">
        <v>59</v>
      </c>
      <c r="U239" t="s">
        <v>60</v>
      </c>
      <c r="V239" t="s">
        <v>138</v>
      </c>
      <c r="W239" t="s">
        <v>139</v>
      </c>
      <c r="X239">
        <v>1928678</v>
      </c>
      <c r="Y239" s="11">
        <v>44778</v>
      </c>
      <c r="Z239" t="s">
        <v>57</v>
      </c>
      <c r="AA239">
        <v>24</v>
      </c>
      <c r="AB239" t="s">
        <v>57</v>
      </c>
      <c r="AD239" t="s">
        <v>57</v>
      </c>
      <c r="AE239" t="s">
        <v>57</v>
      </c>
      <c r="AF239" t="s">
        <v>57</v>
      </c>
      <c r="AG239">
        <v>5</v>
      </c>
      <c r="AH239" t="s">
        <v>57</v>
      </c>
      <c r="AL239" t="s">
        <v>57</v>
      </c>
      <c r="AM239" s="11">
        <v>44778</v>
      </c>
      <c r="AN239" t="s">
        <v>170</v>
      </c>
      <c r="AO239" t="s">
        <v>65</v>
      </c>
      <c r="AP239">
        <v>1201</v>
      </c>
      <c r="AQ239" t="s">
        <v>66</v>
      </c>
      <c r="AR239">
        <v>88685</v>
      </c>
      <c r="AU239" t="s">
        <v>57</v>
      </c>
      <c r="AV239" t="s">
        <v>68</v>
      </c>
      <c r="AX239" t="s">
        <v>57</v>
      </c>
      <c r="AY239">
        <v>631110</v>
      </c>
      <c r="AZ239">
        <v>1201.63111</v>
      </c>
      <c r="BA239" s="23" t="s">
        <v>11</v>
      </c>
    </row>
    <row r="240" spans="1:53" x14ac:dyDescent="0.25">
      <c r="A240" t="s">
        <v>134</v>
      </c>
      <c r="B240" t="s">
        <v>135</v>
      </c>
      <c r="C240">
        <v>22001850</v>
      </c>
      <c r="D240">
        <v>1201</v>
      </c>
      <c r="E240" s="11">
        <v>44778</v>
      </c>
      <c r="F240" t="s">
        <v>169</v>
      </c>
      <c r="G240">
        <v>0.17</v>
      </c>
      <c r="H240">
        <v>0.17</v>
      </c>
      <c r="I240" t="s">
        <v>56</v>
      </c>
      <c r="O240" t="s">
        <v>57</v>
      </c>
      <c r="Q240" t="s">
        <v>57</v>
      </c>
      <c r="R240" t="s">
        <v>137</v>
      </c>
      <c r="T240" t="s">
        <v>59</v>
      </c>
      <c r="U240" t="s">
        <v>60</v>
      </c>
      <c r="V240" t="s">
        <v>138</v>
      </c>
      <c r="W240" t="s">
        <v>139</v>
      </c>
      <c r="X240">
        <v>1928678</v>
      </c>
      <c r="Y240" s="11">
        <v>44778</v>
      </c>
      <c r="Z240" t="s">
        <v>57</v>
      </c>
      <c r="AA240">
        <v>26</v>
      </c>
      <c r="AB240" t="s">
        <v>57</v>
      </c>
      <c r="AD240" t="s">
        <v>57</v>
      </c>
      <c r="AE240" t="s">
        <v>57</v>
      </c>
      <c r="AF240" t="s">
        <v>57</v>
      </c>
      <c r="AG240">
        <v>1</v>
      </c>
      <c r="AH240" t="s">
        <v>57</v>
      </c>
      <c r="AL240" t="s">
        <v>57</v>
      </c>
      <c r="AM240" s="11">
        <v>44778</v>
      </c>
      <c r="AN240" t="s">
        <v>170</v>
      </c>
      <c r="AO240" t="s">
        <v>65</v>
      </c>
      <c r="AP240">
        <v>1201</v>
      </c>
      <c r="AQ240" t="s">
        <v>66</v>
      </c>
      <c r="AR240">
        <v>89782</v>
      </c>
      <c r="AU240" t="s">
        <v>57</v>
      </c>
      <c r="AV240" t="s">
        <v>68</v>
      </c>
      <c r="AX240" t="s">
        <v>57</v>
      </c>
      <c r="AY240">
        <v>631110</v>
      </c>
      <c r="AZ240">
        <v>1201.63111</v>
      </c>
      <c r="BA240" s="23" t="s">
        <v>11</v>
      </c>
    </row>
    <row r="241" spans="1:53" x14ac:dyDescent="0.25">
      <c r="A241" t="s">
        <v>134</v>
      </c>
      <c r="B241" t="s">
        <v>135</v>
      </c>
      <c r="C241">
        <v>22001850</v>
      </c>
      <c r="D241">
        <v>1201</v>
      </c>
      <c r="E241" s="11">
        <v>44778</v>
      </c>
      <c r="F241" t="s">
        <v>169</v>
      </c>
      <c r="G241">
        <v>52.89</v>
      </c>
      <c r="H241">
        <v>52.89</v>
      </c>
      <c r="I241" t="s">
        <v>56</v>
      </c>
      <c r="O241" t="s">
        <v>57</v>
      </c>
      <c r="Q241" t="s">
        <v>57</v>
      </c>
      <c r="R241" t="s">
        <v>137</v>
      </c>
      <c r="T241" t="s">
        <v>59</v>
      </c>
      <c r="U241" t="s">
        <v>60</v>
      </c>
      <c r="V241" t="s">
        <v>138</v>
      </c>
      <c r="W241" t="s">
        <v>139</v>
      </c>
      <c r="X241">
        <v>1928678</v>
      </c>
      <c r="Y241" s="11">
        <v>44778</v>
      </c>
      <c r="Z241" t="s">
        <v>57</v>
      </c>
      <c r="AA241">
        <v>28</v>
      </c>
      <c r="AB241" t="s">
        <v>57</v>
      </c>
      <c r="AD241" t="s">
        <v>57</v>
      </c>
      <c r="AE241" t="s">
        <v>57</v>
      </c>
      <c r="AF241" t="s">
        <v>57</v>
      </c>
      <c r="AG241">
        <v>1</v>
      </c>
      <c r="AH241" t="s">
        <v>57</v>
      </c>
      <c r="AL241" t="s">
        <v>57</v>
      </c>
      <c r="AM241" s="11">
        <v>44778</v>
      </c>
      <c r="AN241" t="s">
        <v>170</v>
      </c>
      <c r="AO241" t="s">
        <v>65</v>
      </c>
      <c r="AP241">
        <v>1201</v>
      </c>
      <c r="AQ241" t="s">
        <v>66</v>
      </c>
      <c r="AR241">
        <v>89885</v>
      </c>
      <c r="AU241" t="s">
        <v>57</v>
      </c>
      <c r="AV241" t="s">
        <v>68</v>
      </c>
      <c r="AX241" t="s">
        <v>57</v>
      </c>
      <c r="AY241">
        <v>631110</v>
      </c>
      <c r="AZ241">
        <v>1201.63111</v>
      </c>
      <c r="BA241" s="23" t="s">
        <v>11</v>
      </c>
    </row>
    <row r="242" spans="1:53" x14ac:dyDescent="0.25">
      <c r="A242" t="s">
        <v>134</v>
      </c>
      <c r="B242" t="s">
        <v>135</v>
      </c>
      <c r="C242">
        <v>22001850</v>
      </c>
      <c r="D242">
        <v>1201</v>
      </c>
      <c r="E242" s="11">
        <v>44778</v>
      </c>
      <c r="F242" t="s">
        <v>169</v>
      </c>
      <c r="G242">
        <v>3.45</v>
      </c>
      <c r="H242">
        <v>3.45</v>
      </c>
      <c r="I242" t="s">
        <v>56</v>
      </c>
      <c r="O242" t="s">
        <v>57</v>
      </c>
      <c r="Q242" t="s">
        <v>57</v>
      </c>
      <c r="R242" t="s">
        <v>137</v>
      </c>
      <c r="T242" t="s">
        <v>59</v>
      </c>
      <c r="U242" t="s">
        <v>60</v>
      </c>
      <c r="V242" t="s">
        <v>138</v>
      </c>
      <c r="W242" t="s">
        <v>139</v>
      </c>
      <c r="X242">
        <v>1928678</v>
      </c>
      <c r="Y242" s="11">
        <v>44778</v>
      </c>
      <c r="Z242" t="s">
        <v>57</v>
      </c>
      <c r="AA242">
        <v>2</v>
      </c>
      <c r="AB242" t="s">
        <v>57</v>
      </c>
      <c r="AD242" t="s">
        <v>57</v>
      </c>
      <c r="AE242" t="s">
        <v>57</v>
      </c>
      <c r="AF242" t="s">
        <v>57</v>
      </c>
      <c r="AG242">
        <v>1</v>
      </c>
      <c r="AH242" t="s">
        <v>57</v>
      </c>
      <c r="AL242" t="s">
        <v>57</v>
      </c>
      <c r="AM242" s="11">
        <v>44778</v>
      </c>
      <c r="AN242" t="s">
        <v>170</v>
      </c>
      <c r="AO242" t="s">
        <v>65</v>
      </c>
      <c r="AP242">
        <v>1201</v>
      </c>
      <c r="AQ242" t="s">
        <v>66</v>
      </c>
      <c r="AR242">
        <v>206793</v>
      </c>
      <c r="AU242" t="s">
        <v>57</v>
      </c>
      <c r="AV242" t="s">
        <v>68</v>
      </c>
      <c r="AX242" t="s">
        <v>57</v>
      </c>
      <c r="AY242">
        <v>631110</v>
      </c>
      <c r="AZ242">
        <v>1201.63111</v>
      </c>
      <c r="BA242" s="23" t="s">
        <v>11</v>
      </c>
    </row>
    <row r="243" spans="1:53" x14ac:dyDescent="0.25">
      <c r="A243" t="s">
        <v>134</v>
      </c>
      <c r="B243" t="s">
        <v>135</v>
      </c>
      <c r="C243">
        <v>22001850</v>
      </c>
      <c r="D243">
        <v>1201</v>
      </c>
      <c r="E243" s="11">
        <v>44778</v>
      </c>
      <c r="F243" t="s">
        <v>169</v>
      </c>
      <c r="G243">
        <v>1.05</v>
      </c>
      <c r="H243">
        <v>1.05</v>
      </c>
      <c r="I243" t="s">
        <v>56</v>
      </c>
      <c r="O243" t="s">
        <v>57</v>
      </c>
      <c r="Q243" t="s">
        <v>57</v>
      </c>
      <c r="R243" t="s">
        <v>137</v>
      </c>
      <c r="T243" t="s">
        <v>59</v>
      </c>
      <c r="U243" t="s">
        <v>60</v>
      </c>
      <c r="V243" t="s">
        <v>138</v>
      </c>
      <c r="W243" t="s">
        <v>139</v>
      </c>
      <c r="X243">
        <v>1928678</v>
      </c>
      <c r="Y243" s="11">
        <v>44778</v>
      </c>
      <c r="Z243" t="s">
        <v>57</v>
      </c>
      <c r="AA243">
        <v>4</v>
      </c>
      <c r="AB243" t="s">
        <v>57</v>
      </c>
      <c r="AD243" t="s">
        <v>57</v>
      </c>
      <c r="AE243" t="s">
        <v>57</v>
      </c>
      <c r="AF243" t="s">
        <v>57</v>
      </c>
      <c r="AG243">
        <v>1</v>
      </c>
      <c r="AH243" t="s">
        <v>57</v>
      </c>
      <c r="AL243" t="s">
        <v>57</v>
      </c>
      <c r="AM243" s="11">
        <v>44778</v>
      </c>
      <c r="AN243" t="s">
        <v>170</v>
      </c>
      <c r="AO243" t="s">
        <v>65</v>
      </c>
      <c r="AP243">
        <v>1201</v>
      </c>
      <c r="AQ243" t="s">
        <v>66</v>
      </c>
      <c r="AR243">
        <v>88720</v>
      </c>
      <c r="AU243" t="s">
        <v>57</v>
      </c>
      <c r="AV243" t="s">
        <v>68</v>
      </c>
      <c r="AX243" t="s">
        <v>57</v>
      </c>
      <c r="AY243">
        <v>631110</v>
      </c>
      <c r="AZ243">
        <v>1201.63111</v>
      </c>
      <c r="BA243" s="23" t="s">
        <v>11</v>
      </c>
    </row>
    <row r="244" spans="1:53" x14ac:dyDescent="0.25">
      <c r="A244" t="s">
        <v>134</v>
      </c>
      <c r="B244" t="s">
        <v>135</v>
      </c>
      <c r="C244">
        <v>22001850</v>
      </c>
      <c r="D244">
        <v>1201</v>
      </c>
      <c r="E244" s="11">
        <v>44778</v>
      </c>
      <c r="F244" t="s">
        <v>169</v>
      </c>
      <c r="G244">
        <v>1.17</v>
      </c>
      <c r="H244">
        <v>1.17</v>
      </c>
      <c r="I244" t="s">
        <v>56</v>
      </c>
      <c r="O244" t="s">
        <v>57</v>
      </c>
      <c r="Q244" t="s">
        <v>57</v>
      </c>
      <c r="R244" t="s">
        <v>137</v>
      </c>
      <c r="T244" t="s">
        <v>59</v>
      </c>
      <c r="U244" t="s">
        <v>60</v>
      </c>
      <c r="V244" t="s">
        <v>138</v>
      </c>
      <c r="W244" t="s">
        <v>139</v>
      </c>
      <c r="X244">
        <v>1928678</v>
      </c>
      <c r="Y244" s="11">
        <v>44778</v>
      </c>
      <c r="Z244" t="s">
        <v>57</v>
      </c>
      <c r="AA244">
        <v>8</v>
      </c>
      <c r="AB244" t="s">
        <v>57</v>
      </c>
      <c r="AD244" t="s">
        <v>57</v>
      </c>
      <c r="AE244" t="s">
        <v>57</v>
      </c>
      <c r="AF244" t="s">
        <v>57</v>
      </c>
      <c r="AG244">
        <v>1</v>
      </c>
      <c r="AH244" t="s">
        <v>57</v>
      </c>
      <c r="AL244" t="s">
        <v>57</v>
      </c>
      <c r="AM244" s="11">
        <v>44778</v>
      </c>
      <c r="AN244" t="s">
        <v>170</v>
      </c>
      <c r="AO244" t="s">
        <v>65</v>
      </c>
      <c r="AP244">
        <v>1201</v>
      </c>
      <c r="AQ244" t="s">
        <v>66</v>
      </c>
      <c r="AR244">
        <v>181880</v>
      </c>
      <c r="AU244" t="s">
        <v>57</v>
      </c>
      <c r="AV244" t="s">
        <v>68</v>
      </c>
      <c r="AX244" t="s">
        <v>57</v>
      </c>
      <c r="AY244">
        <v>631110</v>
      </c>
      <c r="AZ244">
        <v>1201.63111</v>
      </c>
      <c r="BA244" s="23" t="s">
        <v>11</v>
      </c>
    </row>
    <row r="245" spans="1:53" x14ac:dyDescent="0.25">
      <c r="A245" t="s">
        <v>134</v>
      </c>
      <c r="B245" t="s">
        <v>135</v>
      </c>
      <c r="C245">
        <v>22001850</v>
      </c>
      <c r="D245">
        <v>1201</v>
      </c>
      <c r="E245" s="11">
        <v>44778</v>
      </c>
      <c r="F245" t="s">
        <v>169</v>
      </c>
      <c r="G245">
        <v>2.1</v>
      </c>
      <c r="H245">
        <v>2.1</v>
      </c>
      <c r="I245" t="s">
        <v>56</v>
      </c>
      <c r="O245" t="s">
        <v>57</v>
      </c>
      <c r="Q245" t="s">
        <v>57</v>
      </c>
      <c r="R245" t="s">
        <v>137</v>
      </c>
      <c r="T245" t="s">
        <v>59</v>
      </c>
      <c r="U245" t="s">
        <v>60</v>
      </c>
      <c r="V245" t="s">
        <v>138</v>
      </c>
      <c r="W245" t="s">
        <v>139</v>
      </c>
      <c r="X245">
        <v>1928678</v>
      </c>
      <c r="Y245" s="11">
        <v>44778</v>
      </c>
      <c r="Z245" t="s">
        <v>57</v>
      </c>
      <c r="AA245">
        <v>10</v>
      </c>
      <c r="AB245" t="s">
        <v>57</v>
      </c>
      <c r="AD245" t="s">
        <v>57</v>
      </c>
      <c r="AE245" t="s">
        <v>57</v>
      </c>
      <c r="AF245" t="s">
        <v>57</v>
      </c>
      <c r="AG245">
        <v>3</v>
      </c>
      <c r="AH245" t="s">
        <v>57</v>
      </c>
      <c r="AL245" t="s">
        <v>57</v>
      </c>
      <c r="AM245" s="11">
        <v>44778</v>
      </c>
      <c r="AN245" t="s">
        <v>170</v>
      </c>
      <c r="AO245" t="s">
        <v>65</v>
      </c>
      <c r="AP245">
        <v>1201</v>
      </c>
      <c r="AQ245" t="s">
        <v>66</v>
      </c>
      <c r="AR245">
        <v>266093</v>
      </c>
      <c r="AU245" t="s">
        <v>57</v>
      </c>
      <c r="AV245" t="s">
        <v>68</v>
      </c>
      <c r="AX245" t="s">
        <v>57</v>
      </c>
      <c r="AY245">
        <v>631110</v>
      </c>
      <c r="AZ245">
        <v>1201.63111</v>
      </c>
      <c r="BA245" s="23" t="s">
        <v>11</v>
      </c>
    </row>
    <row r="246" spans="1:53" x14ac:dyDescent="0.25">
      <c r="A246" t="s">
        <v>134</v>
      </c>
      <c r="B246" t="s">
        <v>135</v>
      </c>
      <c r="C246">
        <v>22001851</v>
      </c>
      <c r="D246">
        <v>1201</v>
      </c>
      <c r="E246" s="11">
        <v>44778</v>
      </c>
      <c r="F246" t="s">
        <v>171</v>
      </c>
      <c r="G246">
        <v>7.68</v>
      </c>
      <c r="H246">
        <v>7.68</v>
      </c>
      <c r="I246" t="s">
        <v>56</v>
      </c>
      <c r="O246" t="s">
        <v>57</v>
      </c>
      <c r="Q246" t="s">
        <v>57</v>
      </c>
      <c r="R246" t="s">
        <v>137</v>
      </c>
      <c r="T246" t="s">
        <v>59</v>
      </c>
      <c r="U246" t="s">
        <v>60</v>
      </c>
      <c r="V246" t="s">
        <v>138</v>
      </c>
      <c r="W246" t="s">
        <v>139</v>
      </c>
      <c r="X246">
        <v>1928678</v>
      </c>
      <c r="Y246" s="11">
        <v>44778</v>
      </c>
      <c r="Z246" t="s">
        <v>57</v>
      </c>
      <c r="AA246">
        <v>2</v>
      </c>
      <c r="AB246" t="s">
        <v>57</v>
      </c>
      <c r="AD246" t="s">
        <v>57</v>
      </c>
      <c r="AE246" t="s">
        <v>57</v>
      </c>
      <c r="AF246" t="s">
        <v>57</v>
      </c>
      <c r="AG246">
        <v>1</v>
      </c>
      <c r="AH246" t="s">
        <v>57</v>
      </c>
      <c r="AL246" t="s">
        <v>57</v>
      </c>
      <c r="AM246" s="11">
        <v>44778</v>
      </c>
      <c r="AN246" t="s">
        <v>170</v>
      </c>
      <c r="AO246" t="s">
        <v>65</v>
      </c>
      <c r="AP246">
        <v>1201</v>
      </c>
      <c r="AQ246" t="s">
        <v>66</v>
      </c>
      <c r="AR246">
        <v>225948</v>
      </c>
      <c r="AU246" t="s">
        <v>57</v>
      </c>
      <c r="AV246" t="s">
        <v>68</v>
      </c>
      <c r="AX246" t="s">
        <v>57</v>
      </c>
      <c r="AY246">
        <v>631110</v>
      </c>
      <c r="AZ246">
        <v>1201.63111</v>
      </c>
      <c r="BA246" s="23" t="s">
        <v>11</v>
      </c>
    </row>
    <row r="247" spans="1:53" x14ac:dyDescent="0.25">
      <c r="A247" t="s">
        <v>134</v>
      </c>
      <c r="B247" t="s">
        <v>135</v>
      </c>
      <c r="C247">
        <v>22001851</v>
      </c>
      <c r="D247">
        <v>1201</v>
      </c>
      <c r="E247" s="11">
        <v>44778</v>
      </c>
      <c r="F247" t="s">
        <v>171</v>
      </c>
      <c r="G247">
        <v>5.31</v>
      </c>
      <c r="H247">
        <v>5.31</v>
      </c>
      <c r="I247" t="s">
        <v>56</v>
      </c>
      <c r="O247" t="s">
        <v>57</v>
      </c>
      <c r="Q247" t="s">
        <v>57</v>
      </c>
      <c r="R247" t="s">
        <v>137</v>
      </c>
      <c r="T247" t="s">
        <v>59</v>
      </c>
      <c r="U247" t="s">
        <v>60</v>
      </c>
      <c r="V247" t="s">
        <v>138</v>
      </c>
      <c r="W247" t="s">
        <v>139</v>
      </c>
      <c r="X247">
        <v>1928678</v>
      </c>
      <c r="Y247" s="11">
        <v>44778</v>
      </c>
      <c r="Z247" t="s">
        <v>57</v>
      </c>
      <c r="AA247">
        <v>4</v>
      </c>
      <c r="AB247" t="s">
        <v>57</v>
      </c>
      <c r="AD247" t="s">
        <v>57</v>
      </c>
      <c r="AE247" t="s">
        <v>57</v>
      </c>
      <c r="AF247" t="s">
        <v>57</v>
      </c>
      <c r="AG247">
        <v>5</v>
      </c>
      <c r="AH247" t="s">
        <v>57</v>
      </c>
      <c r="AL247" t="s">
        <v>57</v>
      </c>
      <c r="AM247" s="11">
        <v>44778</v>
      </c>
      <c r="AN247" t="s">
        <v>170</v>
      </c>
      <c r="AO247" t="s">
        <v>65</v>
      </c>
      <c r="AP247">
        <v>1201</v>
      </c>
      <c r="AQ247" t="s">
        <v>66</v>
      </c>
      <c r="AR247">
        <v>220689</v>
      </c>
      <c r="AU247" t="s">
        <v>57</v>
      </c>
      <c r="AV247" t="s">
        <v>68</v>
      </c>
      <c r="AX247" t="s">
        <v>57</v>
      </c>
      <c r="AY247">
        <v>631110</v>
      </c>
      <c r="AZ247">
        <v>1201.63111</v>
      </c>
      <c r="BA247" s="23" t="s">
        <v>11</v>
      </c>
    </row>
    <row r="248" spans="1:53" x14ac:dyDescent="0.25">
      <c r="A248" t="s">
        <v>134</v>
      </c>
      <c r="B248" t="s">
        <v>135</v>
      </c>
      <c r="C248">
        <v>22001853</v>
      </c>
      <c r="D248">
        <v>1201</v>
      </c>
      <c r="E248" s="11">
        <v>44778</v>
      </c>
      <c r="F248" t="s">
        <v>168</v>
      </c>
      <c r="G248">
        <v>0.77</v>
      </c>
      <c r="H248">
        <v>0.77</v>
      </c>
      <c r="I248" t="s">
        <v>56</v>
      </c>
      <c r="O248" t="s">
        <v>57</v>
      </c>
      <c r="Q248" t="s">
        <v>57</v>
      </c>
      <c r="R248" t="s">
        <v>137</v>
      </c>
      <c r="T248" t="s">
        <v>59</v>
      </c>
      <c r="U248" t="s">
        <v>60</v>
      </c>
      <c r="V248" t="s">
        <v>138</v>
      </c>
      <c r="W248" t="s">
        <v>139</v>
      </c>
      <c r="X248">
        <v>1928698</v>
      </c>
      <c r="Y248" s="11">
        <v>44778</v>
      </c>
      <c r="Z248" t="s">
        <v>57</v>
      </c>
      <c r="AA248">
        <v>2</v>
      </c>
      <c r="AB248" t="s">
        <v>57</v>
      </c>
      <c r="AD248" t="s">
        <v>57</v>
      </c>
      <c r="AE248" t="s">
        <v>57</v>
      </c>
      <c r="AF248" t="s">
        <v>57</v>
      </c>
      <c r="AG248">
        <v>10</v>
      </c>
      <c r="AH248" t="s">
        <v>57</v>
      </c>
      <c r="AL248" t="s">
        <v>57</v>
      </c>
      <c r="AM248" s="11">
        <v>44778</v>
      </c>
      <c r="AN248" t="s">
        <v>166</v>
      </c>
      <c r="AO248" t="s">
        <v>65</v>
      </c>
      <c r="AP248">
        <v>1201</v>
      </c>
      <c r="AQ248" t="s">
        <v>66</v>
      </c>
      <c r="AR248">
        <v>91479</v>
      </c>
      <c r="AU248" t="s">
        <v>57</v>
      </c>
      <c r="AV248" t="s">
        <v>68</v>
      </c>
      <c r="AX248" t="s">
        <v>57</v>
      </c>
      <c r="AY248">
        <v>631110</v>
      </c>
      <c r="AZ248">
        <v>1201.63111</v>
      </c>
      <c r="BA248" s="23" t="s">
        <v>11</v>
      </c>
    </row>
    <row r="249" spans="1:53" x14ac:dyDescent="0.25">
      <c r="A249" t="s">
        <v>134</v>
      </c>
      <c r="B249" t="s">
        <v>135</v>
      </c>
      <c r="C249">
        <v>22001853</v>
      </c>
      <c r="D249">
        <v>1201</v>
      </c>
      <c r="E249" s="11">
        <v>44778</v>
      </c>
      <c r="F249" t="s">
        <v>168</v>
      </c>
      <c r="G249">
        <v>0.84</v>
      </c>
      <c r="H249">
        <v>0.84</v>
      </c>
      <c r="I249" t="s">
        <v>56</v>
      </c>
      <c r="O249" t="s">
        <v>57</v>
      </c>
      <c r="Q249" t="s">
        <v>57</v>
      </c>
      <c r="R249" t="s">
        <v>137</v>
      </c>
      <c r="T249" t="s">
        <v>59</v>
      </c>
      <c r="U249" t="s">
        <v>60</v>
      </c>
      <c r="V249" t="s">
        <v>138</v>
      </c>
      <c r="W249" t="s">
        <v>139</v>
      </c>
      <c r="X249">
        <v>1928698</v>
      </c>
      <c r="Y249" s="11">
        <v>44778</v>
      </c>
      <c r="Z249" t="s">
        <v>57</v>
      </c>
      <c r="AA249">
        <v>4</v>
      </c>
      <c r="AB249" t="s">
        <v>57</v>
      </c>
      <c r="AD249" t="s">
        <v>57</v>
      </c>
      <c r="AE249" t="s">
        <v>57</v>
      </c>
      <c r="AF249" t="s">
        <v>57</v>
      </c>
      <c r="AG249">
        <v>10</v>
      </c>
      <c r="AH249" t="s">
        <v>57</v>
      </c>
      <c r="AL249" t="s">
        <v>57</v>
      </c>
      <c r="AM249" s="11">
        <v>44778</v>
      </c>
      <c r="AN249" t="s">
        <v>166</v>
      </c>
      <c r="AO249" t="s">
        <v>65</v>
      </c>
      <c r="AP249">
        <v>1201</v>
      </c>
      <c r="AQ249" t="s">
        <v>66</v>
      </c>
      <c r="AR249">
        <v>91480</v>
      </c>
      <c r="AU249" t="s">
        <v>57</v>
      </c>
      <c r="AV249" t="s">
        <v>68</v>
      </c>
      <c r="AX249" t="s">
        <v>57</v>
      </c>
      <c r="AY249">
        <v>631110</v>
      </c>
      <c r="AZ249">
        <v>1201.63111</v>
      </c>
      <c r="BA249" s="23" t="s">
        <v>11</v>
      </c>
    </row>
    <row r="250" spans="1:53" x14ac:dyDescent="0.25">
      <c r="A250" t="s">
        <v>134</v>
      </c>
      <c r="B250" t="s">
        <v>135</v>
      </c>
      <c r="C250">
        <v>22001853</v>
      </c>
      <c r="D250">
        <v>1201</v>
      </c>
      <c r="E250" s="11">
        <v>44778</v>
      </c>
      <c r="F250" t="s">
        <v>168</v>
      </c>
      <c r="G250">
        <v>1.59</v>
      </c>
      <c r="H250">
        <v>1.59</v>
      </c>
      <c r="I250" t="s">
        <v>56</v>
      </c>
      <c r="O250" t="s">
        <v>57</v>
      </c>
      <c r="Q250" t="s">
        <v>57</v>
      </c>
      <c r="R250" t="s">
        <v>137</v>
      </c>
      <c r="T250" t="s">
        <v>59</v>
      </c>
      <c r="U250" t="s">
        <v>60</v>
      </c>
      <c r="V250" t="s">
        <v>138</v>
      </c>
      <c r="W250" t="s">
        <v>139</v>
      </c>
      <c r="X250">
        <v>1928698</v>
      </c>
      <c r="Y250" s="11">
        <v>44778</v>
      </c>
      <c r="Z250" t="s">
        <v>57</v>
      </c>
      <c r="AA250">
        <v>6</v>
      </c>
      <c r="AB250" t="s">
        <v>57</v>
      </c>
      <c r="AD250" t="s">
        <v>57</v>
      </c>
      <c r="AE250" t="s">
        <v>57</v>
      </c>
      <c r="AF250" t="s">
        <v>57</v>
      </c>
      <c r="AG250">
        <v>10</v>
      </c>
      <c r="AH250" t="s">
        <v>57</v>
      </c>
      <c r="AL250" t="s">
        <v>57</v>
      </c>
      <c r="AM250" s="11">
        <v>44778</v>
      </c>
      <c r="AN250" t="s">
        <v>166</v>
      </c>
      <c r="AO250" t="s">
        <v>65</v>
      </c>
      <c r="AP250">
        <v>1201</v>
      </c>
      <c r="AQ250" t="s">
        <v>66</v>
      </c>
      <c r="AR250">
        <v>89712</v>
      </c>
      <c r="AU250" t="s">
        <v>57</v>
      </c>
      <c r="AV250" t="s">
        <v>68</v>
      </c>
      <c r="AX250" t="s">
        <v>57</v>
      </c>
      <c r="AY250">
        <v>631110</v>
      </c>
      <c r="AZ250">
        <v>1201.63111</v>
      </c>
      <c r="BA250" s="23" t="s">
        <v>11</v>
      </c>
    </row>
    <row r="251" spans="1:53" x14ac:dyDescent="0.25">
      <c r="A251" t="s">
        <v>134</v>
      </c>
      <c r="B251" t="s">
        <v>135</v>
      </c>
      <c r="C251">
        <v>22001853</v>
      </c>
      <c r="D251">
        <v>1201</v>
      </c>
      <c r="E251" s="11">
        <v>44778</v>
      </c>
      <c r="F251" t="s">
        <v>168</v>
      </c>
      <c r="I251" t="s">
        <v>56</v>
      </c>
      <c r="O251" t="s">
        <v>57</v>
      </c>
      <c r="Q251" t="s">
        <v>57</v>
      </c>
      <c r="R251" t="s">
        <v>137</v>
      </c>
      <c r="T251" t="s">
        <v>59</v>
      </c>
      <c r="U251" t="s">
        <v>60</v>
      </c>
      <c r="V251" t="s">
        <v>138</v>
      </c>
      <c r="W251" t="s">
        <v>139</v>
      </c>
      <c r="X251">
        <v>1928698</v>
      </c>
      <c r="Y251" s="11">
        <v>44778</v>
      </c>
      <c r="Z251" t="s">
        <v>57</v>
      </c>
      <c r="AA251">
        <v>8</v>
      </c>
      <c r="AB251" t="s">
        <v>57</v>
      </c>
      <c r="AD251" t="s">
        <v>57</v>
      </c>
      <c r="AE251" t="s">
        <v>57</v>
      </c>
      <c r="AF251" t="s">
        <v>57</v>
      </c>
      <c r="AG251">
        <v>10</v>
      </c>
      <c r="AH251" t="s">
        <v>57</v>
      </c>
      <c r="AL251" t="s">
        <v>57</v>
      </c>
      <c r="AM251" s="11">
        <v>44778</v>
      </c>
      <c r="AN251" t="s">
        <v>166</v>
      </c>
      <c r="AO251" t="s">
        <v>65</v>
      </c>
      <c r="AP251">
        <v>1201</v>
      </c>
      <c r="AQ251" t="s">
        <v>66</v>
      </c>
      <c r="AR251">
        <v>89709</v>
      </c>
      <c r="AU251" t="s">
        <v>57</v>
      </c>
      <c r="AV251" t="s">
        <v>68</v>
      </c>
      <c r="AX251" t="s">
        <v>57</v>
      </c>
      <c r="AY251">
        <v>631110</v>
      </c>
      <c r="AZ251">
        <v>1201.63111</v>
      </c>
      <c r="BA251" s="23" t="s">
        <v>11</v>
      </c>
    </row>
    <row r="252" spans="1:53" x14ac:dyDescent="0.25">
      <c r="A252" t="s">
        <v>134</v>
      </c>
      <c r="B252" t="s">
        <v>135</v>
      </c>
      <c r="C252">
        <v>22001853</v>
      </c>
      <c r="D252">
        <v>1201</v>
      </c>
      <c r="E252" s="11">
        <v>44778</v>
      </c>
      <c r="F252" t="s">
        <v>168</v>
      </c>
      <c r="G252">
        <v>2.57</v>
      </c>
      <c r="H252">
        <v>2.57</v>
      </c>
      <c r="I252" t="s">
        <v>56</v>
      </c>
      <c r="O252" t="s">
        <v>57</v>
      </c>
      <c r="Q252" t="s">
        <v>57</v>
      </c>
      <c r="R252" t="s">
        <v>137</v>
      </c>
      <c r="T252" t="s">
        <v>59</v>
      </c>
      <c r="U252" t="s">
        <v>60</v>
      </c>
      <c r="V252" t="s">
        <v>138</v>
      </c>
      <c r="W252" t="s">
        <v>139</v>
      </c>
      <c r="X252">
        <v>1928698</v>
      </c>
      <c r="Y252" s="11">
        <v>44778</v>
      </c>
      <c r="Z252" t="s">
        <v>57</v>
      </c>
      <c r="AA252">
        <v>10</v>
      </c>
      <c r="AB252" t="s">
        <v>57</v>
      </c>
      <c r="AD252" t="s">
        <v>57</v>
      </c>
      <c r="AE252" t="s">
        <v>57</v>
      </c>
      <c r="AF252" t="s">
        <v>57</v>
      </c>
      <c r="AG252">
        <v>10</v>
      </c>
      <c r="AH252" t="s">
        <v>57</v>
      </c>
      <c r="AL252" t="s">
        <v>57</v>
      </c>
      <c r="AM252" s="11">
        <v>44778</v>
      </c>
      <c r="AN252" t="s">
        <v>166</v>
      </c>
      <c r="AO252" t="s">
        <v>65</v>
      </c>
      <c r="AP252">
        <v>1201</v>
      </c>
      <c r="AQ252" t="s">
        <v>66</v>
      </c>
      <c r="AR252">
        <v>88669</v>
      </c>
      <c r="AU252" t="s">
        <v>57</v>
      </c>
      <c r="AV252" t="s">
        <v>68</v>
      </c>
      <c r="AX252" t="s">
        <v>57</v>
      </c>
      <c r="AY252">
        <v>631110</v>
      </c>
      <c r="AZ252">
        <v>1201.63111</v>
      </c>
      <c r="BA252" s="23" t="s">
        <v>11</v>
      </c>
    </row>
    <row r="253" spans="1:53" x14ac:dyDescent="0.25">
      <c r="A253" t="s">
        <v>134</v>
      </c>
      <c r="B253" t="s">
        <v>135</v>
      </c>
      <c r="C253">
        <v>22001854</v>
      </c>
      <c r="D253">
        <v>1201</v>
      </c>
      <c r="E253" s="11">
        <v>44781</v>
      </c>
      <c r="F253" t="s">
        <v>169</v>
      </c>
      <c r="G253">
        <v>6.96</v>
      </c>
      <c r="H253">
        <v>6.96</v>
      </c>
      <c r="I253" t="s">
        <v>56</v>
      </c>
      <c r="O253" t="s">
        <v>57</v>
      </c>
      <c r="Q253" t="s">
        <v>57</v>
      </c>
      <c r="R253" t="s">
        <v>137</v>
      </c>
      <c r="T253" t="s">
        <v>59</v>
      </c>
      <c r="U253" t="s">
        <v>60</v>
      </c>
      <c r="V253" t="s">
        <v>138</v>
      </c>
      <c r="W253" t="s">
        <v>139</v>
      </c>
      <c r="X253">
        <v>1928772</v>
      </c>
      <c r="Y253" s="11">
        <v>44781</v>
      </c>
      <c r="Z253" t="s">
        <v>57</v>
      </c>
      <c r="AA253">
        <v>2</v>
      </c>
      <c r="AB253" t="s">
        <v>57</v>
      </c>
      <c r="AD253" t="s">
        <v>57</v>
      </c>
      <c r="AE253" t="s">
        <v>57</v>
      </c>
      <c r="AF253" t="s">
        <v>57</v>
      </c>
      <c r="AG253">
        <v>10</v>
      </c>
      <c r="AH253" t="s">
        <v>57</v>
      </c>
      <c r="AL253" t="s">
        <v>57</v>
      </c>
      <c r="AM253" s="11">
        <v>44781</v>
      </c>
      <c r="AN253" t="s">
        <v>170</v>
      </c>
      <c r="AO253" t="s">
        <v>65</v>
      </c>
      <c r="AP253">
        <v>1201</v>
      </c>
      <c r="AQ253" t="s">
        <v>66</v>
      </c>
      <c r="AR253">
        <v>89662</v>
      </c>
      <c r="AU253" t="s">
        <v>57</v>
      </c>
      <c r="AV253" t="s">
        <v>68</v>
      </c>
      <c r="AX253" t="s">
        <v>57</v>
      </c>
      <c r="AY253">
        <v>631110</v>
      </c>
      <c r="AZ253">
        <v>1201.63111</v>
      </c>
      <c r="BA253" s="23" t="s">
        <v>11</v>
      </c>
    </row>
    <row r="254" spans="1:53" x14ac:dyDescent="0.25">
      <c r="A254" t="s">
        <v>134</v>
      </c>
      <c r="B254" t="s">
        <v>135</v>
      </c>
      <c r="C254">
        <v>22001855</v>
      </c>
      <c r="D254">
        <v>1201</v>
      </c>
      <c r="E254" s="11">
        <v>44781</v>
      </c>
      <c r="F254" t="s">
        <v>168</v>
      </c>
      <c r="G254">
        <v>0.77</v>
      </c>
      <c r="H254">
        <v>0.77</v>
      </c>
      <c r="I254" t="s">
        <v>56</v>
      </c>
      <c r="O254" t="s">
        <v>57</v>
      </c>
      <c r="Q254" t="s">
        <v>57</v>
      </c>
      <c r="R254" t="s">
        <v>137</v>
      </c>
      <c r="T254" t="s">
        <v>59</v>
      </c>
      <c r="U254" t="s">
        <v>60</v>
      </c>
      <c r="V254" t="s">
        <v>138</v>
      </c>
      <c r="W254" t="s">
        <v>139</v>
      </c>
      <c r="X254">
        <v>1928915</v>
      </c>
      <c r="Y254" s="11">
        <v>44781</v>
      </c>
      <c r="Z254" t="s">
        <v>57</v>
      </c>
      <c r="AA254">
        <v>2</v>
      </c>
      <c r="AB254" t="s">
        <v>57</v>
      </c>
      <c r="AD254" t="s">
        <v>57</v>
      </c>
      <c r="AE254" t="s">
        <v>57</v>
      </c>
      <c r="AF254" t="s">
        <v>57</v>
      </c>
      <c r="AG254">
        <v>10</v>
      </c>
      <c r="AH254" t="s">
        <v>57</v>
      </c>
      <c r="AL254" t="s">
        <v>57</v>
      </c>
      <c r="AM254" s="11">
        <v>44781</v>
      </c>
      <c r="AN254" t="s">
        <v>166</v>
      </c>
      <c r="AO254" t="s">
        <v>65</v>
      </c>
      <c r="AP254">
        <v>1201</v>
      </c>
      <c r="AQ254" t="s">
        <v>66</v>
      </c>
      <c r="AR254">
        <v>91479</v>
      </c>
      <c r="AU254" t="s">
        <v>57</v>
      </c>
      <c r="AV254" t="s">
        <v>68</v>
      </c>
      <c r="AX254" t="s">
        <v>57</v>
      </c>
      <c r="AY254">
        <v>631110</v>
      </c>
      <c r="AZ254">
        <v>1201.63111</v>
      </c>
      <c r="BA254" s="23" t="s">
        <v>11</v>
      </c>
    </row>
    <row r="255" spans="1:53" x14ac:dyDescent="0.25">
      <c r="A255" t="s">
        <v>134</v>
      </c>
      <c r="B255" t="s">
        <v>135</v>
      </c>
      <c r="C255">
        <v>22001855</v>
      </c>
      <c r="D255">
        <v>1201</v>
      </c>
      <c r="E255" s="11">
        <v>44781</v>
      </c>
      <c r="F255" t="s">
        <v>168</v>
      </c>
      <c r="G255">
        <v>1.1200000000000001</v>
      </c>
      <c r="H255">
        <v>1.1200000000000001</v>
      </c>
      <c r="I255" t="s">
        <v>56</v>
      </c>
      <c r="O255" t="s">
        <v>57</v>
      </c>
      <c r="Q255" t="s">
        <v>57</v>
      </c>
      <c r="R255" t="s">
        <v>137</v>
      </c>
      <c r="T255" t="s">
        <v>59</v>
      </c>
      <c r="U255" t="s">
        <v>60</v>
      </c>
      <c r="V255" t="s">
        <v>138</v>
      </c>
      <c r="W255" t="s">
        <v>139</v>
      </c>
      <c r="X255">
        <v>1928915</v>
      </c>
      <c r="Y255" s="11">
        <v>44781</v>
      </c>
      <c r="Z255" t="s">
        <v>57</v>
      </c>
      <c r="AA255">
        <v>4</v>
      </c>
      <c r="AB255" t="s">
        <v>57</v>
      </c>
      <c r="AD255" t="s">
        <v>57</v>
      </c>
      <c r="AE255" t="s">
        <v>57</v>
      </c>
      <c r="AF255" t="s">
        <v>57</v>
      </c>
      <c r="AG255">
        <v>10</v>
      </c>
      <c r="AH255" t="s">
        <v>57</v>
      </c>
      <c r="AL255" t="s">
        <v>57</v>
      </c>
      <c r="AM255" s="11">
        <v>44781</v>
      </c>
      <c r="AN255" t="s">
        <v>166</v>
      </c>
      <c r="AO255" t="s">
        <v>65</v>
      </c>
      <c r="AP255">
        <v>1201</v>
      </c>
      <c r="AQ255" t="s">
        <v>66</v>
      </c>
      <c r="AR255">
        <v>264575</v>
      </c>
      <c r="AU255" t="s">
        <v>57</v>
      </c>
      <c r="AV255" t="s">
        <v>68</v>
      </c>
      <c r="AX255" t="s">
        <v>57</v>
      </c>
      <c r="AY255">
        <v>631110</v>
      </c>
      <c r="AZ255">
        <v>1201.63111</v>
      </c>
      <c r="BA255" s="23" t="s">
        <v>11</v>
      </c>
    </row>
    <row r="256" spans="1:53" x14ac:dyDescent="0.25">
      <c r="A256" t="s">
        <v>134</v>
      </c>
      <c r="B256" t="s">
        <v>135</v>
      </c>
      <c r="C256">
        <v>22001855</v>
      </c>
      <c r="D256">
        <v>1201</v>
      </c>
      <c r="E256" s="11">
        <v>44781</v>
      </c>
      <c r="F256" t="s">
        <v>168</v>
      </c>
      <c r="G256">
        <v>1.59</v>
      </c>
      <c r="H256">
        <v>1.59</v>
      </c>
      <c r="I256" t="s">
        <v>56</v>
      </c>
      <c r="O256" t="s">
        <v>57</v>
      </c>
      <c r="Q256" t="s">
        <v>57</v>
      </c>
      <c r="R256" t="s">
        <v>137</v>
      </c>
      <c r="T256" t="s">
        <v>59</v>
      </c>
      <c r="U256" t="s">
        <v>60</v>
      </c>
      <c r="V256" t="s">
        <v>138</v>
      </c>
      <c r="W256" t="s">
        <v>139</v>
      </c>
      <c r="X256">
        <v>1928915</v>
      </c>
      <c r="Y256" s="11">
        <v>44781</v>
      </c>
      <c r="Z256" t="s">
        <v>57</v>
      </c>
      <c r="AA256">
        <v>6</v>
      </c>
      <c r="AB256" t="s">
        <v>57</v>
      </c>
      <c r="AD256" t="s">
        <v>57</v>
      </c>
      <c r="AE256" t="s">
        <v>57</v>
      </c>
      <c r="AF256" t="s">
        <v>57</v>
      </c>
      <c r="AG256">
        <v>10</v>
      </c>
      <c r="AH256" t="s">
        <v>57</v>
      </c>
      <c r="AL256" t="s">
        <v>57</v>
      </c>
      <c r="AM256" s="11">
        <v>44781</v>
      </c>
      <c r="AN256" t="s">
        <v>166</v>
      </c>
      <c r="AO256" t="s">
        <v>65</v>
      </c>
      <c r="AP256">
        <v>1201</v>
      </c>
      <c r="AQ256" t="s">
        <v>66</v>
      </c>
      <c r="AR256">
        <v>89712</v>
      </c>
      <c r="AU256" t="s">
        <v>57</v>
      </c>
      <c r="AV256" t="s">
        <v>68</v>
      </c>
      <c r="AX256" t="s">
        <v>57</v>
      </c>
      <c r="AY256">
        <v>631110</v>
      </c>
      <c r="AZ256">
        <v>1201.63111</v>
      </c>
      <c r="BA256" s="23" t="s">
        <v>11</v>
      </c>
    </row>
    <row r="257" spans="1:53" x14ac:dyDescent="0.25">
      <c r="A257" t="s">
        <v>134</v>
      </c>
      <c r="B257" t="s">
        <v>135</v>
      </c>
      <c r="C257">
        <v>22001857</v>
      </c>
      <c r="D257">
        <v>1201</v>
      </c>
      <c r="E257" s="11">
        <v>44781</v>
      </c>
      <c r="F257" t="s">
        <v>169</v>
      </c>
      <c r="G257">
        <v>8.07</v>
      </c>
      <c r="H257">
        <v>8.07</v>
      </c>
      <c r="I257" t="s">
        <v>56</v>
      </c>
      <c r="O257" t="s">
        <v>57</v>
      </c>
      <c r="Q257" t="s">
        <v>57</v>
      </c>
      <c r="R257" t="s">
        <v>137</v>
      </c>
      <c r="T257" t="s">
        <v>59</v>
      </c>
      <c r="U257" t="s">
        <v>60</v>
      </c>
      <c r="V257" t="s">
        <v>138</v>
      </c>
      <c r="W257" t="s">
        <v>139</v>
      </c>
      <c r="X257">
        <v>1928916</v>
      </c>
      <c r="Y257" s="11">
        <v>44781</v>
      </c>
      <c r="Z257" t="s">
        <v>57</v>
      </c>
      <c r="AA257">
        <v>2</v>
      </c>
      <c r="AB257" t="s">
        <v>57</v>
      </c>
      <c r="AD257" t="s">
        <v>57</v>
      </c>
      <c r="AE257" t="s">
        <v>57</v>
      </c>
      <c r="AF257" t="s">
        <v>57</v>
      </c>
      <c r="AG257">
        <v>12</v>
      </c>
      <c r="AH257" t="s">
        <v>57</v>
      </c>
      <c r="AL257" t="s">
        <v>57</v>
      </c>
      <c r="AM257" s="11">
        <v>44781</v>
      </c>
      <c r="AN257" t="s">
        <v>170</v>
      </c>
      <c r="AO257" t="s">
        <v>65</v>
      </c>
      <c r="AP257">
        <v>1201</v>
      </c>
      <c r="AQ257" t="s">
        <v>66</v>
      </c>
      <c r="AR257">
        <v>89662</v>
      </c>
      <c r="AU257" t="s">
        <v>57</v>
      </c>
      <c r="AV257" t="s">
        <v>68</v>
      </c>
      <c r="AX257" t="s">
        <v>57</v>
      </c>
      <c r="AY257">
        <v>631110</v>
      </c>
      <c r="AZ257">
        <v>1201.63111</v>
      </c>
      <c r="BA257" s="23" t="s">
        <v>11</v>
      </c>
    </row>
    <row r="258" spans="1:53" x14ac:dyDescent="0.25">
      <c r="A258" t="s">
        <v>134</v>
      </c>
      <c r="B258" t="s">
        <v>135</v>
      </c>
      <c r="C258">
        <v>22001857</v>
      </c>
      <c r="D258">
        <v>1201</v>
      </c>
      <c r="E258" s="11">
        <v>44781</v>
      </c>
      <c r="F258" t="s">
        <v>169</v>
      </c>
      <c r="G258">
        <v>1.05</v>
      </c>
      <c r="H258">
        <v>1.05</v>
      </c>
      <c r="I258" t="s">
        <v>56</v>
      </c>
      <c r="O258" t="s">
        <v>57</v>
      </c>
      <c r="Q258" t="s">
        <v>57</v>
      </c>
      <c r="R258" t="s">
        <v>137</v>
      </c>
      <c r="T258" t="s">
        <v>59</v>
      </c>
      <c r="U258" t="s">
        <v>60</v>
      </c>
      <c r="V258" t="s">
        <v>138</v>
      </c>
      <c r="W258" t="s">
        <v>139</v>
      </c>
      <c r="X258">
        <v>1928916</v>
      </c>
      <c r="Y258" s="11">
        <v>44781</v>
      </c>
      <c r="Z258" t="s">
        <v>57</v>
      </c>
      <c r="AA258">
        <v>4</v>
      </c>
      <c r="AB258" t="s">
        <v>57</v>
      </c>
      <c r="AD258" t="s">
        <v>57</v>
      </c>
      <c r="AE258" t="s">
        <v>57</v>
      </c>
      <c r="AF258" t="s">
        <v>57</v>
      </c>
      <c r="AG258">
        <v>1</v>
      </c>
      <c r="AH258" t="s">
        <v>57</v>
      </c>
      <c r="AL258" t="s">
        <v>57</v>
      </c>
      <c r="AM258" s="11">
        <v>44781</v>
      </c>
      <c r="AN258" t="s">
        <v>170</v>
      </c>
      <c r="AO258" t="s">
        <v>65</v>
      </c>
      <c r="AP258">
        <v>1201</v>
      </c>
      <c r="AQ258" t="s">
        <v>66</v>
      </c>
      <c r="AR258">
        <v>88720</v>
      </c>
      <c r="AU258" t="s">
        <v>57</v>
      </c>
      <c r="AV258" t="s">
        <v>68</v>
      </c>
      <c r="AX258" t="s">
        <v>57</v>
      </c>
      <c r="AY258">
        <v>631110</v>
      </c>
      <c r="AZ258">
        <v>1201.63111</v>
      </c>
      <c r="BA258" s="23" t="s">
        <v>11</v>
      </c>
    </row>
    <row r="259" spans="1:53" x14ac:dyDescent="0.25">
      <c r="A259" t="s">
        <v>134</v>
      </c>
      <c r="B259" t="s">
        <v>135</v>
      </c>
      <c r="C259">
        <v>22001857</v>
      </c>
      <c r="D259">
        <v>1201</v>
      </c>
      <c r="E259" s="11">
        <v>44781</v>
      </c>
      <c r="F259" t="s">
        <v>169</v>
      </c>
      <c r="G259">
        <v>1.6</v>
      </c>
      <c r="H259">
        <v>1.6</v>
      </c>
      <c r="I259" t="s">
        <v>56</v>
      </c>
      <c r="O259" t="s">
        <v>57</v>
      </c>
      <c r="Q259" t="s">
        <v>57</v>
      </c>
      <c r="R259" t="s">
        <v>137</v>
      </c>
      <c r="T259" t="s">
        <v>59</v>
      </c>
      <c r="U259" t="s">
        <v>60</v>
      </c>
      <c r="V259" t="s">
        <v>138</v>
      </c>
      <c r="W259" t="s">
        <v>139</v>
      </c>
      <c r="X259">
        <v>1928916</v>
      </c>
      <c r="Y259" s="11">
        <v>44781</v>
      </c>
      <c r="Z259" t="s">
        <v>57</v>
      </c>
      <c r="AA259">
        <v>6</v>
      </c>
      <c r="AB259" t="s">
        <v>57</v>
      </c>
      <c r="AD259" t="s">
        <v>57</v>
      </c>
      <c r="AE259" t="s">
        <v>57</v>
      </c>
      <c r="AF259" t="s">
        <v>57</v>
      </c>
      <c r="AG259">
        <v>2</v>
      </c>
      <c r="AH259" t="s">
        <v>57</v>
      </c>
      <c r="AL259" t="s">
        <v>57</v>
      </c>
      <c r="AM259" s="11">
        <v>44781</v>
      </c>
      <c r="AN259" t="s">
        <v>170</v>
      </c>
      <c r="AO259" t="s">
        <v>65</v>
      </c>
      <c r="AP259">
        <v>1201</v>
      </c>
      <c r="AQ259" t="s">
        <v>66</v>
      </c>
      <c r="AR259">
        <v>220124</v>
      </c>
      <c r="AU259" t="s">
        <v>57</v>
      </c>
      <c r="AV259" t="s">
        <v>68</v>
      </c>
      <c r="AX259" t="s">
        <v>57</v>
      </c>
      <c r="AY259">
        <v>631110</v>
      </c>
      <c r="AZ259">
        <v>1201.63111</v>
      </c>
      <c r="BA259" s="23" t="s">
        <v>11</v>
      </c>
    </row>
    <row r="260" spans="1:53" x14ac:dyDescent="0.25">
      <c r="A260" t="s">
        <v>134</v>
      </c>
      <c r="B260" t="s">
        <v>135</v>
      </c>
      <c r="C260">
        <v>22001857</v>
      </c>
      <c r="D260">
        <v>1201</v>
      </c>
      <c r="E260" s="11">
        <v>44781</v>
      </c>
      <c r="F260" t="s">
        <v>169</v>
      </c>
      <c r="G260">
        <v>10.79</v>
      </c>
      <c r="H260">
        <v>10.79</v>
      </c>
      <c r="I260" t="s">
        <v>56</v>
      </c>
      <c r="O260" t="s">
        <v>57</v>
      </c>
      <c r="Q260" t="s">
        <v>57</v>
      </c>
      <c r="R260" t="s">
        <v>137</v>
      </c>
      <c r="T260" t="s">
        <v>59</v>
      </c>
      <c r="U260" t="s">
        <v>60</v>
      </c>
      <c r="V260" t="s">
        <v>138</v>
      </c>
      <c r="W260" t="s">
        <v>139</v>
      </c>
      <c r="X260">
        <v>1928916</v>
      </c>
      <c r="Y260" s="11">
        <v>44781</v>
      </c>
      <c r="Z260" t="s">
        <v>57</v>
      </c>
      <c r="AA260">
        <v>8</v>
      </c>
      <c r="AB260" t="s">
        <v>57</v>
      </c>
      <c r="AD260" t="s">
        <v>57</v>
      </c>
      <c r="AE260" t="s">
        <v>57</v>
      </c>
      <c r="AF260" t="s">
        <v>57</v>
      </c>
      <c r="AG260">
        <v>3</v>
      </c>
      <c r="AH260" t="s">
        <v>57</v>
      </c>
      <c r="AL260" t="s">
        <v>57</v>
      </c>
      <c r="AM260" s="11">
        <v>44781</v>
      </c>
      <c r="AN260" t="s">
        <v>170</v>
      </c>
      <c r="AO260" t="s">
        <v>65</v>
      </c>
      <c r="AP260">
        <v>1201</v>
      </c>
      <c r="AQ260" t="s">
        <v>66</v>
      </c>
      <c r="AR260">
        <v>230640</v>
      </c>
      <c r="AU260" t="s">
        <v>57</v>
      </c>
      <c r="AV260" t="s">
        <v>68</v>
      </c>
      <c r="AX260" t="s">
        <v>57</v>
      </c>
      <c r="AY260">
        <v>631110</v>
      </c>
      <c r="AZ260">
        <v>1201.63111</v>
      </c>
      <c r="BA260" s="23" t="s">
        <v>11</v>
      </c>
    </row>
    <row r="261" spans="1:53" x14ac:dyDescent="0.25">
      <c r="A261" t="s">
        <v>134</v>
      </c>
      <c r="B261" t="s">
        <v>135</v>
      </c>
      <c r="C261">
        <v>22001857</v>
      </c>
      <c r="D261">
        <v>1201</v>
      </c>
      <c r="E261" s="11">
        <v>44781</v>
      </c>
      <c r="F261" t="s">
        <v>169</v>
      </c>
      <c r="G261">
        <v>1.04</v>
      </c>
      <c r="H261">
        <v>1.04</v>
      </c>
      <c r="I261" t="s">
        <v>56</v>
      </c>
      <c r="O261" t="s">
        <v>57</v>
      </c>
      <c r="Q261" t="s">
        <v>57</v>
      </c>
      <c r="R261" t="s">
        <v>137</v>
      </c>
      <c r="T261" t="s">
        <v>59</v>
      </c>
      <c r="U261" t="s">
        <v>60</v>
      </c>
      <c r="V261" t="s">
        <v>138</v>
      </c>
      <c r="W261" t="s">
        <v>139</v>
      </c>
      <c r="X261">
        <v>1928916</v>
      </c>
      <c r="Y261" s="11">
        <v>44781</v>
      </c>
      <c r="Z261" t="s">
        <v>57</v>
      </c>
      <c r="AA261">
        <v>10</v>
      </c>
      <c r="AB261" t="s">
        <v>57</v>
      </c>
      <c r="AD261" t="s">
        <v>57</v>
      </c>
      <c r="AE261" t="s">
        <v>57</v>
      </c>
      <c r="AF261" t="s">
        <v>57</v>
      </c>
      <c r="AG261">
        <v>2</v>
      </c>
      <c r="AH261" t="s">
        <v>57</v>
      </c>
      <c r="AL261" t="s">
        <v>57</v>
      </c>
      <c r="AM261" s="11">
        <v>44781</v>
      </c>
      <c r="AN261" t="s">
        <v>170</v>
      </c>
      <c r="AO261" t="s">
        <v>65</v>
      </c>
      <c r="AP261">
        <v>1201</v>
      </c>
      <c r="AQ261" t="s">
        <v>66</v>
      </c>
      <c r="AR261">
        <v>91268</v>
      </c>
      <c r="AU261" t="s">
        <v>57</v>
      </c>
      <c r="AV261" t="s">
        <v>68</v>
      </c>
      <c r="AX261" t="s">
        <v>57</v>
      </c>
      <c r="AY261">
        <v>631110</v>
      </c>
      <c r="AZ261">
        <v>1201.63111</v>
      </c>
      <c r="BA261" s="23" t="s">
        <v>11</v>
      </c>
    </row>
    <row r="262" spans="1:53" x14ac:dyDescent="0.25">
      <c r="A262" t="s">
        <v>134</v>
      </c>
      <c r="B262" t="s">
        <v>135</v>
      </c>
      <c r="C262">
        <v>22001858</v>
      </c>
      <c r="D262">
        <v>1201</v>
      </c>
      <c r="E262" s="11">
        <v>44783</v>
      </c>
      <c r="F262" t="s">
        <v>168</v>
      </c>
      <c r="G262">
        <v>2.25</v>
      </c>
      <c r="H262">
        <v>2.25</v>
      </c>
      <c r="I262" t="s">
        <v>56</v>
      </c>
      <c r="O262" t="s">
        <v>57</v>
      </c>
      <c r="Q262" t="s">
        <v>57</v>
      </c>
      <c r="R262" t="s">
        <v>137</v>
      </c>
      <c r="T262" t="s">
        <v>59</v>
      </c>
      <c r="U262" t="s">
        <v>60</v>
      </c>
      <c r="V262" t="s">
        <v>138</v>
      </c>
      <c r="W262" t="s">
        <v>139</v>
      </c>
      <c r="X262">
        <v>1930278</v>
      </c>
      <c r="Y262" s="11">
        <v>44783</v>
      </c>
      <c r="Z262" t="s">
        <v>57</v>
      </c>
      <c r="AA262">
        <v>2</v>
      </c>
      <c r="AB262" t="s">
        <v>57</v>
      </c>
      <c r="AD262" t="s">
        <v>57</v>
      </c>
      <c r="AE262" t="s">
        <v>57</v>
      </c>
      <c r="AF262" t="s">
        <v>57</v>
      </c>
      <c r="AG262">
        <v>20</v>
      </c>
      <c r="AH262" t="s">
        <v>57</v>
      </c>
      <c r="AL262" t="s">
        <v>57</v>
      </c>
      <c r="AM262" s="11">
        <v>44783</v>
      </c>
      <c r="AN262" t="s">
        <v>166</v>
      </c>
      <c r="AO262" t="s">
        <v>65</v>
      </c>
      <c r="AP262">
        <v>1201</v>
      </c>
      <c r="AQ262" t="s">
        <v>66</v>
      </c>
      <c r="AR262">
        <v>264575</v>
      </c>
      <c r="AU262" t="s">
        <v>57</v>
      </c>
      <c r="AV262" t="s">
        <v>68</v>
      </c>
      <c r="AX262" t="s">
        <v>57</v>
      </c>
      <c r="AY262">
        <v>631110</v>
      </c>
      <c r="AZ262">
        <v>1201.63111</v>
      </c>
      <c r="BA262" s="23" t="s">
        <v>11</v>
      </c>
    </row>
    <row r="263" spans="1:53" x14ac:dyDescent="0.25">
      <c r="A263" t="s">
        <v>134</v>
      </c>
      <c r="B263" t="s">
        <v>135</v>
      </c>
      <c r="C263">
        <v>22001858</v>
      </c>
      <c r="D263">
        <v>1201</v>
      </c>
      <c r="E263" s="11">
        <v>44783</v>
      </c>
      <c r="F263" t="s">
        <v>168</v>
      </c>
      <c r="G263">
        <v>1.59</v>
      </c>
      <c r="H263">
        <v>1.59</v>
      </c>
      <c r="I263" t="s">
        <v>56</v>
      </c>
      <c r="O263" t="s">
        <v>57</v>
      </c>
      <c r="Q263" t="s">
        <v>57</v>
      </c>
      <c r="R263" t="s">
        <v>137</v>
      </c>
      <c r="T263" t="s">
        <v>59</v>
      </c>
      <c r="U263" t="s">
        <v>60</v>
      </c>
      <c r="V263" t="s">
        <v>138</v>
      </c>
      <c r="W263" t="s">
        <v>139</v>
      </c>
      <c r="X263">
        <v>1930278</v>
      </c>
      <c r="Y263" s="11">
        <v>44783</v>
      </c>
      <c r="Z263" t="s">
        <v>57</v>
      </c>
      <c r="AA263">
        <v>4</v>
      </c>
      <c r="AB263" t="s">
        <v>57</v>
      </c>
      <c r="AD263" t="s">
        <v>57</v>
      </c>
      <c r="AE263" t="s">
        <v>57</v>
      </c>
      <c r="AF263" t="s">
        <v>57</v>
      </c>
      <c r="AG263">
        <v>10</v>
      </c>
      <c r="AH263" t="s">
        <v>57</v>
      </c>
      <c r="AL263" t="s">
        <v>57</v>
      </c>
      <c r="AM263" s="11">
        <v>44783</v>
      </c>
      <c r="AN263" t="s">
        <v>166</v>
      </c>
      <c r="AO263" t="s">
        <v>65</v>
      </c>
      <c r="AP263">
        <v>1201</v>
      </c>
      <c r="AQ263" t="s">
        <v>66</v>
      </c>
      <c r="AR263">
        <v>89712</v>
      </c>
      <c r="AU263" t="s">
        <v>57</v>
      </c>
      <c r="AV263" t="s">
        <v>68</v>
      </c>
      <c r="AX263" t="s">
        <v>57</v>
      </c>
      <c r="AY263">
        <v>631110</v>
      </c>
      <c r="AZ263">
        <v>1201.63111</v>
      </c>
      <c r="BA263" s="23" t="s">
        <v>11</v>
      </c>
    </row>
    <row r="264" spans="1:53" x14ac:dyDescent="0.25">
      <c r="A264" t="s">
        <v>134</v>
      </c>
      <c r="B264" t="s">
        <v>135</v>
      </c>
      <c r="C264">
        <v>22001858</v>
      </c>
      <c r="D264">
        <v>1201</v>
      </c>
      <c r="E264" s="11">
        <v>44783</v>
      </c>
      <c r="F264" t="s">
        <v>168</v>
      </c>
      <c r="I264" t="s">
        <v>56</v>
      </c>
      <c r="O264" t="s">
        <v>57</v>
      </c>
      <c r="Q264" t="s">
        <v>57</v>
      </c>
      <c r="R264" t="s">
        <v>137</v>
      </c>
      <c r="T264" t="s">
        <v>59</v>
      </c>
      <c r="U264" t="s">
        <v>60</v>
      </c>
      <c r="V264" t="s">
        <v>138</v>
      </c>
      <c r="W264" t="s">
        <v>139</v>
      </c>
      <c r="X264">
        <v>1930278</v>
      </c>
      <c r="Y264" s="11">
        <v>44783</v>
      </c>
      <c r="Z264" t="s">
        <v>57</v>
      </c>
      <c r="AA264">
        <v>6</v>
      </c>
      <c r="AB264" t="s">
        <v>57</v>
      </c>
      <c r="AD264" t="s">
        <v>57</v>
      </c>
      <c r="AE264" t="s">
        <v>57</v>
      </c>
      <c r="AF264" t="s">
        <v>57</v>
      </c>
      <c r="AG264">
        <v>10</v>
      </c>
      <c r="AH264" t="s">
        <v>57</v>
      </c>
      <c r="AL264" t="s">
        <v>57</v>
      </c>
      <c r="AM264" s="11">
        <v>44783</v>
      </c>
      <c r="AN264" t="s">
        <v>166</v>
      </c>
      <c r="AO264" t="s">
        <v>65</v>
      </c>
      <c r="AP264">
        <v>1201</v>
      </c>
      <c r="AQ264" t="s">
        <v>66</v>
      </c>
      <c r="AR264">
        <v>89719</v>
      </c>
      <c r="AU264" t="s">
        <v>57</v>
      </c>
      <c r="AV264" t="s">
        <v>68</v>
      </c>
      <c r="AX264" t="s">
        <v>57</v>
      </c>
      <c r="AY264">
        <v>631110</v>
      </c>
      <c r="AZ264">
        <v>1201.63111</v>
      </c>
      <c r="BA264" s="23" t="s">
        <v>11</v>
      </c>
    </row>
    <row r="265" spans="1:53" x14ac:dyDescent="0.25">
      <c r="A265" t="s">
        <v>134</v>
      </c>
      <c r="B265" t="s">
        <v>135</v>
      </c>
      <c r="C265">
        <v>22001858</v>
      </c>
      <c r="D265">
        <v>1201</v>
      </c>
      <c r="E265" s="11">
        <v>44783</v>
      </c>
      <c r="F265" t="s">
        <v>168</v>
      </c>
      <c r="G265">
        <v>1.86</v>
      </c>
      <c r="H265">
        <v>1.86</v>
      </c>
      <c r="I265" t="s">
        <v>56</v>
      </c>
      <c r="O265" t="s">
        <v>57</v>
      </c>
      <c r="Q265" t="s">
        <v>57</v>
      </c>
      <c r="R265" t="s">
        <v>137</v>
      </c>
      <c r="T265" t="s">
        <v>59</v>
      </c>
      <c r="U265" t="s">
        <v>60</v>
      </c>
      <c r="V265" t="s">
        <v>138</v>
      </c>
      <c r="W265" t="s">
        <v>139</v>
      </c>
      <c r="X265">
        <v>1930278</v>
      </c>
      <c r="Y265" s="11">
        <v>44783</v>
      </c>
      <c r="Z265" t="s">
        <v>57</v>
      </c>
      <c r="AA265">
        <v>8</v>
      </c>
      <c r="AB265" t="s">
        <v>57</v>
      </c>
      <c r="AD265" t="s">
        <v>57</v>
      </c>
      <c r="AE265" t="s">
        <v>57</v>
      </c>
      <c r="AF265" t="s">
        <v>57</v>
      </c>
      <c r="AG265">
        <v>10</v>
      </c>
      <c r="AH265" t="s">
        <v>57</v>
      </c>
      <c r="AL265" t="s">
        <v>57</v>
      </c>
      <c r="AM265" s="11">
        <v>44783</v>
      </c>
      <c r="AN265" t="s">
        <v>166</v>
      </c>
      <c r="AO265" t="s">
        <v>65</v>
      </c>
      <c r="AP265">
        <v>1201</v>
      </c>
      <c r="AQ265" t="s">
        <v>66</v>
      </c>
      <c r="AR265">
        <v>88668</v>
      </c>
      <c r="AU265" t="s">
        <v>57</v>
      </c>
      <c r="AV265" t="s">
        <v>68</v>
      </c>
      <c r="AX265" t="s">
        <v>57</v>
      </c>
      <c r="AY265">
        <v>631110</v>
      </c>
      <c r="AZ265">
        <v>1201.63111</v>
      </c>
      <c r="BA265" s="23" t="s">
        <v>11</v>
      </c>
    </row>
    <row r="266" spans="1:53" x14ac:dyDescent="0.25">
      <c r="A266" t="s">
        <v>134</v>
      </c>
      <c r="B266" t="s">
        <v>135</v>
      </c>
      <c r="C266">
        <v>22001858</v>
      </c>
      <c r="D266">
        <v>1201</v>
      </c>
      <c r="E266" s="11">
        <v>44783</v>
      </c>
      <c r="F266" t="s">
        <v>168</v>
      </c>
      <c r="I266" t="s">
        <v>56</v>
      </c>
      <c r="O266" t="s">
        <v>57</v>
      </c>
      <c r="Q266" t="s">
        <v>57</v>
      </c>
      <c r="R266" t="s">
        <v>137</v>
      </c>
      <c r="T266" t="s">
        <v>59</v>
      </c>
      <c r="U266" t="s">
        <v>60</v>
      </c>
      <c r="V266" t="s">
        <v>138</v>
      </c>
      <c r="W266" t="s">
        <v>139</v>
      </c>
      <c r="X266">
        <v>1930278</v>
      </c>
      <c r="Y266" s="11">
        <v>44783</v>
      </c>
      <c r="Z266" t="s">
        <v>57</v>
      </c>
      <c r="AA266">
        <v>10</v>
      </c>
      <c r="AB266" t="s">
        <v>57</v>
      </c>
      <c r="AD266" t="s">
        <v>57</v>
      </c>
      <c r="AE266" t="s">
        <v>57</v>
      </c>
      <c r="AF266" t="s">
        <v>57</v>
      </c>
      <c r="AG266">
        <v>10</v>
      </c>
      <c r="AH266" t="s">
        <v>57</v>
      </c>
      <c r="AL266" t="s">
        <v>57</v>
      </c>
      <c r="AM266" s="11">
        <v>44783</v>
      </c>
      <c r="AN266" t="s">
        <v>166</v>
      </c>
      <c r="AO266" t="s">
        <v>65</v>
      </c>
      <c r="AP266">
        <v>1201</v>
      </c>
      <c r="AQ266" t="s">
        <v>66</v>
      </c>
      <c r="AR266">
        <v>89709</v>
      </c>
      <c r="AU266" t="s">
        <v>57</v>
      </c>
      <c r="AV266" t="s">
        <v>68</v>
      </c>
      <c r="AX266" t="s">
        <v>57</v>
      </c>
      <c r="AY266">
        <v>631110</v>
      </c>
      <c r="AZ266">
        <v>1201.63111</v>
      </c>
      <c r="BA266" s="23" t="s">
        <v>11</v>
      </c>
    </row>
    <row r="267" spans="1:53" x14ac:dyDescent="0.25">
      <c r="A267" t="s">
        <v>134</v>
      </c>
      <c r="B267" t="s">
        <v>135</v>
      </c>
      <c r="C267">
        <v>22001858</v>
      </c>
      <c r="D267">
        <v>1201</v>
      </c>
      <c r="E267" s="11">
        <v>44783</v>
      </c>
      <c r="F267" t="s">
        <v>168</v>
      </c>
      <c r="G267">
        <v>2.57</v>
      </c>
      <c r="H267">
        <v>2.57</v>
      </c>
      <c r="I267" t="s">
        <v>56</v>
      </c>
      <c r="O267" t="s">
        <v>57</v>
      </c>
      <c r="Q267" t="s">
        <v>57</v>
      </c>
      <c r="R267" t="s">
        <v>137</v>
      </c>
      <c r="T267" t="s">
        <v>59</v>
      </c>
      <c r="U267" t="s">
        <v>60</v>
      </c>
      <c r="V267" t="s">
        <v>138</v>
      </c>
      <c r="W267" t="s">
        <v>139</v>
      </c>
      <c r="X267">
        <v>1930278</v>
      </c>
      <c r="Y267" s="11">
        <v>44783</v>
      </c>
      <c r="Z267" t="s">
        <v>57</v>
      </c>
      <c r="AA267">
        <v>12</v>
      </c>
      <c r="AB267" t="s">
        <v>57</v>
      </c>
      <c r="AD267" t="s">
        <v>57</v>
      </c>
      <c r="AE267" t="s">
        <v>57</v>
      </c>
      <c r="AF267" t="s">
        <v>57</v>
      </c>
      <c r="AG267">
        <v>10</v>
      </c>
      <c r="AH267" t="s">
        <v>57</v>
      </c>
      <c r="AL267" t="s">
        <v>57</v>
      </c>
      <c r="AM267" s="11">
        <v>44783</v>
      </c>
      <c r="AN267" t="s">
        <v>166</v>
      </c>
      <c r="AO267" t="s">
        <v>65</v>
      </c>
      <c r="AP267">
        <v>1201</v>
      </c>
      <c r="AQ267" t="s">
        <v>66</v>
      </c>
      <c r="AR267">
        <v>88669</v>
      </c>
      <c r="AU267" t="s">
        <v>57</v>
      </c>
      <c r="AV267" t="s">
        <v>68</v>
      </c>
      <c r="AX267" t="s">
        <v>57</v>
      </c>
      <c r="AY267">
        <v>631110</v>
      </c>
      <c r="AZ267">
        <v>1201.63111</v>
      </c>
      <c r="BA267" s="23" t="s">
        <v>11</v>
      </c>
    </row>
    <row r="268" spans="1:53" x14ac:dyDescent="0.25">
      <c r="A268" t="s">
        <v>134</v>
      </c>
      <c r="B268" t="s">
        <v>135</v>
      </c>
      <c r="C268">
        <v>22001861</v>
      </c>
      <c r="D268">
        <v>1201</v>
      </c>
      <c r="E268" s="11">
        <v>44784</v>
      </c>
      <c r="F268" t="s">
        <v>169</v>
      </c>
      <c r="G268">
        <v>0.28000000000000003</v>
      </c>
      <c r="H268">
        <v>0.28000000000000003</v>
      </c>
      <c r="I268" t="s">
        <v>56</v>
      </c>
      <c r="O268" t="s">
        <v>57</v>
      </c>
      <c r="Q268" t="s">
        <v>57</v>
      </c>
      <c r="R268" t="s">
        <v>137</v>
      </c>
      <c r="T268" t="s">
        <v>59</v>
      </c>
      <c r="U268" t="s">
        <v>60</v>
      </c>
      <c r="V268" t="s">
        <v>138</v>
      </c>
      <c r="W268" t="s">
        <v>139</v>
      </c>
      <c r="X268">
        <v>1930432</v>
      </c>
      <c r="Y268" s="11">
        <v>44784</v>
      </c>
      <c r="Z268" t="s">
        <v>57</v>
      </c>
      <c r="AA268">
        <v>2</v>
      </c>
      <c r="AB268" t="s">
        <v>57</v>
      </c>
      <c r="AD268" t="s">
        <v>57</v>
      </c>
      <c r="AE268" t="s">
        <v>57</v>
      </c>
      <c r="AF268" t="s">
        <v>57</v>
      </c>
      <c r="AG268">
        <v>1</v>
      </c>
      <c r="AH268" t="s">
        <v>57</v>
      </c>
      <c r="AL268" t="s">
        <v>57</v>
      </c>
      <c r="AM268" s="11">
        <v>44784</v>
      </c>
      <c r="AN268" t="s">
        <v>170</v>
      </c>
      <c r="AO268" t="s">
        <v>65</v>
      </c>
      <c r="AP268">
        <v>1201</v>
      </c>
      <c r="AQ268" t="s">
        <v>66</v>
      </c>
      <c r="AR268">
        <v>266092</v>
      </c>
      <c r="AU268" t="s">
        <v>57</v>
      </c>
      <c r="AV268" t="s">
        <v>68</v>
      </c>
      <c r="AX268" t="s">
        <v>57</v>
      </c>
      <c r="AY268">
        <v>631110</v>
      </c>
      <c r="AZ268">
        <v>1201.63111</v>
      </c>
      <c r="BA268" s="23" t="s">
        <v>11</v>
      </c>
    </row>
    <row r="269" spans="1:53" x14ac:dyDescent="0.25">
      <c r="A269" t="s">
        <v>134</v>
      </c>
      <c r="B269" t="s">
        <v>135</v>
      </c>
      <c r="C269">
        <v>22001861</v>
      </c>
      <c r="D269">
        <v>1201</v>
      </c>
      <c r="E269" s="11">
        <v>44784</v>
      </c>
      <c r="F269" t="s">
        <v>169</v>
      </c>
      <c r="G269">
        <v>1.75</v>
      </c>
      <c r="H269">
        <v>1.75</v>
      </c>
      <c r="I269" t="s">
        <v>56</v>
      </c>
      <c r="O269" t="s">
        <v>57</v>
      </c>
      <c r="Q269" t="s">
        <v>57</v>
      </c>
      <c r="R269" t="s">
        <v>137</v>
      </c>
      <c r="T269" t="s">
        <v>59</v>
      </c>
      <c r="U269" t="s">
        <v>60</v>
      </c>
      <c r="V269" t="s">
        <v>138</v>
      </c>
      <c r="W269" t="s">
        <v>139</v>
      </c>
      <c r="X269">
        <v>1930432</v>
      </c>
      <c r="Y269" s="11">
        <v>44784</v>
      </c>
      <c r="Z269" t="s">
        <v>57</v>
      </c>
      <c r="AA269">
        <v>4</v>
      </c>
      <c r="AB269" t="s">
        <v>57</v>
      </c>
      <c r="AD269" t="s">
        <v>57</v>
      </c>
      <c r="AE269" t="s">
        <v>57</v>
      </c>
      <c r="AF269" t="s">
        <v>57</v>
      </c>
      <c r="AG269">
        <v>1</v>
      </c>
      <c r="AH269" t="s">
        <v>57</v>
      </c>
      <c r="AL269" t="s">
        <v>57</v>
      </c>
      <c r="AM269" s="11">
        <v>44784</v>
      </c>
      <c r="AN269" t="s">
        <v>170</v>
      </c>
      <c r="AO269" t="s">
        <v>65</v>
      </c>
      <c r="AP269">
        <v>1201</v>
      </c>
      <c r="AQ269" t="s">
        <v>66</v>
      </c>
      <c r="AR269">
        <v>88746</v>
      </c>
      <c r="AU269" t="s">
        <v>57</v>
      </c>
      <c r="AV269" t="s">
        <v>68</v>
      </c>
      <c r="AX269" t="s">
        <v>57</v>
      </c>
      <c r="AY269">
        <v>631110</v>
      </c>
      <c r="AZ269">
        <v>1201.63111</v>
      </c>
      <c r="BA269" s="23" t="s">
        <v>11</v>
      </c>
    </row>
    <row r="270" spans="1:53" x14ac:dyDescent="0.25">
      <c r="A270" t="s">
        <v>134</v>
      </c>
      <c r="B270" t="s">
        <v>135</v>
      </c>
      <c r="C270">
        <v>22001861</v>
      </c>
      <c r="D270">
        <v>1201</v>
      </c>
      <c r="E270" s="11">
        <v>44784</v>
      </c>
      <c r="F270" t="s">
        <v>169</v>
      </c>
      <c r="G270">
        <v>0.7</v>
      </c>
      <c r="H270">
        <v>0.7</v>
      </c>
      <c r="I270" t="s">
        <v>56</v>
      </c>
      <c r="O270" t="s">
        <v>57</v>
      </c>
      <c r="Q270" t="s">
        <v>57</v>
      </c>
      <c r="R270" t="s">
        <v>137</v>
      </c>
      <c r="T270" t="s">
        <v>59</v>
      </c>
      <c r="U270" t="s">
        <v>60</v>
      </c>
      <c r="V270" t="s">
        <v>138</v>
      </c>
      <c r="W270" t="s">
        <v>139</v>
      </c>
      <c r="X270">
        <v>1930432</v>
      </c>
      <c r="Y270" s="11">
        <v>44784</v>
      </c>
      <c r="Z270" t="s">
        <v>57</v>
      </c>
      <c r="AA270">
        <v>6</v>
      </c>
      <c r="AB270" t="s">
        <v>57</v>
      </c>
      <c r="AD270" t="s">
        <v>57</v>
      </c>
      <c r="AE270" t="s">
        <v>57</v>
      </c>
      <c r="AF270" t="s">
        <v>57</v>
      </c>
      <c r="AG270">
        <v>1</v>
      </c>
      <c r="AH270" t="s">
        <v>57</v>
      </c>
      <c r="AL270" t="s">
        <v>57</v>
      </c>
      <c r="AM270" s="11">
        <v>44784</v>
      </c>
      <c r="AN270" t="s">
        <v>170</v>
      </c>
      <c r="AO270" t="s">
        <v>65</v>
      </c>
      <c r="AP270">
        <v>1201</v>
      </c>
      <c r="AQ270" t="s">
        <v>66</v>
      </c>
      <c r="AR270">
        <v>88622</v>
      </c>
      <c r="AU270" t="s">
        <v>57</v>
      </c>
      <c r="AV270" t="s">
        <v>68</v>
      </c>
      <c r="AX270" t="s">
        <v>57</v>
      </c>
      <c r="AY270">
        <v>631110</v>
      </c>
      <c r="AZ270">
        <v>1201.63111</v>
      </c>
      <c r="BA270" s="23" t="s">
        <v>11</v>
      </c>
    </row>
    <row r="271" spans="1:53" x14ac:dyDescent="0.25">
      <c r="A271" t="s">
        <v>134</v>
      </c>
      <c r="B271" t="s">
        <v>135</v>
      </c>
      <c r="C271">
        <v>22001861</v>
      </c>
      <c r="D271">
        <v>1201</v>
      </c>
      <c r="E271" s="11">
        <v>44784</v>
      </c>
      <c r="F271" t="s">
        <v>169</v>
      </c>
      <c r="G271">
        <v>0.32</v>
      </c>
      <c r="H271">
        <v>0.32</v>
      </c>
      <c r="I271" t="s">
        <v>56</v>
      </c>
      <c r="O271" t="s">
        <v>57</v>
      </c>
      <c r="Q271" t="s">
        <v>57</v>
      </c>
      <c r="R271" t="s">
        <v>137</v>
      </c>
      <c r="T271" t="s">
        <v>59</v>
      </c>
      <c r="U271" t="s">
        <v>60</v>
      </c>
      <c r="V271" t="s">
        <v>138</v>
      </c>
      <c r="W271" t="s">
        <v>139</v>
      </c>
      <c r="X271">
        <v>1930432</v>
      </c>
      <c r="Y271" s="11">
        <v>44784</v>
      </c>
      <c r="Z271" t="s">
        <v>57</v>
      </c>
      <c r="AA271">
        <v>8</v>
      </c>
      <c r="AB271" t="s">
        <v>57</v>
      </c>
      <c r="AD271" t="s">
        <v>57</v>
      </c>
      <c r="AE271" t="s">
        <v>57</v>
      </c>
      <c r="AF271" t="s">
        <v>57</v>
      </c>
      <c r="AG271">
        <v>1</v>
      </c>
      <c r="AH271" t="s">
        <v>57</v>
      </c>
      <c r="AL271" t="s">
        <v>57</v>
      </c>
      <c r="AM271" s="11">
        <v>44784</v>
      </c>
      <c r="AN271" t="s">
        <v>170</v>
      </c>
      <c r="AO271" t="s">
        <v>65</v>
      </c>
      <c r="AP271">
        <v>1201</v>
      </c>
      <c r="AQ271" t="s">
        <v>66</v>
      </c>
      <c r="AR271">
        <v>89779</v>
      </c>
      <c r="AU271" t="s">
        <v>57</v>
      </c>
      <c r="AV271" t="s">
        <v>68</v>
      </c>
      <c r="AX271" t="s">
        <v>57</v>
      </c>
      <c r="AY271">
        <v>631110</v>
      </c>
      <c r="AZ271">
        <v>1201.63111</v>
      </c>
      <c r="BA271" s="23" t="s">
        <v>11</v>
      </c>
    </row>
    <row r="272" spans="1:53" x14ac:dyDescent="0.25">
      <c r="A272" t="s">
        <v>134</v>
      </c>
      <c r="B272" t="s">
        <v>135</v>
      </c>
      <c r="C272">
        <v>22001861</v>
      </c>
      <c r="D272">
        <v>1201</v>
      </c>
      <c r="E272" s="11">
        <v>44784</v>
      </c>
      <c r="F272" t="s">
        <v>169</v>
      </c>
      <c r="G272">
        <v>0.2</v>
      </c>
      <c r="H272">
        <v>0.2</v>
      </c>
      <c r="I272" t="s">
        <v>56</v>
      </c>
      <c r="O272" t="s">
        <v>57</v>
      </c>
      <c r="Q272" t="s">
        <v>57</v>
      </c>
      <c r="R272" t="s">
        <v>137</v>
      </c>
      <c r="T272" t="s">
        <v>59</v>
      </c>
      <c r="U272" t="s">
        <v>60</v>
      </c>
      <c r="V272" t="s">
        <v>138</v>
      </c>
      <c r="W272" t="s">
        <v>139</v>
      </c>
      <c r="X272">
        <v>1930432</v>
      </c>
      <c r="Y272" s="11">
        <v>44784</v>
      </c>
      <c r="Z272" t="s">
        <v>57</v>
      </c>
      <c r="AA272">
        <v>10</v>
      </c>
      <c r="AB272" t="s">
        <v>57</v>
      </c>
      <c r="AD272" t="s">
        <v>57</v>
      </c>
      <c r="AE272" t="s">
        <v>57</v>
      </c>
      <c r="AF272" t="s">
        <v>57</v>
      </c>
      <c r="AG272">
        <v>2</v>
      </c>
      <c r="AH272" t="s">
        <v>57</v>
      </c>
      <c r="AL272" t="s">
        <v>57</v>
      </c>
      <c r="AM272" s="11">
        <v>44784</v>
      </c>
      <c r="AN272" t="s">
        <v>170</v>
      </c>
      <c r="AO272" t="s">
        <v>65</v>
      </c>
      <c r="AP272">
        <v>1201</v>
      </c>
      <c r="AQ272" t="s">
        <v>66</v>
      </c>
      <c r="AR272">
        <v>88519</v>
      </c>
      <c r="AU272" t="s">
        <v>57</v>
      </c>
      <c r="AV272" t="s">
        <v>68</v>
      </c>
      <c r="AX272" t="s">
        <v>57</v>
      </c>
      <c r="AY272">
        <v>631110</v>
      </c>
      <c r="AZ272">
        <v>1201.63111</v>
      </c>
      <c r="BA272" s="23" t="s">
        <v>11</v>
      </c>
    </row>
    <row r="273" spans="1:53" x14ac:dyDescent="0.25">
      <c r="A273" t="s">
        <v>134</v>
      </c>
      <c r="B273" t="s">
        <v>135</v>
      </c>
      <c r="C273">
        <v>22001861</v>
      </c>
      <c r="D273">
        <v>1201</v>
      </c>
      <c r="E273" s="11">
        <v>44784</v>
      </c>
      <c r="F273" t="s">
        <v>169</v>
      </c>
      <c r="G273">
        <v>6.91</v>
      </c>
      <c r="H273">
        <v>6.91</v>
      </c>
      <c r="I273" t="s">
        <v>56</v>
      </c>
      <c r="O273" t="s">
        <v>57</v>
      </c>
      <c r="Q273" t="s">
        <v>57</v>
      </c>
      <c r="R273" t="s">
        <v>137</v>
      </c>
      <c r="T273" t="s">
        <v>59</v>
      </c>
      <c r="U273" t="s">
        <v>60</v>
      </c>
      <c r="V273" t="s">
        <v>138</v>
      </c>
      <c r="W273" t="s">
        <v>139</v>
      </c>
      <c r="X273">
        <v>1930432</v>
      </c>
      <c r="Y273" s="11">
        <v>44784</v>
      </c>
      <c r="Z273" t="s">
        <v>57</v>
      </c>
      <c r="AA273">
        <v>12</v>
      </c>
      <c r="AB273" t="s">
        <v>57</v>
      </c>
      <c r="AD273" t="s">
        <v>57</v>
      </c>
      <c r="AE273" t="s">
        <v>57</v>
      </c>
      <c r="AF273" t="s">
        <v>57</v>
      </c>
      <c r="AG273">
        <v>2</v>
      </c>
      <c r="AH273" t="s">
        <v>57</v>
      </c>
      <c r="AL273" t="s">
        <v>57</v>
      </c>
      <c r="AM273" s="11">
        <v>44784</v>
      </c>
      <c r="AN273" t="s">
        <v>170</v>
      </c>
      <c r="AO273" t="s">
        <v>65</v>
      </c>
      <c r="AP273">
        <v>1201</v>
      </c>
      <c r="AQ273" t="s">
        <v>66</v>
      </c>
      <c r="AR273">
        <v>206793</v>
      </c>
      <c r="AU273" t="s">
        <v>57</v>
      </c>
      <c r="AV273" t="s">
        <v>68</v>
      </c>
      <c r="AX273" t="s">
        <v>57</v>
      </c>
      <c r="AY273">
        <v>631110</v>
      </c>
      <c r="AZ273">
        <v>1201.63111</v>
      </c>
      <c r="BA273" s="23" t="s">
        <v>11</v>
      </c>
    </row>
    <row r="274" spans="1:53" x14ac:dyDescent="0.25">
      <c r="A274" t="s">
        <v>134</v>
      </c>
      <c r="B274" t="s">
        <v>135</v>
      </c>
      <c r="C274">
        <v>22001861</v>
      </c>
      <c r="D274">
        <v>1201</v>
      </c>
      <c r="E274" s="11">
        <v>44784</v>
      </c>
      <c r="F274" t="s">
        <v>169</v>
      </c>
      <c r="G274">
        <v>3.14</v>
      </c>
      <c r="H274">
        <v>3.14</v>
      </c>
      <c r="I274" t="s">
        <v>56</v>
      </c>
      <c r="O274" t="s">
        <v>57</v>
      </c>
      <c r="Q274" t="s">
        <v>57</v>
      </c>
      <c r="R274" t="s">
        <v>137</v>
      </c>
      <c r="T274" t="s">
        <v>59</v>
      </c>
      <c r="U274" t="s">
        <v>60</v>
      </c>
      <c r="V274" t="s">
        <v>138</v>
      </c>
      <c r="W274" t="s">
        <v>139</v>
      </c>
      <c r="X274">
        <v>1930432</v>
      </c>
      <c r="Y274" s="11">
        <v>44784</v>
      </c>
      <c r="Z274" t="s">
        <v>57</v>
      </c>
      <c r="AA274">
        <v>14</v>
      </c>
      <c r="AB274" t="s">
        <v>57</v>
      </c>
      <c r="AD274" t="s">
        <v>57</v>
      </c>
      <c r="AE274" t="s">
        <v>57</v>
      </c>
      <c r="AF274" t="s">
        <v>57</v>
      </c>
      <c r="AG274">
        <v>3</v>
      </c>
      <c r="AH274" t="s">
        <v>57</v>
      </c>
      <c r="AL274" t="s">
        <v>57</v>
      </c>
      <c r="AM274" s="11">
        <v>44784</v>
      </c>
      <c r="AN274" t="s">
        <v>170</v>
      </c>
      <c r="AO274" t="s">
        <v>65</v>
      </c>
      <c r="AP274">
        <v>1201</v>
      </c>
      <c r="AQ274" t="s">
        <v>66</v>
      </c>
      <c r="AR274">
        <v>88720</v>
      </c>
      <c r="AU274" t="s">
        <v>57</v>
      </c>
      <c r="AV274" t="s">
        <v>68</v>
      </c>
      <c r="AX274" t="s">
        <v>57</v>
      </c>
      <c r="AY274">
        <v>631110</v>
      </c>
      <c r="AZ274">
        <v>1201.63111</v>
      </c>
      <c r="BA274" s="23" t="s">
        <v>11</v>
      </c>
    </row>
    <row r="275" spans="1:53" x14ac:dyDescent="0.25">
      <c r="A275" t="s">
        <v>134</v>
      </c>
      <c r="B275" t="s">
        <v>135</v>
      </c>
      <c r="C275">
        <v>22001861</v>
      </c>
      <c r="D275">
        <v>1201</v>
      </c>
      <c r="E275" s="11">
        <v>44784</v>
      </c>
      <c r="F275" t="s">
        <v>169</v>
      </c>
      <c r="G275">
        <v>6.77</v>
      </c>
      <c r="H275">
        <v>6.77</v>
      </c>
      <c r="I275" t="s">
        <v>56</v>
      </c>
      <c r="O275" t="s">
        <v>57</v>
      </c>
      <c r="Q275" t="s">
        <v>57</v>
      </c>
      <c r="R275" t="s">
        <v>137</v>
      </c>
      <c r="T275" t="s">
        <v>59</v>
      </c>
      <c r="U275" t="s">
        <v>60</v>
      </c>
      <c r="V275" t="s">
        <v>138</v>
      </c>
      <c r="W275" t="s">
        <v>139</v>
      </c>
      <c r="X275">
        <v>1930432</v>
      </c>
      <c r="Y275" s="11">
        <v>44784</v>
      </c>
      <c r="Z275" t="s">
        <v>57</v>
      </c>
      <c r="AA275">
        <v>16</v>
      </c>
      <c r="AB275" t="s">
        <v>57</v>
      </c>
      <c r="AD275" t="s">
        <v>57</v>
      </c>
      <c r="AE275" t="s">
        <v>57</v>
      </c>
      <c r="AF275" t="s">
        <v>57</v>
      </c>
      <c r="AG275">
        <v>1</v>
      </c>
      <c r="AH275" t="s">
        <v>57</v>
      </c>
      <c r="AL275" t="s">
        <v>57</v>
      </c>
      <c r="AM275" s="11">
        <v>44784</v>
      </c>
      <c r="AN275" t="s">
        <v>170</v>
      </c>
      <c r="AO275" t="s">
        <v>65</v>
      </c>
      <c r="AP275">
        <v>1201</v>
      </c>
      <c r="AQ275" t="s">
        <v>66</v>
      </c>
      <c r="AR275">
        <v>89612</v>
      </c>
      <c r="AU275" t="s">
        <v>57</v>
      </c>
      <c r="AV275" t="s">
        <v>68</v>
      </c>
      <c r="AX275" t="s">
        <v>57</v>
      </c>
      <c r="AY275">
        <v>631110</v>
      </c>
      <c r="AZ275">
        <v>1201.63111</v>
      </c>
      <c r="BA275" s="23" t="s">
        <v>11</v>
      </c>
    </row>
    <row r="276" spans="1:53" x14ac:dyDescent="0.25">
      <c r="A276" t="s">
        <v>134</v>
      </c>
      <c r="B276" t="s">
        <v>135</v>
      </c>
      <c r="C276">
        <v>22001861</v>
      </c>
      <c r="D276">
        <v>1201</v>
      </c>
      <c r="E276" s="11">
        <v>44784</v>
      </c>
      <c r="F276" t="s">
        <v>169</v>
      </c>
      <c r="G276">
        <v>15.67</v>
      </c>
      <c r="H276">
        <v>15.67</v>
      </c>
      <c r="I276" t="s">
        <v>56</v>
      </c>
      <c r="O276" t="s">
        <v>57</v>
      </c>
      <c r="Q276" t="s">
        <v>57</v>
      </c>
      <c r="R276" t="s">
        <v>137</v>
      </c>
      <c r="T276" t="s">
        <v>59</v>
      </c>
      <c r="U276" t="s">
        <v>60</v>
      </c>
      <c r="V276" t="s">
        <v>138</v>
      </c>
      <c r="W276" t="s">
        <v>139</v>
      </c>
      <c r="X276">
        <v>1930432</v>
      </c>
      <c r="Y276" s="11">
        <v>44784</v>
      </c>
      <c r="Z276" t="s">
        <v>57</v>
      </c>
      <c r="AA276">
        <v>18</v>
      </c>
      <c r="AB276" t="s">
        <v>57</v>
      </c>
      <c r="AD276" t="s">
        <v>57</v>
      </c>
      <c r="AE276" t="s">
        <v>57</v>
      </c>
      <c r="AF276" t="s">
        <v>57</v>
      </c>
      <c r="AG276">
        <v>1</v>
      </c>
      <c r="AH276" t="s">
        <v>57</v>
      </c>
      <c r="AL276" t="s">
        <v>57</v>
      </c>
      <c r="AM276" s="11">
        <v>44784</v>
      </c>
      <c r="AN276" t="s">
        <v>170</v>
      </c>
      <c r="AO276" t="s">
        <v>65</v>
      </c>
      <c r="AP276">
        <v>1201</v>
      </c>
      <c r="AQ276" t="s">
        <v>66</v>
      </c>
      <c r="AR276">
        <v>163472</v>
      </c>
      <c r="AU276" t="s">
        <v>57</v>
      </c>
      <c r="AV276" t="s">
        <v>68</v>
      </c>
      <c r="AX276" t="s">
        <v>57</v>
      </c>
      <c r="AY276">
        <v>631110</v>
      </c>
      <c r="AZ276">
        <v>1201.63111</v>
      </c>
      <c r="BA276" s="23" t="s">
        <v>11</v>
      </c>
    </row>
    <row r="277" spans="1:53" x14ac:dyDescent="0.25">
      <c r="A277" t="s">
        <v>134</v>
      </c>
      <c r="B277" t="s">
        <v>135</v>
      </c>
      <c r="C277">
        <v>22001861</v>
      </c>
      <c r="D277">
        <v>1201</v>
      </c>
      <c r="E277" s="11">
        <v>44784</v>
      </c>
      <c r="F277" t="s">
        <v>169</v>
      </c>
      <c r="G277">
        <v>13.81</v>
      </c>
      <c r="H277">
        <v>13.81</v>
      </c>
      <c r="I277" t="s">
        <v>56</v>
      </c>
      <c r="O277" t="s">
        <v>57</v>
      </c>
      <c r="Q277" t="s">
        <v>57</v>
      </c>
      <c r="R277" t="s">
        <v>137</v>
      </c>
      <c r="T277" t="s">
        <v>59</v>
      </c>
      <c r="U277" t="s">
        <v>60</v>
      </c>
      <c r="V277" t="s">
        <v>138</v>
      </c>
      <c r="W277" t="s">
        <v>139</v>
      </c>
      <c r="X277">
        <v>1930432</v>
      </c>
      <c r="Y277" s="11">
        <v>44784</v>
      </c>
      <c r="Z277" t="s">
        <v>57</v>
      </c>
      <c r="AA277">
        <v>20</v>
      </c>
      <c r="AB277" t="s">
        <v>57</v>
      </c>
      <c r="AD277" t="s">
        <v>57</v>
      </c>
      <c r="AE277" t="s">
        <v>57</v>
      </c>
      <c r="AF277" t="s">
        <v>57</v>
      </c>
      <c r="AG277">
        <v>10</v>
      </c>
      <c r="AH277" t="s">
        <v>57</v>
      </c>
      <c r="AL277" t="s">
        <v>57</v>
      </c>
      <c r="AM277" s="11">
        <v>44784</v>
      </c>
      <c r="AN277" t="s">
        <v>170</v>
      </c>
      <c r="AO277" t="s">
        <v>65</v>
      </c>
      <c r="AP277">
        <v>1201</v>
      </c>
      <c r="AQ277" t="s">
        <v>66</v>
      </c>
      <c r="AR277">
        <v>163503</v>
      </c>
      <c r="AU277" t="s">
        <v>57</v>
      </c>
      <c r="AV277" t="s">
        <v>68</v>
      </c>
      <c r="AX277" t="s">
        <v>57</v>
      </c>
      <c r="AY277">
        <v>631110</v>
      </c>
      <c r="AZ277">
        <v>1201.63111</v>
      </c>
      <c r="BA277" s="23" t="s">
        <v>11</v>
      </c>
    </row>
    <row r="278" spans="1:53" x14ac:dyDescent="0.25">
      <c r="A278" t="s">
        <v>134</v>
      </c>
      <c r="B278" t="s">
        <v>135</v>
      </c>
      <c r="C278">
        <v>22001861</v>
      </c>
      <c r="D278">
        <v>1201</v>
      </c>
      <c r="E278" s="11">
        <v>44784</v>
      </c>
      <c r="F278" t="s">
        <v>169</v>
      </c>
      <c r="G278">
        <v>0.67</v>
      </c>
      <c r="H278">
        <v>0.67</v>
      </c>
      <c r="I278" t="s">
        <v>56</v>
      </c>
      <c r="O278" t="s">
        <v>57</v>
      </c>
      <c r="Q278" t="s">
        <v>57</v>
      </c>
      <c r="R278" t="s">
        <v>137</v>
      </c>
      <c r="T278" t="s">
        <v>59</v>
      </c>
      <c r="U278" t="s">
        <v>60</v>
      </c>
      <c r="V278" t="s">
        <v>138</v>
      </c>
      <c r="W278" t="s">
        <v>139</v>
      </c>
      <c r="X278">
        <v>1930432</v>
      </c>
      <c r="Y278" s="11">
        <v>44784</v>
      </c>
      <c r="Z278" t="s">
        <v>57</v>
      </c>
      <c r="AA278">
        <v>22</v>
      </c>
      <c r="AB278" t="s">
        <v>57</v>
      </c>
      <c r="AD278" t="s">
        <v>57</v>
      </c>
      <c r="AE278" t="s">
        <v>57</v>
      </c>
      <c r="AF278" t="s">
        <v>57</v>
      </c>
      <c r="AG278">
        <v>1</v>
      </c>
      <c r="AH278" t="s">
        <v>57</v>
      </c>
      <c r="AL278" t="s">
        <v>57</v>
      </c>
      <c r="AM278" s="11">
        <v>44784</v>
      </c>
      <c r="AN278" t="s">
        <v>170</v>
      </c>
      <c r="AO278" t="s">
        <v>65</v>
      </c>
      <c r="AP278">
        <v>1201</v>
      </c>
      <c r="AQ278" t="s">
        <v>66</v>
      </c>
      <c r="AR278">
        <v>89662</v>
      </c>
      <c r="AU278" t="s">
        <v>57</v>
      </c>
      <c r="AV278" t="s">
        <v>68</v>
      </c>
      <c r="AX278" t="s">
        <v>57</v>
      </c>
      <c r="AY278">
        <v>631110</v>
      </c>
      <c r="AZ278">
        <v>1201.63111</v>
      </c>
      <c r="BA278" s="23" t="s">
        <v>11</v>
      </c>
    </row>
    <row r="279" spans="1:53" x14ac:dyDescent="0.25">
      <c r="A279" t="s">
        <v>134</v>
      </c>
      <c r="B279" t="s">
        <v>135</v>
      </c>
      <c r="C279">
        <v>22001861</v>
      </c>
      <c r="D279">
        <v>1201</v>
      </c>
      <c r="E279" s="11">
        <v>44784</v>
      </c>
      <c r="F279" t="s">
        <v>169</v>
      </c>
      <c r="G279">
        <v>1.04</v>
      </c>
      <c r="H279">
        <v>1.04</v>
      </c>
      <c r="I279" t="s">
        <v>56</v>
      </c>
      <c r="O279" t="s">
        <v>57</v>
      </c>
      <c r="Q279" t="s">
        <v>57</v>
      </c>
      <c r="R279" t="s">
        <v>137</v>
      </c>
      <c r="T279" t="s">
        <v>59</v>
      </c>
      <c r="U279" t="s">
        <v>60</v>
      </c>
      <c r="V279" t="s">
        <v>138</v>
      </c>
      <c r="W279" t="s">
        <v>139</v>
      </c>
      <c r="X279">
        <v>1930432</v>
      </c>
      <c r="Y279" s="11">
        <v>44784</v>
      </c>
      <c r="Z279" t="s">
        <v>57</v>
      </c>
      <c r="AA279">
        <v>24</v>
      </c>
      <c r="AB279" t="s">
        <v>57</v>
      </c>
      <c r="AD279" t="s">
        <v>57</v>
      </c>
      <c r="AE279" t="s">
        <v>57</v>
      </c>
      <c r="AF279" t="s">
        <v>57</v>
      </c>
      <c r="AG279">
        <v>1</v>
      </c>
      <c r="AH279" t="s">
        <v>57</v>
      </c>
      <c r="AL279" t="s">
        <v>57</v>
      </c>
      <c r="AM279" s="11">
        <v>44784</v>
      </c>
      <c r="AN279" t="s">
        <v>170</v>
      </c>
      <c r="AO279" t="s">
        <v>65</v>
      </c>
      <c r="AP279">
        <v>1201</v>
      </c>
      <c r="AQ279" t="s">
        <v>66</v>
      </c>
      <c r="AR279">
        <v>88592</v>
      </c>
      <c r="AU279" t="s">
        <v>57</v>
      </c>
      <c r="AV279" t="s">
        <v>68</v>
      </c>
      <c r="AX279" t="s">
        <v>57</v>
      </c>
      <c r="AY279">
        <v>631110</v>
      </c>
      <c r="AZ279">
        <v>1201.63111</v>
      </c>
      <c r="BA279" s="23" t="s">
        <v>11</v>
      </c>
    </row>
    <row r="280" spans="1:53" x14ac:dyDescent="0.25">
      <c r="A280" t="s">
        <v>134</v>
      </c>
      <c r="B280" t="s">
        <v>135</v>
      </c>
      <c r="C280">
        <v>22001861</v>
      </c>
      <c r="D280">
        <v>1201</v>
      </c>
      <c r="E280" s="11">
        <v>44784</v>
      </c>
      <c r="F280" t="s">
        <v>169</v>
      </c>
      <c r="G280">
        <v>2.54</v>
      </c>
      <c r="H280">
        <v>2.54</v>
      </c>
      <c r="I280" t="s">
        <v>56</v>
      </c>
      <c r="O280" t="s">
        <v>57</v>
      </c>
      <c r="Q280" t="s">
        <v>57</v>
      </c>
      <c r="R280" t="s">
        <v>137</v>
      </c>
      <c r="T280" t="s">
        <v>59</v>
      </c>
      <c r="U280" t="s">
        <v>60</v>
      </c>
      <c r="V280" t="s">
        <v>138</v>
      </c>
      <c r="W280" t="s">
        <v>139</v>
      </c>
      <c r="X280">
        <v>1930432</v>
      </c>
      <c r="Y280" s="11">
        <v>44784</v>
      </c>
      <c r="Z280" t="s">
        <v>57</v>
      </c>
      <c r="AA280">
        <v>26</v>
      </c>
      <c r="AB280" t="s">
        <v>57</v>
      </c>
      <c r="AD280" t="s">
        <v>57</v>
      </c>
      <c r="AE280" t="s">
        <v>57</v>
      </c>
      <c r="AF280" t="s">
        <v>57</v>
      </c>
      <c r="AG280">
        <v>1</v>
      </c>
      <c r="AH280" t="s">
        <v>57</v>
      </c>
      <c r="AL280" t="s">
        <v>57</v>
      </c>
      <c r="AM280" s="11">
        <v>44784</v>
      </c>
      <c r="AN280" t="s">
        <v>170</v>
      </c>
      <c r="AO280" t="s">
        <v>65</v>
      </c>
      <c r="AP280">
        <v>1201</v>
      </c>
      <c r="AQ280" t="s">
        <v>66</v>
      </c>
      <c r="AR280">
        <v>88723</v>
      </c>
      <c r="AU280" t="s">
        <v>57</v>
      </c>
      <c r="AV280" t="s">
        <v>68</v>
      </c>
      <c r="AX280" t="s">
        <v>57</v>
      </c>
      <c r="AY280">
        <v>631110</v>
      </c>
      <c r="AZ280">
        <v>1201.63111</v>
      </c>
      <c r="BA280" s="23" t="s">
        <v>11</v>
      </c>
    </row>
    <row r="281" spans="1:53" x14ac:dyDescent="0.25">
      <c r="A281" t="s">
        <v>134</v>
      </c>
      <c r="B281" t="s">
        <v>135</v>
      </c>
      <c r="C281">
        <v>22001861</v>
      </c>
      <c r="D281">
        <v>1201</v>
      </c>
      <c r="E281" s="11">
        <v>44784</v>
      </c>
      <c r="F281" t="s">
        <v>169</v>
      </c>
      <c r="G281">
        <v>0.95</v>
      </c>
      <c r="H281">
        <v>0.95</v>
      </c>
      <c r="I281" t="s">
        <v>56</v>
      </c>
      <c r="O281" t="s">
        <v>57</v>
      </c>
      <c r="Q281" t="s">
        <v>57</v>
      </c>
      <c r="R281" t="s">
        <v>137</v>
      </c>
      <c r="T281" t="s">
        <v>59</v>
      </c>
      <c r="U281" t="s">
        <v>60</v>
      </c>
      <c r="V281" t="s">
        <v>138</v>
      </c>
      <c r="W281" t="s">
        <v>139</v>
      </c>
      <c r="X281">
        <v>1930432</v>
      </c>
      <c r="Y281" s="11">
        <v>44784</v>
      </c>
      <c r="Z281" t="s">
        <v>57</v>
      </c>
      <c r="AA281">
        <v>28</v>
      </c>
      <c r="AB281" t="s">
        <v>57</v>
      </c>
      <c r="AD281" t="s">
        <v>57</v>
      </c>
      <c r="AE281" t="s">
        <v>57</v>
      </c>
      <c r="AF281" t="s">
        <v>57</v>
      </c>
      <c r="AG281">
        <v>1</v>
      </c>
      <c r="AH281" t="s">
        <v>57</v>
      </c>
      <c r="AL281" t="s">
        <v>57</v>
      </c>
      <c r="AM281" s="11">
        <v>44784</v>
      </c>
      <c r="AN281" t="s">
        <v>170</v>
      </c>
      <c r="AO281" t="s">
        <v>65</v>
      </c>
      <c r="AP281">
        <v>1201</v>
      </c>
      <c r="AQ281" t="s">
        <v>66</v>
      </c>
      <c r="AR281">
        <v>90086</v>
      </c>
      <c r="AU281" t="s">
        <v>57</v>
      </c>
      <c r="AV281" t="s">
        <v>68</v>
      </c>
      <c r="AX281" t="s">
        <v>57</v>
      </c>
      <c r="AY281">
        <v>631110</v>
      </c>
      <c r="AZ281">
        <v>1201.63111</v>
      </c>
      <c r="BA281" s="23" t="s">
        <v>11</v>
      </c>
    </row>
    <row r="282" spans="1:53" x14ac:dyDescent="0.25">
      <c r="A282" t="s">
        <v>134</v>
      </c>
      <c r="B282" t="s">
        <v>135</v>
      </c>
      <c r="C282">
        <v>22001861</v>
      </c>
      <c r="D282">
        <v>1201</v>
      </c>
      <c r="E282" s="11">
        <v>44784</v>
      </c>
      <c r="F282" t="s">
        <v>169</v>
      </c>
      <c r="G282">
        <v>0.7</v>
      </c>
      <c r="H282">
        <v>0.7</v>
      </c>
      <c r="I282" t="s">
        <v>56</v>
      </c>
      <c r="O282" t="s">
        <v>57</v>
      </c>
      <c r="Q282" t="s">
        <v>57</v>
      </c>
      <c r="R282" t="s">
        <v>137</v>
      </c>
      <c r="T282" t="s">
        <v>59</v>
      </c>
      <c r="U282" t="s">
        <v>60</v>
      </c>
      <c r="V282" t="s">
        <v>138</v>
      </c>
      <c r="W282" t="s">
        <v>139</v>
      </c>
      <c r="X282">
        <v>1930432</v>
      </c>
      <c r="Y282" s="11">
        <v>44784</v>
      </c>
      <c r="Z282" t="s">
        <v>57</v>
      </c>
      <c r="AA282">
        <v>30</v>
      </c>
      <c r="AB282" t="s">
        <v>57</v>
      </c>
      <c r="AD282" t="s">
        <v>57</v>
      </c>
      <c r="AE282" t="s">
        <v>57</v>
      </c>
      <c r="AF282" t="s">
        <v>57</v>
      </c>
      <c r="AG282">
        <v>1</v>
      </c>
      <c r="AH282" t="s">
        <v>57</v>
      </c>
      <c r="AL282" t="s">
        <v>57</v>
      </c>
      <c r="AM282" s="11">
        <v>44784</v>
      </c>
      <c r="AN282" t="s">
        <v>170</v>
      </c>
      <c r="AO282" t="s">
        <v>65</v>
      </c>
      <c r="AP282">
        <v>1201</v>
      </c>
      <c r="AQ282" t="s">
        <v>66</v>
      </c>
      <c r="AR282">
        <v>88732</v>
      </c>
      <c r="AU282" t="s">
        <v>57</v>
      </c>
      <c r="AV282" t="s">
        <v>68</v>
      </c>
      <c r="AX282" t="s">
        <v>57</v>
      </c>
      <c r="AY282">
        <v>631110</v>
      </c>
      <c r="AZ282">
        <v>1201.63111</v>
      </c>
      <c r="BA282" s="23" t="s">
        <v>11</v>
      </c>
    </row>
    <row r="283" spans="1:53" x14ac:dyDescent="0.25">
      <c r="A283" t="s">
        <v>134</v>
      </c>
      <c r="B283" t="s">
        <v>135</v>
      </c>
      <c r="C283">
        <v>22001861</v>
      </c>
      <c r="D283">
        <v>1201</v>
      </c>
      <c r="E283" s="11">
        <v>44784</v>
      </c>
      <c r="F283" t="s">
        <v>169</v>
      </c>
      <c r="G283">
        <v>0.19</v>
      </c>
      <c r="H283">
        <v>0.19</v>
      </c>
      <c r="I283" t="s">
        <v>56</v>
      </c>
      <c r="O283" t="s">
        <v>57</v>
      </c>
      <c r="Q283" t="s">
        <v>57</v>
      </c>
      <c r="R283" t="s">
        <v>137</v>
      </c>
      <c r="T283" t="s">
        <v>59</v>
      </c>
      <c r="U283" t="s">
        <v>60</v>
      </c>
      <c r="V283" t="s">
        <v>138</v>
      </c>
      <c r="W283" t="s">
        <v>139</v>
      </c>
      <c r="X283">
        <v>1930432</v>
      </c>
      <c r="Y283" s="11">
        <v>44784</v>
      </c>
      <c r="Z283" t="s">
        <v>57</v>
      </c>
      <c r="AA283">
        <v>32</v>
      </c>
      <c r="AB283" t="s">
        <v>57</v>
      </c>
      <c r="AD283" t="s">
        <v>57</v>
      </c>
      <c r="AE283" t="s">
        <v>57</v>
      </c>
      <c r="AF283" t="s">
        <v>57</v>
      </c>
      <c r="AG283">
        <v>5</v>
      </c>
      <c r="AH283" t="s">
        <v>57</v>
      </c>
      <c r="AL283" t="s">
        <v>57</v>
      </c>
      <c r="AM283" s="11">
        <v>44784</v>
      </c>
      <c r="AN283" t="s">
        <v>170</v>
      </c>
      <c r="AO283" t="s">
        <v>65</v>
      </c>
      <c r="AP283">
        <v>1201</v>
      </c>
      <c r="AQ283" t="s">
        <v>66</v>
      </c>
      <c r="AR283">
        <v>88685</v>
      </c>
      <c r="AU283" t="s">
        <v>57</v>
      </c>
      <c r="AV283" t="s">
        <v>68</v>
      </c>
      <c r="AX283" t="s">
        <v>57</v>
      </c>
      <c r="AY283">
        <v>631110</v>
      </c>
      <c r="AZ283">
        <v>1201.63111</v>
      </c>
      <c r="BA283" s="23" t="s">
        <v>11</v>
      </c>
    </row>
    <row r="284" spans="1:53" x14ac:dyDescent="0.25">
      <c r="A284" t="s">
        <v>134</v>
      </c>
      <c r="B284" t="s">
        <v>135</v>
      </c>
      <c r="C284">
        <v>22001862</v>
      </c>
      <c r="D284">
        <v>1201</v>
      </c>
      <c r="E284" s="11">
        <v>44784</v>
      </c>
      <c r="F284" t="s">
        <v>171</v>
      </c>
      <c r="G284">
        <v>47.29</v>
      </c>
      <c r="H284">
        <v>47.29</v>
      </c>
      <c r="I284" t="s">
        <v>56</v>
      </c>
      <c r="O284" t="s">
        <v>57</v>
      </c>
      <c r="Q284" t="s">
        <v>57</v>
      </c>
      <c r="R284" t="s">
        <v>137</v>
      </c>
      <c r="T284" t="s">
        <v>59</v>
      </c>
      <c r="U284" t="s">
        <v>60</v>
      </c>
      <c r="V284" t="s">
        <v>138</v>
      </c>
      <c r="W284" t="s">
        <v>139</v>
      </c>
      <c r="X284">
        <v>1930432</v>
      </c>
      <c r="Y284" s="11">
        <v>44784</v>
      </c>
      <c r="Z284" t="s">
        <v>57</v>
      </c>
      <c r="AA284">
        <v>2</v>
      </c>
      <c r="AB284" t="s">
        <v>57</v>
      </c>
      <c r="AD284" t="s">
        <v>57</v>
      </c>
      <c r="AE284" t="s">
        <v>57</v>
      </c>
      <c r="AF284" t="s">
        <v>57</v>
      </c>
      <c r="AG284">
        <v>6</v>
      </c>
      <c r="AH284" t="s">
        <v>57</v>
      </c>
      <c r="AL284" t="s">
        <v>57</v>
      </c>
      <c r="AM284" s="11">
        <v>44784</v>
      </c>
      <c r="AN284" t="s">
        <v>170</v>
      </c>
      <c r="AO284" t="s">
        <v>65</v>
      </c>
      <c r="AP284">
        <v>1201</v>
      </c>
      <c r="AQ284" t="s">
        <v>66</v>
      </c>
      <c r="AR284">
        <v>227112</v>
      </c>
      <c r="AU284" t="s">
        <v>57</v>
      </c>
      <c r="AV284" t="s">
        <v>68</v>
      </c>
      <c r="AX284" t="s">
        <v>57</v>
      </c>
      <c r="AY284">
        <v>631110</v>
      </c>
      <c r="AZ284">
        <v>1201.63111</v>
      </c>
      <c r="BA284" s="23" t="s">
        <v>11</v>
      </c>
    </row>
    <row r="285" spans="1:53" x14ac:dyDescent="0.25">
      <c r="A285" t="s">
        <v>134</v>
      </c>
      <c r="B285" t="s">
        <v>135</v>
      </c>
      <c r="C285">
        <v>22001862</v>
      </c>
      <c r="D285">
        <v>1201</v>
      </c>
      <c r="E285" s="11">
        <v>44784</v>
      </c>
      <c r="F285" t="s">
        <v>171</v>
      </c>
      <c r="G285">
        <v>15.93</v>
      </c>
      <c r="H285">
        <v>15.93</v>
      </c>
      <c r="I285" t="s">
        <v>56</v>
      </c>
      <c r="O285" t="s">
        <v>57</v>
      </c>
      <c r="Q285" t="s">
        <v>57</v>
      </c>
      <c r="R285" t="s">
        <v>137</v>
      </c>
      <c r="T285" t="s">
        <v>59</v>
      </c>
      <c r="U285" t="s">
        <v>60</v>
      </c>
      <c r="V285" t="s">
        <v>138</v>
      </c>
      <c r="W285" t="s">
        <v>139</v>
      </c>
      <c r="X285">
        <v>1930432</v>
      </c>
      <c r="Y285" s="11">
        <v>44784</v>
      </c>
      <c r="Z285" t="s">
        <v>57</v>
      </c>
      <c r="AA285">
        <v>4</v>
      </c>
      <c r="AB285" t="s">
        <v>57</v>
      </c>
      <c r="AD285" t="s">
        <v>57</v>
      </c>
      <c r="AE285" t="s">
        <v>57</v>
      </c>
      <c r="AF285" t="s">
        <v>57</v>
      </c>
      <c r="AG285">
        <v>15</v>
      </c>
      <c r="AH285" t="s">
        <v>57</v>
      </c>
      <c r="AL285" t="s">
        <v>57</v>
      </c>
      <c r="AM285" s="11">
        <v>44784</v>
      </c>
      <c r="AN285" t="s">
        <v>170</v>
      </c>
      <c r="AO285" t="s">
        <v>65</v>
      </c>
      <c r="AP285">
        <v>1201</v>
      </c>
      <c r="AQ285" t="s">
        <v>66</v>
      </c>
      <c r="AR285">
        <v>220689</v>
      </c>
      <c r="AU285" t="s">
        <v>57</v>
      </c>
      <c r="AV285" t="s">
        <v>68</v>
      </c>
      <c r="AX285" t="s">
        <v>57</v>
      </c>
      <c r="AY285">
        <v>631110</v>
      </c>
      <c r="AZ285">
        <v>1201.63111</v>
      </c>
      <c r="BA285" s="23" t="s">
        <v>11</v>
      </c>
    </row>
    <row r="286" spans="1:53" x14ac:dyDescent="0.25">
      <c r="A286" t="s">
        <v>134</v>
      </c>
      <c r="B286" t="s">
        <v>135</v>
      </c>
      <c r="C286">
        <v>22001862</v>
      </c>
      <c r="D286">
        <v>1201</v>
      </c>
      <c r="E286" s="11">
        <v>44784</v>
      </c>
      <c r="F286" t="s">
        <v>171</v>
      </c>
      <c r="G286">
        <v>11.21</v>
      </c>
      <c r="H286">
        <v>11.21</v>
      </c>
      <c r="I286" t="s">
        <v>56</v>
      </c>
      <c r="O286" t="s">
        <v>57</v>
      </c>
      <c r="Q286" t="s">
        <v>57</v>
      </c>
      <c r="R286" t="s">
        <v>137</v>
      </c>
      <c r="T286" t="s">
        <v>59</v>
      </c>
      <c r="U286" t="s">
        <v>60</v>
      </c>
      <c r="V286" t="s">
        <v>138</v>
      </c>
      <c r="W286" t="s">
        <v>139</v>
      </c>
      <c r="X286">
        <v>1930432</v>
      </c>
      <c r="Y286" s="11">
        <v>44784</v>
      </c>
      <c r="Z286" t="s">
        <v>57</v>
      </c>
      <c r="AA286">
        <v>6</v>
      </c>
      <c r="AB286" t="s">
        <v>57</v>
      </c>
      <c r="AD286" t="s">
        <v>57</v>
      </c>
      <c r="AE286" t="s">
        <v>57</v>
      </c>
      <c r="AF286" t="s">
        <v>57</v>
      </c>
      <c r="AG286">
        <v>1</v>
      </c>
      <c r="AH286" t="s">
        <v>57</v>
      </c>
      <c r="AL286" t="s">
        <v>57</v>
      </c>
      <c r="AM286" s="11">
        <v>44784</v>
      </c>
      <c r="AN286" t="s">
        <v>170</v>
      </c>
      <c r="AO286" t="s">
        <v>65</v>
      </c>
      <c r="AP286">
        <v>1201</v>
      </c>
      <c r="AQ286" t="s">
        <v>66</v>
      </c>
      <c r="AR286">
        <v>90109</v>
      </c>
      <c r="AU286" t="s">
        <v>57</v>
      </c>
      <c r="AV286" t="s">
        <v>68</v>
      </c>
      <c r="AX286" t="s">
        <v>57</v>
      </c>
      <c r="AY286">
        <v>631110</v>
      </c>
      <c r="AZ286">
        <v>1201.63111</v>
      </c>
      <c r="BA286" s="23" t="s">
        <v>11</v>
      </c>
    </row>
    <row r="287" spans="1:53" x14ac:dyDescent="0.25">
      <c r="A287" t="s">
        <v>134</v>
      </c>
      <c r="B287" t="s">
        <v>135</v>
      </c>
      <c r="C287">
        <v>22001862</v>
      </c>
      <c r="D287">
        <v>1201</v>
      </c>
      <c r="E287" s="11">
        <v>44784</v>
      </c>
      <c r="F287" t="s">
        <v>171</v>
      </c>
      <c r="G287">
        <v>7.83</v>
      </c>
      <c r="H287">
        <v>7.83</v>
      </c>
      <c r="I287" t="s">
        <v>56</v>
      </c>
      <c r="O287" t="s">
        <v>57</v>
      </c>
      <c r="Q287" t="s">
        <v>57</v>
      </c>
      <c r="R287" t="s">
        <v>137</v>
      </c>
      <c r="T287" t="s">
        <v>59</v>
      </c>
      <c r="U287" t="s">
        <v>60</v>
      </c>
      <c r="V287" t="s">
        <v>138</v>
      </c>
      <c r="W287" t="s">
        <v>139</v>
      </c>
      <c r="X287">
        <v>1930432</v>
      </c>
      <c r="Y287" s="11">
        <v>44784</v>
      </c>
      <c r="Z287" t="s">
        <v>57</v>
      </c>
      <c r="AA287">
        <v>8</v>
      </c>
      <c r="AB287" t="s">
        <v>57</v>
      </c>
      <c r="AD287" t="s">
        <v>57</v>
      </c>
      <c r="AE287" t="s">
        <v>57</v>
      </c>
      <c r="AF287" t="s">
        <v>57</v>
      </c>
      <c r="AG287">
        <v>1</v>
      </c>
      <c r="AH287" t="s">
        <v>57</v>
      </c>
      <c r="AL287" t="s">
        <v>57</v>
      </c>
      <c r="AM287" s="11">
        <v>44784</v>
      </c>
      <c r="AN287" t="s">
        <v>170</v>
      </c>
      <c r="AO287" t="s">
        <v>65</v>
      </c>
      <c r="AP287">
        <v>1201</v>
      </c>
      <c r="AQ287" t="s">
        <v>66</v>
      </c>
      <c r="AR287">
        <v>225948</v>
      </c>
      <c r="AU287" t="s">
        <v>57</v>
      </c>
      <c r="AV287" t="s">
        <v>68</v>
      </c>
      <c r="AX287" t="s">
        <v>57</v>
      </c>
      <c r="AY287">
        <v>631110</v>
      </c>
      <c r="AZ287">
        <v>1201.63111</v>
      </c>
      <c r="BA287" s="23" t="s">
        <v>11</v>
      </c>
    </row>
    <row r="288" spans="1:53" x14ac:dyDescent="0.25">
      <c r="A288" t="s">
        <v>134</v>
      </c>
      <c r="B288" t="s">
        <v>135</v>
      </c>
      <c r="C288">
        <v>22001863</v>
      </c>
      <c r="D288">
        <v>1201</v>
      </c>
      <c r="E288" s="11">
        <v>44784</v>
      </c>
      <c r="F288" t="s">
        <v>286</v>
      </c>
      <c r="G288">
        <v>417.93</v>
      </c>
      <c r="H288">
        <v>417.93</v>
      </c>
      <c r="I288" t="s">
        <v>56</v>
      </c>
      <c r="O288" t="s">
        <v>57</v>
      </c>
      <c r="Q288" t="s">
        <v>57</v>
      </c>
      <c r="R288" t="s">
        <v>137</v>
      </c>
      <c r="T288" t="s">
        <v>59</v>
      </c>
      <c r="U288" t="s">
        <v>60</v>
      </c>
      <c r="V288" t="s">
        <v>138</v>
      </c>
      <c r="W288" t="s">
        <v>139</v>
      </c>
      <c r="X288">
        <v>1930453</v>
      </c>
      <c r="Y288" s="11">
        <v>44784</v>
      </c>
      <c r="Z288" t="s">
        <v>57</v>
      </c>
      <c r="AA288">
        <v>2</v>
      </c>
      <c r="AB288" t="s">
        <v>57</v>
      </c>
      <c r="AD288" t="s">
        <v>57</v>
      </c>
      <c r="AE288" t="s">
        <v>57</v>
      </c>
      <c r="AF288" t="s">
        <v>57</v>
      </c>
      <c r="AG288">
        <v>250</v>
      </c>
      <c r="AH288" t="s">
        <v>57</v>
      </c>
      <c r="AL288" t="s">
        <v>57</v>
      </c>
      <c r="AM288" s="11">
        <v>44784</v>
      </c>
      <c r="AN288" t="s">
        <v>287</v>
      </c>
      <c r="AO288" t="s">
        <v>65</v>
      </c>
      <c r="AP288">
        <v>1201</v>
      </c>
      <c r="AQ288" t="s">
        <v>66</v>
      </c>
      <c r="AR288">
        <v>89836</v>
      </c>
      <c r="AU288" t="s">
        <v>57</v>
      </c>
      <c r="AV288" t="s">
        <v>68</v>
      </c>
      <c r="AX288" t="s">
        <v>57</v>
      </c>
      <c r="AY288">
        <v>631110</v>
      </c>
      <c r="AZ288">
        <v>1201.63111</v>
      </c>
      <c r="BA288" s="23" t="s">
        <v>11</v>
      </c>
    </row>
    <row r="289" spans="1:53" x14ac:dyDescent="0.25">
      <c r="A289" t="s">
        <v>134</v>
      </c>
      <c r="B289" t="s">
        <v>135</v>
      </c>
      <c r="C289">
        <v>22001863</v>
      </c>
      <c r="D289">
        <v>1201</v>
      </c>
      <c r="E289" s="11">
        <v>44784</v>
      </c>
      <c r="F289" t="s">
        <v>286</v>
      </c>
      <c r="G289">
        <v>-417.93</v>
      </c>
      <c r="I289" t="s">
        <v>56</v>
      </c>
      <c r="K289">
        <v>-417.93</v>
      </c>
      <c r="O289" t="s">
        <v>57</v>
      </c>
      <c r="Q289" t="s">
        <v>57</v>
      </c>
      <c r="R289" t="s">
        <v>137</v>
      </c>
      <c r="T289" t="s">
        <v>59</v>
      </c>
      <c r="U289" t="s">
        <v>60</v>
      </c>
      <c r="V289" t="s">
        <v>138</v>
      </c>
      <c r="W289" t="s">
        <v>139</v>
      </c>
      <c r="X289">
        <v>1930453</v>
      </c>
      <c r="Y289" s="11">
        <v>44784</v>
      </c>
      <c r="Z289" t="s">
        <v>57</v>
      </c>
      <c r="AA289">
        <v>4</v>
      </c>
      <c r="AB289" t="s">
        <v>57</v>
      </c>
      <c r="AD289" t="s">
        <v>57</v>
      </c>
      <c r="AE289" t="s">
        <v>57</v>
      </c>
      <c r="AF289" t="s">
        <v>57</v>
      </c>
      <c r="AG289">
        <v>-250</v>
      </c>
      <c r="AH289" t="s">
        <v>57</v>
      </c>
      <c r="AL289" t="s">
        <v>57</v>
      </c>
      <c r="AM289" s="11">
        <v>44784</v>
      </c>
      <c r="AN289" t="s">
        <v>287</v>
      </c>
      <c r="AO289" t="s">
        <v>65</v>
      </c>
      <c r="AP289">
        <v>1201</v>
      </c>
      <c r="AQ289" t="s">
        <v>66</v>
      </c>
      <c r="AR289">
        <v>89836</v>
      </c>
      <c r="AU289" t="s">
        <v>57</v>
      </c>
      <c r="AV289" t="s">
        <v>68</v>
      </c>
      <c r="AX289" t="s">
        <v>57</v>
      </c>
      <c r="AY289">
        <v>631110</v>
      </c>
      <c r="AZ289">
        <v>1201.63111</v>
      </c>
      <c r="BA289" s="23" t="s">
        <v>11</v>
      </c>
    </row>
    <row r="290" spans="1:53" x14ac:dyDescent="0.25">
      <c r="A290" t="s">
        <v>134</v>
      </c>
      <c r="B290" t="s">
        <v>135</v>
      </c>
      <c r="C290">
        <v>22001864</v>
      </c>
      <c r="D290">
        <v>1201</v>
      </c>
      <c r="E290" s="11">
        <v>44784</v>
      </c>
      <c r="F290" t="s">
        <v>168</v>
      </c>
      <c r="G290">
        <v>0.77</v>
      </c>
      <c r="H290">
        <v>0.77</v>
      </c>
      <c r="I290" t="s">
        <v>56</v>
      </c>
      <c r="O290" t="s">
        <v>57</v>
      </c>
      <c r="Q290" t="s">
        <v>57</v>
      </c>
      <c r="R290" t="s">
        <v>137</v>
      </c>
      <c r="T290" t="s">
        <v>59</v>
      </c>
      <c r="U290" t="s">
        <v>60</v>
      </c>
      <c r="V290" t="s">
        <v>138</v>
      </c>
      <c r="W290" t="s">
        <v>139</v>
      </c>
      <c r="X290">
        <v>1930478</v>
      </c>
      <c r="Y290" s="11">
        <v>44784</v>
      </c>
      <c r="Z290" t="s">
        <v>57</v>
      </c>
      <c r="AA290">
        <v>2</v>
      </c>
      <c r="AB290" t="s">
        <v>57</v>
      </c>
      <c r="AD290" t="s">
        <v>57</v>
      </c>
      <c r="AE290" t="s">
        <v>57</v>
      </c>
      <c r="AF290" t="s">
        <v>57</v>
      </c>
      <c r="AG290">
        <v>10</v>
      </c>
      <c r="AH290" t="s">
        <v>57</v>
      </c>
      <c r="AL290" t="s">
        <v>57</v>
      </c>
      <c r="AM290" s="11">
        <v>44784</v>
      </c>
      <c r="AN290" t="s">
        <v>166</v>
      </c>
      <c r="AO290" t="s">
        <v>65</v>
      </c>
      <c r="AP290">
        <v>1201</v>
      </c>
      <c r="AQ290" t="s">
        <v>66</v>
      </c>
      <c r="AR290">
        <v>91479</v>
      </c>
      <c r="AU290" t="s">
        <v>57</v>
      </c>
      <c r="AV290" t="s">
        <v>68</v>
      </c>
      <c r="AX290" t="s">
        <v>57</v>
      </c>
      <c r="AY290">
        <v>631110</v>
      </c>
      <c r="AZ290">
        <v>1201.63111</v>
      </c>
      <c r="BA290" s="23" t="s">
        <v>11</v>
      </c>
    </row>
    <row r="291" spans="1:53" x14ac:dyDescent="0.25">
      <c r="A291" t="s">
        <v>134</v>
      </c>
      <c r="B291" t="s">
        <v>135</v>
      </c>
      <c r="C291">
        <v>22001864</v>
      </c>
      <c r="D291">
        <v>1201</v>
      </c>
      <c r="E291" s="11">
        <v>44784</v>
      </c>
      <c r="F291" t="s">
        <v>168</v>
      </c>
      <c r="G291">
        <v>1.1200000000000001</v>
      </c>
      <c r="H291">
        <v>1.1200000000000001</v>
      </c>
      <c r="I291" t="s">
        <v>56</v>
      </c>
      <c r="O291" t="s">
        <v>57</v>
      </c>
      <c r="Q291" t="s">
        <v>57</v>
      </c>
      <c r="R291" t="s">
        <v>137</v>
      </c>
      <c r="T291" t="s">
        <v>59</v>
      </c>
      <c r="U291" t="s">
        <v>60</v>
      </c>
      <c r="V291" t="s">
        <v>138</v>
      </c>
      <c r="W291" t="s">
        <v>139</v>
      </c>
      <c r="X291">
        <v>1930478</v>
      </c>
      <c r="Y291" s="11">
        <v>44784</v>
      </c>
      <c r="Z291" t="s">
        <v>57</v>
      </c>
      <c r="AA291">
        <v>4</v>
      </c>
      <c r="AB291" t="s">
        <v>57</v>
      </c>
      <c r="AD291" t="s">
        <v>57</v>
      </c>
      <c r="AE291" t="s">
        <v>57</v>
      </c>
      <c r="AF291" t="s">
        <v>57</v>
      </c>
      <c r="AG291">
        <v>10</v>
      </c>
      <c r="AH291" t="s">
        <v>57</v>
      </c>
      <c r="AL291" t="s">
        <v>57</v>
      </c>
      <c r="AM291" s="11">
        <v>44784</v>
      </c>
      <c r="AN291" t="s">
        <v>166</v>
      </c>
      <c r="AO291" t="s">
        <v>65</v>
      </c>
      <c r="AP291">
        <v>1201</v>
      </c>
      <c r="AQ291" t="s">
        <v>66</v>
      </c>
      <c r="AR291">
        <v>264575</v>
      </c>
      <c r="AU291" t="s">
        <v>57</v>
      </c>
      <c r="AV291" t="s">
        <v>68</v>
      </c>
      <c r="AX291" t="s">
        <v>57</v>
      </c>
      <c r="AY291">
        <v>631110</v>
      </c>
      <c r="AZ291">
        <v>1201.63111</v>
      </c>
      <c r="BA291" s="23" t="s">
        <v>11</v>
      </c>
    </row>
    <row r="292" spans="1:53" x14ac:dyDescent="0.25">
      <c r="A292" t="s">
        <v>134</v>
      </c>
      <c r="B292" t="s">
        <v>135</v>
      </c>
      <c r="C292">
        <v>22001864</v>
      </c>
      <c r="D292">
        <v>1201</v>
      </c>
      <c r="E292" s="11">
        <v>44784</v>
      </c>
      <c r="F292" t="s">
        <v>168</v>
      </c>
      <c r="G292">
        <v>0.78</v>
      </c>
      <c r="H292">
        <v>0.78</v>
      </c>
      <c r="I292" t="s">
        <v>56</v>
      </c>
      <c r="O292" t="s">
        <v>57</v>
      </c>
      <c r="Q292" t="s">
        <v>57</v>
      </c>
      <c r="R292" t="s">
        <v>137</v>
      </c>
      <c r="T292" t="s">
        <v>59</v>
      </c>
      <c r="U292" t="s">
        <v>60</v>
      </c>
      <c r="V292" t="s">
        <v>138</v>
      </c>
      <c r="W292" t="s">
        <v>139</v>
      </c>
      <c r="X292">
        <v>1930478</v>
      </c>
      <c r="Y292" s="11">
        <v>44784</v>
      </c>
      <c r="Z292" t="s">
        <v>57</v>
      </c>
      <c r="AA292">
        <v>6</v>
      </c>
      <c r="AB292" t="s">
        <v>57</v>
      </c>
      <c r="AD292" t="s">
        <v>57</v>
      </c>
      <c r="AE292" t="s">
        <v>57</v>
      </c>
      <c r="AF292" t="s">
        <v>57</v>
      </c>
      <c r="AG292">
        <v>10</v>
      </c>
      <c r="AH292" t="s">
        <v>57</v>
      </c>
      <c r="AL292" t="s">
        <v>57</v>
      </c>
      <c r="AM292" s="11">
        <v>44784</v>
      </c>
      <c r="AN292" t="s">
        <v>166</v>
      </c>
      <c r="AO292" t="s">
        <v>65</v>
      </c>
      <c r="AP292">
        <v>1201</v>
      </c>
      <c r="AQ292" t="s">
        <v>66</v>
      </c>
      <c r="AR292">
        <v>93455</v>
      </c>
      <c r="AU292" t="s">
        <v>57</v>
      </c>
      <c r="AV292" t="s">
        <v>68</v>
      </c>
      <c r="AX292" t="s">
        <v>57</v>
      </c>
      <c r="AY292">
        <v>631110</v>
      </c>
      <c r="AZ292">
        <v>1201.63111</v>
      </c>
      <c r="BA292" s="23" t="s">
        <v>11</v>
      </c>
    </row>
    <row r="293" spans="1:53" x14ac:dyDescent="0.25">
      <c r="A293" t="s">
        <v>134</v>
      </c>
      <c r="B293" t="s">
        <v>135</v>
      </c>
      <c r="C293">
        <v>22001864</v>
      </c>
      <c r="D293">
        <v>1201</v>
      </c>
      <c r="E293" s="11">
        <v>44784</v>
      </c>
      <c r="F293" t="s">
        <v>168</v>
      </c>
      <c r="G293">
        <v>1.59</v>
      </c>
      <c r="H293">
        <v>1.59</v>
      </c>
      <c r="I293" t="s">
        <v>56</v>
      </c>
      <c r="O293" t="s">
        <v>57</v>
      </c>
      <c r="Q293" t="s">
        <v>57</v>
      </c>
      <c r="R293" t="s">
        <v>137</v>
      </c>
      <c r="T293" t="s">
        <v>59</v>
      </c>
      <c r="U293" t="s">
        <v>60</v>
      </c>
      <c r="V293" t="s">
        <v>138</v>
      </c>
      <c r="W293" t="s">
        <v>139</v>
      </c>
      <c r="X293">
        <v>1930478</v>
      </c>
      <c r="Y293" s="11">
        <v>44784</v>
      </c>
      <c r="Z293" t="s">
        <v>57</v>
      </c>
      <c r="AA293">
        <v>8</v>
      </c>
      <c r="AB293" t="s">
        <v>57</v>
      </c>
      <c r="AD293" t="s">
        <v>57</v>
      </c>
      <c r="AE293" t="s">
        <v>57</v>
      </c>
      <c r="AF293" t="s">
        <v>57</v>
      </c>
      <c r="AG293">
        <v>10</v>
      </c>
      <c r="AH293" t="s">
        <v>57</v>
      </c>
      <c r="AL293" t="s">
        <v>57</v>
      </c>
      <c r="AM293" s="11">
        <v>44784</v>
      </c>
      <c r="AN293" t="s">
        <v>166</v>
      </c>
      <c r="AO293" t="s">
        <v>65</v>
      </c>
      <c r="AP293">
        <v>1201</v>
      </c>
      <c r="AQ293" t="s">
        <v>66</v>
      </c>
      <c r="AR293">
        <v>89712</v>
      </c>
      <c r="AU293" t="s">
        <v>57</v>
      </c>
      <c r="AV293" t="s">
        <v>68</v>
      </c>
      <c r="AX293" t="s">
        <v>57</v>
      </c>
      <c r="AY293">
        <v>631110</v>
      </c>
      <c r="AZ293">
        <v>1201.63111</v>
      </c>
      <c r="BA293" s="23" t="s">
        <v>11</v>
      </c>
    </row>
    <row r="294" spans="1:53" x14ac:dyDescent="0.25">
      <c r="A294" t="s">
        <v>134</v>
      </c>
      <c r="B294" t="s">
        <v>135</v>
      </c>
      <c r="C294">
        <v>22001865</v>
      </c>
      <c r="D294">
        <v>1201</v>
      </c>
      <c r="E294" s="11">
        <v>44784</v>
      </c>
      <c r="F294" t="s">
        <v>288</v>
      </c>
      <c r="G294">
        <v>6.27</v>
      </c>
      <c r="H294">
        <v>6.27</v>
      </c>
      <c r="I294" t="s">
        <v>56</v>
      </c>
      <c r="O294" t="s">
        <v>57</v>
      </c>
      <c r="Q294" t="s">
        <v>57</v>
      </c>
      <c r="R294" t="s">
        <v>137</v>
      </c>
      <c r="T294" t="s">
        <v>59</v>
      </c>
      <c r="U294" t="s">
        <v>60</v>
      </c>
      <c r="V294" t="s">
        <v>138</v>
      </c>
      <c r="W294" t="s">
        <v>139</v>
      </c>
      <c r="X294">
        <v>1930478</v>
      </c>
      <c r="Y294" s="11">
        <v>44784</v>
      </c>
      <c r="Z294" t="s">
        <v>57</v>
      </c>
      <c r="AA294">
        <v>2</v>
      </c>
      <c r="AB294" t="s">
        <v>57</v>
      </c>
      <c r="AD294" t="s">
        <v>57</v>
      </c>
      <c r="AE294" t="s">
        <v>57</v>
      </c>
      <c r="AF294" t="s">
        <v>57</v>
      </c>
      <c r="AG294">
        <v>3</v>
      </c>
      <c r="AH294" t="s">
        <v>57</v>
      </c>
      <c r="AL294" t="s">
        <v>57</v>
      </c>
      <c r="AM294" s="11">
        <v>44784</v>
      </c>
      <c r="AN294" t="s">
        <v>166</v>
      </c>
      <c r="AO294" t="s">
        <v>65</v>
      </c>
      <c r="AP294">
        <v>1201</v>
      </c>
      <c r="AQ294" t="s">
        <v>66</v>
      </c>
      <c r="AR294">
        <v>136449</v>
      </c>
      <c r="AU294" t="s">
        <v>57</v>
      </c>
      <c r="AV294" t="s">
        <v>68</v>
      </c>
      <c r="AX294" t="s">
        <v>57</v>
      </c>
      <c r="AY294">
        <v>631110</v>
      </c>
      <c r="AZ294">
        <v>1201.63111</v>
      </c>
      <c r="BA294" s="23" t="s">
        <v>11</v>
      </c>
    </row>
    <row r="295" spans="1:53" x14ac:dyDescent="0.25">
      <c r="A295" t="s">
        <v>134</v>
      </c>
      <c r="B295" t="s">
        <v>135</v>
      </c>
      <c r="C295">
        <v>22001866</v>
      </c>
      <c r="D295">
        <v>1201</v>
      </c>
      <c r="E295" s="11">
        <v>44784</v>
      </c>
      <c r="F295" t="s">
        <v>289</v>
      </c>
      <c r="G295">
        <v>26.19</v>
      </c>
      <c r="H295">
        <v>26.19</v>
      </c>
      <c r="I295" t="s">
        <v>56</v>
      </c>
      <c r="O295" t="s">
        <v>57</v>
      </c>
      <c r="Q295" t="s">
        <v>57</v>
      </c>
      <c r="R295" t="s">
        <v>137</v>
      </c>
      <c r="T295" t="s">
        <v>59</v>
      </c>
      <c r="U295" t="s">
        <v>60</v>
      </c>
      <c r="V295" t="s">
        <v>138</v>
      </c>
      <c r="W295" t="s">
        <v>139</v>
      </c>
      <c r="X295">
        <v>1930478</v>
      </c>
      <c r="Y295" s="11">
        <v>44784</v>
      </c>
      <c r="Z295" t="s">
        <v>57</v>
      </c>
      <c r="AA295">
        <v>2</v>
      </c>
      <c r="AB295" t="s">
        <v>57</v>
      </c>
      <c r="AD295" t="s">
        <v>57</v>
      </c>
      <c r="AE295" t="s">
        <v>57</v>
      </c>
      <c r="AF295" t="s">
        <v>57</v>
      </c>
      <c r="AG295">
        <v>50</v>
      </c>
      <c r="AH295" t="s">
        <v>57</v>
      </c>
      <c r="AL295" t="s">
        <v>57</v>
      </c>
      <c r="AM295" s="11">
        <v>44784</v>
      </c>
      <c r="AN295" t="s">
        <v>166</v>
      </c>
      <c r="AO295" t="s">
        <v>65</v>
      </c>
      <c r="AP295">
        <v>1201</v>
      </c>
      <c r="AQ295" t="s">
        <v>66</v>
      </c>
      <c r="AR295">
        <v>265226</v>
      </c>
      <c r="AU295" t="s">
        <v>57</v>
      </c>
      <c r="AV295" t="s">
        <v>68</v>
      </c>
      <c r="AX295" t="s">
        <v>57</v>
      </c>
      <c r="AY295">
        <v>631110</v>
      </c>
      <c r="AZ295">
        <v>1201.63111</v>
      </c>
      <c r="BA295" s="23" t="s">
        <v>11</v>
      </c>
    </row>
    <row r="296" spans="1:53" x14ac:dyDescent="0.25">
      <c r="A296" t="s">
        <v>134</v>
      </c>
      <c r="B296" t="s">
        <v>135</v>
      </c>
      <c r="C296">
        <v>22001867</v>
      </c>
      <c r="D296">
        <v>1201</v>
      </c>
      <c r="E296" s="11">
        <v>44784</v>
      </c>
      <c r="F296" t="s">
        <v>169</v>
      </c>
      <c r="G296">
        <v>0.98</v>
      </c>
      <c r="H296">
        <v>0.98</v>
      </c>
      <c r="I296" t="s">
        <v>56</v>
      </c>
      <c r="O296" t="s">
        <v>57</v>
      </c>
      <c r="Q296" t="s">
        <v>57</v>
      </c>
      <c r="R296" t="s">
        <v>137</v>
      </c>
      <c r="T296" t="s">
        <v>59</v>
      </c>
      <c r="U296" t="s">
        <v>60</v>
      </c>
      <c r="V296" t="s">
        <v>138</v>
      </c>
      <c r="W296" t="s">
        <v>139</v>
      </c>
      <c r="X296">
        <v>1930490</v>
      </c>
      <c r="Y296" s="11">
        <v>44784</v>
      </c>
      <c r="Z296" t="s">
        <v>57</v>
      </c>
      <c r="AA296">
        <v>2</v>
      </c>
      <c r="AB296" t="s">
        <v>57</v>
      </c>
      <c r="AD296" t="s">
        <v>57</v>
      </c>
      <c r="AE296" t="s">
        <v>57</v>
      </c>
      <c r="AF296" t="s">
        <v>57</v>
      </c>
      <c r="AG296">
        <v>2</v>
      </c>
      <c r="AH296" t="s">
        <v>57</v>
      </c>
      <c r="AL296" t="s">
        <v>57</v>
      </c>
      <c r="AM296" s="11">
        <v>44784</v>
      </c>
      <c r="AN296" t="s">
        <v>170</v>
      </c>
      <c r="AO296" t="s">
        <v>65</v>
      </c>
      <c r="AP296">
        <v>1201</v>
      </c>
      <c r="AQ296" t="s">
        <v>66</v>
      </c>
      <c r="AR296">
        <v>121863</v>
      </c>
      <c r="AU296" t="s">
        <v>57</v>
      </c>
      <c r="AV296" t="s">
        <v>68</v>
      </c>
      <c r="AX296" t="s">
        <v>57</v>
      </c>
      <c r="AY296">
        <v>631110</v>
      </c>
      <c r="AZ296">
        <v>1201.63111</v>
      </c>
      <c r="BA296" s="23" t="s">
        <v>11</v>
      </c>
    </row>
    <row r="297" spans="1:53" x14ac:dyDescent="0.25">
      <c r="A297" t="s">
        <v>134</v>
      </c>
      <c r="B297" t="s">
        <v>135</v>
      </c>
      <c r="C297">
        <v>22001867</v>
      </c>
      <c r="D297">
        <v>1201</v>
      </c>
      <c r="E297" s="11">
        <v>44784</v>
      </c>
      <c r="F297" t="s">
        <v>169</v>
      </c>
      <c r="G297">
        <v>0.05</v>
      </c>
      <c r="H297">
        <v>0.05</v>
      </c>
      <c r="I297" t="s">
        <v>56</v>
      </c>
      <c r="O297" t="s">
        <v>57</v>
      </c>
      <c r="Q297" t="s">
        <v>57</v>
      </c>
      <c r="R297" t="s">
        <v>137</v>
      </c>
      <c r="T297" t="s">
        <v>59</v>
      </c>
      <c r="U297" t="s">
        <v>60</v>
      </c>
      <c r="V297" t="s">
        <v>138</v>
      </c>
      <c r="W297" t="s">
        <v>139</v>
      </c>
      <c r="X297">
        <v>1930490</v>
      </c>
      <c r="Y297" s="11">
        <v>44784</v>
      </c>
      <c r="Z297" t="s">
        <v>57</v>
      </c>
      <c r="AA297">
        <v>4</v>
      </c>
      <c r="AB297" t="s">
        <v>57</v>
      </c>
      <c r="AD297" t="s">
        <v>57</v>
      </c>
      <c r="AE297" t="s">
        <v>57</v>
      </c>
      <c r="AF297" t="s">
        <v>57</v>
      </c>
      <c r="AG297">
        <v>1</v>
      </c>
      <c r="AH297" t="s">
        <v>57</v>
      </c>
      <c r="AL297" t="s">
        <v>57</v>
      </c>
      <c r="AM297" s="11">
        <v>44784</v>
      </c>
      <c r="AN297" t="s">
        <v>170</v>
      </c>
      <c r="AO297" t="s">
        <v>65</v>
      </c>
      <c r="AP297">
        <v>1201</v>
      </c>
      <c r="AQ297" t="s">
        <v>66</v>
      </c>
      <c r="AR297">
        <v>88523</v>
      </c>
      <c r="AU297" t="s">
        <v>57</v>
      </c>
      <c r="AV297" t="s">
        <v>68</v>
      </c>
      <c r="AX297" t="s">
        <v>57</v>
      </c>
      <c r="AY297">
        <v>631110</v>
      </c>
      <c r="AZ297">
        <v>1201.63111</v>
      </c>
      <c r="BA297" s="23" t="s">
        <v>11</v>
      </c>
    </row>
    <row r="298" spans="1:53" x14ac:dyDescent="0.25">
      <c r="A298" t="s">
        <v>134</v>
      </c>
      <c r="B298" t="s">
        <v>135</v>
      </c>
      <c r="C298">
        <v>22001867</v>
      </c>
      <c r="D298">
        <v>1201</v>
      </c>
      <c r="E298" s="11">
        <v>44784</v>
      </c>
      <c r="F298" t="s">
        <v>169</v>
      </c>
      <c r="G298">
        <v>1.25</v>
      </c>
      <c r="H298">
        <v>1.25</v>
      </c>
      <c r="I298" t="s">
        <v>56</v>
      </c>
      <c r="O298" t="s">
        <v>57</v>
      </c>
      <c r="Q298" t="s">
        <v>57</v>
      </c>
      <c r="R298" t="s">
        <v>137</v>
      </c>
      <c r="T298" t="s">
        <v>59</v>
      </c>
      <c r="U298" t="s">
        <v>60</v>
      </c>
      <c r="V298" t="s">
        <v>138</v>
      </c>
      <c r="W298" t="s">
        <v>139</v>
      </c>
      <c r="X298">
        <v>1930490</v>
      </c>
      <c r="Y298" s="11">
        <v>44784</v>
      </c>
      <c r="Z298" t="s">
        <v>57</v>
      </c>
      <c r="AA298">
        <v>6</v>
      </c>
      <c r="AB298" t="s">
        <v>57</v>
      </c>
      <c r="AD298" t="s">
        <v>57</v>
      </c>
      <c r="AE298" t="s">
        <v>57</v>
      </c>
      <c r="AF298" t="s">
        <v>57</v>
      </c>
      <c r="AG298">
        <v>2</v>
      </c>
      <c r="AH298" t="s">
        <v>57</v>
      </c>
      <c r="AL298" t="s">
        <v>57</v>
      </c>
      <c r="AM298" s="11">
        <v>44784</v>
      </c>
      <c r="AN298" t="s">
        <v>170</v>
      </c>
      <c r="AO298" t="s">
        <v>65</v>
      </c>
      <c r="AP298">
        <v>1201</v>
      </c>
      <c r="AQ298" t="s">
        <v>66</v>
      </c>
      <c r="AR298">
        <v>91267</v>
      </c>
      <c r="AU298" t="s">
        <v>57</v>
      </c>
      <c r="AV298" t="s">
        <v>68</v>
      </c>
      <c r="AX298" t="s">
        <v>57</v>
      </c>
      <c r="AY298">
        <v>631110</v>
      </c>
      <c r="AZ298">
        <v>1201.63111</v>
      </c>
      <c r="BA298" s="23" t="s">
        <v>11</v>
      </c>
    </row>
    <row r="299" spans="1:53" x14ac:dyDescent="0.25">
      <c r="A299" t="s">
        <v>134</v>
      </c>
      <c r="B299" t="s">
        <v>135</v>
      </c>
      <c r="C299">
        <v>22001867</v>
      </c>
      <c r="D299">
        <v>1201</v>
      </c>
      <c r="E299" s="11">
        <v>44784</v>
      </c>
      <c r="F299" t="s">
        <v>169</v>
      </c>
      <c r="G299">
        <v>7.2</v>
      </c>
      <c r="H299">
        <v>7.2</v>
      </c>
      <c r="I299" t="s">
        <v>56</v>
      </c>
      <c r="O299" t="s">
        <v>57</v>
      </c>
      <c r="Q299" t="s">
        <v>57</v>
      </c>
      <c r="R299" t="s">
        <v>137</v>
      </c>
      <c r="T299" t="s">
        <v>59</v>
      </c>
      <c r="U299" t="s">
        <v>60</v>
      </c>
      <c r="V299" t="s">
        <v>138</v>
      </c>
      <c r="W299" t="s">
        <v>139</v>
      </c>
      <c r="X299">
        <v>1930490</v>
      </c>
      <c r="Y299" s="11">
        <v>44784</v>
      </c>
      <c r="Z299" t="s">
        <v>57</v>
      </c>
      <c r="AA299">
        <v>8</v>
      </c>
      <c r="AB299" t="s">
        <v>57</v>
      </c>
      <c r="AD299" t="s">
        <v>57</v>
      </c>
      <c r="AE299" t="s">
        <v>57</v>
      </c>
      <c r="AF299" t="s">
        <v>57</v>
      </c>
      <c r="AG299">
        <v>2</v>
      </c>
      <c r="AH299" t="s">
        <v>57</v>
      </c>
      <c r="AL299" t="s">
        <v>57</v>
      </c>
      <c r="AM299" s="11">
        <v>44784</v>
      </c>
      <c r="AN299" t="s">
        <v>170</v>
      </c>
      <c r="AO299" t="s">
        <v>65</v>
      </c>
      <c r="AP299">
        <v>1201</v>
      </c>
      <c r="AQ299" t="s">
        <v>66</v>
      </c>
      <c r="AR299">
        <v>230640</v>
      </c>
      <c r="AU299" t="s">
        <v>57</v>
      </c>
      <c r="AV299" t="s">
        <v>68</v>
      </c>
      <c r="AX299" t="s">
        <v>57</v>
      </c>
      <c r="AY299">
        <v>631110</v>
      </c>
      <c r="AZ299">
        <v>1201.63111</v>
      </c>
      <c r="BA299" s="23" t="s">
        <v>11</v>
      </c>
    </row>
    <row r="300" spans="1:53" x14ac:dyDescent="0.25">
      <c r="A300" t="s">
        <v>134</v>
      </c>
      <c r="B300" t="s">
        <v>135</v>
      </c>
      <c r="C300">
        <v>22001867</v>
      </c>
      <c r="D300">
        <v>1201</v>
      </c>
      <c r="E300" s="11">
        <v>44784</v>
      </c>
      <c r="F300" t="s">
        <v>169</v>
      </c>
      <c r="G300">
        <v>0.1</v>
      </c>
      <c r="H300">
        <v>0.1</v>
      </c>
      <c r="I300" t="s">
        <v>56</v>
      </c>
      <c r="O300" t="s">
        <v>57</v>
      </c>
      <c r="Q300" t="s">
        <v>57</v>
      </c>
      <c r="R300" t="s">
        <v>137</v>
      </c>
      <c r="T300" t="s">
        <v>59</v>
      </c>
      <c r="U300" t="s">
        <v>60</v>
      </c>
      <c r="V300" t="s">
        <v>138</v>
      </c>
      <c r="W300" t="s">
        <v>139</v>
      </c>
      <c r="X300">
        <v>1930490</v>
      </c>
      <c r="Y300" s="11">
        <v>44784</v>
      </c>
      <c r="Z300" t="s">
        <v>57</v>
      </c>
      <c r="AA300">
        <v>10</v>
      </c>
      <c r="AB300" t="s">
        <v>57</v>
      </c>
      <c r="AD300" t="s">
        <v>57</v>
      </c>
      <c r="AE300" t="s">
        <v>57</v>
      </c>
      <c r="AF300" t="s">
        <v>57</v>
      </c>
      <c r="AG300">
        <v>1</v>
      </c>
      <c r="AH300" t="s">
        <v>57</v>
      </c>
      <c r="AL300" t="s">
        <v>57</v>
      </c>
      <c r="AM300" s="11">
        <v>44784</v>
      </c>
      <c r="AN300" t="s">
        <v>170</v>
      </c>
      <c r="AO300" t="s">
        <v>65</v>
      </c>
      <c r="AP300">
        <v>1201</v>
      </c>
      <c r="AQ300" t="s">
        <v>66</v>
      </c>
      <c r="AR300">
        <v>88519</v>
      </c>
      <c r="AU300" t="s">
        <v>57</v>
      </c>
      <c r="AV300" t="s">
        <v>68</v>
      </c>
      <c r="AX300" t="s">
        <v>57</v>
      </c>
      <c r="AY300">
        <v>631110</v>
      </c>
      <c r="AZ300">
        <v>1201.63111</v>
      </c>
      <c r="BA300" s="23" t="s">
        <v>11</v>
      </c>
    </row>
    <row r="301" spans="1:53" x14ac:dyDescent="0.25">
      <c r="A301" t="s">
        <v>134</v>
      </c>
      <c r="B301" t="s">
        <v>135</v>
      </c>
      <c r="C301">
        <v>22001867</v>
      </c>
      <c r="D301">
        <v>1201</v>
      </c>
      <c r="E301" s="11">
        <v>44784</v>
      </c>
      <c r="F301" t="s">
        <v>169</v>
      </c>
      <c r="G301">
        <v>1.75</v>
      </c>
      <c r="H301">
        <v>1.75</v>
      </c>
      <c r="I301" t="s">
        <v>56</v>
      </c>
      <c r="O301" t="s">
        <v>57</v>
      </c>
      <c r="Q301" t="s">
        <v>57</v>
      </c>
      <c r="R301" t="s">
        <v>137</v>
      </c>
      <c r="T301" t="s">
        <v>59</v>
      </c>
      <c r="U301" t="s">
        <v>60</v>
      </c>
      <c r="V301" t="s">
        <v>138</v>
      </c>
      <c r="W301" t="s">
        <v>139</v>
      </c>
      <c r="X301">
        <v>1930490</v>
      </c>
      <c r="Y301" s="11">
        <v>44784</v>
      </c>
      <c r="Z301" t="s">
        <v>57</v>
      </c>
      <c r="AA301">
        <v>12</v>
      </c>
      <c r="AB301" t="s">
        <v>57</v>
      </c>
      <c r="AD301" t="s">
        <v>57</v>
      </c>
      <c r="AE301" t="s">
        <v>57</v>
      </c>
      <c r="AF301" t="s">
        <v>57</v>
      </c>
      <c r="AG301">
        <v>2</v>
      </c>
      <c r="AH301" t="s">
        <v>57</v>
      </c>
      <c r="AL301" t="s">
        <v>57</v>
      </c>
      <c r="AM301" s="11">
        <v>44784</v>
      </c>
      <c r="AN301" t="s">
        <v>170</v>
      </c>
      <c r="AO301" t="s">
        <v>65</v>
      </c>
      <c r="AP301">
        <v>1201</v>
      </c>
      <c r="AQ301" t="s">
        <v>66</v>
      </c>
      <c r="AR301">
        <v>92298</v>
      </c>
      <c r="AU301" t="s">
        <v>57</v>
      </c>
      <c r="AV301" t="s">
        <v>68</v>
      </c>
      <c r="AX301" t="s">
        <v>57</v>
      </c>
      <c r="AY301">
        <v>631110</v>
      </c>
      <c r="AZ301">
        <v>1201.63111</v>
      </c>
      <c r="BA301" s="23" t="s">
        <v>11</v>
      </c>
    </row>
    <row r="302" spans="1:53" x14ac:dyDescent="0.25">
      <c r="A302" t="s">
        <v>134</v>
      </c>
      <c r="B302" t="s">
        <v>135</v>
      </c>
      <c r="C302">
        <v>22001868</v>
      </c>
      <c r="D302">
        <v>1201</v>
      </c>
      <c r="E302" s="11">
        <v>44784</v>
      </c>
      <c r="F302" t="s">
        <v>171</v>
      </c>
      <c r="G302">
        <v>7.94</v>
      </c>
      <c r="H302">
        <v>7.94</v>
      </c>
      <c r="I302" t="s">
        <v>56</v>
      </c>
      <c r="O302" t="s">
        <v>57</v>
      </c>
      <c r="Q302" t="s">
        <v>57</v>
      </c>
      <c r="R302" t="s">
        <v>137</v>
      </c>
      <c r="T302" t="s">
        <v>59</v>
      </c>
      <c r="U302" t="s">
        <v>60</v>
      </c>
      <c r="V302" t="s">
        <v>138</v>
      </c>
      <c r="W302" t="s">
        <v>139</v>
      </c>
      <c r="X302">
        <v>1930490</v>
      </c>
      <c r="Y302" s="11">
        <v>44784</v>
      </c>
      <c r="Z302" t="s">
        <v>57</v>
      </c>
      <c r="AA302">
        <v>2</v>
      </c>
      <c r="AB302" t="s">
        <v>57</v>
      </c>
      <c r="AD302" t="s">
        <v>57</v>
      </c>
      <c r="AE302" t="s">
        <v>57</v>
      </c>
      <c r="AF302" t="s">
        <v>57</v>
      </c>
      <c r="AG302">
        <v>1</v>
      </c>
      <c r="AH302" t="s">
        <v>57</v>
      </c>
      <c r="AL302" t="s">
        <v>57</v>
      </c>
      <c r="AM302" s="11">
        <v>44784</v>
      </c>
      <c r="AN302" t="s">
        <v>170</v>
      </c>
      <c r="AO302" t="s">
        <v>65</v>
      </c>
      <c r="AP302">
        <v>1201</v>
      </c>
      <c r="AQ302" t="s">
        <v>66</v>
      </c>
      <c r="AR302">
        <v>227112</v>
      </c>
      <c r="AU302" t="s">
        <v>57</v>
      </c>
      <c r="AV302" t="s">
        <v>68</v>
      </c>
      <c r="AX302" t="s">
        <v>57</v>
      </c>
      <c r="AY302">
        <v>631110</v>
      </c>
      <c r="AZ302">
        <v>1201.63111</v>
      </c>
      <c r="BA302" s="23" t="s">
        <v>11</v>
      </c>
    </row>
    <row r="303" spans="1:53" x14ac:dyDescent="0.25">
      <c r="A303" t="s">
        <v>134</v>
      </c>
      <c r="B303" t="s">
        <v>135</v>
      </c>
      <c r="C303">
        <v>22001874</v>
      </c>
      <c r="D303">
        <v>1201</v>
      </c>
      <c r="E303" s="11">
        <v>44788</v>
      </c>
      <c r="F303" t="s">
        <v>168</v>
      </c>
      <c r="G303">
        <v>0.08</v>
      </c>
      <c r="H303">
        <v>0.08</v>
      </c>
      <c r="I303" t="s">
        <v>56</v>
      </c>
      <c r="O303" t="s">
        <v>57</v>
      </c>
      <c r="Q303" t="s">
        <v>57</v>
      </c>
      <c r="R303" t="s">
        <v>137</v>
      </c>
      <c r="T303" t="s">
        <v>59</v>
      </c>
      <c r="U303" t="s">
        <v>60</v>
      </c>
      <c r="V303" t="s">
        <v>138</v>
      </c>
      <c r="W303" t="s">
        <v>139</v>
      </c>
      <c r="X303">
        <v>1931841</v>
      </c>
      <c r="Y303" s="11">
        <v>44788</v>
      </c>
      <c r="Z303" t="s">
        <v>57</v>
      </c>
      <c r="AA303">
        <v>2</v>
      </c>
      <c r="AB303" t="s">
        <v>57</v>
      </c>
      <c r="AD303" t="s">
        <v>57</v>
      </c>
      <c r="AE303" t="s">
        <v>57</v>
      </c>
      <c r="AF303" t="s">
        <v>57</v>
      </c>
      <c r="AG303">
        <v>1</v>
      </c>
      <c r="AH303" t="s">
        <v>57</v>
      </c>
      <c r="AL303" t="s">
        <v>57</v>
      </c>
      <c r="AM303" s="11">
        <v>44788</v>
      </c>
      <c r="AN303" t="s">
        <v>166</v>
      </c>
      <c r="AO303" t="s">
        <v>65</v>
      </c>
      <c r="AP303">
        <v>1201</v>
      </c>
      <c r="AQ303" t="s">
        <v>66</v>
      </c>
      <c r="AR303">
        <v>92908</v>
      </c>
      <c r="AU303" t="s">
        <v>57</v>
      </c>
      <c r="AV303" t="s">
        <v>68</v>
      </c>
      <c r="AX303" t="s">
        <v>57</v>
      </c>
      <c r="AY303">
        <v>631110</v>
      </c>
      <c r="AZ303">
        <v>1201.63111</v>
      </c>
      <c r="BA303" s="23" t="s">
        <v>11</v>
      </c>
    </row>
    <row r="304" spans="1:53" x14ac:dyDescent="0.25">
      <c r="A304" t="s">
        <v>134</v>
      </c>
      <c r="B304" t="s">
        <v>135</v>
      </c>
      <c r="C304">
        <v>22001874</v>
      </c>
      <c r="D304">
        <v>1201</v>
      </c>
      <c r="E304" s="11">
        <v>44788</v>
      </c>
      <c r="F304" t="s">
        <v>168</v>
      </c>
      <c r="G304">
        <v>1.31</v>
      </c>
      <c r="H304">
        <v>1.31</v>
      </c>
      <c r="I304" t="s">
        <v>56</v>
      </c>
      <c r="O304" t="s">
        <v>57</v>
      </c>
      <c r="Q304" t="s">
        <v>57</v>
      </c>
      <c r="R304" t="s">
        <v>137</v>
      </c>
      <c r="T304" t="s">
        <v>59</v>
      </c>
      <c r="U304" t="s">
        <v>60</v>
      </c>
      <c r="V304" t="s">
        <v>138</v>
      </c>
      <c r="W304" t="s">
        <v>139</v>
      </c>
      <c r="X304">
        <v>1931841</v>
      </c>
      <c r="Y304" s="11">
        <v>44788</v>
      </c>
      <c r="Z304" t="s">
        <v>57</v>
      </c>
      <c r="AA304">
        <v>4</v>
      </c>
      <c r="AB304" t="s">
        <v>57</v>
      </c>
      <c r="AD304" t="s">
        <v>57</v>
      </c>
      <c r="AE304" t="s">
        <v>57</v>
      </c>
      <c r="AF304" t="s">
        <v>57</v>
      </c>
      <c r="AG304">
        <v>17</v>
      </c>
      <c r="AH304" t="s">
        <v>57</v>
      </c>
      <c r="AL304" t="s">
        <v>57</v>
      </c>
      <c r="AM304" s="11">
        <v>44788</v>
      </c>
      <c r="AN304" t="s">
        <v>166</v>
      </c>
      <c r="AO304" t="s">
        <v>65</v>
      </c>
      <c r="AP304">
        <v>1201</v>
      </c>
      <c r="AQ304" t="s">
        <v>66</v>
      </c>
      <c r="AR304">
        <v>91479</v>
      </c>
      <c r="AU304" t="s">
        <v>57</v>
      </c>
      <c r="AV304" t="s">
        <v>68</v>
      </c>
      <c r="AX304" t="s">
        <v>57</v>
      </c>
      <c r="AY304">
        <v>631110</v>
      </c>
      <c r="AZ304">
        <v>1201.63111</v>
      </c>
      <c r="BA304" s="23" t="s">
        <v>11</v>
      </c>
    </row>
    <row r="305" spans="1:53" x14ac:dyDescent="0.25">
      <c r="A305" t="s">
        <v>134</v>
      </c>
      <c r="B305" t="s">
        <v>135</v>
      </c>
      <c r="C305">
        <v>22001874</v>
      </c>
      <c r="D305">
        <v>1201</v>
      </c>
      <c r="E305" s="11">
        <v>44788</v>
      </c>
      <c r="F305" t="s">
        <v>168</v>
      </c>
      <c r="G305">
        <v>0.67</v>
      </c>
      <c r="H305">
        <v>0.67</v>
      </c>
      <c r="I305" t="s">
        <v>56</v>
      </c>
      <c r="O305" t="s">
        <v>57</v>
      </c>
      <c r="Q305" t="s">
        <v>57</v>
      </c>
      <c r="R305" t="s">
        <v>137</v>
      </c>
      <c r="T305" t="s">
        <v>59</v>
      </c>
      <c r="U305" t="s">
        <v>60</v>
      </c>
      <c r="V305" t="s">
        <v>138</v>
      </c>
      <c r="W305" t="s">
        <v>139</v>
      </c>
      <c r="X305">
        <v>1931841</v>
      </c>
      <c r="Y305" s="11">
        <v>44788</v>
      </c>
      <c r="Z305" t="s">
        <v>57</v>
      </c>
      <c r="AA305">
        <v>6</v>
      </c>
      <c r="AB305" t="s">
        <v>57</v>
      </c>
      <c r="AD305" t="s">
        <v>57</v>
      </c>
      <c r="AE305" t="s">
        <v>57</v>
      </c>
      <c r="AF305" t="s">
        <v>57</v>
      </c>
      <c r="AG305">
        <v>8</v>
      </c>
      <c r="AH305" t="s">
        <v>57</v>
      </c>
      <c r="AL305" t="s">
        <v>57</v>
      </c>
      <c r="AM305" s="11">
        <v>44788</v>
      </c>
      <c r="AN305" t="s">
        <v>166</v>
      </c>
      <c r="AO305" t="s">
        <v>65</v>
      </c>
      <c r="AP305">
        <v>1201</v>
      </c>
      <c r="AQ305" t="s">
        <v>66</v>
      </c>
      <c r="AR305">
        <v>91480</v>
      </c>
      <c r="AU305" t="s">
        <v>57</v>
      </c>
      <c r="AV305" t="s">
        <v>68</v>
      </c>
      <c r="AX305" t="s">
        <v>57</v>
      </c>
      <c r="AY305">
        <v>631110</v>
      </c>
      <c r="AZ305">
        <v>1201.63111</v>
      </c>
      <c r="BA305" s="23" t="s">
        <v>11</v>
      </c>
    </row>
    <row r="306" spans="1:53" x14ac:dyDescent="0.25">
      <c r="A306" t="s">
        <v>134</v>
      </c>
      <c r="B306" t="s">
        <v>135</v>
      </c>
      <c r="C306">
        <v>22001874</v>
      </c>
      <c r="D306">
        <v>1201</v>
      </c>
      <c r="E306" s="11">
        <v>44788</v>
      </c>
      <c r="F306" t="s">
        <v>168</v>
      </c>
      <c r="G306">
        <v>3.37</v>
      </c>
      <c r="H306">
        <v>3.37</v>
      </c>
      <c r="I306" t="s">
        <v>56</v>
      </c>
      <c r="O306" t="s">
        <v>57</v>
      </c>
      <c r="Q306" t="s">
        <v>57</v>
      </c>
      <c r="R306" t="s">
        <v>137</v>
      </c>
      <c r="T306" t="s">
        <v>59</v>
      </c>
      <c r="U306" t="s">
        <v>60</v>
      </c>
      <c r="V306" t="s">
        <v>138</v>
      </c>
      <c r="W306" t="s">
        <v>139</v>
      </c>
      <c r="X306">
        <v>1931841</v>
      </c>
      <c r="Y306" s="11">
        <v>44788</v>
      </c>
      <c r="Z306" t="s">
        <v>57</v>
      </c>
      <c r="AA306">
        <v>8</v>
      </c>
      <c r="AB306" t="s">
        <v>57</v>
      </c>
      <c r="AD306" t="s">
        <v>57</v>
      </c>
      <c r="AE306" t="s">
        <v>57</v>
      </c>
      <c r="AF306" t="s">
        <v>57</v>
      </c>
      <c r="AG306">
        <v>30</v>
      </c>
      <c r="AH306" t="s">
        <v>57</v>
      </c>
      <c r="AL306" t="s">
        <v>57</v>
      </c>
      <c r="AM306" s="11">
        <v>44788</v>
      </c>
      <c r="AN306" t="s">
        <v>166</v>
      </c>
      <c r="AO306" t="s">
        <v>65</v>
      </c>
      <c r="AP306">
        <v>1201</v>
      </c>
      <c r="AQ306" t="s">
        <v>66</v>
      </c>
      <c r="AR306">
        <v>264575</v>
      </c>
      <c r="AU306" t="s">
        <v>57</v>
      </c>
      <c r="AV306" t="s">
        <v>68</v>
      </c>
      <c r="AX306" t="s">
        <v>57</v>
      </c>
      <c r="AY306">
        <v>631110</v>
      </c>
      <c r="AZ306">
        <v>1201.63111</v>
      </c>
      <c r="BA306" s="23" t="s">
        <v>11</v>
      </c>
    </row>
    <row r="307" spans="1:53" x14ac:dyDescent="0.25">
      <c r="A307" t="s">
        <v>134</v>
      </c>
      <c r="B307" t="s">
        <v>135</v>
      </c>
      <c r="C307">
        <v>22001874</v>
      </c>
      <c r="D307">
        <v>1201</v>
      </c>
      <c r="E307" s="11">
        <v>44788</v>
      </c>
      <c r="F307" t="s">
        <v>168</v>
      </c>
      <c r="G307">
        <v>0.08</v>
      </c>
      <c r="H307">
        <v>0.08</v>
      </c>
      <c r="I307" t="s">
        <v>56</v>
      </c>
      <c r="O307" t="s">
        <v>57</v>
      </c>
      <c r="Q307" t="s">
        <v>57</v>
      </c>
      <c r="R307" t="s">
        <v>137</v>
      </c>
      <c r="T307" t="s">
        <v>59</v>
      </c>
      <c r="U307" t="s">
        <v>60</v>
      </c>
      <c r="V307" t="s">
        <v>138</v>
      </c>
      <c r="W307" t="s">
        <v>139</v>
      </c>
      <c r="X307">
        <v>1931841</v>
      </c>
      <c r="Y307" s="11">
        <v>44788</v>
      </c>
      <c r="Z307" t="s">
        <v>57</v>
      </c>
      <c r="AA307">
        <v>10</v>
      </c>
      <c r="AB307" t="s">
        <v>57</v>
      </c>
      <c r="AD307" t="s">
        <v>57</v>
      </c>
      <c r="AE307" t="s">
        <v>57</v>
      </c>
      <c r="AF307" t="s">
        <v>57</v>
      </c>
      <c r="AG307">
        <v>1</v>
      </c>
      <c r="AH307" t="s">
        <v>57</v>
      </c>
      <c r="AL307" t="s">
        <v>57</v>
      </c>
      <c r="AM307" s="11">
        <v>44788</v>
      </c>
      <c r="AN307" t="s">
        <v>166</v>
      </c>
      <c r="AO307" t="s">
        <v>65</v>
      </c>
      <c r="AP307">
        <v>1201</v>
      </c>
      <c r="AQ307" t="s">
        <v>66</v>
      </c>
      <c r="AR307">
        <v>93455</v>
      </c>
      <c r="AU307" t="s">
        <v>57</v>
      </c>
      <c r="AV307" t="s">
        <v>68</v>
      </c>
      <c r="AX307" t="s">
        <v>57</v>
      </c>
      <c r="AY307">
        <v>631110</v>
      </c>
      <c r="AZ307">
        <v>1201.63111</v>
      </c>
      <c r="BA307" s="23" t="s">
        <v>11</v>
      </c>
    </row>
    <row r="308" spans="1:53" x14ac:dyDescent="0.25">
      <c r="A308" t="s">
        <v>134</v>
      </c>
      <c r="B308" t="s">
        <v>135</v>
      </c>
      <c r="C308">
        <v>22001874</v>
      </c>
      <c r="D308">
        <v>1201</v>
      </c>
      <c r="E308" s="11">
        <v>44788</v>
      </c>
      <c r="F308" t="s">
        <v>168</v>
      </c>
      <c r="G308">
        <v>5.0999999999999996</v>
      </c>
      <c r="H308">
        <v>5.0999999999999996</v>
      </c>
      <c r="I308" t="s">
        <v>56</v>
      </c>
      <c r="O308" t="s">
        <v>57</v>
      </c>
      <c r="Q308" t="s">
        <v>57</v>
      </c>
      <c r="R308" t="s">
        <v>137</v>
      </c>
      <c r="T308" t="s">
        <v>59</v>
      </c>
      <c r="U308" t="s">
        <v>60</v>
      </c>
      <c r="V308" t="s">
        <v>138</v>
      </c>
      <c r="W308" t="s">
        <v>139</v>
      </c>
      <c r="X308">
        <v>1931841</v>
      </c>
      <c r="Y308" s="11">
        <v>44788</v>
      </c>
      <c r="Z308" t="s">
        <v>57</v>
      </c>
      <c r="AA308">
        <v>12</v>
      </c>
      <c r="AB308" t="s">
        <v>57</v>
      </c>
      <c r="AD308" t="s">
        <v>57</v>
      </c>
      <c r="AE308" t="s">
        <v>57</v>
      </c>
      <c r="AF308" t="s">
        <v>57</v>
      </c>
      <c r="AG308">
        <v>32</v>
      </c>
      <c r="AH308" t="s">
        <v>57</v>
      </c>
      <c r="AL308" t="s">
        <v>57</v>
      </c>
      <c r="AM308" s="11">
        <v>44788</v>
      </c>
      <c r="AN308" t="s">
        <v>166</v>
      </c>
      <c r="AO308" t="s">
        <v>65</v>
      </c>
      <c r="AP308">
        <v>1201</v>
      </c>
      <c r="AQ308" t="s">
        <v>66</v>
      </c>
      <c r="AR308">
        <v>89712</v>
      </c>
      <c r="AU308" t="s">
        <v>57</v>
      </c>
      <c r="AV308" t="s">
        <v>68</v>
      </c>
      <c r="AX308" t="s">
        <v>57</v>
      </c>
      <c r="AY308">
        <v>631110</v>
      </c>
      <c r="AZ308">
        <v>1201.63111</v>
      </c>
      <c r="BA308" s="23" t="s">
        <v>11</v>
      </c>
    </row>
    <row r="309" spans="1:53" x14ac:dyDescent="0.25">
      <c r="A309" t="s">
        <v>134</v>
      </c>
      <c r="B309" t="s">
        <v>135</v>
      </c>
      <c r="C309">
        <v>22001874</v>
      </c>
      <c r="D309">
        <v>1201</v>
      </c>
      <c r="E309" s="11">
        <v>44788</v>
      </c>
      <c r="F309" t="s">
        <v>168</v>
      </c>
      <c r="I309" t="s">
        <v>56</v>
      </c>
      <c r="O309" t="s">
        <v>57</v>
      </c>
      <c r="Q309" t="s">
        <v>57</v>
      </c>
      <c r="R309" t="s">
        <v>137</v>
      </c>
      <c r="T309" t="s">
        <v>59</v>
      </c>
      <c r="U309" t="s">
        <v>60</v>
      </c>
      <c r="V309" t="s">
        <v>138</v>
      </c>
      <c r="W309" t="s">
        <v>139</v>
      </c>
      <c r="X309">
        <v>1931841</v>
      </c>
      <c r="Y309" s="11">
        <v>44788</v>
      </c>
      <c r="Z309" t="s">
        <v>57</v>
      </c>
      <c r="AA309">
        <v>14</v>
      </c>
      <c r="AB309" t="s">
        <v>57</v>
      </c>
      <c r="AD309" t="s">
        <v>57</v>
      </c>
      <c r="AE309" t="s">
        <v>57</v>
      </c>
      <c r="AF309" t="s">
        <v>57</v>
      </c>
      <c r="AG309">
        <v>3</v>
      </c>
      <c r="AH309" t="s">
        <v>57</v>
      </c>
      <c r="AL309" t="s">
        <v>57</v>
      </c>
      <c r="AM309" s="11">
        <v>44788</v>
      </c>
      <c r="AN309" t="s">
        <v>166</v>
      </c>
      <c r="AO309" t="s">
        <v>65</v>
      </c>
      <c r="AP309">
        <v>1201</v>
      </c>
      <c r="AQ309" t="s">
        <v>66</v>
      </c>
      <c r="AR309">
        <v>89719</v>
      </c>
      <c r="AU309" t="s">
        <v>57</v>
      </c>
      <c r="AV309" t="s">
        <v>68</v>
      </c>
      <c r="AX309" t="s">
        <v>57</v>
      </c>
      <c r="AY309">
        <v>631110</v>
      </c>
      <c r="AZ309">
        <v>1201.63111</v>
      </c>
      <c r="BA309" s="23" t="s">
        <v>11</v>
      </c>
    </row>
    <row r="310" spans="1:53" x14ac:dyDescent="0.25">
      <c r="A310" t="s">
        <v>134</v>
      </c>
      <c r="B310" t="s">
        <v>135</v>
      </c>
      <c r="C310">
        <v>22001874</v>
      </c>
      <c r="D310">
        <v>1201</v>
      </c>
      <c r="E310" s="11">
        <v>44788</v>
      </c>
      <c r="F310" t="s">
        <v>168</v>
      </c>
      <c r="G310">
        <v>0.45</v>
      </c>
      <c r="H310">
        <v>0.45</v>
      </c>
      <c r="I310" t="s">
        <v>56</v>
      </c>
      <c r="O310" t="s">
        <v>57</v>
      </c>
      <c r="Q310" t="s">
        <v>57</v>
      </c>
      <c r="R310" t="s">
        <v>137</v>
      </c>
      <c r="T310" t="s">
        <v>59</v>
      </c>
      <c r="U310" t="s">
        <v>60</v>
      </c>
      <c r="V310" t="s">
        <v>138</v>
      </c>
      <c r="W310" t="s">
        <v>139</v>
      </c>
      <c r="X310">
        <v>1931841</v>
      </c>
      <c r="Y310" s="11">
        <v>44788</v>
      </c>
      <c r="Z310" t="s">
        <v>57</v>
      </c>
      <c r="AA310">
        <v>16</v>
      </c>
      <c r="AB310" t="s">
        <v>57</v>
      </c>
      <c r="AD310" t="s">
        <v>57</v>
      </c>
      <c r="AE310" t="s">
        <v>57</v>
      </c>
      <c r="AF310" t="s">
        <v>57</v>
      </c>
      <c r="AG310">
        <v>3</v>
      </c>
      <c r="AH310" t="s">
        <v>57</v>
      </c>
      <c r="AL310" t="s">
        <v>57</v>
      </c>
      <c r="AM310" s="11">
        <v>44788</v>
      </c>
      <c r="AN310" t="s">
        <v>166</v>
      </c>
      <c r="AO310" t="s">
        <v>65</v>
      </c>
      <c r="AP310">
        <v>1201</v>
      </c>
      <c r="AQ310" t="s">
        <v>66</v>
      </c>
      <c r="AR310">
        <v>144854</v>
      </c>
      <c r="AU310" t="s">
        <v>57</v>
      </c>
      <c r="AV310" t="s">
        <v>68</v>
      </c>
      <c r="AX310" t="s">
        <v>57</v>
      </c>
      <c r="AY310">
        <v>631110</v>
      </c>
      <c r="AZ310">
        <v>1201.63111</v>
      </c>
      <c r="BA310" s="23" t="s">
        <v>11</v>
      </c>
    </row>
    <row r="311" spans="1:53" x14ac:dyDescent="0.25">
      <c r="A311" t="s">
        <v>134</v>
      </c>
      <c r="B311" t="s">
        <v>135</v>
      </c>
      <c r="C311">
        <v>22001874</v>
      </c>
      <c r="D311">
        <v>1201</v>
      </c>
      <c r="E311" s="11">
        <v>44788</v>
      </c>
      <c r="F311" t="s">
        <v>168</v>
      </c>
      <c r="G311">
        <v>1.48</v>
      </c>
      <c r="H311">
        <v>1.48</v>
      </c>
      <c r="I311" t="s">
        <v>56</v>
      </c>
      <c r="O311" t="s">
        <v>57</v>
      </c>
      <c r="Q311" t="s">
        <v>57</v>
      </c>
      <c r="R311" t="s">
        <v>137</v>
      </c>
      <c r="T311" t="s">
        <v>59</v>
      </c>
      <c r="U311" t="s">
        <v>60</v>
      </c>
      <c r="V311" t="s">
        <v>138</v>
      </c>
      <c r="W311" t="s">
        <v>139</v>
      </c>
      <c r="X311">
        <v>1931841</v>
      </c>
      <c r="Y311" s="11">
        <v>44788</v>
      </c>
      <c r="Z311" t="s">
        <v>57</v>
      </c>
      <c r="AA311">
        <v>18</v>
      </c>
      <c r="AB311" t="s">
        <v>57</v>
      </c>
      <c r="AD311" t="s">
        <v>57</v>
      </c>
      <c r="AE311" t="s">
        <v>57</v>
      </c>
      <c r="AF311" t="s">
        <v>57</v>
      </c>
      <c r="AG311">
        <v>4</v>
      </c>
      <c r="AH311" t="s">
        <v>57</v>
      </c>
      <c r="AL311" t="s">
        <v>57</v>
      </c>
      <c r="AM311" s="11">
        <v>44788</v>
      </c>
      <c r="AN311" t="s">
        <v>166</v>
      </c>
      <c r="AO311" t="s">
        <v>65</v>
      </c>
      <c r="AP311">
        <v>1201</v>
      </c>
      <c r="AQ311" t="s">
        <v>66</v>
      </c>
      <c r="AR311">
        <v>91011</v>
      </c>
      <c r="AU311" t="s">
        <v>57</v>
      </c>
      <c r="AV311" t="s">
        <v>68</v>
      </c>
      <c r="AX311" t="s">
        <v>57</v>
      </c>
      <c r="AY311">
        <v>631110</v>
      </c>
      <c r="AZ311">
        <v>1201.63111</v>
      </c>
      <c r="BA311" s="23" t="s">
        <v>11</v>
      </c>
    </row>
    <row r="312" spans="1:53" x14ac:dyDescent="0.25">
      <c r="A312" t="s">
        <v>134</v>
      </c>
      <c r="B312" t="s">
        <v>135</v>
      </c>
      <c r="C312">
        <v>22001876</v>
      </c>
      <c r="D312">
        <v>1201</v>
      </c>
      <c r="E312" s="11">
        <v>44789</v>
      </c>
      <c r="F312" t="s">
        <v>169</v>
      </c>
      <c r="G312">
        <v>21.59</v>
      </c>
      <c r="H312">
        <v>21.59</v>
      </c>
      <c r="I312" t="s">
        <v>56</v>
      </c>
      <c r="O312" t="s">
        <v>57</v>
      </c>
      <c r="Q312" t="s">
        <v>57</v>
      </c>
      <c r="R312" t="s">
        <v>137</v>
      </c>
      <c r="T312" t="s">
        <v>59</v>
      </c>
      <c r="U312" t="s">
        <v>60</v>
      </c>
      <c r="V312" t="s">
        <v>138</v>
      </c>
      <c r="W312" t="s">
        <v>139</v>
      </c>
      <c r="X312">
        <v>1933064</v>
      </c>
      <c r="Y312" s="11">
        <v>44789</v>
      </c>
      <c r="Z312" t="s">
        <v>57</v>
      </c>
      <c r="AA312">
        <v>2</v>
      </c>
      <c r="AB312" t="s">
        <v>57</v>
      </c>
      <c r="AD312" t="s">
        <v>57</v>
      </c>
      <c r="AE312" t="s">
        <v>57</v>
      </c>
      <c r="AF312" t="s">
        <v>57</v>
      </c>
      <c r="AG312">
        <v>6</v>
      </c>
      <c r="AH312" t="s">
        <v>57</v>
      </c>
      <c r="AL312" t="s">
        <v>57</v>
      </c>
      <c r="AM312" s="11">
        <v>44789</v>
      </c>
      <c r="AN312" t="s">
        <v>170</v>
      </c>
      <c r="AO312" t="s">
        <v>65</v>
      </c>
      <c r="AP312">
        <v>1201</v>
      </c>
      <c r="AQ312" t="s">
        <v>66</v>
      </c>
      <c r="AR312">
        <v>230640</v>
      </c>
      <c r="AU312" t="s">
        <v>57</v>
      </c>
      <c r="AV312" t="s">
        <v>68</v>
      </c>
      <c r="AX312" t="s">
        <v>57</v>
      </c>
      <c r="AY312">
        <v>631110</v>
      </c>
      <c r="AZ312">
        <v>1201.63111</v>
      </c>
      <c r="BA312" s="23" t="s">
        <v>11</v>
      </c>
    </row>
    <row r="313" spans="1:53" x14ac:dyDescent="0.25">
      <c r="A313" t="s">
        <v>134</v>
      </c>
      <c r="B313" t="s">
        <v>135</v>
      </c>
      <c r="C313">
        <v>22001876</v>
      </c>
      <c r="D313">
        <v>1201</v>
      </c>
      <c r="E313" s="11">
        <v>44789</v>
      </c>
      <c r="F313" t="s">
        <v>169</v>
      </c>
      <c r="G313">
        <v>7.05</v>
      </c>
      <c r="H313">
        <v>7.05</v>
      </c>
      <c r="I313" t="s">
        <v>56</v>
      </c>
      <c r="O313" t="s">
        <v>57</v>
      </c>
      <c r="Q313" t="s">
        <v>57</v>
      </c>
      <c r="R313" t="s">
        <v>137</v>
      </c>
      <c r="T313" t="s">
        <v>59</v>
      </c>
      <c r="U313" t="s">
        <v>60</v>
      </c>
      <c r="V313" t="s">
        <v>138</v>
      </c>
      <c r="W313" t="s">
        <v>139</v>
      </c>
      <c r="X313">
        <v>1933064</v>
      </c>
      <c r="Y313" s="11">
        <v>44789</v>
      </c>
      <c r="Z313" t="s">
        <v>57</v>
      </c>
      <c r="AA313">
        <v>4</v>
      </c>
      <c r="AB313" t="s">
        <v>57</v>
      </c>
      <c r="AD313" t="s">
        <v>57</v>
      </c>
      <c r="AE313" t="s">
        <v>57</v>
      </c>
      <c r="AF313" t="s">
        <v>57</v>
      </c>
      <c r="AG313">
        <v>1</v>
      </c>
      <c r="AH313" t="s">
        <v>57</v>
      </c>
      <c r="AL313" t="s">
        <v>57</v>
      </c>
      <c r="AM313" s="11">
        <v>44789</v>
      </c>
      <c r="AN313" t="s">
        <v>170</v>
      </c>
      <c r="AO313" t="s">
        <v>65</v>
      </c>
      <c r="AP313">
        <v>1201</v>
      </c>
      <c r="AQ313" t="s">
        <v>66</v>
      </c>
      <c r="AR313">
        <v>205800</v>
      </c>
      <c r="AU313" t="s">
        <v>57</v>
      </c>
      <c r="AV313" t="s">
        <v>68</v>
      </c>
      <c r="AX313" t="s">
        <v>57</v>
      </c>
      <c r="AY313">
        <v>631110</v>
      </c>
      <c r="AZ313">
        <v>1201.63111</v>
      </c>
      <c r="BA313" s="23" t="s">
        <v>11</v>
      </c>
    </row>
    <row r="314" spans="1:53" x14ac:dyDescent="0.25">
      <c r="A314" t="s">
        <v>134</v>
      </c>
      <c r="B314" t="s">
        <v>135</v>
      </c>
      <c r="C314">
        <v>22001876</v>
      </c>
      <c r="D314">
        <v>1201</v>
      </c>
      <c r="E314" s="11">
        <v>44789</v>
      </c>
      <c r="F314" t="s">
        <v>169</v>
      </c>
      <c r="G314">
        <v>0.2</v>
      </c>
      <c r="H314">
        <v>0.2</v>
      </c>
      <c r="I314" t="s">
        <v>56</v>
      </c>
      <c r="O314" t="s">
        <v>57</v>
      </c>
      <c r="Q314" t="s">
        <v>57</v>
      </c>
      <c r="R314" t="s">
        <v>137</v>
      </c>
      <c r="T314" t="s">
        <v>59</v>
      </c>
      <c r="U314" t="s">
        <v>60</v>
      </c>
      <c r="V314" t="s">
        <v>138</v>
      </c>
      <c r="W314" t="s">
        <v>139</v>
      </c>
      <c r="X314">
        <v>1933064</v>
      </c>
      <c r="Y314" s="11">
        <v>44789</v>
      </c>
      <c r="Z314" t="s">
        <v>57</v>
      </c>
      <c r="AA314">
        <v>6</v>
      </c>
      <c r="AB314" t="s">
        <v>57</v>
      </c>
      <c r="AD314" t="s">
        <v>57</v>
      </c>
      <c r="AE314" t="s">
        <v>57</v>
      </c>
      <c r="AF314" t="s">
        <v>57</v>
      </c>
      <c r="AG314">
        <v>2</v>
      </c>
      <c r="AH314" t="s">
        <v>57</v>
      </c>
      <c r="AL314" t="s">
        <v>57</v>
      </c>
      <c r="AM314" s="11">
        <v>44789</v>
      </c>
      <c r="AN314" t="s">
        <v>170</v>
      </c>
      <c r="AO314" t="s">
        <v>65</v>
      </c>
      <c r="AP314">
        <v>1201</v>
      </c>
      <c r="AQ314" t="s">
        <v>66</v>
      </c>
      <c r="AR314">
        <v>88519</v>
      </c>
      <c r="AU314" t="s">
        <v>57</v>
      </c>
      <c r="AV314" t="s">
        <v>68</v>
      </c>
      <c r="AX314" t="s">
        <v>57</v>
      </c>
      <c r="AY314">
        <v>631110</v>
      </c>
      <c r="AZ314">
        <v>1201.63111</v>
      </c>
      <c r="BA314" s="23" t="s">
        <v>11</v>
      </c>
    </row>
    <row r="315" spans="1:53" x14ac:dyDescent="0.25">
      <c r="A315" t="s">
        <v>134</v>
      </c>
      <c r="B315" t="s">
        <v>135</v>
      </c>
      <c r="C315">
        <v>22001876</v>
      </c>
      <c r="D315">
        <v>1201</v>
      </c>
      <c r="E315" s="11">
        <v>44789</v>
      </c>
      <c r="F315" t="s">
        <v>169</v>
      </c>
      <c r="G315">
        <v>2.09</v>
      </c>
      <c r="H315">
        <v>2.09</v>
      </c>
      <c r="I315" t="s">
        <v>56</v>
      </c>
      <c r="O315" t="s">
        <v>57</v>
      </c>
      <c r="Q315" t="s">
        <v>57</v>
      </c>
      <c r="R315" t="s">
        <v>137</v>
      </c>
      <c r="T315" t="s">
        <v>59</v>
      </c>
      <c r="U315" t="s">
        <v>60</v>
      </c>
      <c r="V315" t="s">
        <v>138</v>
      </c>
      <c r="W315" t="s">
        <v>139</v>
      </c>
      <c r="X315">
        <v>1933064</v>
      </c>
      <c r="Y315" s="11">
        <v>44789</v>
      </c>
      <c r="Z315" t="s">
        <v>57</v>
      </c>
      <c r="AA315">
        <v>8</v>
      </c>
      <c r="AB315" t="s">
        <v>57</v>
      </c>
      <c r="AD315" t="s">
        <v>57</v>
      </c>
      <c r="AE315" t="s">
        <v>57</v>
      </c>
      <c r="AF315" t="s">
        <v>57</v>
      </c>
      <c r="AG315">
        <v>2</v>
      </c>
      <c r="AH315" t="s">
        <v>57</v>
      </c>
      <c r="AL315" t="s">
        <v>57</v>
      </c>
      <c r="AM315" s="11">
        <v>44789</v>
      </c>
      <c r="AN315" t="s">
        <v>170</v>
      </c>
      <c r="AO315" t="s">
        <v>65</v>
      </c>
      <c r="AP315">
        <v>1201</v>
      </c>
      <c r="AQ315" t="s">
        <v>66</v>
      </c>
      <c r="AR315">
        <v>88720</v>
      </c>
      <c r="AU315" t="s">
        <v>57</v>
      </c>
      <c r="AV315" t="s">
        <v>68</v>
      </c>
      <c r="AX315" t="s">
        <v>57</v>
      </c>
      <c r="AY315">
        <v>631110</v>
      </c>
      <c r="AZ315">
        <v>1201.63111</v>
      </c>
      <c r="BA315" s="23" t="s">
        <v>11</v>
      </c>
    </row>
    <row r="316" spans="1:53" x14ac:dyDescent="0.25">
      <c r="A316" t="s">
        <v>134</v>
      </c>
      <c r="B316" t="s">
        <v>135</v>
      </c>
      <c r="C316">
        <v>22001876</v>
      </c>
      <c r="D316">
        <v>1201</v>
      </c>
      <c r="E316" s="11">
        <v>44789</v>
      </c>
      <c r="F316" t="s">
        <v>169</v>
      </c>
      <c r="G316">
        <v>2.1</v>
      </c>
      <c r="H316">
        <v>2.1</v>
      </c>
      <c r="I316" t="s">
        <v>56</v>
      </c>
      <c r="O316" t="s">
        <v>57</v>
      </c>
      <c r="Q316" t="s">
        <v>57</v>
      </c>
      <c r="R316" t="s">
        <v>137</v>
      </c>
      <c r="T316" t="s">
        <v>59</v>
      </c>
      <c r="U316" t="s">
        <v>60</v>
      </c>
      <c r="V316" t="s">
        <v>138</v>
      </c>
      <c r="W316" t="s">
        <v>139</v>
      </c>
      <c r="X316">
        <v>1933064</v>
      </c>
      <c r="Y316" s="11">
        <v>44789</v>
      </c>
      <c r="Z316" t="s">
        <v>57</v>
      </c>
      <c r="AA316">
        <v>10</v>
      </c>
      <c r="AB316" t="s">
        <v>57</v>
      </c>
      <c r="AD316" t="s">
        <v>57</v>
      </c>
      <c r="AE316" t="s">
        <v>57</v>
      </c>
      <c r="AF316" t="s">
        <v>57</v>
      </c>
      <c r="AG316">
        <v>3</v>
      </c>
      <c r="AH316" t="s">
        <v>57</v>
      </c>
      <c r="AL316" t="s">
        <v>57</v>
      </c>
      <c r="AM316" s="11">
        <v>44789</v>
      </c>
      <c r="AN316" t="s">
        <v>170</v>
      </c>
      <c r="AO316" t="s">
        <v>65</v>
      </c>
      <c r="AP316">
        <v>1201</v>
      </c>
      <c r="AQ316" t="s">
        <v>66</v>
      </c>
      <c r="AR316">
        <v>266093</v>
      </c>
      <c r="AU316" t="s">
        <v>57</v>
      </c>
      <c r="AV316" t="s">
        <v>68</v>
      </c>
      <c r="AX316" t="s">
        <v>57</v>
      </c>
      <c r="AY316">
        <v>631110</v>
      </c>
      <c r="AZ316">
        <v>1201.63111</v>
      </c>
      <c r="BA316" s="23" t="s">
        <v>11</v>
      </c>
    </row>
    <row r="317" spans="1:53" x14ac:dyDescent="0.25">
      <c r="A317" t="s">
        <v>134</v>
      </c>
      <c r="B317" t="s">
        <v>135</v>
      </c>
      <c r="C317">
        <v>22001876</v>
      </c>
      <c r="D317">
        <v>1201</v>
      </c>
      <c r="E317" s="11">
        <v>44789</v>
      </c>
      <c r="F317" t="s">
        <v>169</v>
      </c>
      <c r="G317">
        <v>3.96</v>
      </c>
      <c r="H317">
        <v>3.96</v>
      </c>
      <c r="I317" t="s">
        <v>56</v>
      </c>
      <c r="O317" t="s">
        <v>57</v>
      </c>
      <c r="Q317" t="s">
        <v>57</v>
      </c>
      <c r="R317" t="s">
        <v>137</v>
      </c>
      <c r="T317" t="s">
        <v>59</v>
      </c>
      <c r="U317" t="s">
        <v>60</v>
      </c>
      <c r="V317" t="s">
        <v>138</v>
      </c>
      <c r="W317" t="s">
        <v>139</v>
      </c>
      <c r="X317">
        <v>1933064</v>
      </c>
      <c r="Y317" s="11">
        <v>44789</v>
      </c>
      <c r="Z317" t="s">
        <v>57</v>
      </c>
      <c r="AA317">
        <v>12</v>
      </c>
      <c r="AB317" t="s">
        <v>57</v>
      </c>
      <c r="AD317" t="s">
        <v>57</v>
      </c>
      <c r="AE317" t="s">
        <v>57</v>
      </c>
      <c r="AF317" t="s">
        <v>57</v>
      </c>
      <c r="AG317">
        <v>1</v>
      </c>
      <c r="AH317" t="s">
        <v>57</v>
      </c>
      <c r="AL317" t="s">
        <v>57</v>
      </c>
      <c r="AM317" s="11">
        <v>44789</v>
      </c>
      <c r="AN317" t="s">
        <v>170</v>
      </c>
      <c r="AO317" t="s">
        <v>65</v>
      </c>
      <c r="AP317">
        <v>1201</v>
      </c>
      <c r="AQ317" t="s">
        <v>66</v>
      </c>
      <c r="AR317">
        <v>220122</v>
      </c>
      <c r="AU317" t="s">
        <v>57</v>
      </c>
      <c r="AV317" t="s">
        <v>68</v>
      </c>
      <c r="AX317" t="s">
        <v>57</v>
      </c>
      <c r="AY317">
        <v>631110</v>
      </c>
      <c r="AZ317">
        <v>1201.63111</v>
      </c>
      <c r="BA317" s="23" t="s">
        <v>11</v>
      </c>
    </row>
    <row r="318" spans="1:53" x14ac:dyDescent="0.25">
      <c r="A318" t="s">
        <v>134</v>
      </c>
      <c r="B318" t="s">
        <v>135</v>
      </c>
      <c r="C318">
        <v>22001876</v>
      </c>
      <c r="D318">
        <v>1201</v>
      </c>
      <c r="E318" s="11">
        <v>44789</v>
      </c>
      <c r="F318" t="s">
        <v>169</v>
      </c>
      <c r="G318">
        <v>2.1</v>
      </c>
      <c r="H318">
        <v>2.1</v>
      </c>
      <c r="I318" t="s">
        <v>56</v>
      </c>
      <c r="O318" t="s">
        <v>57</v>
      </c>
      <c r="Q318" t="s">
        <v>57</v>
      </c>
      <c r="R318" t="s">
        <v>137</v>
      </c>
      <c r="T318" t="s">
        <v>59</v>
      </c>
      <c r="U318" t="s">
        <v>60</v>
      </c>
      <c r="V318" t="s">
        <v>138</v>
      </c>
      <c r="W318" t="s">
        <v>139</v>
      </c>
      <c r="X318">
        <v>1933064</v>
      </c>
      <c r="Y318" s="11">
        <v>44789</v>
      </c>
      <c r="Z318" t="s">
        <v>57</v>
      </c>
      <c r="AA318">
        <v>14</v>
      </c>
      <c r="AB318" t="s">
        <v>57</v>
      </c>
      <c r="AD318" t="s">
        <v>57</v>
      </c>
      <c r="AE318" t="s">
        <v>57</v>
      </c>
      <c r="AF318" t="s">
        <v>57</v>
      </c>
      <c r="AG318">
        <v>3</v>
      </c>
      <c r="AH318" t="s">
        <v>57</v>
      </c>
      <c r="AL318" t="s">
        <v>57</v>
      </c>
      <c r="AM318" s="11">
        <v>44789</v>
      </c>
      <c r="AN318" t="s">
        <v>170</v>
      </c>
      <c r="AO318" t="s">
        <v>65</v>
      </c>
      <c r="AP318">
        <v>1201</v>
      </c>
      <c r="AQ318" t="s">
        <v>66</v>
      </c>
      <c r="AR318">
        <v>88765</v>
      </c>
      <c r="AU318" t="s">
        <v>57</v>
      </c>
      <c r="AV318" t="s">
        <v>68</v>
      </c>
      <c r="AX318" t="s">
        <v>57</v>
      </c>
      <c r="AY318">
        <v>631110</v>
      </c>
      <c r="AZ318">
        <v>1201.63111</v>
      </c>
      <c r="BA318" s="23" t="s">
        <v>11</v>
      </c>
    </row>
    <row r="319" spans="1:53" x14ac:dyDescent="0.25">
      <c r="A319" t="s">
        <v>134</v>
      </c>
      <c r="B319" t="s">
        <v>135</v>
      </c>
      <c r="C319">
        <v>22001876</v>
      </c>
      <c r="D319">
        <v>1201</v>
      </c>
      <c r="E319" s="11">
        <v>44789</v>
      </c>
      <c r="F319" t="s">
        <v>169</v>
      </c>
      <c r="G319">
        <v>0.28000000000000003</v>
      </c>
      <c r="H319">
        <v>0.28000000000000003</v>
      </c>
      <c r="I319" t="s">
        <v>56</v>
      </c>
      <c r="O319" t="s">
        <v>57</v>
      </c>
      <c r="Q319" t="s">
        <v>57</v>
      </c>
      <c r="R319" t="s">
        <v>137</v>
      </c>
      <c r="T319" t="s">
        <v>59</v>
      </c>
      <c r="U319" t="s">
        <v>60</v>
      </c>
      <c r="V319" t="s">
        <v>138</v>
      </c>
      <c r="W319" t="s">
        <v>139</v>
      </c>
      <c r="X319">
        <v>1933064</v>
      </c>
      <c r="Y319" s="11">
        <v>44789</v>
      </c>
      <c r="Z319" t="s">
        <v>57</v>
      </c>
      <c r="AA319">
        <v>16</v>
      </c>
      <c r="AB319" t="s">
        <v>57</v>
      </c>
      <c r="AD319" t="s">
        <v>57</v>
      </c>
      <c r="AE319" t="s">
        <v>57</v>
      </c>
      <c r="AF319" t="s">
        <v>57</v>
      </c>
      <c r="AG319">
        <v>1</v>
      </c>
      <c r="AH319" t="s">
        <v>57</v>
      </c>
      <c r="AL319" t="s">
        <v>57</v>
      </c>
      <c r="AM319" s="11">
        <v>44789</v>
      </c>
      <c r="AN319" t="s">
        <v>170</v>
      </c>
      <c r="AO319" t="s">
        <v>65</v>
      </c>
      <c r="AP319">
        <v>1201</v>
      </c>
      <c r="AQ319" t="s">
        <v>66</v>
      </c>
      <c r="AR319">
        <v>266092</v>
      </c>
      <c r="AU319" t="s">
        <v>57</v>
      </c>
      <c r="AV319" t="s">
        <v>68</v>
      </c>
      <c r="AX319" t="s">
        <v>57</v>
      </c>
      <c r="AY319">
        <v>631110</v>
      </c>
      <c r="AZ319">
        <v>1201.63111</v>
      </c>
      <c r="BA319" s="23" t="s">
        <v>11</v>
      </c>
    </row>
    <row r="320" spans="1:53" x14ac:dyDescent="0.25">
      <c r="A320" t="s">
        <v>134</v>
      </c>
      <c r="B320" t="s">
        <v>135</v>
      </c>
      <c r="C320">
        <v>22001877</v>
      </c>
      <c r="D320">
        <v>1201</v>
      </c>
      <c r="E320" s="11">
        <v>44789</v>
      </c>
      <c r="F320" t="s">
        <v>168</v>
      </c>
      <c r="G320">
        <v>3.86</v>
      </c>
      <c r="H320">
        <v>3.86</v>
      </c>
      <c r="I320" t="s">
        <v>56</v>
      </c>
      <c r="O320" t="s">
        <v>57</v>
      </c>
      <c r="Q320" t="s">
        <v>57</v>
      </c>
      <c r="R320" t="s">
        <v>137</v>
      </c>
      <c r="T320" t="s">
        <v>59</v>
      </c>
      <c r="U320" t="s">
        <v>60</v>
      </c>
      <c r="V320" t="s">
        <v>138</v>
      </c>
      <c r="W320" t="s">
        <v>139</v>
      </c>
      <c r="X320">
        <v>1933115</v>
      </c>
      <c r="Y320" s="11">
        <v>44789</v>
      </c>
      <c r="Z320" t="s">
        <v>57</v>
      </c>
      <c r="AA320">
        <v>2</v>
      </c>
      <c r="AB320" t="s">
        <v>57</v>
      </c>
      <c r="AD320" t="s">
        <v>57</v>
      </c>
      <c r="AE320" t="s">
        <v>57</v>
      </c>
      <c r="AF320" t="s">
        <v>57</v>
      </c>
      <c r="AG320">
        <v>50</v>
      </c>
      <c r="AH320" t="s">
        <v>57</v>
      </c>
      <c r="AL320" t="s">
        <v>57</v>
      </c>
      <c r="AM320" s="11">
        <v>44789</v>
      </c>
      <c r="AN320" t="s">
        <v>166</v>
      </c>
      <c r="AO320" t="s">
        <v>65</v>
      </c>
      <c r="AP320">
        <v>1201</v>
      </c>
      <c r="AQ320" t="s">
        <v>66</v>
      </c>
      <c r="AR320">
        <v>265488</v>
      </c>
      <c r="AU320" t="s">
        <v>57</v>
      </c>
      <c r="AV320" t="s">
        <v>68</v>
      </c>
      <c r="AX320" t="s">
        <v>57</v>
      </c>
      <c r="AY320">
        <v>631110</v>
      </c>
      <c r="AZ320">
        <v>1201.63111</v>
      </c>
      <c r="BA320" s="23" t="s">
        <v>11</v>
      </c>
    </row>
    <row r="321" spans="1:53" x14ac:dyDescent="0.25">
      <c r="A321" t="s">
        <v>134</v>
      </c>
      <c r="B321" t="s">
        <v>135</v>
      </c>
      <c r="C321">
        <v>22001877</v>
      </c>
      <c r="D321">
        <v>1201</v>
      </c>
      <c r="E321" s="11">
        <v>44789</v>
      </c>
      <c r="F321" t="s">
        <v>168</v>
      </c>
      <c r="G321">
        <v>0.77</v>
      </c>
      <c r="H321">
        <v>0.77</v>
      </c>
      <c r="I321" t="s">
        <v>56</v>
      </c>
      <c r="O321" t="s">
        <v>57</v>
      </c>
      <c r="Q321" t="s">
        <v>57</v>
      </c>
      <c r="R321" t="s">
        <v>137</v>
      </c>
      <c r="T321" t="s">
        <v>59</v>
      </c>
      <c r="U321" t="s">
        <v>60</v>
      </c>
      <c r="V321" t="s">
        <v>138</v>
      </c>
      <c r="W321" t="s">
        <v>139</v>
      </c>
      <c r="X321">
        <v>1933115</v>
      </c>
      <c r="Y321" s="11">
        <v>44789</v>
      </c>
      <c r="Z321" t="s">
        <v>57</v>
      </c>
      <c r="AA321">
        <v>4</v>
      </c>
      <c r="AB321" t="s">
        <v>57</v>
      </c>
      <c r="AD321" t="s">
        <v>57</v>
      </c>
      <c r="AE321" t="s">
        <v>57</v>
      </c>
      <c r="AF321" t="s">
        <v>57</v>
      </c>
      <c r="AG321">
        <v>10</v>
      </c>
      <c r="AH321" t="s">
        <v>57</v>
      </c>
      <c r="AL321" t="s">
        <v>57</v>
      </c>
      <c r="AM321" s="11">
        <v>44789</v>
      </c>
      <c r="AN321" t="s">
        <v>166</v>
      </c>
      <c r="AO321" t="s">
        <v>65</v>
      </c>
      <c r="AP321">
        <v>1201</v>
      </c>
      <c r="AQ321" t="s">
        <v>66</v>
      </c>
      <c r="AR321">
        <v>91479</v>
      </c>
      <c r="AU321" t="s">
        <v>57</v>
      </c>
      <c r="AV321" t="s">
        <v>68</v>
      </c>
      <c r="AX321" t="s">
        <v>57</v>
      </c>
      <c r="AY321">
        <v>631110</v>
      </c>
      <c r="AZ321">
        <v>1201.63111</v>
      </c>
      <c r="BA321" s="23" t="s">
        <v>11</v>
      </c>
    </row>
    <row r="322" spans="1:53" x14ac:dyDescent="0.25">
      <c r="A322" t="s">
        <v>134</v>
      </c>
      <c r="B322" t="s">
        <v>135</v>
      </c>
      <c r="C322">
        <v>22001877</v>
      </c>
      <c r="D322">
        <v>1201</v>
      </c>
      <c r="E322" s="11">
        <v>44789</v>
      </c>
      <c r="F322" t="s">
        <v>168</v>
      </c>
      <c r="G322">
        <v>1.1200000000000001</v>
      </c>
      <c r="H322">
        <v>1.1200000000000001</v>
      </c>
      <c r="I322" t="s">
        <v>56</v>
      </c>
      <c r="O322" t="s">
        <v>57</v>
      </c>
      <c r="Q322" t="s">
        <v>57</v>
      </c>
      <c r="R322" t="s">
        <v>137</v>
      </c>
      <c r="T322" t="s">
        <v>59</v>
      </c>
      <c r="U322" t="s">
        <v>60</v>
      </c>
      <c r="V322" t="s">
        <v>138</v>
      </c>
      <c r="W322" t="s">
        <v>139</v>
      </c>
      <c r="X322">
        <v>1933115</v>
      </c>
      <c r="Y322" s="11">
        <v>44789</v>
      </c>
      <c r="Z322" t="s">
        <v>57</v>
      </c>
      <c r="AA322">
        <v>6</v>
      </c>
      <c r="AB322" t="s">
        <v>57</v>
      </c>
      <c r="AD322" t="s">
        <v>57</v>
      </c>
      <c r="AE322" t="s">
        <v>57</v>
      </c>
      <c r="AF322" t="s">
        <v>57</v>
      </c>
      <c r="AG322">
        <v>10</v>
      </c>
      <c r="AH322" t="s">
        <v>57</v>
      </c>
      <c r="AL322" t="s">
        <v>57</v>
      </c>
      <c r="AM322" s="11">
        <v>44789</v>
      </c>
      <c r="AN322" t="s">
        <v>166</v>
      </c>
      <c r="AO322" t="s">
        <v>65</v>
      </c>
      <c r="AP322">
        <v>1201</v>
      </c>
      <c r="AQ322" t="s">
        <v>66</v>
      </c>
      <c r="AR322">
        <v>265267</v>
      </c>
      <c r="AU322" t="s">
        <v>57</v>
      </c>
      <c r="AV322" t="s">
        <v>68</v>
      </c>
      <c r="AX322" t="s">
        <v>57</v>
      </c>
      <c r="AY322">
        <v>631110</v>
      </c>
      <c r="AZ322">
        <v>1201.63111</v>
      </c>
      <c r="BA322" s="23" t="s">
        <v>11</v>
      </c>
    </row>
    <row r="323" spans="1:53" x14ac:dyDescent="0.25">
      <c r="A323" t="s">
        <v>134</v>
      </c>
      <c r="B323" t="s">
        <v>135</v>
      </c>
      <c r="C323">
        <v>22001877</v>
      </c>
      <c r="D323">
        <v>1201</v>
      </c>
      <c r="E323" s="11">
        <v>44789</v>
      </c>
      <c r="F323" t="s">
        <v>168</v>
      </c>
      <c r="G323">
        <v>6.53</v>
      </c>
      <c r="H323">
        <v>6.53</v>
      </c>
      <c r="I323" t="s">
        <v>56</v>
      </c>
      <c r="O323" t="s">
        <v>57</v>
      </c>
      <c r="Q323" t="s">
        <v>57</v>
      </c>
      <c r="R323" t="s">
        <v>137</v>
      </c>
      <c r="T323" t="s">
        <v>59</v>
      </c>
      <c r="U323" t="s">
        <v>60</v>
      </c>
      <c r="V323" t="s">
        <v>138</v>
      </c>
      <c r="W323" t="s">
        <v>139</v>
      </c>
      <c r="X323">
        <v>1933115</v>
      </c>
      <c r="Y323" s="11">
        <v>44789</v>
      </c>
      <c r="Z323" t="s">
        <v>57</v>
      </c>
      <c r="AA323">
        <v>8</v>
      </c>
      <c r="AB323" t="s">
        <v>57</v>
      </c>
      <c r="AD323" t="s">
        <v>57</v>
      </c>
      <c r="AE323" t="s">
        <v>57</v>
      </c>
      <c r="AF323" t="s">
        <v>57</v>
      </c>
      <c r="AG323">
        <v>60</v>
      </c>
      <c r="AH323" t="s">
        <v>57</v>
      </c>
      <c r="AL323" t="s">
        <v>57</v>
      </c>
      <c r="AM323" s="11">
        <v>44789</v>
      </c>
      <c r="AN323" t="s">
        <v>166</v>
      </c>
      <c r="AO323" t="s">
        <v>65</v>
      </c>
      <c r="AP323">
        <v>1201</v>
      </c>
      <c r="AQ323" t="s">
        <v>66</v>
      </c>
      <c r="AR323">
        <v>265490</v>
      </c>
      <c r="AU323" t="s">
        <v>57</v>
      </c>
      <c r="AV323" t="s">
        <v>68</v>
      </c>
      <c r="AX323" t="s">
        <v>57</v>
      </c>
      <c r="AY323">
        <v>631110</v>
      </c>
      <c r="AZ323">
        <v>1201.63111</v>
      </c>
      <c r="BA323" s="23" t="s">
        <v>11</v>
      </c>
    </row>
    <row r="324" spans="1:53" x14ac:dyDescent="0.25">
      <c r="A324" t="s">
        <v>134</v>
      </c>
      <c r="B324" t="s">
        <v>135</v>
      </c>
      <c r="C324">
        <v>22001877</v>
      </c>
      <c r="D324">
        <v>1201</v>
      </c>
      <c r="E324" s="11">
        <v>44789</v>
      </c>
      <c r="F324" t="s">
        <v>168</v>
      </c>
      <c r="G324">
        <v>1.1200000000000001</v>
      </c>
      <c r="H324">
        <v>1.1200000000000001</v>
      </c>
      <c r="I324" t="s">
        <v>56</v>
      </c>
      <c r="O324" t="s">
        <v>57</v>
      </c>
      <c r="Q324" t="s">
        <v>57</v>
      </c>
      <c r="R324" t="s">
        <v>137</v>
      </c>
      <c r="T324" t="s">
        <v>59</v>
      </c>
      <c r="U324" t="s">
        <v>60</v>
      </c>
      <c r="V324" t="s">
        <v>138</v>
      </c>
      <c r="W324" t="s">
        <v>139</v>
      </c>
      <c r="X324">
        <v>1933115</v>
      </c>
      <c r="Y324" s="11">
        <v>44789</v>
      </c>
      <c r="Z324" t="s">
        <v>57</v>
      </c>
      <c r="AA324">
        <v>10</v>
      </c>
      <c r="AB324" t="s">
        <v>57</v>
      </c>
      <c r="AD324" t="s">
        <v>57</v>
      </c>
      <c r="AE324" t="s">
        <v>57</v>
      </c>
      <c r="AF324" t="s">
        <v>57</v>
      </c>
      <c r="AG324">
        <v>10</v>
      </c>
      <c r="AH324" t="s">
        <v>57</v>
      </c>
      <c r="AL324" t="s">
        <v>57</v>
      </c>
      <c r="AM324" s="11">
        <v>44789</v>
      </c>
      <c r="AN324" t="s">
        <v>166</v>
      </c>
      <c r="AO324" t="s">
        <v>65</v>
      </c>
      <c r="AP324">
        <v>1201</v>
      </c>
      <c r="AQ324" t="s">
        <v>66</v>
      </c>
      <c r="AR324">
        <v>264575</v>
      </c>
      <c r="AU324" t="s">
        <v>57</v>
      </c>
      <c r="AV324" t="s">
        <v>68</v>
      </c>
      <c r="AX324" t="s">
        <v>57</v>
      </c>
      <c r="AY324">
        <v>631110</v>
      </c>
      <c r="AZ324">
        <v>1201.63111</v>
      </c>
      <c r="BA324" s="23" t="s">
        <v>11</v>
      </c>
    </row>
    <row r="325" spans="1:53" x14ac:dyDescent="0.25">
      <c r="A325" t="s">
        <v>134</v>
      </c>
      <c r="B325" t="s">
        <v>135</v>
      </c>
      <c r="C325">
        <v>22001877</v>
      </c>
      <c r="D325">
        <v>1201</v>
      </c>
      <c r="E325" s="11">
        <v>44789</v>
      </c>
      <c r="F325" t="s">
        <v>168</v>
      </c>
      <c r="I325" t="s">
        <v>56</v>
      </c>
      <c r="O325" t="s">
        <v>57</v>
      </c>
      <c r="Q325" t="s">
        <v>57</v>
      </c>
      <c r="R325" t="s">
        <v>137</v>
      </c>
      <c r="T325" t="s">
        <v>59</v>
      </c>
      <c r="U325" t="s">
        <v>60</v>
      </c>
      <c r="V325" t="s">
        <v>138</v>
      </c>
      <c r="W325" t="s">
        <v>139</v>
      </c>
      <c r="X325">
        <v>1933115</v>
      </c>
      <c r="Y325" s="11">
        <v>44789</v>
      </c>
      <c r="Z325" t="s">
        <v>57</v>
      </c>
      <c r="AA325">
        <v>12</v>
      </c>
      <c r="AB325" t="s">
        <v>57</v>
      </c>
      <c r="AD325" t="s">
        <v>57</v>
      </c>
      <c r="AE325" t="s">
        <v>57</v>
      </c>
      <c r="AF325" t="s">
        <v>57</v>
      </c>
      <c r="AG325">
        <v>50</v>
      </c>
      <c r="AH325" t="s">
        <v>57</v>
      </c>
      <c r="AL325" t="s">
        <v>57</v>
      </c>
      <c r="AM325" s="11">
        <v>44789</v>
      </c>
      <c r="AN325" t="s">
        <v>166</v>
      </c>
      <c r="AO325" t="s">
        <v>65</v>
      </c>
      <c r="AP325">
        <v>1201</v>
      </c>
      <c r="AQ325" t="s">
        <v>66</v>
      </c>
      <c r="AR325">
        <v>135302</v>
      </c>
      <c r="AU325" t="s">
        <v>57</v>
      </c>
      <c r="AV325" t="s">
        <v>68</v>
      </c>
      <c r="AX325" t="s">
        <v>57</v>
      </c>
      <c r="AY325">
        <v>631110</v>
      </c>
      <c r="AZ325">
        <v>1201.63111</v>
      </c>
      <c r="BA325" s="23" t="s">
        <v>11</v>
      </c>
    </row>
    <row r="326" spans="1:53" x14ac:dyDescent="0.25">
      <c r="A326" t="s">
        <v>134</v>
      </c>
      <c r="B326" t="s">
        <v>135</v>
      </c>
      <c r="C326">
        <v>22001878</v>
      </c>
      <c r="D326">
        <v>1201</v>
      </c>
      <c r="E326" s="11">
        <v>44789</v>
      </c>
      <c r="F326" t="s">
        <v>169</v>
      </c>
      <c r="G326">
        <v>1.04</v>
      </c>
      <c r="H326">
        <v>1.04</v>
      </c>
      <c r="I326" t="s">
        <v>56</v>
      </c>
      <c r="O326" t="s">
        <v>57</v>
      </c>
      <c r="Q326" t="s">
        <v>57</v>
      </c>
      <c r="R326" t="s">
        <v>137</v>
      </c>
      <c r="T326" t="s">
        <v>59</v>
      </c>
      <c r="U326" t="s">
        <v>60</v>
      </c>
      <c r="V326" t="s">
        <v>138</v>
      </c>
      <c r="W326" t="s">
        <v>139</v>
      </c>
      <c r="X326">
        <v>1933134</v>
      </c>
      <c r="Y326" s="11">
        <v>44789</v>
      </c>
      <c r="Z326" t="s">
        <v>57</v>
      </c>
      <c r="AA326">
        <v>2</v>
      </c>
      <c r="AB326" t="s">
        <v>57</v>
      </c>
      <c r="AD326" t="s">
        <v>57</v>
      </c>
      <c r="AE326" t="s">
        <v>57</v>
      </c>
      <c r="AF326" t="s">
        <v>57</v>
      </c>
      <c r="AG326">
        <v>1</v>
      </c>
      <c r="AH326" t="s">
        <v>57</v>
      </c>
      <c r="AL326" t="s">
        <v>57</v>
      </c>
      <c r="AM326" s="11">
        <v>44789</v>
      </c>
      <c r="AN326" t="s">
        <v>170</v>
      </c>
      <c r="AO326" t="s">
        <v>65</v>
      </c>
      <c r="AP326">
        <v>1201</v>
      </c>
      <c r="AQ326" t="s">
        <v>66</v>
      </c>
      <c r="AR326">
        <v>88592</v>
      </c>
      <c r="AU326" t="s">
        <v>57</v>
      </c>
      <c r="AV326" t="s">
        <v>68</v>
      </c>
      <c r="AX326" t="s">
        <v>57</v>
      </c>
      <c r="AY326">
        <v>631110</v>
      </c>
      <c r="AZ326">
        <v>1201.63111</v>
      </c>
      <c r="BA326" s="23" t="s">
        <v>11</v>
      </c>
    </row>
    <row r="327" spans="1:53" x14ac:dyDescent="0.25">
      <c r="A327" t="s">
        <v>134</v>
      </c>
      <c r="B327" t="s">
        <v>135</v>
      </c>
      <c r="C327">
        <v>22001880</v>
      </c>
      <c r="D327">
        <v>1201</v>
      </c>
      <c r="E327" s="11">
        <v>44789</v>
      </c>
      <c r="F327" t="s">
        <v>169</v>
      </c>
      <c r="G327">
        <v>1.1000000000000001</v>
      </c>
      <c r="H327">
        <v>1.1000000000000001</v>
      </c>
      <c r="I327" t="s">
        <v>56</v>
      </c>
      <c r="O327" t="s">
        <v>57</v>
      </c>
      <c r="Q327" t="s">
        <v>57</v>
      </c>
      <c r="R327" t="s">
        <v>137</v>
      </c>
      <c r="T327" t="s">
        <v>59</v>
      </c>
      <c r="U327" t="s">
        <v>60</v>
      </c>
      <c r="V327" t="s">
        <v>138</v>
      </c>
      <c r="W327" t="s">
        <v>139</v>
      </c>
      <c r="X327">
        <v>1933134</v>
      </c>
      <c r="Y327" s="11">
        <v>44789</v>
      </c>
      <c r="Z327" t="s">
        <v>57</v>
      </c>
      <c r="AA327">
        <v>2</v>
      </c>
      <c r="AB327" t="s">
        <v>57</v>
      </c>
      <c r="AD327" t="s">
        <v>57</v>
      </c>
      <c r="AE327" t="s">
        <v>57</v>
      </c>
      <c r="AF327" t="s">
        <v>57</v>
      </c>
      <c r="AG327">
        <v>4</v>
      </c>
      <c r="AH327" t="s">
        <v>57</v>
      </c>
      <c r="AL327" t="s">
        <v>57</v>
      </c>
      <c r="AM327" s="11">
        <v>44789</v>
      </c>
      <c r="AN327" t="s">
        <v>170</v>
      </c>
      <c r="AO327" t="s">
        <v>65</v>
      </c>
      <c r="AP327">
        <v>1201</v>
      </c>
      <c r="AQ327" t="s">
        <v>66</v>
      </c>
      <c r="AR327">
        <v>266092</v>
      </c>
      <c r="AU327" t="s">
        <v>57</v>
      </c>
      <c r="AV327" t="s">
        <v>68</v>
      </c>
      <c r="AX327" t="s">
        <v>57</v>
      </c>
      <c r="AY327">
        <v>631110</v>
      </c>
      <c r="AZ327">
        <v>1201.63111</v>
      </c>
      <c r="BA327" s="23" t="s">
        <v>11</v>
      </c>
    </row>
    <row r="328" spans="1:53" x14ac:dyDescent="0.25">
      <c r="A328" t="s">
        <v>134</v>
      </c>
      <c r="B328" t="s">
        <v>135</v>
      </c>
      <c r="C328">
        <v>22001881</v>
      </c>
      <c r="D328">
        <v>1201</v>
      </c>
      <c r="E328" s="11">
        <v>44791</v>
      </c>
      <c r="F328" t="s">
        <v>169</v>
      </c>
      <c r="G328">
        <v>2.63</v>
      </c>
      <c r="H328">
        <v>2.63</v>
      </c>
      <c r="I328" t="s">
        <v>56</v>
      </c>
      <c r="O328" t="s">
        <v>57</v>
      </c>
      <c r="Q328" t="s">
        <v>57</v>
      </c>
      <c r="R328" t="s">
        <v>137</v>
      </c>
      <c r="T328" t="s">
        <v>59</v>
      </c>
      <c r="U328" t="s">
        <v>60</v>
      </c>
      <c r="V328" t="s">
        <v>138</v>
      </c>
      <c r="W328" t="s">
        <v>139</v>
      </c>
      <c r="X328">
        <v>1933470</v>
      </c>
      <c r="Y328" s="11">
        <v>44791</v>
      </c>
      <c r="Z328" t="s">
        <v>57</v>
      </c>
      <c r="AA328">
        <v>2</v>
      </c>
      <c r="AB328" t="s">
        <v>57</v>
      </c>
      <c r="AD328" t="s">
        <v>57</v>
      </c>
      <c r="AE328" t="s">
        <v>57</v>
      </c>
      <c r="AF328" t="s">
        <v>57</v>
      </c>
      <c r="AG328">
        <v>3</v>
      </c>
      <c r="AH328" t="s">
        <v>57</v>
      </c>
      <c r="AL328" t="s">
        <v>57</v>
      </c>
      <c r="AM328" s="11">
        <v>44791</v>
      </c>
      <c r="AN328" t="s">
        <v>170</v>
      </c>
      <c r="AO328" t="s">
        <v>65</v>
      </c>
      <c r="AP328">
        <v>1201</v>
      </c>
      <c r="AQ328" t="s">
        <v>66</v>
      </c>
      <c r="AR328">
        <v>88704</v>
      </c>
      <c r="AU328" t="s">
        <v>57</v>
      </c>
      <c r="AV328" t="s">
        <v>68</v>
      </c>
      <c r="AX328" t="s">
        <v>57</v>
      </c>
      <c r="AY328">
        <v>631110</v>
      </c>
      <c r="AZ328">
        <v>1201.63111</v>
      </c>
      <c r="BA328" s="23" t="s">
        <v>11</v>
      </c>
    </row>
    <row r="329" spans="1:53" x14ac:dyDescent="0.25">
      <c r="A329" t="s">
        <v>134</v>
      </c>
      <c r="B329" t="s">
        <v>135</v>
      </c>
      <c r="C329">
        <v>22001881</v>
      </c>
      <c r="D329">
        <v>1201</v>
      </c>
      <c r="E329" s="11">
        <v>44791</v>
      </c>
      <c r="F329" t="s">
        <v>169</v>
      </c>
      <c r="G329">
        <v>1.75</v>
      </c>
      <c r="H329">
        <v>1.75</v>
      </c>
      <c r="I329" t="s">
        <v>56</v>
      </c>
      <c r="O329" t="s">
        <v>57</v>
      </c>
      <c r="Q329" t="s">
        <v>57</v>
      </c>
      <c r="R329" t="s">
        <v>137</v>
      </c>
      <c r="T329" t="s">
        <v>59</v>
      </c>
      <c r="U329" t="s">
        <v>60</v>
      </c>
      <c r="V329" t="s">
        <v>138</v>
      </c>
      <c r="W329" t="s">
        <v>139</v>
      </c>
      <c r="X329">
        <v>1933470</v>
      </c>
      <c r="Y329" s="11">
        <v>44791</v>
      </c>
      <c r="Z329" t="s">
        <v>57</v>
      </c>
      <c r="AA329">
        <v>4</v>
      </c>
      <c r="AB329" t="s">
        <v>57</v>
      </c>
      <c r="AD329" t="s">
        <v>57</v>
      </c>
      <c r="AE329" t="s">
        <v>57</v>
      </c>
      <c r="AF329" t="s">
        <v>57</v>
      </c>
      <c r="AG329">
        <v>1</v>
      </c>
      <c r="AH329" t="s">
        <v>57</v>
      </c>
      <c r="AL329" t="s">
        <v>57</v>
      </c>
      <c r="AM329" s="11">
        <v>44791</v>
      </c>
      <c r="AN329" t="s">
        <v>170</v>
      </c>
      <c r="AO329" t="s">
        <v>65</v>
      </c>
      <c r="AP329">
        <v>1201</v>
      </c>
      <c r="AQ329" t="s">
        <v>66</v>
      </c>
      <c r="AR329">
        <v>90072</v>
      </c>
      <c r="AU329" t="s">
        <v>57</v>
      </c>
      <c r="AV329" t="s">
        <v>68</v>
      </c>
      <c r="AX329" t="s">
        <v>57</v>
      </c>
      <c r="AY329">
        <v>631110</v>
      </c>
      <c r="AZ329">
        <v>1201.63111</v>
      </c>
      <c r="BA329" s="23" t="s">
        <v>11</v>
      </c>
    </row>
    <row r="330" spans="1:53" x14ac:dyDescent="0.25">
      <c r="A330" t="s">
        <v>134</v>
      </c>
      <c r="B330" t="s">
        <v>135</v>
      </c>
      <c r="C330">
        <v>22001881</v>
      </c>
      <c r="D330">
        <v>1201</v>
      </c>
      <c r="E330" s="11">
        <v>44791</v>
      </c>
      <c r="F330" t="s">
        <v>169</v>
      </c>
      <c r="G330">
        <v>0.19</v>
      </c>
      <c r="H330">
        <v>0.19</v>
      </c>
      <c r="I330" t="s">
        <v>56</v>
      </c>
      <c r="O330" t="s">
        <v>57</v>
      </c>
      <c r="Q330" t="s">
        <v>57</v>
      </c>
      <c r="R330" t="s">
        <v>137</v>
      </c>
      <c r="T330" t="s">
        <v>59</v>
      </c>
      <c r="U330" t="s">
        <v>60</v>
      </c>
      <c r="V330" t="s">
        <v>138</v>
      </c>
      <c r="W330" t="s">
        <v>139</v>
      </c>
      <c r="X330">
        <v>1933470</v>
      </c>
      <c r="Y330" s="11">
        <v>44791</v>
      </c>
      <c r="Z330" t="s">
        <v>57</v>
      </c>
      <c r="AA330">
        <v>6</v>
      </c>
      <c r="AB330" t="s">
        <v>57</v>
      </c>
      <c r="AD330" t="s">
        <v>57</v>
      </c>
      <c r="AE330" t="s">
        <v>57</v>
      </c>
      <c r="AF330" t="s">
        <v>57</v>
      </c>
      <c r="AG330">
        <v>5</v>
      </c>
      <c r="AH330" t="s">
        <v>57</v>
      </c>
      <c r="AL330" t="s">
        <v>57</v>
      </c>
      <c r="AM330" s="11">
        <v>44791</v>
      </c>
      <c r="AN330" t="s">
        <v>170</v>
      </c>
      <c r="AO330" t="s">
        <v>65</v>
      </c>
      <c r="AP330">
        <v>1201</v>
      </c>
      <c r="AQ330" t="s">
        <v>66</v>
      </c>
      <c r="AR330">
        <v>88685</v>
      </c>
      <c r="AU330" t="s">
        <v>57</v>
      </c>
      <c r="AV330" t="s">
        <v>68</v>
      </c>
      <c r="AX330" t="s">
        <v>57</v>
      </c>
      <c r="AY330">
        <v>631110</v>
      </c>
      <c r="AZ330">
        <v>1201.63111</v>
      </c>
      <c r="BA330" s="23" t="s">
        <v>11</v>
      </c>
    </row>
    <row r="331" spans="1:53" x14ac:dyDescent="0.25">
      <c r="A331" t="s">
        <v>134</v>
      </c>
      <c r="B331" t="s">
        <v>135</v>
      </c>
      <c r="C331">
        <v>22001881</v>
      </c>
      <c r="D331">
        <v>1201</v>
      </c>
      <c r="E331" s="11">
        <v>44791</v>
      </c>
      <c r="F331" t="s">
        <v>169</v>
      </c>
      <c r="G331">
        <v>0.7</v>
      </c>
      <c r="H331">
        <v>0.7</v>
      </c>
      <c r="I331" t="s">
        <v>56</v>
      </c>
      <c r="O331" t="s">
        <v>57</v>
      </c>
      <c r="Q331" t="s">
        <v>57</v>
      </c>
      <c r="R331" t="s">
        <v>137</v>
      </c>
      <c r="T331" t="s">
        <v>59</v>
      </c>
      <c r="U331" t="s">
        <v>60</v>
      </c>
      <c r="V331" t="s">
        <v>138</v>
      </c>
      <c r="W331" t="s">
        <v>139</v>
      </c>
      <c r="X331">
        <v>1933470</v>
      </c>
      <c r="Y331" s="11">
        <v>44791</v>
      </c>
      <c r="Z331" t="s">
        <v>57</v>
      </c>
      <c r="AA331">
        <v>8</v>
      </c>
      <c r="AB331" t="s">
        <v>57</v>
      </c>
      <c r="AD331" t="s">
        <v>57</v>
      </c>
      <c r="AE331" t="s">
        <v>57</v>
      </c>
      <c r="AF331" t="s">
        <v>57</v>
      </c>
      <c r="AG331">
        <v>1</v>
      </c>
      <c r="AH331" t="s">
        <v>57</v>
      </c>
      <c r="AL331" t="s">
        <v>57</v>
      </c>
      <c r="AM331" s="11">
        <v>44791</v>
      </c>
      <c r="AN331" t="s">
        <v>170</v>
      </c>
      <c r="AO331" t="s">
        <v>65</v>
      </c>
      <c r="AP331">
        <v>1201</v>
      </c>
      <c r="AQ331" t="s">
        <v>66</v>
      </c>
      <c r="AR331">
        <v>88732</v>
      </c>
      <c r="AU331" t="s">
        <v>57</v>
      </c>
      <c r="AV331" t="s">
        <v>68</v>
      </c>
      <c r="AX331" t="s">
        <v>57</v>
      </c>
      <c r="AY331">
        <v>631110</v>
      </c>
      <c r="AZ331">
        <v>1201.63111</v>
      </c>
      <c r="BA331" s="23" t="s">
        <v>11</v>
      </c>
    </row>
    <row r="332" spans="1:53" x14ac:dyDescent="0.25">
      <c r="A332" t="s">
        <v>134</v>
      </c>
      <c r="B332" t="s">
        <v>135</v>
      </c>
      <c r="C332">
        <v>22001881</v>
      </c>
      <c r="D332">
        <v>1201</v>
      </c>
      <c r="E332" s="11">
        <v>44791</v>
      </c>
      <c r="F332" t="s">
        <v>169</v>
      </c>
      <c r="G332">
        <v>15.12</v>
      </c>
      <c r="H332">
        <v>15.12</v>
      </c>
      <c r="I332" t="s">
        <v>56</v>
      </c>
      <c r="O332" t="s">
        <v>57</v>
      </c>
      <c r="Q332" t="s">
        <v>57</v>
      </c>
      <c r="R332" t="s">
        <v>137</v>
      </c>
      <c r="T332" t="s">
        <v>59</v>
      </c>
      <c r="U332" t="s">
        <v>60</v>
      </c>
      <c r="V332" t="s">
        <v>138</v>
      </c>
      <c r="W332" t="s">
        <v>139</v>
      </c>
      <c r="X332">
        <v>1933470</v>
      </c>
      <c r="Y332" s="11">
        <v>44791</v>
      </c>
      <c r="Z332" t="s">
        <v>57</v>
      </c>
      <c r="AA332">
        <v>10</v>
      </c>
      <c r="AB332" t="s">
        <v>57</v>
      </c>
      <c r="AD332" t="s">
        <v>57</v>
      </c>
      <c r="AE332" t="s">
        <v>57</v>
      </c>
      <c r="AF332" t="s">
        <v>57</v>
      </c>
      <c r="AG332">
        <v>1</v>
      </c>
      <c r="AH332" t="s">
        <v>57</v>
      </c>
      <c r="AL332" t="s">
        <v>57</v>
      </c>
      <c r="AM332" s="11">
        <v>44791</v>
      </c>
      <c r="AN332" t="s">
        <v>170</v>
      </c>
      <c r="AO332" t="s">
        <v>65</v>
      </c>
      <c r="AP332">
        <v>1201</v>
      </c>
      <c r="AQ332" t="s">
        <v>66</v>
      </c>
      <c r="AR332">
        <v>163472</v>
      </c>
      <c r="AU332" t="s">
        <v>57</v>
      </c>
      <c r="AV332" t="s">
        <v>68</v>
      </c>
      <c r="AX332" t="s">
        <v>57</v>
      </c>
      <c r="AY332">
        <v>631110</v>
      </c>
      <c r="AZ332">
        <v>1201.63111</v>
      </c>
      <c r="BA332" s="23" t="s">
        <v>11</v>
      </c>
    </row>
    <row r="333" spans="1:53" x14ac:dyDescent="0.25">
      <c r="A333" t="s">
        <v>134</v>
      </c>
      <c r="B333" t="s">
        <v>135</v>
      </c>
      <c r="C333">
        <v>22001881</v>
      </c>
      <c r="D333">
        <v>1201</v>
      </c>
      <c r="E333" s="11">
        <v>44791</v>
      </c>
      <c r="F333" t="s">
        <v>169</v>
      </c>
      <c r="G333">
        <v>13.81</v>
      </c>
      <c r="H333">
        <v>13.81</v>
      </c>
      <c r="I333" t="s">
        <v>56</v>
      </c>
      <c r="O333" t="s">
        <v>57</v>
      </c>
      <c r="Q333" t="s">
        <v>57</v>
      </c>
      <c r="R333" t="s">
        <v>137</v>
      </c>
      <c r="T333" t="s">
        <v>59</v>
      </c>
      <c r="U333" t="s">
        <v>60</v>
      </c>
      <c r="V333" t="s">
        <v>138</v>
      </c>
      <c r="W333" t="s">
        <v>139</v>
      </c>
      <c r="X333">
        <v>1933470</v>
      </c>
      <c r="Y333" s="11">
        <v>44791</v>
      </c>
      <c r="Z333" t="s">
        <v>57</v>
      </c>
      <c r="AA333">
        <v>12</v>
      </c>
      <c r="AB333" t="s">
        <v>57</v>
      </c>
      <c r="AD333" t="s">
        <v>57</v>
      </c>
      <c r="AE333" t="s">
        <v>57</v>
      </c>
      <c r="AF333" t="s">
        <v>57</v>
      </c>
      <c r="AG333">
        <v>10</v>
      </c>
      <c r="AH333" t="s">
        <v>57</v>
      </c>
      <c r="AL333" t="s">
        <v>57</v>
      </c>
      <c r="AM333" s="11">
        <v>44791</v>
      </c>
      <c r="AN333" t="s">
        <v>170</v>
      </c>
      <c r="AO333" t="s">
        <v>65</v>
      </c>
      <c r="AP333">
        <v>1201</v>
      </c>
      <c r="AQ333" t="s">
        <v>66</v>
      </c>
      <c r="AR333">
        <v>163503</v>
      </c>
      <c r="AU333" t="s">
        <v>57</v>
      </c>
      <c r="AV333" t="s">
        <v>68</v>
      </c>
      <c r="AX333" t="s">
        <v>57</v>
      </c>
      <c r="AY333">
        <v>631110</v>
      </c>
      <c r="AZ333">
        <v>1201.63111</v>
      </c>
      <c r="BA333" s="23" t="s">
        <v>11</v>
      </c>
    </row>
    <row r="334" spans="1:53" x14ac:dyDescent="0.25">
      <c r="A334" t="s">
        <v>134</v>
      </c>
      <c r="B334" t="s">
        <v>135</v>
      </c>
      <c r="C334">
        <v>22001881</v>
      </c>
      <c r="D334">
        <v>1201</v>
      </c>
      <c r="E334" s="11">
        <v>44791</v>
      </c>
      <c r="F334" t="s">
        <v>169</v>
      </c>
      <c r="G334">
        <v>0.61</v>
      </c>
      <c r="H334">
        <v>0.61</v>
      </c>
      <c r="I334" t="s">
        <v>56</v>
      </c>
      <c r="O334" t="s">
        <v>57</v>
      </c>
      <c r="Q334" t="s">
        <v>57</v>
      </c>
      <c r="R334" t="s">
        <v>137</v>
      </c>
      <c r="T334" t="s">
        <v>59</v>
      </c>
      <c r="U334" t="s">
        <v>60</v>
      </c>
      <c r="V334" t="s">
        <v>138</v>
      </c>
      <c r="W334" t="s">
        <v>139</v>
      </c>
      <c r="X334">
        <v>1933470</v>
      </c>
      <c r="Y334" s="11">
        <v>44791</v>
      </c>
      <c r="Z334" t="s">
        <v>57</v>
      </c>
      <c r="AA334">
        <v>14</v>
      </c>
      <c r="AB334" t="s">
        <v>57</v>
      </c>
      <c r="AD334" t="s">
        <v>57</v>
      </c>
      <c r="AE334" t="s">
        <v>57</v>
      </c>
      <c r="AF334" t="s">
        <v>57</v>
      </c>
      <c r="AG334">
        <v>6</v>
      </c>
      <c r="AH334" t="s">
        <v>57</v>
      </c>
      <c r="AL334" t="s">
        <v>57</v>
      </c>
      <c r="AM334" s="11">
        <v>44791</v>
      </c>
      <c r="AN334" t="s">
        <v>170</v>
      </c>
      <c r="AO334" t="s">
        <v>65</v>
      </c>
      <c r="AP334">
        <v>1201</v>
      </c>
      <c r="AQ334" t="s">
        <v>66</v>
      </c>
      <c r="AR334">
        <v>88519</v>
      </c>
      <c r="AU334" t="s">
        <v>57</v>
      </c>
      <c r="AV334" t="s">
        <v>68</v>
      </c>
      <c r="AX334" t="s">
        <v>57</v>
      </c>
      <c r="AY334">
        <v>631110</v>
      </c>
      <c r="AZ334">
        <v>1201.63111</v>
      </c>
      <c r="BA334" s="23" t="s">
        <v>11</v>
      </c>
    </row>
    <row r="335" spans="1:53" x14ac:dyDescent="0.25">
      <c r="A335" t="s">
        <v>134</v>
      </c>
      <c r="B335" t="s">
        <v>135</v>
      </c>
      <c r="C335">
        <v>22001881</v>
      </c>
      <c r="D335">
        <v>1201</v>
      </c>
      <c r="E335" s="11">
        <v>44791</v>
      </c>
      <c r="F335" t="s">
        <v>169</v>
      </c>
      <c r="G335">
        <v>4.32</v>
      </c>
      <c r="H335">
        <v>4.32</v>
      </c>
      <c r="I335" t="s">
        <v>56</v>
      </c>
      <c r="O335" t="s">
        <v>57</v>
      </c>
      <c r="Q335" t="s">
        <v>57</v>
      </c>
      <c r="R335" t="s">
        <v>137</v>
      </c>
      <c r="T335" t="s">
        <v>59</v>
      </c>
      <c r="U335" t="s">
        <v>60</v>
      </c>
      <c r="V335" t="s">
        <v>138</v>
      </c>
      <c r="W335" t="s">
        <v>139</v>
      </c>
      <c r="X335">
        <v>1933470</v>
      </c>
      <c r="Y335" s="11">
        <v>44791</v>
      </c>
      <c r="Z335" t="s">
        <v>57</v>
      </c>
      <c r="AA335">
        <v>16</v>
      </c>
      <c r="AB335" t="s">
        <v>57</v>
      </c>
      <c r="AD335" t="s">
        <v>57</v>
      </c>
      <c r="AE335" t="s">
        <v>57</v>
      </c>
      <c r="AF335" t="s">
        <v>57</v>
      </c>
      <c r="AG335">
        <v>1</v>
      </c>
      <c r="AH335" t="s">
        <v>57</v>
      </c>
      <c r="AL335" t="s">
        <v>57</v>
      </c>
      <c r="AM335" s="11">
        <v>44791</v>
      </c>
      <c r="AN335" t="s">
        <v>170</v>
      </c>
      <c r="AO335" t="s">
        <v>65</v>
      </c>
      <c r="AP335">
        <v>1201</v>
      </c>
      <c r="AQ335" t="s">
        <v>66</v>
      </c>
      <c r="AR335">
        <v>166051</v>
      </c>
      <c r="AU335" t="s">
        <v>57</v>
      </c>
      <c r="AV335" t="s">
        <v>68</v>
      </c>
      <c r="AX335" t="s">
        <v>57</v>
      </c>
      <c r="AY335">
        <v>631110</v>
      </c>
      <c r="AZ335">
        <v>1201.63111</v>
      </c>
      <c r="BA335" s="23" t="s">
        <v>11</v>
      </c>
    </row>
    <row r="336" spans="1:53" x14ac:dyDescent="0.25">
      <c r="A336" t="s">
        <v>134</v>
      </c>
      <c r="B336" t="s">
        <v>135</v>
      </c>
      <c r="C336">
        <v>22001881</v>
      </c>
      <c r="D336">
        <v>1201</v>
      </c>
      <c r="E336" s="11">
        <v>44791</v>
      </c>
      <c r="F336" t="s">
        <v>169</v>
      </c>
      <c r="G336">
        <v>1.05</v>
      </c>
      <c r="H336">
        <v>1.05</v>
      </c>
      <c r="I336" t="s">
        <v>56</v>
      </c>
      <c r="O336" t="s">
        <v>57</v>
      </c>
      <c r="Q336" t="s">
        <v>57</v>
      </c>
      <c r="R336" t="s">
        <v>137</v>
      </c>
      <c r="T336" t="s">
        <v>59</v>
      </c>
      <c r="U336" t="s">
        <v>60</v>
      </c>
      <c r="V336" t="s">
        <v>138</v>
      </c>
      <c r="W336" t="s">
        <v>139</v>
      </c>
      <c r="X336">
        <v>1933470</v>
      </c>
      <c r="Y336" s="11">
        <v>44791</v>
      </c>
      <c r="Z336" t="s">
        <v>57</v>
      </c>
      <c r="AA336">
        <v>18</v>
      </c>
      <c r="AB336" t="s">
        <v>57</v>
      </c>
      <c r="AD336" t="s">
        <v>57</v>
      </c>
      <c r="AE336" t="s">
        <v>57</v>
      </c>
      <c r="AF336" t="s">
        <v>57</v>
      </c>
      <c r="AG336">
        <v>1</v>
      </c>
      <c r="AH336" t="s">
        <v>57</v>
      </c>
      <c r="AL336" t="s">
        <v>57</v>
      </c>
      <c r="AM336" s="11">
        <v>44791</v>
      </c>
      <c r="AN336" t="s">
        <v>170</v>
      </c>
      <c r="AO336" t="s">
        <v>65</v>
      </c>
      <c r="AP336">
        <v>1201</v>
      </c>
      <c r="AQ336" t="s">
        <v>66</v>
      </c>
      <c r="AR336">
        <v>88720</v>
      </c>
      <c r="AU336" t="s">
        <v>57</v>
      </c>
      <c r="AV336" t="s">
        <v>68</v>
      </c>
      <c r="AX336" t="s">
        <v>57</v>
      </c>
      <c r="AY336">
        <v>631110</v>
      </c>
      <c r="AZ336">
        <v>1201.63111</v>
      </c>
      <c r="BA336" s="23" t="s">
        <v>11</v>
      </c>
    </row>
    <row r="337" spans="1:53" x14ac:dyDescent="0.25">
      <c r="A337" t="s">
        <v>134</v>
      </c>
      <c r="B337" t="s">
        <v>135</v>
      </c>
      <c r="C337">
        <v>22001883</v>
      </c>
      <c r="D337">
        <v>1201</v>
      </c>
      <c r="E337" s="11">
        <v>44791</v>
      </c>
      <c r="F337" t="s">
        <v>168</v>
      </c>
      <c r="G337">
        <v>0.77</v>
      </c>
      <c r="H337">
        <v>0.77</v>
      </c>
      <c r="I337" t="s">
        <v>56</v>
      </c>
      <c r="O337" t="s">
        <v>57</v>
      </c>
      <c r="Q337" t="s">
        <v>57</v>
      </c>
      <c r="R337" t="s">
        <v>137</v>
      </c>
      <c r="T337" t="s">
        <v>59</v>
      </c>
      <c r="U337" t="s">
        <v>60</v>
      </c>
      <c r="V337" t="s">
        <v>138</v>
      </c>
      <c r="W337" t="s">
        <v>139</v>
      </c>
      <c r="X337">
        <v>1933477</v>
      </c>
      <c r="Y337" s="11">
        <v>44791</v>
      </c>
      <c r="Z337" t="s">
        <v>57</v>
      </c>
      <c r="AA337">
        <v>2</v>
      </c>
      <c r="AB337" t="s">
        <v>57</v>
      </c>
      <c r="AD337" t="s">
        <v>57</v>
      </c>
      <c r="AE337" t="s">
        <v>57</v>
      </c>
      <c r="AF337" t="s">
        <v>57</v>
      </c>
      <c r="AG337">
        <v>10</v>
      </c>
      <c r="AH337" t="s">
        <v>57</v>
      </c>
      <c r="AL337" t="s">
        <v>57</v>
      </c>
      <c r="AM337" s="11">
        <v>44791</v>
      </c>
      <c r="AN337" t="s">
        <v>166</v>
      </c>
      <c r="AO337" t="s">
        <v>65</v>
      </c>
      <c r="AP337">
        <v>1201</v>
      </c>
      <c r="AQ337" t="s">
        <v>66</v>
      </c>
      <c r="AR337">
        <v>92908</v>
      </c>
      <c r="AU337" t="s">
        <v>57</v>
      </c>
      <c r="AV337" t="s">
        <v>68</v>
      </c>
      <c r="AX337" t="s">
        <v>57</v>
      </c>
      <c r="AY337">
        <v>631110</v>
      </c>
      <c r="AZ337">
        <v>1201.63111</v>
      </c>
      <c r="BA337" s="23" t="s">
        <v>11</v>
      </c>
    </row>
    <row r="338" spans="1:53" x14ac:dyDescent="0.25">
      <c r="A338" t="s">
        <v>134</v>
      </c>
      <c r="B338" t="s">
        <v>135</v>
      </c>
      <c r="C338">
        <v>22001883</v>
      </c>
      <c r="D338">
        <v>1201</v>
      </c>
      <c r="E338" s="11">
        <v>44791</v>
      </c>
      <c r="F338" t="s">
        <v>168</v>
      </c>
      <c r="G338">
        <v>1.1200000000000001</v>
      </c>
      <c r="H338">
        <v>1.1200000000000001</v>
      </c>
      <c r="I338" t="s">
        <v>56</v>
      </c>
      <c r="O338" t="s">
        <v>57</v>
      </c>
      <c r="Q338" t="s">
        <v>57</v>
      </c>
      <c r="R338" t="s">
        <v>137</v>
      </c>
      <c r="T338" t="s">
        <v>59</v>
      </c>
      <c r="U338" t="s">
        <v>60</v>
      </c>
      <c r="V338" t="s">
        <v>138</v>
      </c>
      <c r="W338" t="s">
        <v>139</v>
      </c>
      <c r="X338">
        <v>1933477</v>
      </c>
      <c r="Y338" s="11">
        <v>44791</v>
      </c>
      <c r="Z338" t="s">
        <v>57</v>
      </c>
      <c r="AA338">
        <v>4</v>
      </c>
      <c r="AB338" t="s">
        <v>57</v>
      </c>
      <c r="AD338" t="s">
        <v>57</v>
      </c>
      <c r="AE338" t="s">
        <v>57</v>
      </c>
      <c r="AF338" t="s">
        <v>57</v>
      </c>
      <c r="AG338">
        <v>10</v>
      </c>
      <c r="AH338" t="s">
        <v>57</v>
      </c>
      <c r="AL338" t="s">
        <v>57</v>
      </c>
      <c r="AM338" s="11">
        <v>44791</v>
      </c>
      <c r="AN338" t="s">
        <v>166</v>
      </c>
      <c r="AO338" t="s">
        <v>65</v>
      </c>
      <c r="AP338">
        <v>1201</v>
      </c>
      <c r="AQ338" t="s">
        <v>66</v>
      </c>
      <c r="AR338">
        <v>265267</v>
      </c>
      <c r="AU338" t="s">
        <v>57</v>
      </c>
      <c r="AV338" t="s">
        <v>68</v>
      </c>
      <c r="AX338" t="s">
        <v>57</v>
      </c>
      <c r="AY338">
        <v>631110</v>
      </c>
      <c r="AZ338">
        <v>1201.63111</v>
      </c>
      <c r="BA338" s="23" t="s">
        <v>11</v>
      </c>
    </row>
    <row r="339" spans="1:53" x14ac:dyDescent="0.25">
      <c r="A339" t="s">
        <v>134</v>
      </c>
      <c r="B339" t="s">
        <v>135</v>
      </c>
      <c r="C339">
        <v>22001883</v>
      </c>
      <c r="D339">
        <v>1201</v>
      </c>
      <c r="E339" s="11">
        <v>44791</v>
      </c>
      <c r="F339" t="s">
        <v>168</v>
      </c>
      <c r="G339">
        <v>2.57</v>
      </c>
      <c r="H339">
        <v>2.57</v>
      </c>
      <c r="I339" t="s">
        <v>56</v>
      </c>
      <c r="O339" t="s">
        <v>57</v>
      </c>
      <c r="Q339" t="s">
        <v>57</v>
      </c>
      <c r="R339" t="s">
        <v>137</v>
      </c>
      <c r="T339" t="s">
        <v>59</v>
      </c>
      <c r="U339" t="s">
        <v>60</v>
      </c>
      <c r="V339" t="s">
        <v>138</v>
      </c>
      <c r="W339" t="s">
        <v>139</v>
      </c>
      <c r="X339">
        <v>1933477</v>
      </c>
      <c r="Y339" s="11">
        <v>44791</v>
      </c>
      <c r="Z339" t="s">
        <v>57</v>
      </c>
      <c r="AA339">
        <v>12</v>
      </c>
      <c r="AB339" t="s">
        <v>57</v>
      </c>
      <c r="AD339" t="s">
        <v>57</v>
      </c>
      <c r="AE339" t="s">
        <v>57</v>
      </c>
      <c r="AF339" t="s">
        <v>57</v>
      </c>
      <c r="AG339">
        <v>10</v>
      </c>
      <c r="AH339" t="s">
        <v>57</v>
      </c>
      <c r="AL339" t="s">
        <v>57</v>
      </c>
      <c r="AM339" s="11">
        <v>44791</v>
      </c>
      <c r="AN339" t="s">
        <v>166</v>
      </c>
      <c r="AO339" t="s">
        <v>65</v>
      </c>
      <c r="AP339">
        <v>1201</v>
      </c>
      <c r="AQ339" t="s">
        <v>66</v>
      </c>
      <c r="AR339">
        <v>88669</v>
      </c>
      <c r="AU339" t="s">
        <v>57</v>
      </c>
      <c r="AV339" t="s">
        <v>68</v>
      </c>
      <c r="AX339" t="s">
        <v>57</v>
      </c>
      <c r="AY339">
        <v>631110</v>
      </c>
      <c r="AZ339">
        <v>1201.63111</v>
      </c>
      <c r="BA339" s="23" t="s">
        <v>11</v>
      </c>
    </row>
    <row r="340" spans="1:53" x14ac:dyDescent="0.25">
      <c r="A340" t="s">
        <v>134</v>
      </c>
      <c r="B340" t="s">
        <v>135</v>
      </c>
      <c r="C340">
        <v>22001883</v>
      </c>
      <c r="D340">
        <v>1201</v>
      </c>
      <c r="E340" s="11">
        <v>44791</v>
      </c>
      <c r="F340" t="s">
        <v>168</v>
      </c>
      <c r="G340">
        <v>2.25</v>
      </c>
      <c r="H340">
        <v>2.25</v>
      </c>
      <c r="I340" t="s">
        <v>56</v>
      </c>
      <c r="O340" t="s">
        <v>57</v>
      </c>
      <c r="Q340" t="s">
        <v>57</v>
      </c>
      <c r="R340" t="s">
        <v>137</v>
      </c>
      <c r="T340" t="s">
        <v>59</v>
      </c>
      <c r="U340" t="s">
        <v>60</v>
      </c>
      <c r="V340" t="s">
        <v>138</v>
      </c>
      <c r="W340" t="s">
        <v>139</v>
      </c>
      <c r="X340">
        <v>1933477</v>
      </c>
      <c r="Y340" s="11">
        <v>44791</v>
      </c>
      <c r="Z340" t="s">
        <v>57</v>
      </c>
      <c r="AA340">
        <v>6</v>
      </c>
      <c r="AB340" t="s">
        <v>57</v>
      </c>
      <c r="AD340" t="s">
        <v>57</v>
      </c>
      <c r="AE340" t="s">
        <v>57</v>
      </c>
      <c r="AF340" t="s">
        <v>57</v>
      </c>
      <c r="AG340">
        <v>20</v>
      </c>
      <c r="AH340" t="s">
        <v>57</v>
      </c>
      <c r="AL340" t="s">
        <v>57</v>
      </c>
      <c r="AM340" s="11">
        <v>44791</v>
      </c>
      <c r="AN340" t="s">
        <v>166</v>
      </c>
      <c r="AO340" t="s">
        <v>65</v>
      </c>
      <c r="AP340">
        <v>1201</v>
      </c>
      <c r="AQ340" t="s">
        <v>66</v>
      </c>
      <c r="AR340">
        <v>264575</v>
      </c>
      <c r="AU340" t="s">
        <v>57</v>
      </c>
      <c r="AV340" t="s">
        <v>68</v>
      </c>
      <c r="AX340" t="s">
        <v>57</v>
      </c>
      <c r="AY340">
        <v>631110</v>
      </c>
      <c r="AZ340">
        <v>1201.63111</v>
      </c>
      <c r="BA340" s="23" t="s">
        <v>11</v>
      </c>
    </row>
    <row r="341" spans="1:53" x14ac:dyDescent="0.25">
      <c r="A341" t="s">
        <v>134</v>
      </c>
      <c r="B341" t="s">
        <v>135</v>
      </c>
      <c r="C341">
        <v>22001883</v>
      </c>
      <c r="D341">
        <v>1201</v>
      </c>
      <c r="E341" s="11">
        <v>44791</v>
      </c>
      <c r="F341" t="s">
        <v>168</v>
      </c>
      <c r="G341">
        <v>1.68</v>
      </c>
      <c r="H341">
        <v>1.68</v>
      </c>
      <c r="I341" t="s">
        <v>56</v>
      </c>
      <c r="O341" t="s">
        <v>57</v>
      </c>
      <c r="Q341" t="s">
        <v>57</v>
      </c>
      <c r="R341" t="s">
        <v>137</v>
      </c>
      <c r="T341" t="s">
        <v>59</v>
      </c>
      <c r="U341" t="s">
        <v>60</v>
      </c>
      <c r="V341" t="s">
        <v>138</v>
      </c>
      <c r="W341" t="s">
        <v>139</v>
      </c>
      <c r="X341">
        <v>1933477</v>
      </c>
      <c r="Y341" s="11">
        <v>44791</v>
      </c>
      <c r="Z341" t="s">
        <v>57</v>
      </c>
      <c r="AA341">
        <v>8</v>
      </c>
      <c r="AB341" t="s">
        <v>57</v>
      </c>
      <c r="AD341" t="s">
        <v>57</v>
      </c>
      <c r="AE341" t="s">
        <v>57</v>
      </c>
      <c r="AF341" t="s">
        <v>57</v>
      </c>
      <c r="AG341">
        <v>10</v>
      </c>
      <c r="AH341" t="s">
        <v>57</v>
      </c>
      <c r="AL341" t="s">
        <v>57</v>
      </c>
      <c r="AM341" s="11">
        <v>44791</v>
      </c>
      <c r="AN341" t="s">
        <v>166</v>
      </c>
      <c r="AO341" t="s">
        <v>65</v>
      </c>
      <c r="AP341">
        <v>1201</v>
      </c>
      <c r="AQ341" t="s">
        <v>66</v>
      </c>
      <c r="AR341">
        <v>265523</v>
      </c>
      <c r="AU341" t="s">
        <v>57</v>
      </c>
      <c r="AV341" t="s">
        <v>68</v>
      </c>
      <c r="AX341" t="s">
        <v>57</v>
      </c>
      <c r="AY341">
        <v>631110</v>
      </c>
      <c r="AZ341">
        <v>1201.63111</v>
      </c>
      <c r="BA341" s="23" t="s">
        <v>11</v>
      </c>
    </row>
    <row r="342" spans="1:53" x14ac:dyDescent="0.25">
      <c r="A342" t="s">
        <v>134</v>
      </c>
      <c r="B342" t="s">
        <v>135</v>
      </c>
      <c r="C342">
        <v>22001883</v>
      </c>
      <c r="D342">
        <v>1201</v>
      </c>
      <c r="E342" s="11">
        <v>44791</v>
      </c>
      <c r="F342" t="s">
        <v>168</v>
      </c>
      <c r="G342">
        <v>1.54</v>
      </c>
      <c r="H342">
        <v>1.54</v>
      </c>
      <c r="I342" t="s">
        <v>56</v>
      </c>
      <c r="O342" t="s">
        <v>57</v>
      </c>
      <c r="Q342" t="s">
        <v>57</v>
      </c>
      <c r="R342" t="s">
        <v>137</v>
      </c>
      <c r="T342" t="s">
        <v>59</v>
      </c>
      <c r="U342" t="s">
        <v>60</v>
      </c>
      <c r="V342" t="s">
        <v>138</v>
      </c>
      <c r="W342" t="s">
        <v>139</v>
      </c>
      <c r="X342">
        <v>1933477</v>
      </c>
      <c r="Y342" s="11">
        <v>44791</v>
      </c>
      <c r="Z342" t="s">
        <v>57</v>
      </c>
      <c r="AA342">
        <v>10</v>
      </c>
      <c r="AB342" t="s">
        <v>57</v>
      </c>
      <c r="AD342" t="s">
        <v>57</v>
      </c>
      <c r="AE342" t="s">
        <v>57</v>
      </c>
      <c r="AF342" t="s">
        <v>57</v>
      </c>
      <c r="AG342">
        <v>10</v>
      </c>
      <c r="AH342" t="s">
        <v>57</v>
      </c>
      <c r="AL342" t="s">
        <v>57</v>
      </c>
      <c r="AM342" s="11">
        <v>44791</v>
      </c>
      <c r="AN342" t="s">
        <v>166</v>
      </c>
      <c r="AO342" t="s">
        <v>65</v>
      </c>
      <c r="AP342">
        <v>1201</v>
      </c>
      <c r="AQ342" t="s">
        <v>66</v>
      </c>
      <c r="AR342">
        <v>89712</v>
      </c>
      <c r="AU342" t="s">
        <v>57</v>
      </c>
      <c r="AV342" t="s">
        <v>68</v>
      </c>
      <c r="AX342" t="s">
        <v>57</v>
      </c>
      <c r="AY342">
        <v>631110</v>
      </c>
      <c r="AZ342">
        <v>1201.63111</v>
      </c>
      <c r="BA342" s="23" t="s">
        <v>11</v>
      </c>
    </row>
    <row r="343" spans="1:53" x14ac:dyDescent="0.25">
      <c r="A343" t="s">
        <v>134</v>
      </c>
      <c r="B343" t="s">
        <v>135</v>
      </c>
      <c r="C343">
        <v>22001889</v>
      </c>
      <c r="D343">
        <v>1201</v>
      </c>
      <c r="E343" s="11">
        <v>44795</v>
      </c>
      <c r="F343" t="s">
        <v>169</v>
      </c>
      <c r="G343">
        <v>0.2</v>
      </c>
      <c r="H343">
        <v>0.2</v>
      </c>
      <c r="I343" t="s">
        <v>56</v>
      </c>
      <c r="O343" t="s">
        <v>57</v>
      </c>
      <c r="Q343" t="s">
        <v>57</v>
      </c>
      <c r="R343" t="s">
        <v>137</v>
      </c>
      <c r="T343" t="s">
        <v>59</v>
      </c>
      <c r="U343" t="s">
        <v>60</v>
      </c>
      <c r="V343" t="s">
        <v>138</v>
      </c>
      <c r="W343" t="s">
        <v>139</v>
      </c>
      <c r="X343">
        <v>1934129</v>
      </c>
      <c r="Y343" s="11">
        <v>44795</v>
      </c>
      <c r="Z343" t="s">
        <v>57</v>
      </c>
      <c r="AA343">
        <v>12</v>
      </c>
      <c r="AB343" t="s">
        <v>57</v>
      </c>
      <c r="AD343" t="s">
        <v>57</v>
      </c>
      <c r="AE343" t="s">
        <v>57</v>
      </c>
      <c r="AF343" t="s">
        <v>57</v>
      </c>
      <c r="AG343">
        <v>2</v>
      </c>
      <c r="AH343" t="s">
        <v>57</v>
      </c>
      <c r="AL343" t="s">
        <v>57</v>
      </c>
      <c r="AM343" s="11">
        <v>44795</v>
      </c>
      <c r="AN343" t="s">
        <v>170</v>
      </c>
      <c r="AO343" t="s">
        <v>65</v>
      </c>
      <c r="AP343">
        <v>1201</v>
      </c>
      <c r="AQ343" t="s">
        <v>66</v>
      </c>
      <c r="AR343">
        <v>88519</v>
      </c>
      <c r="AU343" t="s">
        <v>57</v>
      </c>
      <c r="AV343" t="s">
        <v>68</v>
      </c>
      <c r="AX343" t="s">
        <v>57</v>
      </c>
      <c r="AY343">
        <v>631110</v>
      </c>
      <c r="AZ343">
        <v>1201.63111</v>
      </c>
      <c r="BA343" s="23" t="s">
        <v>11</v>
      </c>
    </row>
    <row r="344" spans="1:53" x14ac:dyDescent="0.25">
      <c r="A344" t="s">
        <v>134</v>
      </c>
      <c r="B344" t="s">
        <v>135</v>
      </c>
      <c r="C344">
        <v>22001889</v>
      </c>
      <c r="D344">
        <v>1201</v>
      </c>
      <c r="E344" s="11">
        <v>44795</v>
      </c>
      <c r="F344" t="s">
        <v>169</v>
      </c>
      <c r="G344">
        <v>4.38</v>
      </c>
      <c r="H344">
        <v>4.38</v>
      </c>
      <c r="I344" t="s">
        <v>56</v>
      </c>
      <c r="O344" t="s">
        <v>57</v>
      </c>
      <c r="Q344" t="s">
        <v>57</v>
      </c>
      <c r="R344" t="s">
        <v>137</v>
      </c>
      <c r="T344" t="s">
        <v>59</v>
      </c>
      <c r="U344" t="s">
        <v>60</v>
      </c>
      <c r="V344" t="s">
        <v>138</v>
      </c>
      <c r="W344" t="s">
        <v>139</v>
      </c>
      <c r="X344">
        <v>1934129</v>
      </c>
      <c r="Y344" s="11">
        <v>44795</v>
      </c>
      <c r="Z344" t="s">
        <v>57</v>
      </c>
      <c r="AA344">
        <v>2</v>
      </c>
      <c r="AB344" t="s">
        <v>57</v>
      </c>
      <c r="AD344" t="s">
        <v>57</v>
      </c>
      <c r="AE344" t="s">
        <v>57</v>
      </c>
      <c r="AF344" t="s">
        <v>57</v>
      </c>
      <c r="AG344">
        <v>5</v>
      </c>
      <c r="AH344" t="s">
        <v>57</v>
      </c>
      <c r="AL344" t="s">
        <v>57</v>
      </c>
      <c r="AM344" s="11">
        <v>44795</v>
      </c>
      <c r="AN344" t="s">
        <v>170</v>
      </c>
      <c r="AO344" t="s">
        <v>65</v>
      </c>
      <c r="AP344">
        <v>1201</v>
      </c>
      <c r="AQ344" t="s">
        <v>66</v>
      </c>
      <c r="AR344">
        <v>88704</v>
      </c>
      <c r="AU344" t="s">
        <v>57</v>
      </c>
      <c r="AV344" t="s">
        <v>68</v>
      </c>
      <c r="AX344" t="s">
        <v>57</v>
      </c>
      <c r="AY344">
        <v>631110</v>
      </c>
      <c r="AZ344">
        <v>1201.63111</v>
      </c>
      <c r="BA344" s="23" t="s">
        <v>11</v>
      </c>
    </row>
    <row r="345" spans="1:53" x14ac:dyDescent="0.25">
      <c r="A345" t="s">
        <v>134</v>
      </c>
      <c r="B345" t="s">
        <v>135</v>
      </c>
      <c r="C345">
        <v>22001889</v>
      </c>
      <c r="D345">
        <v>1201</v>
      </c>
      <c r="E345" s="11">
        <v>44795</v>
      </c>
      <c r="F345" t="s">
        <v>169</v>
      </c>
      <c r="G345">
        <v>6.91</v>
      </c>
      <c r="H345">
        <v>6.91</v>
      </c>
      <c r="I345" t="s">
        <v>56</v>
      </c>
      <c r="O345" t="s">
        <v>57</v>
      </c>
      <c r="Q345" t="s">
        <v>57</v>
      </c>
      <c r="R345" t="s">
        <v>137</v>
      </c>
      <c r="T345" t="s">
        <v>59</v>
      </c>
      <c r="U345" t="s">
        <v>60</v>
      </c>
      <c r="V345" t="s">
        <v>138</v>
      </c>
      <c r="W345" t="s">
        <v>139</v>
      </c>
      <c r="X345">
        <v>1934129</v>
      </c>
      <c r="Y345" s="11">
        <v>44795</v>
      </c>
      <c r="Z345" t="s">
        <v>57</v>
      </c>
      <c r="AA345">
        <v>4</v>
      </c>
      <c r="AB345" t="s">
        <v>57</v>
      </c>
      <c r="AD345" t="s">
        <v>57</v>
      </c>
      <c r="AE345" t="s">
        <v>57</v>
      </c>
      <c r="AF345" t="s">
        <v>57</v>
      </c>
      <c r="AG345">
        <v>2</v>
      </c>
      <c r="AH345" t="s">
        <v>57</v>
      </c>
      <c r="AL345" t="s">
        <v>57</v>
      </c>
      <c r="AM345" s="11">
        <v>44795</v>
      </c>
      <c r="AN345" t="s">
        <v>170</v>
      </c>
      <c r="AO345" t="s">
        <v>65</v>
      </c>
      <c r="AP345">
        <v>1201</v>
      </c>
      <c r="AQ345" t="s">
        <v>66</v>
      </c>
      <c r="AR345">
        <v>206793</v>
      </c>
      <c r="AU345" t="s">
        <v>57</v>
      </c>
      <c r="AV345" t="s">
        <v>68</v>
      </c>
      <c r="AX345" t="s">
        <v>57</v>
      </c>
      <c r="AY345">
        <v>631110</v>
      </c>
      <c r="AZ345">
        <v>1201.63111</v>
      </c>
      <c r="BA345" s="23" t="s">
        <v>11</v>
      </c>
    </row>
    <row r="346" spans="1:53" x14ac:dyDescent="0.25">
      <c r="A346" t="s">
        <v>134</v>
      </c>
      <c r="B346" t="s">
        <v>135</v>
      </c>
      <c r="C346">
        <v>22001889</v>
      </c>
      <c r="D346">
        <v>1201</v>
      </c>
      <c r="E346" s="11">
        <v>44795</v>
      </c>
      <c r="F346" t="s">
        <v>169</v>
      </c>
      <c r="G346">
        <v>4.32</v>
      </c>
      <c r="H346">
        <v>4.32</v>
      </c>
      <c r="I346" t="s">
        <v>56</v>
      </c>
      <c r="O346" t="s">
        <v>57</v>
      </c>
      <c r="Q346" t="s">
        <v>57</v>
      </c>
      <c r="R346" t="s">
        <v>137</v>
      </c>
      <c r="T346" t="s">
        <v>59</v>
      </c>
      <c r="U346" t="s">
        <v>60</v>
      </c>
      <c r="V346" t="s">
        <v>138</v>
      </c>
      <c r="W346" t="s">
        <v>139</v>
      </c>
      <c r="X346">
        <v>1934129</v>
      </c>
      <c r="Y346" s="11">
        <v>44795</v>
      </c>
      <c r="Z346" t="s">
        <v>57</v>
      </c>
      <c r="AA346">
        <v>6</v>
      </c>
      <c r="AB346" t="s">
        <v>57</v>
      </c>
      <c r="AD346" t="s">
        <v>57</v>
      </c>
      <c r="AE346" t="s">
        <v>57</v>
      </c>
      <c r="AF346" t="s">
        <v>57</v>
      </c>
      <c r="AG346">
        <v>1</v>
      </c>
      <c r="AH346" t="s">
        <v>57</v>
      </c>
      <c r="AL346" t="s">
        <v>57</v>
      </c>
      <c r="AM346" s="11">
        <v>44795</v>
      </c>
      <c r="AN346" t="s">
        <v>170</v>
      </c>
      <c r="AO346" t="s">
        <v>65</v>
      </c>
      <c r="AP346">
        <v>1201</v>
      </c>
      <c r="AQ346" t="s">
        <v>66</v>
      </c>
      <c r="AR346">
        <v>166051</v>
      </c>
      <c r="AU346" t="s">
        <v>57</v>
      </c>
      <c r="AV346" t="s">
        <v>68</v>
      </c>
      <c r="AX346" t="s">
        <v>57</v>
      </c>
      <c r="AY346">
        <v>631110</v>
      </c>
      <c r="AZ346">
        <v>1201.63111</v>
      </c>
      <c r="BA346" s="23" t="s">
        <v>11</v>
      </c>
    </row>
    <row r="347" spans="1:53" x14ac:dyDescent="0.25">
      <c r="A347" t="s">
        <v>134</v>
      </c>
      <c r="B347" t="s">
        <v>135</v>
      </c>
      <c r="C347">
        <v>22001889</v>
      </c>
      <c r="D347">
        <v>1201</v>
      </c>
      <c r="E347" s="11">
        <v>44795</v>
      </c>
      <c r="F347" t="s">
        <v>169</v>
      </c>
      <c r="G347">
        <v>3.8</v>
      </c>
      <c r="H347">
        <v>3.8</v>
      </c>
      <c r="I347" t="s">
        <v>56</v>
      </c>
      <c r="O347" t="s">
        <v>57</v>
      </c>
      <c r="Q347" t="s">
        <v>57</v>
      </c>
      <c r="R347" t="s">
        <v>137</v>
      </c>
      <c r="T347" t="s">
        <v>59</v>
      </c>
      <c r="U347" t="s">
        <v>60</v>
      </c>
      <c r="V347" t="s">
        <v>138</v>
      </c>
      <c r="W347" t="s">
        <v>139</v>
      </c>
      <c r="X347">
        <v>1934129</v>
      </c>
      <c r="Y347" s="11">
        <v>44795</v>
      </c>
      <c r="Z347" t="s">
        <v>57</v>
      </c>
      <c r="AA347">
        <v>8</v>
      </c>
      <c r="AB347" t="s">
        <v>57</v>
      </c>
      <c r="AD347" t="s">
        <v>57</v>
      </c>
      <c r="AE347" t="s">
        <v>57</v>
      </c>
      <c r="AF347" t="s">
        <v>57</v>
      </c>
      <c r="AG347">
        <v>1</v>
      </c>
      <c r="AH347" t="s">
        <v>57</v>
      </c>
      <c r="AL347" t="s">
        <v>57</v>
      </c>
      <c r="AM347" s="11">
        <v>44795</v>
      </c>
      <c r="AN347" t="s">
        <v>170</v>
      </c>
      <c r="AO347" t="s">
        <v>65</v>
      </c>
      <c r="AP347">
        <v>1201</v>
      </c>
      <c r="AQ347" t="s">
        <v>66</v>
      </c>
      <c r="AR347">
        <v>182375</v>
      </c>
      <c r="AU347" t="s">
        <v>57</v>
      </c>
      <c r="AV347" t="s">
        <v>68</v>
      </c>
      <c r="AX347" t="s">
        <v>57</v>
      </c>
      <c r="AY347">
        <v>631110</v>
      </c>
      <c r="AZ347">
        <v>1201.63111</v>
      </c>
      <c r="BA347" s="23" t="s">
        <v>11</v>
      </c>
    </row>
    <row r="348" spans="1:53" x14ac:dyDescent="0.25">
      <c r="A348" t="s">
        <v>134</v>
      </c>
      <c r="B348" t="s">
        <v>135</v>
      </c>
      <c r="C348">
        <v>22001889</v>
      </c>
      <c r="D348">
        <v>1201</v>
      </c>
      <c r="E348" s="11">
        <v>44795</v>
      </c>
      <c r="F348" t="s">
        <v>169</v>
      </c>
      <c r="G348">
        <v>20.82</v>
      </c>
      <c r="H348">
        <v>20.82</v>
      </c>
      <c r="I348" t="s">
        <v>56</v>
      </c>
      <c r="O348" t="s">
        <v>57</v>
      </c>
      <c r="Q348" t="s">
        <v>57</v>
      </c>
      <c r="R348" t="s">
        <v>137</v>
      </c>
      <c r="T348" t="s">
        <v>59</v>
      </c>
      <c r="U348" t="s">
        <v>60</v>
      </c>
      <c r="V348" t="s">
        <v>138</v>
      </c>
      <c r="W348" t="s">
        <v>139</v>
      </c>
      <c r="X348">
        <v>1934129</v>
      </c>
      <c r="Y348" s="11">
        <v>44795</v>
      </c>
      <c r="Z348" t="s">
        <v>57</v>
      </c>
      <c r="AA348">
        <v>10</v>
      </c>
      <c r="AB348" t="s">
        <v>57</v>
      </c>
      <c r="AD348" t="s">
        <v>57</v>
      </c>
      <c r="AE348" t="s">
        <v>57</v>
      </c>
      <c r="AF348" t="s">
        <v>57</v>
      </c>
      <c r="AG348">
        <v>1</v>
      </c>
      <c r="AH348" t="s">
        <v>57</v>
      </c>
      <c r="AL348" t="s">
        <v>57</v>
      </c>
      <c r="AM348" s="11">
        <v>44795</v>
      </c>
      <c r="AN348" t="s">
        <v>170</v>
      </c>
      <c r="AO348" t="s">
        <v>65</v>
      </c>
      <c r="AP348">
        <v>1201</v>
      </c>
      <c r="AQ348" t="s">
        <v>66</v>
      </c>
      <c r="AR348">
        <v>208951</v>
      </c>
      <c r="AU348" t="s">
        <v>57</v>
      </c>
      <c r="AV348" t="s">
        <v>68</v>
      </c>
      <c r="AX348" t="s">
        <v>57</v>
      </c>
      <c r="AY348">
        <v>631110</v>
      </c>
      <c r="AZ348">
        <v>1201.63111</v>
      </c>
      <c r="BA348" s="23" t="s">
        <v>11</v>
      </c>
    </row>
    <row r="349" spans="1:53" x14ac:dyDescent="0.25">
      <c r="A349" t="s">
        <v>134</v>
      </c>
      <c r="B349" t="s">
        <v>135</v>
      </c>
      <c r="C349">
        <v>22001904</v>
      </c>
      <c r="D349">
        <v>1201</v>
      </c>
      <c r="E349" s="11">
        <v>44795</v>
      </c>
      <c r="F349" t="s">
        <v>172</v>
      </c>
      <c r="G349">
        <v>55.17</v>
      </c>
      <c r="H349">
        <v>55.17</v>
      </c>
      <c r="I349" t="s">
        <v>56</v>
      </c>
      <c r="O349" t="s">
        <v>57</v>
      </c>
      <c r="Q349" t="s">
        <v>57</v>
      </c>
      <c r="R349" t="s">
        <v>137</v>
      </c>
      <c r="T349" t="s">
        <v>59</v>
      </c>
      <c r="U349" t="s">
        <v>60</v>
      </c>
      <c r="V349" t="s">
        <v>138</v>
      </c>
      <c r="W349" t="s">
        <v>139</v>
      </c>
      <c r="X349">
        <v>1934260</v>
      </c>
      <c r="Y349" s="11">
        <v>44795</v>
      </c>
      <c r="Z349" t="s">
        <v>57</v>
      </c>
      <c r="AA349">
        <v>2</v>
      </c>
      <c r="AB349" t="s">
        <v>57</v>
      </c>
      <c r="AD349" t="s">
        <v>57</v>
      </c>
      <c r="AE349" t="s">
        <v>57</v>
      </c>
      <c r="AF349" t="s">
        <v>57</v>
      </c>
      <c r="AG349">
        <v>7</v>
      </c>
      <c r="AH349" t="s">
        <v>57</v>
      </c>
      <c r="AL349" t="s">
        <v>57</v>
      </c>
      <c r="AM349" s="11">
        <v>44795</v>
      </c>
      <c r="AN349" t="s">
        <v>170</v>
      </c>
      <c r="AO349" t="s">
        <v>65</v>
      </c>
      <c r="AP349">
        <v>1201</v>
      </c>
      <c r="AQ349" t="s">
        <v>66</v>
      </c>
      <c r="AR349">
        <v>227112</v>
      </c>
      <c r="AU349" t="s">
        <v>57</v>
      </c>
      <c r="AV349" t="s">
        <v>68</v>
      </c>
      <c r="AX349" t="s">
        <v>57</v>
      </c>
      <c r="AY349">
        <v>631110</v>
      </c>
      <c r="AZ349">
        <v>1201.63111</v>
      </c>
      <c r="BA349" s="23" t="s">
        <v>11</v>
      </c>
    </row>
    <row r="350" spans="1:53" x14ac:dyDescent="0.25">
      <c r="A350" t="s">
        <v>134</v>
      </c>
      <c r="B350" t="s">
        <v>135</v>
      </c>
      <c r="C350">
        <v>22001905</v>
      </c>
      <c r="D350">
        <v>1201</v>
      </c>
      <c r="E350" s="11">
        <v>44795</v>
      </c>
      <c r="F350" t="s">
        <v>171</v>
      </c>
      <c r="G350">
        <v>24.56</v>
      </c>
      <c r="H350">
        <v>24.56</v>
      </c>
      <c r="I350" t="s">
        <v>56</v>
      </c>
      <c r="O350" t="s">
        <v>57</v>
      </c>
      <c r="Q350" t="s">
        <v>57</v>
      </c>
      <c r="R350" t="s">
        <v>137</v>
      </c>
      <c r="T350" t="s">
        <v>59</v>
      </c>
      <c r="U350" t="s">
        <v>60</v>
      </c>
      <c r="V350" t="s">
        <v>138</v>
      </c>
      <c r="W350" t="s">
        <v>139</v>
      </c>
      <c r="X350">
        <v>1934260</v>
      </c>
      <c r="Y350" s="11">
        <v>44795</v>
      </c>
      <c r="Z350" t="s">
        <v>57</v>
      </c>
      <c r="AA350">
        <v>2</v>
      </c>
      <c r="AB350" t="s">
        <v>57</v>
      </c>
      <c r="AD350" t="s">
        <v>57</v>
      </c>
      <c r="AE350" t="s">
        <v>57</v>
      </c>
      <c r="AF350" t="s">
        <v>57</v>
      </c>
      <c r="AG350">
        <v>3</v>
      </c>
      <c r="AH350" t="s">
        <v>57</v>
      </c>
      <c r="AL350" t="s">
        <v>57</v>
      </c>
      <c r="AM350" s="11">
        <v>44795</v>
      </c>
      <c r="AN350" t="s">
        <v>170</v>
      </c>
      <c r="AO350" t="s">
        <v>65</v>
      </c>
      <c r="AP350">
        <v>1201</v>
      </c>
      <c r="AQ350" t="s">
        <v>66</v>
      </c>
      <c r="AR350">
        <v>273929</v>
      </c>
      <c r="AU350" t="s">
        <v>57</v>
      </c>
      <c r="AV350" t="s">
        <v>68</v>
      </c>
      <c r="AX350" t="s">
        <v>57</v>
      </c>
      <c r="AY350">
        <v>631110</v>
      </c>
      <c r="AZ350">
        <v>1201.63111</v>
      </c>
      <c r="BA350" s="23" t="s">
        <v>11</v>
      </c>
    </row>
    <row r="351" spans="1:53" x14ac:dyDescent="0.25">
      <c r="A351" t="s">
        <v>134</v>
      </c>
      <c r="B351" t="s">
        <v>135</v>
      </c>
      <c r="C351">
        <v>22001906</v>
      </c>
      <c r="D351">
        <v>1201</v>
      </c>
      <c r="E351" s="11">
        <v>44795</v>
      </c>
      <c r="F351" t="s">
        <v>168</v>
      </c>
      <c r="G351">
        <v>1</v>
      </c>
      <c r="H351">
        <v>1</v>
      </c>
      <c r="I351" t="s">
        <v>56</v>
      </c>
      <c r="O351" t="s">
        <v>57</v>
      </c>
      <c r="Q351" t="s">
        <v>57</v>
      </c>
      <c r="R351" t="s">
        <v>137</v>
      </c>
      <c r="T351" t="s">
        <v>59</v>
      </c>
      <c r="U351" t="s">
        <v>60</v>
      </c>
      <c r="V351" t="s">
        <v>138</v>
      </c>
      <c r="W351" t="s">
        <v>139</v>
      </c>
      <c r="X351">
        <v>1934277</v>
      </c>
      <c r="Y351" s="11">
        <v>44795</v>
      </c>
      <c r="Z351" t="s">
        <v>57</v>
      </c>
      <c r="AA351">
        <v>6</v>
      </c>
      <c r="AB351" t="s">
        <v>57</v>
      </c>
      <c r="AD351" t="s">
        <v>57</v>
      </c>
      <c r="AE351" t="s">
        <v>57</v>
      </c>
      <c r="AF351" t="s">
        <v>57</v>
      </c>
      <c r="AG351">
        <v>12</v>
      </c>
      <c r="AH351" t="s">
        <v>57</v>
      </c>
      <c r="AL351" t="s">
        <v>57</v>
      </c>
      <c r="AM351" s="11">
        <v>44795</v>
      </c>
      <c r="AN351" t="s">
        <v>166</v>
      </c>
      <c r="AO351" t="s">
        <v>65</v>
      </c>
      <c r="AP351">
        <v>1201</v>
      </c>
      <c r="AQ351" t="s">
        <v>66</v>
      </c>
      <c r="AR351">
        <v>91480</v>
      </c>
      <c r="AU351" t="s">
        <v>57</v>
      </c>
      <c r="AV351" t="s">
        <v>68</v>
      </c>
      <c r="AX351" t="s">
        <v>57</v>
      </c>
      <c r="AY351">
        <v>631110</v>
      </c>
      <c r="AZ351">
        <v>1201.63111</v>
      </c>
      <c r="BA351" s="23" t="s">
        <v>11</v>
      </c>
    </row>
    <row r="352" spans="1:53" x14ac:dyDescent="0.25">
      <c r="A352" t="s">
        <v>134</v>
      </c>
      <c r="B352" t="s">
        <v>135</v>
      </c>
      <c r="C352">
        <v>22001906</v>
      </c>
      <c r="D352">
        <v>1201</v>
      </c>
      <c r="E352" s="11">
        <v>44795</v>
      </c>
      <c r="F352" t="s">
        <v>168</v>
      </c>
      <c r="G352">
        <v>2.58</v>
      </c>
      <c r="H352">
        <v>2.58</v>
      </c>
      <c r="I352" t="s">
        <v>56</v>
      </c>
      <c r="O352" t="s">
        <v>57</v>
      </c>
      <c r="Q352" t="s">
        <v>57</v>
      </c>
      <c r="R352" t="s">
        <v>137</v>
      </c>
      <c r="T352" t="s">
        <v>59</v>
      </c>
      <c r="U352" t="s">
        <v>60</v>
      </c>
      <c r="V352" t="s">
        <v>138</v>
      </c>
      <c r="W352" t="s">
        <v>139</v>
      </c>
      <c r="X352">
        <v>1934277</v>
      </c>
      <c r="Y352" s="11">
        <v>44795</v>
      </c>
      <c r="Z352" t="s">
        <v>57</v>
      </c>
      <c r="AA352">
        <v>8</v>
      </c>
      <c r="AB352" t="s">
        <v>57</v>
      </c>
      <c r="AD352" t="s">
        <v>57</v>
      </c>
      <c r="AE352" t="s">
        <v>57</v>
      </c>
      <c r="AF352" t="s">
        <v>57</v>
      </c>
      <c r="AG352">
        <v>23</v>
      </c>
      <c r="AH352" t="s">
        <v>57</v>
      </c>
      <c r="AL352" t="s">
        <v>57</v>
      </c>
      <c r="AM352" s="11">
        <v>44795</v>
      </c>
      <c r="AN352" t="s">
        <v>166</v>
      </c>
      <c r="AO352" t="s">
        <v>65</v>
      </c>
      <c r="AP352">
        <v>1201</v>
      </c>
      <c r="AQ352" t="s">
        <v>66</v>
      </c>
      <c r="AR352">
        <v>265267</v>
      </c>
      <c r="AU352" t="s">
        <v>57</v>
      </c>
      <c r="AV352" t="s">
        <v>68</v>
      </c>
      <c r="AX352" t="s">
        <v>57</v>
      </c>
      <c r="AY352">
        <v>631110</v>
      </c>
      <c r="AZ352">
        <v>1201.63111</v>
      </c>
      <c r="BA352" s="23" t="s">
        <v>11</v>
      </c>
    </row>
    <row r="353" spans="1:53" x14ac:dyDescent="0.25">
      <c r="A353" t="s">
        <v>134</v>
      </c>
      <c r="B353" t="s">
        <v>135</v>
      </c>
      <c r="C353">
        <v>22001906</v>
      </c>
      <c r="D353">
        <v>1201</v>
      </c>
      <c r="E353" s="11">
        <v>44795</v>
      </c>
      <c r="F353" t="s">
        <v>168</v>
      </c>
      <c r="G353">
        <v>0.23</v>
      </c>
      <c r="H353">
        <v>0.23</v>
      </c>
      <c r="I353" t="s">
        <v>56</v>
      </c>
      <c r="O353" t="s">
        <v>57</v>
      </c>
      <c r="Q353" t="s">
        <v>57</v>
      </c>
      <c r="R353" t="s">
        <v>137</v>
      </c>
      <c r="T353" t="s">
        <v>59</v>
      </c>
      <c r="U353" t="s">
        <v>60</v>
      </c>
      <c r="V353" t="s">
        <v>138</v>
      </c>
      <c r="W353" t="s">
        <v>139</v>
      </c>
      <c r="X353">
        <v>1934277</v>
      </c>
      <c r="Y353" s="11">
        <v>44795</v>
      </c>
      <c r="Z353" t="s">
        <v>57</v>
      </c>
      <c r="AA353">
        <v>10</v>
      </c>
      <c r="AB353" t="s">
        <v>57</v>
      </c>
      <c r="AD353" t="s">
        <v>57</v>
      </c>
      <c r="AE353" t="s">
        <v>57</v>
      </c>
      <c r="AF353" t="s">
        <v>57</v>
      </c>
      <c r="AG353">
        <v>2</v>
      </c>
      <c r="AH353" t="s">
        <v>57</v>
      </c>
      <c r="AL353" t="s">
        <v>57</v>
      </c>
      <c r="AM353" s="11">
        <v>44795</v>
      </c>
      <c r="AN353" t="s">
        <v>166</v>
      </c>
      <c r="AO353" t="s">
        <v>65</v>
      </c>
      <c r="AP353">
        <v>1201</v>
      </c>
      <c r="AQ353" t="s">
        <v>66</v>
      </c>
      <c r="AR353">
        <v>265490</v>
      </c>
      <c r="AU353" t="s">
        <v>57</v>
      </c>
      <c r="AV353" t="s">
        <v>68</v>
      </c>
      <c r="AX353" t="s">
        <v>57</v>
      </c>
      <c r="AY353">
        <v>631110</v>
      </c>
      <c r="AZ353">
        <v>1201.63111</v>
      </c>
      <c r="BA353" s="23" t="s">
        <v>11</v>
      </c>
    </row>
    <row r="354" spans="1:53" x14ac:dyDescent="0.25">
      <c r="A354" t="s">
        <v>134</v>
      </c>
      <c r="B354" t="s">
        <v>135</v>
      </c>
      <c r="C354">
        <v>22001906</v>
      </c>
      <c r="D354">
        <v>1201</v>
      </c>
      <c r="E354" s="11">
        <v>44795</v>
      </c>
      <c r="F354" t="s">
        <v>168</v>
      </c>
      <c r="G354">
        <v>1.68</v>
      </c>
      <c r="H354">
        <v>1.68</v>
      </c>
      <c r="I354" t="s">
        <v>56</v>
      </c>
      <c r="O354" t="s">
        <v>57</v>
      </c>
      <c r="Q354" t="s">
        <v>57</v>
      </c>
      <c r="R354" t="s">
        <v>137</v>
      </c>
      <c r="T354" t="s">
        <v>59</v>
      </c>
      <c r="U354" t="s">
        <v>60</v>
      </c>
      <c r="V354" t="s">
        <v>138</v>
      </c>
      <c r="W354" t="s">
        <v>139</v>
      </c>
      <c r="X354">
        <v>1934277</v>
      </c>
      <c r="Y354" s="11">
        <v>44795</v>
      </c>
      <c r="Z354" t="s">
        <v>57</v>
      </c>
      <c r="AA354">
        <v>16</v>
      </c>
      <c r="AB354" t="s">
        <v>57</v>
      </c>
      <c r="AD354" t="s">
        <v>57</v>
      </c>
      <c r="AE354" t="s">
        <v>57</v>
      </c>
      <c r="AF354" t="s">
        <v>57</v>
      </c>
      <c r="AG354">
        <v>10</v>
      </c>
      <c r="AH354" t="s">
        <v>57</v>
      </c>
      <c r="AL354" t="s">
        <v>57</v>
      </c>
      <c r="AM354" s="11">
        <v>44795</v>
      </c>
      <c r="AN354" t="s">
        <v>166</v>
      </c>
      <c r="AO354" t="s">
        <v>65</v>
      </c>
      <c r="AP354">
        <v>1201</v>
      </c>
      <c r="AQ354" t="s">
        <v>66</v>
      </c>
      <c r="AR354">
        <v>265523</v>
      </c>
      <c r="AU354" t="s">
        <v>57</v>
      </c>
      <c r="AV354" t="s">
        <v>68</v>
      </c>
      <c r="AX354" t="s">
        <v>57</v>
      </c>
      <c r="AY354">
        <v>631110</v>
      </c>
      <c r="AZ354">
        <v>1201.63111</v>
      </c>
      <c r="BA354" s="23" t="s">
        <v>11</v>
      </c>
    </row>
    <row r="355" spans="1:53" x14ac:dyDescent="0.25">
      <c r="A355" t="s">
        <v>134</v>
      </c>
      <c r="B355" t="s">
        <v>135</v>
      </c>
      <c r="C355">
        <v>22001906</v>
      </c>
      <c r="D355">
        <v>1201</v>
      </c>
      <c r="E355" s="11">
        <v>44795</v>
      </c>
      <c r="F355" t="s">
        <v>168</v>
      </c>
      <c r="G355">
        <v>1.54</v>
      </c>
      <c r="H355">
        <v>1.54</v>
      </c>
      <c r="I355" t="s">
        <v>56</v>
      </c>
      <c r="O355" t="s">
        <v>57</v>
      </c>
      <c r="Q355" t="s">
        <v>57</v>
      </c>
      <c r="R355" t="s">
        <v>137</v>
      </c>
      <c r="T355" t="s">
        <v>59</v>
      </c>
      <c r="U355" t="s">
        <v>60</v>
      </c>
      <c r="V355" t="s">
        <v>138</v>
      </c>
      <c r="W355" t="s">
        <v>139</v>
      </c>
      <c r="X355">
        <v>1934277</v>
      </c>
      <c r="Y355" s="11">
        <v>44795</v>
      </c>
      <c r="Z355" t="s">
        <v>57</v>
      </c>
      <c r="AA355">
        <v>18</v>
      </c>
      <c r="AB355" t="s">
        <v>57</v>
      </c>
      <c r="AD355" t="s">
        <v>57</v>
      </c>
      <c r="AE355" t="s">
        <v>57</v>
      </c>
      <c r="AF355" t="s">
        <v>57</v>
      </c>
      <c r="AG355">
        <v>10</v>
      </c>
      <c r="AH355" t="s">
        <v>57</v>
      </c>
      <c r="AL355" t="s">
        <v>57</v>
      </c>
      <c r="AM355" s="11">
        <v>44795</v>
      </c>
      <c r="AN355" t="s">
        <v>166</v>
      </c>
      <c r="AO355" t="s">
        <v>65</v>
      </c>
      <c r="AP355">
        <v>1201</v>
      </c>
      <c r="AQ355" t="s">
        <v>66</v>
      </c>
      <c r="AR355">
        <v>89712</v>
      </c>
      <c r="AU355" t="s">
        <v>57</v>
      </c>
      <c r="AV355" t="s">
        <v>68</v>
      </c>
      <c r="AX355" t="s">
        <v>57</v>
      </c>
      <c r="AY355">
        <v>631110</v>
      </c>
      <c r="AZ355">
        <v>1201.63111</v>
      </c>
      <c r="BA355" s="23" t="s">
        <v>11</v>
      </c>
    </row>
    <row r="356" spans="1:53" x14ac:dyDescent="0.25">
      <c r="A356" t="s">
        <v>134</v>
      </c>
      <c r="B356" t="s">
        <v>135</v>
      </c>
      <c r="C356">
        <v>22001906</v>
      </c>
      <c r="D356">
        <v>1201</v>
      </c>
      <c r="E356" s="11">
        <v>44795</v>
      </c>
      <c r="F356" t="s">
        <v>168</v>
      </c>
      <c r="I356" t="s">
        <v>56</v>
      </c>
      <c r="O356" t="s">
        <v>57</v>
      </c>
      <c r="Q356" t="s">
        <v>57</v>
      </c>
      <c r="R356" t="s">
        <v>137</v>
      </c>
      <c r="T356" t="s">
        <v>59</v>
      </c>
      <c r="U356" t="s">
        <v>60</v>
      </c>
      <c r="V356" t="s">
        <v>138</v>
      </c>
      <c r="W356" t="s">
        <v>139</v>
      </c>
      <c r="X356">
        <v>1934277</v>
      </c>
      <c r="Y356" s="11">
        <v>44795</v>
      </c>
      <c r="Z356" t="s">
        <v>57</v>
      </c>
      <c r="AA356">
        <v>20</v>
      </c>
      <c r="AB356" t="s">
        <v>57</v>
      </c>
      <c r="AD356" t="s">
        <v>57</v>
      </c>
      <c r="AE356" t="s">
        <v>57</v>
      </c>
      <c r="AF356" t="s">
        <v>57</v>
      </c>
      <c r="AG356">
        <v>2</v>
      </c>
      <c r="AH356" t="s">
        <v>57</v>
      </c>
      <c r="AL356" t="s">
        <v>57</v>
      </c>
      <c r="AM356" s="11">
        <v>44795</v>
      </c>
      <c r="AN356" t="s">
        <v>166</v>
      </c>
      <c r="AO356" t="s">
        <v>65</v>
      </c>
      <c r="AP356">
        <v>1201</v>
      </c>
      <c r="AQ356" t="s">
        <v>66</v>
      </c>
      <c r="AR356">
        <v>89719</v>
      </c>
      <c r="AU356" t="s">
        <v>57</v>
      </c>
      <c r="AV356" t="s">
        <v>68</v>
      </c>
      <c r="AX356" t="s">
        <v>57</v>
      </c>
      <c r="AY356">
        <v>631110</v>
      </c>
      <c r="AZ356">
        <v>1201.63111</v>
      </c>
      <c r="BA356" s="23" t="s">
        <v>11</v>
      </c>
    </row>
    <row r="357" spans="1:53" x14ac:dyDescent="0.25">
      <c r="A357" t="s">
        <v>134</v>
      </c>
      <c r="B357" t="s">
        <v>135</v>
      </c>
      <c r="C357">
        <v>22001906</v>
      </c>
      <c r="D357">
        <v>1201</v>
      </c>
      <c r="E357" s="11">
        <v>44795</v>
      </c>
      <c r="F357" t="s">
        <v>168</v>
      </c>
      <c r="G357">
        <v>0.56000000000000005</v>
      </c>
      <c r="H357">
        <v>0.56000000000000005</v>
      </c>
      <c r="I357" t="s">
        <v>56</v>
      </c>
      <c r="O357" t="s">
        <v>57</v>
      </c>
      <c r="Q357" t="s">
        <v>57</v>
      </c>
      <c r="R357" t="s">
        <v>137</v>
      </c>
      <c r="T357" t="s">
        <v>59</v>
      </c>
      <c r="U357" t="s">
        <v>60</v>
      </c>
      <c r="V357" t="s">
        <v>138</v>
      </c>
      <c r="W357" t="s">
        <v>139</v>
      </c>
      <c r="X357">
        <v>1934277</v>
      </c>
      <c r="Y357" s="11">
        <v>44795</v>
      </c>
      <c r="Z357" t="s">
        <v>57</v>
      </c>
      <c r="AA357">
        <v>22</v>
      </c>
      <c r="AB357" t="s">
        <v>57</v>
      </c>
      <c r="AD357" t="s">
        <v>57</v>
      </c>
      <c r="AE357" t="s">
        <v>57</v>
      </c>
      <c r="AF357" t="s">
        <v>57</v>
      </c>
      <c r="AG357">
        <v>3</v>
      </c>
      <c r="AH357" t="s">
        <v>57</v>
      </c>
      <c r="AL357" t="s">
        <v>57</v>
      </c>
      <c r="AM357" s="11">
        <v>44795</v>
      </c>
      <c r="AN357" t="s">
        <v>166</v>
      </c>
      <c r="AO357" t="s">
        <v>65</v>
      </c>
      <c r="AP357">
        <v>1201</v>
      </c>
      <c r="AQ357" t="s">
        <v>66</v>
      </c>
      <c r="AR357">
        <v>88668</v>
      </c>
      <c r="AU357" t="s">
        <v>57</v>
      </c>
      <c r="AV357" t="s">
        <v>68</v>
      </c>
      <c r="AX357" t="s">
        <v>57</v>
      </c>
      <c r="AY357">
        <v>631110</v>
      </c>
      <c r="AZ357">
        <v>1201.63111</v>
      </c>
      <c r="BA357" s="23" t="s">
        <v>11</v>
      </c>
    </row>
    <row r="358" spans="1:53" x14ac:dyDescent="0.25">
      <c r="A358" t="s">
        <v>134</v>
      </c>
      <c r="B358" t="s">
        <v>135</v>
      </c>
      <c r="C358">
        <v>22001906</v>
      </c>
      <c r="D358">
        <v>1201</v>
      </c>
      <c r="E358" s="11">
        <v>44795</v>
      </c>
      <c r="F358" t="s">
        <v>168</v>
      </c>
      <c r="G358">
        <v>1.35</v>
      </c>
      <c r="H358">
        <v>1.35</v>
      </c>
      <c r="I358" t="s">
        <v>56</v>
      </c>
      <c r="O358" t="s">
        <v>57</v>
      </c>
      <c r="Q358" t="s">
        <v>57</v>
      </c>
      <c r="R358" t="s">
        <v>137</v>
      </c>
      <c r="T358" t="s">
        <v>59</v>
      </c>
      <c r="U358" t="s">
        <v>60</v>
      </c>
      <c r="V358" t="s">
        <v>138</v>
      </c>
      <c r="W358" t="s">
        <v>139</v>
      </c>
      <c r="X358">
        <v>1934277</v>
      </c>
      <c r="Y358" s="11">
        <v>44795</v>
      </c>
      <c r="Z358" t="s">
        <v>57</v>
      </c>
      <c r="AA358">
        <v>12</v>
      </c>
      <c r="AB358" t="s">
        <v>57</v>
      </c>
      <c r="AD358" t="s">
        <v>57</v>
      </c>
      <c r="AE358" t="s">
        <v>57</v>
      </c>
      <c r="AF358" t="s">
        <v>57</v>
      </c>
      <c r="AG358">
        <v>12</v>
      </c>
      <c r="AH358" t="s">
        <v>57</v>
      </c>
      <c r="AL358" t="s">
        <v>57</v>
      </c>
      <c r="AM358" s="11">
        <v>44795</v>
      </c>
      <c r="AN358" t="s">
        <v>166</v>
      </c>
      <c r="AO358" t="s">
        <v>65</v>
      </c>
      <c r="AP358">
        <v>1201</v>
      </c>
      <c r="AQ358" t="s">
        <v>66</v>
      </c>
      <c r="AR358">
        <v>264575</v>
      </c>
      <c r="AU358" t="s">
        <v>57</v>
      </c>
      <c r="AV358" t="s">
        <v>68</v>
      </c>
      <c r="AX358" t="s">
        <v>57</v>
      </c>
      <c r="AY358">
        <v>631110</v>
      </c>
      <c r="AZ358">
        <v>1201.63111</v>
      </c>
      <c r="BA358" s="23" t="s">
        <v>11</v>
      </c>
    </row>
    <row r="359" spans="1:53" x14ac:dyDescent="0.25">
      <c r="A359" t="s">
        <v>134</v>
      </c>
      <c r="B359" t="s">
        <v>135</v>
      </c>
      <c r="C359">
        <v>22001906</v>
      </c>
      <c r="D359">
        <v>1201</v>
      </c>
      <c r="E359" s="11">
        <v>44795</v>
      </c>
      <c r="F359" t="s">
        <v>168</v>
      </c>
      <c r="G359">
        <v>0.08</v>
      </c>
      <c r="H359">
        <v>0.08</v>
      </c>
      <c r="I359" t="s">
        <v>56</v>
      </c>
      <c r="O359" t="s">
        <v>57</v>
      </c>
      <c r="Q359" t="s">
        <v>57</v>
      </c>
      <c r="R359" t="s">
        <v>137</v>
      </c>
      <c r="T359" t="s">
        <v>59</v>
      </c>
      <c r="U359" t="s">
        <v>60</v>
      </c>
      <c r="V359" t="s">
        <v>138</v>
      </c>
      <c r="W359" t="s">
        <v>139</v>
      </c>
      <c r="X359">
        <v>1934277</v>
      </c>
      <c r="Y359" s="11">
        <v>44795</v>
      </c>
      <c r="Z359" t="s">
        <v>57</v>
      </c>
      <c r="AA359">
        <v>14</v>
      </c>
      <c r="AB359" t="s">
        <v>57</v>
      </c>
      <c r="AD359" t="s">
        <v>57</v>
      </c>
      <c r="AE359" t="s">
        <v>57</v>
      </c>
      <c r="AF359" t="s">
        <v>57</v>
      </c>
      <c r="AG359">
        <v>1</v>
      </c>
      <c r="AH359" t="s">
        <v>57</v>
      </c>
      <c r="AL359" t="s">
        <v>57</v>
      </c>
      <c r="AM359" s="11">
        <v>44795</v>
      </c>
      <c r="AN359" t="s">
        <v>166</v>
      </c>
      <c r="AO359" t="s">
        <v>65</v>
      </c>
      <c r="AP359">
        <v>1201</v>
      </c>
      <c r="AQ359" t="s">
        <v>66</v>
      </c>
      <c r="AR359">
        <v>93455</v>
      </c>
      <c r="AU359" t="s">
        <v>57</v>
      </c>
      <c r="AV359" t="s">
        <v>68</v>
      </c>
      <c r="AX359" t="s">
        <v>57</v>
      </c>
      <c r="AY359">
        <v>631110</v>
      </c>
      <c r="AZ359">
        <v>1201.63111</v>
      </c>
      <c r="BA359" s="23" t="s">
        <v>11</v>
      </c>
    </row>
    <row r="360" spans="1:53" x14ac:dyDescent="0.25">
      <c r="A360" t="s">
        <v>134</v>
      </c>
      <c r="B360" t="s">
        <v>135</v>
      </c>
      <c r="C360">
        <v>22001906</v>
      </c>
      <c r="D360">
        <v>1201</v>
      </c>
      <c r="E360" s="11">
        <v>44795</v>
      </c>
      <c r="F360" t="s">
        <v>168</v>
      </c>
      <c r="G360">
        <v>1</v>
      </c>
      <c r="H360">
        <v>1</v>
      </c>
      <c r="I360" t="s">
        <v>56</v>
      </c>
      <c r="O360" t="s">
        <v>57</v>
      </c>
      <c r="Q360" t="s">
        <v>57</v>
      </c>
      <c r="R360" t="s">
        <v>137</v>
      </c>
      <c r="T360" t="s">
        <v>59</v>
      </c>
      <c r="U360" t="s">
        <v>60</v>
      </c>
      <c r="V360" t="s">
        <v>138</v>
      </c>
      <c r="W360" t="s">
        <v>139</v>
      </c>
      <c r="X360">
        <v>1934277</v>
      </c>
      <c r="Y360" s="11">
        <v>44795</v>
      </c>
      <c r="Z360" t="s">
        <v>57</v>
      </c>
      <c r="AA360">
        <v>2</v>
      </c>
      <c r="AB360" t="s">
        <v>57</v>
      </c>
      <c r="AD360" t="s">
        <v>57</v>
      </c>
      <c r="AE360" t="s">
        <v>57</v>
      </c>
      <c r="AF360" t="s">
        <v>57</v>
      </c>
      <c r="AG360">
        <v>13</v>
      </c>
      <c r="AH360" t="s">
        <v>57</v>
      </c>
      <c r="AL360" t="s">
        <v>57</v>
      </c>
      <c r="AM360" s="11">
        <v>44795</v>
      </c>
      <c r="AN360" t="s">
        <v>166</v>
      </c>
      <c r="AO360" t="s">
        <v>65</v>
      </c>
      <c r="AP360">
        <v>1201</v>
      </c>
      <c r="AQ360" t="s">
        <v>66</v>
      </c>
      <c r="AR360">
        <v>92908</v>
      </c>
      <c r="AU360" t="s">
        <v>57</v>
      </c>
      <c r="AV360" t="s">
        <v>68</v>
      </c>
      <c r="AX360" t="s">
        <v>57</v>
      </c>
      <c r="AY360">
        <v>631110</v>
      </c>
      <c r="AZ360">
        <v>1201.63111</v>
      </c>
      <c r="BA360" s="23" t="s">
        <v>11</v>
      </c>
    </row>
    <row r="361" spans="1:53" x14ac:dyDescent="0.25">
      <c r="A361" t="s">
        <v>134</v>
      </c>
      <c r="B361" t="s">
        <v>135</v>
      </c>
      <c r="C361">
        <v>22001906</v>
      </c>
      <c r="D361">
        <v>1201</v>
      </c>
      <c r="E361" s="11">
        <v>44795</v>
      </c>
      <c r="F361" t="s">
        <v>168</v>
      </c>
      <c r="G361">
        <v>1</v>
      </c>
      <c r="H361">
        <v>1</v>
      </c>
      <c r="I361" t="s">
        <v>56</v>
      </c>
      <c r="O361" t="s">
        <v>57</v>
      </c>
      <c r="Q361" t="s">
        <v>57</v>
      </c>
      <c r="R361" t="s">
        <v>137</v>
      </c>
      <c r="T361" t="s">
        <v>59</v>
      </c>
      <c r="U361" t="s">
        <v>60</v>
      </c>
      <c r="V361" t="s">
        <v>138</v>
      </c>
      <c r="W361" t="s">
        <v>139</v>
      </c>
      <c r="X361">
        <v>1934277</v>
      </c>
      <c r="Y361" s="11">
        <v>44795</v>
      </c>
      <c r="Z361" t="s">
        <v>57</v>
      </c>
      <c r="AA361">
        <v>4</v>
      </c>
      <c r="AB361" t="s">
        <v>57</v>
      </c>
      <c r="AD361" t="s">
        <v>57</v>
      </c>
      <c r="AE361" t="s">
        <v>57</v>
      </c>
      <c r="AF361" t="s">
        <v>57</v>
      </c>
      <c r="AG361">
        <v>13</v>
      </c>
      <c r="AH361" t="s">
        <v>57</v>
      </c>
      <c r="AL361" t="s">
        <v>57</v>
      </c>
      <c r="AM361" s="11">
        <v>44795</v>
      </c>
      <c r="AN361" t="s">
        <v>166</v>
      </c>
      <c r="AO361" t="s">
        <v>65</v>
      </c>
      <c r="AP361">
        <v>1201</v>
      </c>
      <c r="AQ361" t="s">
        <v>66</v>
      </c>
      <c r="AR361">
        <v>91479</v>
      </c>
      <c r="AU361" t="s">
        <v>57</v>
      </c>
      <c r="AV361" t="s">
        <v>68</v>
      </c>
      <c r="AX361" t="s">
        <v>57</v>
      </c>
      <c r="AY361">
        <v>631110</v>
      </c>
      <c r="AZ361">
        <v>1201.63111</v>
      </c>
      <c r="BA361" s="23" t="s">
        <v>11</v>
      </c>
    </row>
    <row r="362" spans="1:53" x14ac:dyDescent="0.25">
      <c r="A362" t="s">
        <v>134</v>
      </c>
      <c r="B362" t="s">
        <v>135</v>
      </c>
      <c r="C362">
        <v>22001907</v>
      </c>
      <c r="D362">
        <v>1201</v>
      </c>
      <c r="E362" s="11">
        <v>44795</v>
      </c>
      <c r="F362" t="s">
        <v>288</v>
      </c>
      <c r="G362">
        <v>2.09</v>
      </c>
      <c r="H362">
        <v>2.09</v>
      </c>
      <c r="I362" t="s">
        <v>56</v>
      </c>
      <c r="O362" t="s">
        <v>57</v>
      </c>
      <c r="Q362" t="s">
        <v>57</v>
      </c>
      <c r="R362" t="s">
        <v>137</v>
      </c>
      <c r="T362" t="s">
        <v>59</v>
      </c>
      <c r="U362" t="s">
        <v>60</v>
      </c>
      <c r="V362" t="s">
        <v>138</v>
      </c>
      <c r="W362" t="s">
        <v>139</v>
      </c>
      <c r="X362">
        <v>1934277</v>
      </c>
      <c r="Y362" s="11">
        <v>44795</v>
      </c>
      <c r="Z362" t="s">
        <v>57</v>
      </c>
      <c r="AA362">
        <v>2</v>
      </c>
      <c r="AB362" t="s">
        <v>57</v>
      </c>
      <c r="AD362" t="s">
        <v>57</v>
      </c>
      <c r="AE362" t="s">
        <v>57</v>
      </c>
      <c r="AF362" t="s">
        <v>57</v>
      </c>
      <c r="AG362">
        <v>1</v>
      </c>
      <c r="AH362" t="s">
        <v>57</v>
      </c>
      <c r="AL362" t="s">
        <v>57</v>
      </c>
      <c r="AM362" s="11">
        <v>44795</v>
      </c>
      <c r="AN362" t="s">
        <v>166</v>
      </c>
      <c r="AO362" t="s">
        <v>65</v>
      </c>
      <c r="AP362">
        <v>1201</v>
      </c>
      <c r="AQ362" t="s">
        <v>66</v>
      </c>
      <c r="AR362">
        <v>136449</v>
      </c>
      <c r="AU362" t="s">
        <v>57</v>
      </c>
      <c r="AV362" t="s">
        <v>68</v>
      </c>
      <c r="AX362" t="s">
        <v>57</v>
      </c>
      <c r="AY362">
        <v>631110</v>
      </c>
      <c r="AZ362">
        <v>1201.63111</v>
      </c>
      <c r="BA362" s="23" t="s">
        <v>11</v>
      </c>
    </row>
    <row r="363" spans="1:53" x14ac:dyDescent="0.25">
      <c r="A363" t="s">
        <v>134</v>
      </c>
      <c r="B363" t="s">
        <v>135</v>
      </c>
      <c r="C363">
        <v>22001783</v>
      </c>
      <c r="D363">
        <v>1204</v>
      </c>
      <c r="E363" s="11">
        <v>44774</v>
      </c>
      <c r="F363" t="s">
        <v>172</v>
      </c>
      <c r="G363">
        <v>-272.61</v>
      </c>
      <c r="I363" t="s">
        <v>56</v>
      </c>
      <c r="K363">
        <v>-272.61</v>
      </c>
      <c r="O363" t="s">
        <v>57</v>
      </c>
      <c r="Q363" t="s">
        <v>57</v>
      </c>
      <c r="R363" t="s">
        <v>137</v>
      </c>
      <c r="T363" t="s">
        <v>59</v>
      </c>
      <c r="U363" t="s">
        <v>60</v>
      </c>
      <c r="V363" t="s">
        <v>138</v>
      </c>
      <c r="W363" t="s">
        <v>139</v>
      </c>
      <c r="X363">
        <v>1925466</v>
      </c>
      <c r="Y363" s="11">
        <v>44774</v>
      </c>
      <c r="Z363" t="s">
        <v>57</v>
      </c>
      <c r="AA363">
        <v>12</v>
      </c>
      <c r="AB363" t="s">
        <v>57</v>
      </c>
      <c r="AD363" t="s">
        <v>57</v>
      </c>
      <c r="AE363" t="s">
        <v>57</v>
      </c>
      <c r="AF363" t="s">
        <v>57</v>
      </c>
      <c r="AG363">
        <v>-20</v>
      </c>
      <c r="AH363" t="s">
        <v>57</v>
      </c>
      <c r="AL363" t="s">
        <v>57</v>
      </c>
      <c r="AM363" s="11">
        <v>44774</v>
      </c>
      <c r="AN363" t="s">
        <v>173</v>
      </c>
      <c r="AO363" t="s">
        <v>65</v>
      </c>
      <c r="AP363">
        <v>1204</v>
      </c>
      <c r="AQ363" t="s">
        <v>66</v>
      </c>
      <c r="AR363">
        <v>234831</v>
      </c>
      <c r="AU363" t="s">
        <v>57</v>
      </c>
      <c r="AV363" t="s">
        <v>68</v>
      </c>
      <c r="AX363" t="s">
        <v>57</v>
      </c>
      <c r="AY363">
        <v>631110</v>
      </c>
      <c r="AZ363">
        <v>1204.63111</v>
      </c>
      <c r="BA363" s="23" t="s">
        <v>12</v>
      </c>
    </row>
    <row r="364" spans="1:53" x14ac:dyDescent="0.25">
      <c r="A364" t="s">
        <v>134</v>
      </c>
      <c r="B364" t="s">
        <v>135</v>
      </c>
      <c r="C364">
        <v>22001783</v>
      </c>
      <c r="D364">
        <v>1204</v>
      </c>
      <c r="E364" s="11">
        <v>44774</v>
      </c>
      <c r="F364" t="s">
        <v>172</v>
      </c>
      <c r="G364">
        <v>7.88</v>
      </c>
      <c r="H364">
        <v>7.88</v>
      </c>
      <c r="I364" t="s">
        <v>56</v>
      </c>
      <c r="O364" t="s">
        <v>57</v>
      </c>
      <c r="Q364" t="s">
        <v>57</v>
      </c>
      <c r="R364" t="s">
        <v>137</v>
      </c>
      <c r="T364" t="s">
        <v>59</v>
      </c>
      <c r="U364" t="s">
        <v>60</v>
      </c>
      <c r="V364" t="s">
        <v>138</v>
      </c>
      <c r="W364" t="s">
        <v>139</v>
      </c>
      <c r="X364">
        <v>1925466</v>
      </c>
      <c r="Y364" s="11">
        <v>44774</v>
      </c>
      <c r="Z364" t="s">
        <v>57</v>
      </c>
      <c r="AA364">
        <v>4</v>
      </c>
      <c r="AB364" t="s">
        <v>57</v>
      </c>
      <c r="AD364" t="s">
        <v>57</v>
      </c>
      <c r="AE364" t="s">
        <v>57</v>
      </c>
      <c r="AF364" t="s">
        <v>57</v>
      </c>
      <c r="AG364">
        <v>1</v>
      </c>
      <c r="AH364" t="s">
        <v>57</v>
      </c>
      <c r="AL364" t="s">
        <v>57</v>
      </c>
      <c r="AM364" s="11">
        <v>44774</v>
      </c>
      <c r="AN364" t="s">
        <v>173</v>
      </c>
      <c r="AO364" t="s">
        <v>65</v>
      </c>
      <c r="AP364">
        <v>1204</v>
      </c>
      <c r="AQ364" t="s">
        <v>66</v>
      </c>
      <c r="AR364">
        <v>227112</v>
      </c>
      <c r="AU364" t="s">
        <v>57</v>
      </c>
      <c r="AV364" t="s">
        <v>68</v>
      </c>
      <c r="AX364" t="s">
        <v>57</v>
      </c>
      <c r="AY364">
        <v>631110</v>
      </c>
      <c r="AZ364">
        <v>1204.63111</v>
      </c>
      <c r="BA364" s="23" t="s">
        <v>12</v>
      </c>
    </row>
    <row r="365" spans="1:53" x14ac:dyDescent="0.25">
      <c r="A365" t="s">
        <v>134</v>
      </c>
      <c r="B365" t="s">
        <v>135</v>
      </c>
      <c r="C365">
        <v>22001783</v>
      </c>
      <c r="D365">
        <v>1204</v>
      </c>
      <c r="E365" s="11">
        <v>44774</v>
      </c>
      <c r="F365" t="s">
        <v>172</v>
      </c>
      <c r="G365">
        <v>8.25</v>
      </c>
      <c r="H365">
        <v>8.25</v>
      </c>
      <c r="I365" t="s">
        <v>56</v>
      </c>
      <c r="O365" t="s">
        <v>57</v>
      </c>
      <c r="Q365" t="s">
        <v>57</v>
      </c>
      <c r="R365" t="s">
        <v>137</v>
      </c>
      <c r="T365" t="s">
        <v>59</v>
      </c>
      <c r="U365" t="s">
        <v>60</v>
      </c>
      <c r="V365" t="s">
        <v>138</v>
      </c>
      <c r="W365" t="s">
        <v>139</v>
      </c>
      <c r="X365">
        <v>1925466</v>
      </c>
      <c r="Y365" s="11">
        <v>44774</v>
      </c>
      <c r="Z365" t="s">
        <v>57</v>
      </c>
      <c r="AA365">
        <v>6</v>
      </c>
      <c r="AB365" t="s">
        <v>57</v>
      </c>
      <c r="AD365" t="s">
        <v>57</v>
      </c>
      <c r="AE365" t="s">
        <v>57</v>
      </c>
      <c r="AF365" t="s">
        <v>57</v>
      </c>
      <c r="AG365">
        <v>1</v>
      </c>
      <c r="AH365" t="s">
        <v>57</v>
      </c>
      <c r="AL365" t="s">
        <v>57</v>
      </c>
      <c r="AM365" s="11">
        <v>44774</v>
      </c>
      <c r="AN365" t="s">
        <v>173</v>
      </c>
      <c r="AO365" t="s">
        <v>65</v>
      </c>
      <c r="AP365">
        <v>1204</v>
      </c>
      <c r="AQ365" t="s">
        <v>66</v>
      </c>
      <c r="AR365">
        <v>279991</v>
      </c>
      <c r="AU365" t="s">
        <v>57</v>
      </c>
      <c r="AV365" t="s">
        <v>68</v>
      </c>
      <c r="AX365" t="s">
        <v>57</v>
      </c>
      <c r="AY365">
        <v>631110</v>
      </c>
      <c r="AZ365">
        <v>1204.63111</v>
      </c>
      <c r="BA365" s="23" t="s">
        <v>12</v>
      </c>
    </row>
    <row r="366" spans="1:53" x14ac:dyDescent="0.25">
      <c r="A366" t="s">
        <v>134</v>
      </c>
      <c r="B366" t="s">
        <v>135</v>
      </c>
      <c r="C366">
        <v>22001783</v>
      </c>
      <c r="D366">
        <v>1204</v>
      </c>
      <c r="E366" s="11">
        <v>44774</v>
      </c>
      <c r="F366" t="s">
        <v>172</v>
      </c>
      <c r="G366">
        <v>7.88</v>
      </c>
      <c r="H366">
        <v>7.88</v>
      </c>
      <c r="I366" t="s">
        <v>56</v>
      </c>
      <c r="O366" t="s">
        <v>57</v>
      </c>
      <c r="Q366" t="s">
        <v>57</v>
      </c>
      <c r="R366" t="s">
        <v>137</v>
      </c>
      <c r="T366" t="s">
        <v>59</v>
      </c>
      <c r="U366" t="s">
        <v>60</v>
      </c>
      <c r="V366" t="s">
        <v>138</v>
      </c>
      <c r="W366" t="s">
        <v>139</v>
      </c>
      <c r="X366">
        <v>1925466</v>
      </c>
      <c r="Y366" s="11">
        <v>44774</v>
      </c>
      <c r="Z366" t="s">
        <v>57</v>
      </c>
      <c r="AA366">
        <v>8</v>
      </c>
      <c r="AB366" t="s">
        <v>57</v>
      </c>
      <c r="AD366" t="s">
        <v>57</v>
      </c>
      <c r="AE366" t="s">
        <v>57</v>
      </c>
      <c r="AF366" t="s">
        <v>57</v>
      </c>
      <c r="AG366">
        <v>1</v>
      </c>
      <c r="AH366" t="s">
        <v>57</v>
      </c>
      <c r="AL366" t="s">
        <v>57</v>
      </c>
      <c r="AM366" s="11">
        <v>44774</v>
      </c>
      <c r="AN366" t="s">
        <v>173</v>
      </c>
      <c r="AO366" t="s">
        <v>65</v>
      </c>
      <c r="AP366">
        <v>1204</v>
      </c>
      <c r="AQ366" t="s">
        <v>66</v>
      </c>
      <c r="AR366">
        <v>227112</v>
      </c>
      <c r="AU366" t="s">
        <v>57</v>
      </c>
      <c r="AV366" t="s">
        <v>68</v>
      </c>
      <c r="AX366" t="s">
        <v>57</v>
      </c>
      <c r="AY366">
        <v>631110</v>
      </c>
      <c r="AZ366">
        <v>1204.63111</v>
      </c>
      <c r="BA366" s="23" t="s">
        <v>12</v>
      </c>
    </row>
    <row r="367" spans="1:53" x14ac:dyDescent="0.25">
      <c r="A367" t="s">
        <v>134</v>
      </c>
      <c r="B367" t="s">
        <v>135</v>
      </c>
      <c r="C367">
        <v>22001783</v>
      </c>
      <c r="D367">
        <v>1204</v>
      </c>
      <c r="E367" s="11">
        <v>44774</v>
      </c>
      <c r="F367" t="s">
        <v>172</v>
      </c>
      <c r="G367">
        <v>16.5</v>
      </c>
      <c r="H367">
        <v>16.5</v>
      </c>
      <c r="I367" t="s">
        <v>56</v>
      </c>
      <c r="O367" t="s">
        <v>57</v>
      </c>
      <c r="Q367" t="s">
        <v>57</v>
      </c>
      <c r="R367" t="s">
        <v>137</v>
      </c>
      <c r="T367" t="s">
        <v>59</v>
      </c>
      <c r="U367" t="s">
        <v>60</v>
      </c>
      <c r="V367" t="s">
        <v>138</v>
      </c>
      <c r="W367" t="s">
        <v>139</v>
      </c>
      <c r="X367">
        <v>1925466</v>
      </c>
      <c r="Y367" s="11">
        <v>44774</v>
      </c>
      <c r="Z367" t="s">
        <v>57</v>
      </c>
      <c r="AA367">
        <v>2</v>
      </c>
      <c r="AB367" t="s">
        <v>57</v>
      </c>
      <c r="AD367" t="s">
        <v>57</v>
      </c>
      <c r="AE367" t="s">
        <v>57</v>
      </c>
      <c r="AF367" t="s">
        <v>57</v>
      </c>
      <c r="AG367">
        <v>2</v>
      </c>
      <c r="AH367" t="s">
        <v>57</v>
      </c>
      <c r="AL367" t="s">
        <v>57</v>
      </c>
      <c r="AM367" s="11">
        <v>44774</v>
      </c>
      <c r="AN367" t="s">
        <v>173</v>
      </c>
      <c r="AO367" t="s">
        <v>65</v>
      </c>
      <c r="AP367">
        <v>1204</v>
      </c>
      <c r="AQ367" t="s">
        <v>66</v>
      </c>
      <c r="AR367">
        <v>279991</v>
      </c>
      <c r="AU367" t="s">
        <v>57</v>
      </c>
      <c r="AV367" t="s">
        <v>68</v>
      </c>
      <c r="AX367" t="s">
        <v>57</v>
      </c>
      <c r="AY367">
        <v>631110</v>
      </c>
      <c r="AZ367">
        <v>1204.63111</v>
      </c>
      <c r="BA367" s="23" t="s">
        <v>12</v>
      </c>
    </row>
    <row r="368" spans="1:53" x14ac:dyDescent="0.25">
      <c r="A368" t="s">
        <v>134</v>
      </c>
      <c r="B368" t="s">
        <v>135</v>
      </c>
      <c r="C368">
        <v>22001783</v>
      </c>
      <c r="D368">
        <v>1204</v>
      </c>
      <c r="E368" s="11">
        <v>44774</v>
      </c>
      <c r="F368" t="s">
        <v>172</v>
      </c>
      <c r="G368">
        <v>272.61</v>
      </c>
      <c r="H368">
        <v>272.61</v>
      </c>
      <c r="I368" t="s">
        <v>56</v>
      </c>
      <c r="O368" t="s">
        <v>57</v>
      </c>
      <c r="Q368" t="s">
        <v>57</v>
      </c>
      <c r="R368" t="s">
        <v>137</v>
      </c>
      <c r="T368" t="s">
        <v>59</v>
      </c>
      <c r="U368" t="s">
        <v>60</v>
      </c>
      <c r="V368" t="s">
        <v>138</v>
      </c>
      <c r="W368" t="s">
        <v>139</v>
      </c>
      <c r="X368">
        <v>1925466</v>
      </c>
      <c r="Y368" s="11">
        <v>44774</v>
      </c>
      <c r="Z368" t="s">
        <v>57</v>
      </c>
      <c r="AA368">
        <v>10</v>
      </c>
      <c r="AB368" t="s">
        <v>57</v>
      </c>
      <c r="AD368" t="s">
        <v>57</v>
      </c>
      <c r="AE368" t="s">
        <v>57</v>
      </c>
      <c r="AF368" t="s">
        <v>57</v>
      </c>
      <c r="AG368">
        <v>20</v>
      </c>
      <c r="AH368" t="s">
        <v>57</v>
      </c>
      <c r="AL368" t="s">
        <v>57</v>
      </c>
      <c r="AM368" s="11">
        <v>44774</v>
      </c>
      <c r="AN368" t="s">
        <v>173</v>
      </c>
      <c r="AO368" t="s">
        <v>65</v>
      </c>
      <c r="AP368">
        <v>1204</v>
      </c>
      <c r="AQ368" t="s">
        <v>66</v>
      </c>
      <c r="AR368">
        <v>234831</v>
      </c>
      <c r="AU368" t="s">
        <v>57</v>
      </c>
      <c r="AV368" t="s">
        <v>68</v>
      </c>
      <c r="AX368" t="s">
        <v>57</v>
      </c>
      <c r="AY368">
        <v>631110</v>
      </c>
      <c r="AZ368">
        <v>1204.63111</v>
      </c>
      <c r="BA368" s="23" t="s">
        <v>12</v>
      </c>
    </row>
    <row r="369" spans="1:53" x14ac:dyDescent="0.25">
      <c r="A369" t="s">
        <v>134</v>
      </c>
      <c r="B369" t="s">
        <v>135</v>
      </c>
      <c r="C369">
        <v>22001784</v>
      </c>
      <c r="D369">
        <v>1204</v>
      </c>
      <c r="E369" s="11">
        <v>44774</v>
      </c>
      <c r="F369" t="s">
        <v>159</v>
      </c>
      <c r="G369">
        <v>30.24</v>
      </c>
      <c r="H369">
        <v>30.24</v>
      </c>
      <c r="I369" t="s">
        <v>56</v>
      </c>
      <c r="O369" t="s">
        <v>57</v>
      </c>
      <c r="Q369" t="s">
        <v>57</v>
      </c>
      <c r="R369" t="s">
        <v>137</v>
      </c>
      <c r="T369" t="s">
        <v>59</v>
      </c>
      <c r="U369" t="s">
        <v>60</v>
      </c>
      <c r="V369" t="s">
        <v>138</v>
      </c>
      <c r="W369" t="s">
        <v>139</v>
      </c>
      <c r="X369">
        <v>1925466</v>
      </c>
      <c r="Y369" s="11">
        <v>44774</v>
      </c>
      <c r="Z369" t="s">
        <v>57</v>
      </c>
      <c r="AA369">
        <v>2</v>
      </c>
      <c r="AB369" t="s">
        <v>57</v>
      </c>
      <c r="AD369" t="s">
        <v>57</v>
      </c>
      <c r="AE369" t="s">
        <v>57</v>
      </c>
      <c r="AF369" t="s">
        <v>57</v>
      </c>
      <c r="AG369">
        <v>2</v>
      </c>
      <c r="AH369" t="s">
        <v>57</v>
      </c>
      <c r="AL369" t="s">
        <v>57</v>
      </c>
      <c r="AM369" s="11">
        <v>44774</v>
      </c>
      <c r="AN369" t="s">
        <v>173</v>
      </c>
      <c r="AO369" t="s">
        <v>65</v>
      </c>
      <c r="AP369">
        <v>1204</v>
      </c>
      <c r="AQ369" t="s">
        <v>66</v>
      </c>
      <c r="AR369">
        <v>88717</v>
      </c>
      <c r="AU369" t="s">
        <v>57</v>
      </c>
      <c r="AV369" t="s">
        <v>68</v>
      </c>
      <c r="AX369" t="s">
        <v>57</v>
      </c>
      <c r="AY369">
        <v>631110</v>
      </c>
      <c r="AZ369">
        <v>1204.63111</v>
      </c>
      <c r="BA369" s="23" t="s">
        <v>12</v>
      </c>
    </row>
    <row r="370" spans="1:53" x14ac:dyDescent="0.25">
      <c r="A370" t="s">
        <v>134</v>
      </c>
      <c r="B370" t="s">
        <v>135</v>
      </c>
      <c r="C370">
        <v>22001784</v>
      </c>
      <c r="D370">
        <v>1204</v>
      </c>
      <c r="E370" s="11">
        <v>44774</v>
      </c>
      <c r="F370" t="s">
        <v>159</v>
      </c>
      <c r="G370">
        <v>1.69</v>
      </c>
      <c r="H370">
        <v>1.69</v>
      </c>
      <c r="I370" t="s">
        <v>56</v>
      </c>
      <c r="O370" t="s">
        <v>57</v>
      </c>
      <c r="Q370" t="s">
        <v>57</v>
      </c>
      <c r="R370" t="s">
        <v>137</v>
      </c>
      <c r="T370" t="s">
        <v>59</v>
      </c>
      <c r="U370" t="s">
        <v>60</v>
      </c>
      <c r="V370" t="s">
        <v>138</v>
      </c>
      <c r="W370" t="s">
        <v>139</v>
      </c>
      <c r="X370">
        <v>1925466</v>
      </c>
      <c r="Y370" s="11">
        <v>44774</v>
      </c>
      <c r="Z370" t="s">
        <v>57</v>
      </c>
      <c r="AA370">
        <v>4</v>
      </c>
      <c r="AB370" t="s">
        <v>57</v>
      </c>
      <c r="AD370" t="s">
        <v>57</v>
      </c>
      <c r="AE370" t="s">
        <v>57</v>
      </c>
      <c r="AF370" t="s">
        <v>57</v>
      </c>
      <c r="AG370">
        <v>2</v>
      </c>
      <c r="AH370" t="s">
        <v>57</v>
      </c>
      <c r="AL370" t="s">
        <v>57</v>
      </c>
      <c r="AM370" s="11">
        <v>44774</v>
      </c>
      <c r="AN370" t="s">
        <v>173</v>
      </c>
      <c r="AO370" t="s">
        <v>65</v>
      </c>
      <c r="AP370">
        <v>1204</v>
      </c>
      <c r="AQ370" t="s">
        <v>66</v>
      </c>
      <c r="AR370">
        <v>114062</v>
      </c>
      <c r="AU370" t="s">
        <v>57</v>
      </c>
      <c r="AV370" t="s">
        <v>68</v>
      </c>
      <c r="AX370" t="s">
        <v>57</v>
      </c>
      <c r="AY370">
        <v>631110</v>
      </c>
      <c r="AZ370">
        <v>1204.63111</v>
      </c>
      <c r="BA370" s="23" t="s">
        <v>12</v>
      </c>
    </row>
    <row r="371" spans="1:53" x14ac:dyDescent="0.25">
      <c r="A371" t="s">
        <v>134</v>
      </c>
      <c r="B371" t="s">
        <v>135</v>
      </c>
      <c r="C371">
        <v>22001785</v>
      </c>
      <c r="D371">
        <v>1204</v>
      </c>
      <c r="E371" s="11">
        <v>44774</v>
      </c>
      <c r="F371" t="s">
        <v>174</v>
      </c>
      <c r="G371">
        <v>59.9</v>
      </c>
      <c r="H371">
        <v>59.9</v>
      </c>
      <c r="I371" t="s">
        <v>56</v>
      </c>
      <c r="O371" t="s">
        <v>57</v>
      </c>
      <c r="Q371" t="s">
        <v>57</v>
      </c>
      <c r="R371" t="s">
        <v>137</v>
      </c>
      <c r="T371" t="s">
        <v>59</v>
      </c>
      <c r="U371" t="s">
        <v>60</v>
      </c>
      <c r="V371" t="s">
        <v>138</v>
      </c>
      <c r="W371" t="s">
        <v>139</v>
      </c>
      <c r="X371">
        <v>1925466</v>
      </c>
      <c r="Y371" s="11">
        <v>44774</v>
      </c>
      <c r="Z371" t="s">
        <v>57</v>
      </c>
      <c r="AA371">
        <v>16</v>
      </c>
      <c r="AB371" t="s">
        <v>57</v>
      </c>
      <c r="AD371" t="s">
        <v>57</v>
      </c>
      <c r="AE371" t="s">
        <v>57</v>
      </c>
      <c r="AF371" t="s">
        <v>57</v>
      </c>
      <c r="AG371">
        <v>1</v>
      </c>
      <c r="AH371" t="s">
        <v>57</v>
      </c>
      <c r="AL371" t="s">
        <v>57</v>
      </c>
      <c r="AM371" s="11">
        <v>44774</v>
      </c>
      <c r="AN371" t="s">
        <v>173</v>
      </c>
      <c r="AO371" t="s">
        <v>65</v>
      </c>
      <c r="AP371">
        <v>1204</v>
      </c>
      <c r="AQ371" t="s">
        <v>66</v>
      </c>
      <c r="AR371">
        <v>97071</v>
      </c>
      <c r="AU371" t="s">
        <v>57</v>
      </c>
      <c r="AV371" t="s">
        <v>68</v>
      </c>
      <c r="AX371" t="s">
        <v>57</v>
      </c>
      <c r="AY371">
        <v>631110</v>
      </c>
      <c r="AZ371">
        <v>1204.63111</v>
      </c>
      <c r="BA371" s="23" t="s">
        <v>12</v>
      </c>
    </row>
    <row r="372" spans="1:53" x14ac:dyDescent="0.25">
      <c r="A372" t="s">
        <v>134</v>
      </c>
      <c r="B372" t="s">
        <v>135</v>
      </c>
      <c r="C372">
        <v>22001785</v>
      </c>
      <c r="D372">
        <v>1204</v>
      </c>
      <c r="E372" s="11">
        <v>44774</v>
      </c>
      <c r="F372" t="s">
        <v>174</v>
      </c>
      <c r="G372">
        <v>2.5099999999999998</v>
      </c>
      <c r="H372">
        <v>2.5099999999999998</v>
      </c>
      <c r="I372" t="s">
        <v>56</v>
      </c>
      <c r="O372" t="s">
        <v>57</v>
      </c>
      <c r="Q372" t="s">
        <v>57</v>
      </c>
      <c r="R372" t="s">
        <v>137</v>
      </c>
      <c r="T372" t="s">
        <v>59</v>
      </c>
      <c r="U372" t="s">
        <v>60</v>
      </c>
      <c r="V372" t="s">
        <v>138</v>
      </c>
      <c r="W372" t="s">
        <v>139</v>
      </c>
      <c r="X372">
        <v>1925466</v>
      </c>
      <c r="Y372" s="11">
        <v>44774</v>
      </c>
      <c r="Z372" t="s">
        <v>57</v>
      </c>
      <c r="AA372">
        <v>18</v>
      </c>
      <c r="AB372" t="s">
        <v>57</v>
      </c>
      <c r="AD372" t="s">
        <v>57</v>
      </c>
      <c r="AE372" t="s">
        <v>57</v>
      </c>
      <c r="AF372" t="s">
        <v>57</v>
      </c>
      <c r="AG372">
        <v>1</v>
      </c>
      <c r="AH372" t="s">
        <v>57</v>
      </c>
      <c r="AL372" t="s">
        <v>57</v>
      </c>
      <c r="AM372" s="11">
        <v>44774</v>
      </c>
      <c r="AN372" t="s">
        <v>173</v>
      </c>
      <c r="AO372" t="s">
        <v>65</v>
      </c>
      <c r="AP372">
        <v>1204</v>
      </c>
      <c r="AQ372" t="s">
        <v>66</v>
      </c>
      <c r="AR372">
        <v>152910</v>
      </c>
      <c r="AU372" t="s">
        <v>57</v>
      </c>
      <c r="AV372" t="s">
        <v>68</v>
      </c>
      <c r="AX372" t="s">
        <v>57</v>
      </c>
      <c r="AY372">
        <v>631110</v>
      </c>
      <c r="AZ372">
        <v>1204.63111</v>
      </c>
      <c r="BA372" s="23" t="s">
        <v>12</v>
      </c>
    </row>
    <row r="373" spans="1:53" x14ac:dyDescent="0.25">
      <c r="A373" t="s">
        <v>134</v>
      </c>
      <c r="B373" t="s">
        <v>135</v>
      </c>
      <c r="C373">
        <v>22001785</v>
      </c>
      <c r="D373">
        <v>1204</v>
      </c>
      <c r="E373" s="11">
        <v>44774</v>
      </c>
      <c r="F373" t="s">
        <v>174</v>
      </c>
      <c r="G373">
        <v>0.71</v>
      </c>
      <c r="H373">
        <v>0.71</v>
      </c>
      <c r="I373" t="s">
        <v>56</v>
      </c>
      <c r="O373" t="s">
        <v>57</v>
      </c>
      <c r="Q373" t="s">
        <v>57</v>
      </c>
      <c r="R373" t="s">
        <v>137</v>
      </c>
      <c r="T373" t="s">
        <v>59</v>
      </c>
      <c r="U373" t="s">
        <v>60</v>
      </c>
      <c r="V373" t="s">
        <v>138</v>
      </c>
      <c r="W373" t="s">
        <v>139</v>
      </c>
      <c r="X373">
        <v>1925466</v>
      </c>
      <c r="Y373" s="11">
        <v>44774</v>
      </c>
      <c r="Z373" t="s">
        <v>57</v>
      </c>
      <c r="AA373">
        <v>20</v>
      </c>
      <c r="AB373" t="s">
        <v>57</v>
      </c>
      <c r="AD373" t="s">
        <v>57</v>
      </c>
      <c r="AE373" t="s">
        <v>57</v>
      </c>
      <c r="AF373" t="s">
        <v>57</v>
      </c>
      <c r="AG373">
        <v>1</v>
      </c>
      <c r="AH373" t="s">
        <v>57</v>
      </c>
      <c r="AL373" t="s">
        <v>57</v>
      </c>
      <c r="AM373" s="11">
        <v>44774</v>
      </c>
      <c r="AN373" t="s">
        <v>173</v>
      </c>
      <c r="AO373" t="s">
        <v>65</v>
      </c>
      <c r="AP373">
        <v>1204</v>
      </c>
      <c r="AQ373" t="s">
        <v>66</v>
      </c>
      <c r="AR373">
        <v>89486</v>
      </c>
      <c r="AU373" t="s">
        <v>57</v>
      </c>
      <c r="AV373" t="s">
        <v>68</v>
      </c>
      <c r="AX373" t="s">
        <v>57</v>
      </c>
      <c r="AY373">
        <v>631110</v>
      </c>
      <c r="AZ373">
        <v>1204.63111</v>
      </c>
      <c r="BA373" s="23" t="s">
        <v>12</v>
      </c>
    </row>
    <row r="374" spans="1:53" x14ac:dyDescent="0.25">
      <c r="A374" t="s">
        <v>134</v>
      </c>
      <c r="B374" t="s">
        <v>135</v>
      </c>
      <c r="C374">
        <v>22001785</v>
      </c>
      <c r="D374">
        <v>1204</v>
      </c>
      <c r="E374" s="11">
        <v>44774</v>
      </c>
      <c r="F374" t="s">
        <v>174</v>
      </c>
      <c r="G374">
        <v>3.93</v>
      </c>
      <c r="H374">
        <v>3.93</v>
      </c>
      <c r="I374" t="s">
        <v>56</v>
      </c>
      <c r="O374" t="s">
        <v>57</v>
      </c>
      <c r="Q374" t="s">
        <v>57</v>
      </c>
      <c r="R374" t="s">
        <v>137</v>
      </c>
      <c r="T374" t="s">
        <v>59</v>
      </c>
      <c r="U374" t="s">
        <v>60</v>
      </c>
      <c r="V374" t="s">
        <v>138</v>
      </c>
      <c r="W374" t="s">
        <v>139</v>
      </c>
      <c r="X374">
        <v>1925466</v>
      </c>
      <c r="Y374" s="11">
        <v>44774</v>
      </c>
      <c r="Z374" t="s">
        <v>57</v>
      </c>
      <c r="AA374">
        <v>22</v>
      </c>
      <c r="AB374" t="s">
        <v>57</v>
      </c>
      <c r="AD374" t="s">
        <v>57</v>
      </c>
      <c r="AE374" t="s">
        <v>57</v>
      </c>
      <c r="AF374" t="s">
        <v>57</v>
      </c>
      <c r="AG374">
        <v>1</v>
      </c>
      <c r="AH374" t="s">
        <v>57</v>
      </c>
      <c r="AL374" t="s">
        <v>57</v>
      </c>
      <c r="AM374" s="11">
        <v>44774</v>
      </c>
      <c r="AN374" t="s">
        <v>173</v>
      </c>
      <c r="AO374" t="s">
        <v>65</v>
      </c>
      <c r="AP374">
        <v>1204</v>
      </c>
      <c r="AQ374" t="s">
        <v>66</v>
      </c>
      <c r="AR374">
        <v>220122</v>
      </c>
      <c r="AU374" t="s">
        <v>57</v>
      </c>
      <c r="AV374" t="s">
        <v>68</v>
      </c>
      <c r="AX374" t="s">
        <v>57</v>
      </c>
      <c r="AY374">
        <v>631110</v>
      </c>
      <c r="AZ374">
        <v>1204.63111</v>
      </c>
      <c r="BA374" s="23" t="s">
        <v>12</v>
      </c>
    </row>
    <row r="375" spans="1:53" x14ac:dyDescent="0.25">
      <c r="A375" t="s">
        <v>134</v>
      </c>
      <c r="B375" t="s">
        <v>135</v>
      </c>
      <c r="C375">
        <v>22001785</v>
      </c>
      <c r="D375">
        <v>1204</v>
      </c>
      <c r="E375" s="11">
        <v>44774</v>
      </c>
      <c r="F375" t="s">
        <v>174</v>
      </c>
      <c r="G375">
        <v>14.36</v>
      </c>
      <c r="H375">
        <v>14.36</v>
      </c>
      <c r="I375" t="s">
        <v>56</v>
      </c>
      <c r="O375" t="s">
        <v>57</v>
      </c>
      <c r="Q375" t="s">
        <v>57</v>
      </c>
      <c r="R375" t="s">
        <v>137</v>
      </c>
      <c r="T375" t="s">
        <v>59</v>
      </c>
      <c r="U375" t="s">
        <v>60</v>
      </c>
      <c r="V375" t="s">
        <v>138</v>
      </c>
      <c r="W375" t="s">
        <v>139</v>
      </c>
      <c r="X375">
        <v>1925466</v>
      </c>
      <c r="Y375" s="11">
        <v>44774</v>
      </c>
      <c r="Z375" t="s">
        <v>57</v>
      </c>
      <c r="AA375">
        <v>24</v>
      </c>
      <c r="AB375" t="s">
        <v>57</v>
      </c>
      <c r="AD375" t="s">
        <v>57</v>
      </c>
      <c r="AE375" t="s">
        <v>57</v>
      </c>
      <c r="AF375" t="s">
        <v>57</v>
      </c>
      <c r="AG375">
        <v>1</v>
      </c>
      <c r="AH375" t="s">
        <v>57</v>
      </c>
      <c r="AL375" t="s">
        <v>57</v>
      </c>
      <c r="AM375" s="11">
        <v>44774</v>
      </c>
      <c r="AN375" t="s">
        <v>173</v>
      </c>
      <c r="AO375" t="s">
        <v>65</v>
      </c>
      <c r="AP375">
        <v>1204</v>
      </c>
      <c r="AQ375" t="s">
        <v>66</v>
      </c>
      <c r="AR375">
        <v>96021</v>
      </c>
      <c r="AU375" t="s">
        <v>57</v>
      </c>
      <c r="AV375" t="s">
        <v>68</v>
      </c>
      <c r="AX375" t="s">
        <v>57</v>
      </c>
      <c r="AY375">
        <v>631110</v>
      </c>
      <c r="AZ375">
        <v>1204.63111</v>
      </c>
      <c r="BA375" s="23" t="s">
        <v>12</v>
      </c>
    </row>
    <row r="376" spans="1:53" x14ac:dyDescent="0.25">
      <c r="A376" t="s">
        <v>134</v>
      </c>
      <c r="B376" t="s">
        <v>135</v>
      </c>
      <c r="C376">
        <v>22001785</v>
      </c>
      <c r="D376">
        <v>1204</v>
      </c>
      <c r="E376" s="11">
        <v>44774</v>
      </c>
      <c r="F376" t="s">
        <v>174</v>
      </c>
      <c r="G376">
        <v>-538.67999999999995</v>
      </c>
      <c r="I376" t="s">
        <v>56</v>
      </c>
      <c r="K376">
        <v>-538.67999999999995</v>
      </c>
      <c r="O376" t="s">
        <v>57</v>
      </c>
      <c r="Q376" t="s">
        <v>57</v>
      </c>
      <c r="R376" t="s">
        <v>137</v>
      </c>
      <c r="T376" t="s">
        <v>59</v>
      </c>
      <c r="U376" t="s">
        <v>60</v>
      </c>
      <c r="V376" t="s">
        <v>138</v>
      </c>
      <c r="W376" t="s">
        <v>139</v>
      </c>
      <c r="X376">
        <v>1925466</v>
      </c>
      <c r="Y376" s="11">
        <v>44774</v>
      </c>
      <c r="Z376" t="s">
        <v>57</v>
      </c>
      <c r="AA376">
        <v>26</v>
      </c>
      <c r="AB376" t="s">
        <v>57</v>
      </c>
      <c r="AD376" t="s">
        <v>57</v>
      </c>
      <c r="AE376" t="s">
        <v>57</v>
      </c>
      <c r="AF376" t="s">
        <v>57</v>
      </c>
      <c r="AG376">
        <v>-50</v>
      </c>
      <c r="AH376" t="s">
        <v>57</v>
      </c>
      <c r="AL376" t="s">
        <v>57</v>
      </c>
      <c r="AM376" s="11">
        <v>44774</v>
      </c>
      <c r="AN376" t="s">
        <v>173</v>
      </c>
      <c r="AO376" t="s">
        <v>65</v>
      </c>
      <c r="AP376">
        <v>1204</v>
      </c>
      <c r="AQ376" t="s">
        <v>66</v>
      </c>
      <c r="AR376">
        <v>254439</v>
      </c>
      <c r="AU376" t="s">
        <v>57</v>
      </c>
      <c r="AV376" t="s">
        <v>68</v>
      </c>
      <c r="AX376" t="s">
        <v>57</v>
      </c>
      <c r="AY376">
        <v>631110</v>
      </c>
      <c r="AZ376">
        <v>1204.63111</v>
      </c>
      <c r="BA376" s="23" t="s">
        <v>12</v>
      </c>
    </row>
    <row r="377" spans="1:53" x14ac:dyDescent="0.25">
      <c r="A377" t="s">
        <v>134</v>
      </c>
      <c r="B377" t="s">
        <v>135</v>
      </c>
      <c r="C377">
        <v>22001785</v>
      </c>
      <c r="D377">
        <v>1204</v>
      </c>
      <c r="E377" s="11">
        <v>44774</v>
      </c>
      <c r="F377" t="s">
        <v>174</v>
      </c>
      <c r="G377">
        <v>3.93</v>
      </c>
      <c r="H377">
        <v>3.93</v>
      </c>
      <c r="I377" t="s">
        <v>56</v>
      </c>
      <c r="O377" t="s">
        <v>57</v>
      </c>
      <c r="Q377" t="s">
        <v>57</v>
      </c>
      <c r="R377" t="s">
        <v>137</v>
      </c>
      <c r="T377" t="s">
        <v>59</v>
      </c>
      <c r="U377" t="s">
        <v>60</v>
      </c>
      <c r="V377" t="s">
        <v>138</v>
      </c>
      <c r="W377" t="s">
        <v>139</v>
      </c>
      <c r="X377">
        <v>1925466</v>
      </c>
      <c r="Y377" s="11">
        <v>44774</v>
      </c>
      <c r="Z377" t="s">
        <v>57</v>
      </c>
      <c r="AA377">
        <v>2</v>
      </c>
      <c r="AB377" t="s">
        <v>57</v>
      </c>
      <c r="AD377" t="s">
        <v>57</v>
      </c>
      <c r="AE377" t="s">
        <v>57</v>
      </c>
      <c r="AF377" t="s">
        <v>57</v>
      </c>
      <c r="AG377">
        <v>1</v>
      </c>
      <c r="AH377" t="s">
        <v>57</v>
      </c>
      <c r="AL377" t="s">
        <v>57</v>
      </c>
      <c r="AM377" s="11">
        <v>44774</v>
      </c>
      <c r="AN377" t="s">
        <v>173</v>
      </c>
      <c r="AO377" t="s">
        <v>65</v>
      </c>
      <c r="AP377">
        <v>1204</v>
      </c>
      <c r="AQ377" t="s">
        <v>66</v>
      </c>
      <c r="AR377">
        <v>220122</v>
      </c>
      <c r="AU377" t="s">
        <v>57</v>
      </c>
      <c r="AV377" t="s">
        <v>68</v>
      </c>
      <c r="AX377" t="s">
        <v>57</v>
      </c>
      <c r="AY377">
        <v>631110</v>
      </c>
      <c r="AZ377">
        <v>1204.63111</v>
      </c>
      <c r="BA377" s="23" t="s">
        <v>12</v>
      </c>
    </row>
    <row r="378" spans="1:53" x14ac:dyDescent="0.25">
      <c r="A378" t="s">
        <v>134</v>
      </c>
      <c r="B378" t="s">
        <v>135</v>
      </c>
      <c r="C378">
        <v>22001785</v>
      </c>
      <c r="D378">
        <v>1204</v>
      </c>
      <c r="E378" s="11">
        <v>44774</v>
      </c>
      <c r="F378" t="s">
        <v>174</v>
      </c>
      <c r="G378">
        <v>0.49</v>
      </c>
      <c r="H378">
        <v>0.49</v>
      </c>
      <c r="I378" t="s">
        <v>56</v>
      </c>
      <c r="O378" t="s">
        <v>57</v>
      </c>
      <c r="Q378" t="s">
        <v>57</v>
      </c>
      <c r="R378" t="s">
        <v>137</v>
      </c>
      <c r="T378" t="s">
        <v>59</v>
      </c>
      <c r="U378" t="s">
        <v>60</v>
      </c>
      <c r="V378" t="s">
        <v>138</v>
      </c>
      <c r="W378" t="s">
        <v>139</v>
      </c>
      <c r="X378">
        <v>1925466</v>
      </c>
      <c r="Y378" s="11">
        <v>44774</v>
      </c>
      <c r="Z378" t="s">
        <v>57</v>
      </c>
      <c r="AA378">
        <v>4</v>
      </c>
      <c r="AB378" t="s">
        <v>57</v>
      </c>
      <c r="AD378" t="s">
        <v>57</v>
      </c>
      <c r="AE378" t="s">
        <v>57</v>
      </c>
      <c r="AF378" t="s">
        <v>57</v>
      </c>
      <c r="AG378">
        <v>1</v>
      </c>
      <c r="AH378" t="s">
        <v>57</v>
      </c>
      <c r="AL378" t="s">
        <v>57</v>
      </c>
      <c r="AM378" s="11">
        <v>44774</v>
      </c>
      <c r="AN378" t="s">
        <v>173</v>
      </c>
      <c r="AO378" t="s">
        <v>65</v>
      </c>
      <c r="AP378">
        <v>1204</v>
      </c>
      <c r="AQ378" t="s">
        <v>66</v>
      </c>
      <c r="AR378">
        <v>228050</v>
      </c>
      <c r="AU378" t="s">
        <v>57</v>
      </c>
      <c r="AV378" t="s">
        <v>68</v>
      </c>
      <c r="AX378" t="s">
        <v>57</v>
      </c>
      <c r="AY378">
        <v>631110</v>
      </c>
      <c r="AZ378">
        <v>1204.63111</v>
      </c>
      <c r="BA378" s="23" t="s">
        <v>12</v>
      </c>
    </row>
    <row r="379" spans="1:53" x14ac:dyDescent="0.25">
      <c r="A379" t="s">
        <v>134</v>
      </c>
      <c r="B379" t="s">
        <v>135</v>
      </c>
      <c r="C379">
        <v>22001785</v>
      </c>
      <c r="D379">
        <v>1204</v>
      </c>
      <c r="E379" s="11">
        <v>44774</v>
      </c>
      <c r="F379" t="s">
        <v>174</v>
      </c>
      <c r="G379">
        <v>0.63</v>
      </c>
      <c r="H379">
        <v>0.63</v>
      </c>
      <c r="I379" t="s">
        <v>56</v>
      </c>
      <c r="O379" t="s">
        <v>57</v>
      </c>
      <c r="Q379" t="s">
        <v>57</v>
      </c>
      <c r="R379" t="s">
        <v>137</v>
      </c>
      <c r="T379" t="s">
        <v>59</v>
      </c>
      <c r="U379" t="s">
        <v>60</v>
      </c>
      <c r="V379" t="s">
        <v>138</v>
      </c>
      <c r="W379" t="s">
        <v>139</v>
      </c>
      <c r="X379">
        <v>1925466</v>
      </c>
      <c r="Y379" s="11">
        <v>44774</v>
      </c>
      <c r="Z379" t="s">
        <v>57</v>
      </c>
      <c r="AA379">
        <v>6</v>
      </c>
      <c r="AB379" t="s">
        <v>57</v>
      </c>
      <c r="AD379" t="s">
        <v>57</v>
      </c>
      <c r="AE379" t="s">
        <v>57</v>
      </c>
      <c r="AF379" t="s">
        <v>57</v>
      </c>
      <c r="AG379">
        <v>1</v>
      </c>
      <c r="AH379" t="s">
        <v>57</v>
      </c>
      <c r="AL379" t="s">
        <v>57</v>
      </c>
      <c r="AM379" s="11">
        <v>44774</v>
      </c>
      <c r="AN379" t="s">
        <v>173</v>
      </c>
      <c r="AO379" t="s">
        <v>65</v>
      </c>
      <c r="AP379">
        <v>1204</v>
      </c>
      <c r="AQ379" t="s">
        <v>66</v>
      </c>
      <c r="AR379">
        <v>220123</v>
      </c>
      <c r="AU379" t="s">
        <v>57</v>
      </c>
      <c r="AV379" t="s">
        <v>68</v>
      </c>
      <c r="AX379" t="s">
        <v>57</v>
      </c>
      <c r="AY379">
        <v>631110</v>
      </c>
      <c r="AZ379">
        <v>1204.63111</v>
      </c>
      <c r="BA379" s="23" t="s">
        <v>12</v>
      </c>
    </row>
    <row r="380" spans="1:53" x14ac:dyDescent="0.25">
      <c r="A380" t="s">
        <v>134</v>
      </c>
      <c r="B380" t="s">
        <v>135</v>
      </c>
      <c r="C380">
        <v>22001785</v>
      </c>
      <c r="D380">
        <v>1204</v>
      </c>
      <c r="E380" s="11">
        <v>44774</v>
      </c>
      <c r="F380" t="s">
        <v>174</v>
      </c>
      <c r="G380">
        <v>0.49</v>
      </c>
      <c r="H380">
        <v>0.49</v>
      </c>
      <c r="I380" t="s">
        <v>56</v>
      </c>
      <c r="O380" t="s">
        <v>57</v>
      </c>
      <c r="Q380" t="s">
        <v>57</v>
      </c>
      <c r="R380" t="s">
        <v>137</v>
      </c>
      <c r="T380" t="s">
        <v>59</v>
      </c>
      <c r="U380" t="s">
        <v>60</v>
      </c>
      <c r="V380" t="s">
        <v>138</v>
      </c>
      <c r="W380" t="s">
        <v>139</v>
      </c>
      <c r="X380">
        <v>1925466</v>
      </c>
      <c r="Y380" s="11">
        <v>44774</v>
      </c>
      <c r="Z380" t="s">
        <v>57</v>
      </c>
      <c r="AA380">
        <v>8</v>
      </c>
      <c r="AB380" t="s">
        <v>57</v>
      </c>
      <c r="AD380" t="s">
        <v>57</v>
      </c>
      <c r="AE380" t="s">
        <v>57</v>
      </c>
      <c r="AF380" t="s">
        <v>57</v>
      </c>
      <c r="AG380">
        <v>1</v>
      </c>
      <c r="AH380" t="s">
        <v>57</v>
      </c>
      <c r="AL380" t="s">
        <v>57</v>
      </c>
      <c r="AM380" s="11">
        <v>44774</v>
      </c>
      <c r="AN380" t="s">
        <v>173</v>
      </c>
      <c r="AO380" t="s">
        <v>65</v>
      </c>
      <c r="AP380">
        <v>1204</v>
      </c>
      <c r="AQ380" t="s">
        <v>66</v>
      </c>
      <c r="AR380">
        <v>90122</v>
      </c>
      <c r="AU380" t="s">
        <v>57</v>
      </c>
      <c r="AV380" t="s">
        <v>68</v>
      </c>
      <c r="AX380" t="s">
        <v>57</v>
      </c>
      <c r="AY380">
        <v>631110</v>
      </c>
      <c r="AZ380">
        <v>1204.63111</v>
      </c>
      <c r="BA380" s="23" t="s">
        <v>12</v>
      </c>
    </row>
    <row r="381" spans="1:53" x14ac:dyDescent="0.25">
      <c r="A381" t="s">
        <v>134</v>
      </c>
      <c r="B381" t="s">
        <v>135</v>
      </c>
      <c r="C381">
        <v>22001785</v>
      </c>
      <c r="D381">
        <v>1204</v>
      </c>
      <c r="E381" s="11">
        <v>44774</v>
      </c>
      <c r="F381" t="s">
        <v>174</v>
      </c>
      <c r="G381">
        <v>5.37</v>
      </c>
      <c r="H381">
        <v>5.37</v>
      </c>
      <c r="I381" t="s">
        <v>56</v>
      </c>
      <c r="O381" t="s">
        <v>57</v>
      </c>
      <c r="Q381" t="s">
        <v>57</v>
      </c>
      <c r="R381" t="s">
        <v>137</v>
      </c>
      <c r="T381" t="s">
        <v>59</v>
      </c>
      <c r="U381" t="s">
        <v>60</v>
      </c>
      <c r="V381" t="s">
        <v>138</v>
      </c>
      <c r="W381" t="s">
        <v>139</v>
      </c>
      <c r="X381">
        <v>1925466</v>
      </c>
      <c r="Y381" s="11">
        <v>44774</v>
      </c>
      <c r="Z381" t="s">
        <v>57</v>
      </c>
      <c r="AA381">
        <v>10</v>
      </c>
      <c r="AB381" t="s">
        <v>57</v>
      </c>
      <c r="AD381" t="s">
        <v>57</v>
      </c>
      <c r="AE381" t="s">
        <v>57</v>
      </c>
      <c r="AF381" t="s">
        <v>57</v>
      </c>
      <c r="AG381">
        <v>1</v>
      </c>
      <c r="AH381" t="s">
        <v>57</v>
      </c>
      <c r="AL381" t="s">
        <v>57</v>
      </c>
      <c r="AM381" s="11">
        <v>44774</v>
      </c>
      <c r="AN381" t="s">
        <v>173</v>
      </c>
      <c r="AO381" t="s">
        <v>65</v>
      </c>
      <c r="AP381">
        <v>1204</v>
      </c>
      <c r="AQ381" t="s">
        <v>66</v>
      </c>
      <c r="AR381">
        <v>221862</v>
      </c>
      <c r="AU381" t="s">
        <v>57</v>
      </c>
      <c r="AV381" t="s">
        <v>68</v>
      </c>
      <c r="AX381" t="s">
        <v>57</v>
      </c>
      <c r="AY381">
        <v>631110</v>
      </c>
      <c r="AZ381">
        <v>1204.63111</v>
      </c>
      <c r="BA381" s="23" t="s">
        <v>12</v>
      </c>
    </row>
    <row r="382" spans="1:53" x14ac:dyDescent="0.25">
      <c r="A382" t="s">
        <v>134</v>
      </c>
      <c r="B382" t="s">
        <v>135</v>
      </c>
      <c r="C382">
        <v>22001785</v>
      </c>
      <c r="D382">
        <v>1204</v>
      </c>
      <c r="E382" s="11">
        <v>44774</v>
      </c>
      <c r="F382" t="s">
        <v>174</v>
      </c>
      <c r="G382">
        <v>538.67999999999995</v>
      </c>
      <c r="H382">
        <v>538.67999999999995</v>
      </c>
      <c r="I382" t="s">
        <v>56</v>
      </c>
      <c r="O382" t="s">
        <v>57</v>
      </c>
      <c r="Q382" t="s">
        <v>57</v>
      </c>
      <c r="R382" t="s">
        <v>137</v>
      </c>
      <c r="T382" t="s">
        <v>59</v>
      </c>
      <c r="U382" t="s">
        <v>60</v>
      </c>
      <c r="V382" t="s">
        <v>138</v>
      </c>
      <c r="W382" t="s">
        <v>139</v>
      </c>
      <c r="X382">
        <v>1925466</v>
      </c>
      <c r="Y382" s="11">
        <v>44774</v>
      </c>
      <c r="Z382" t="s">
        <v>57</v>
      </c>
      <c r="AA382">
        <v>12</v>
      </c>
      <c r="AB382" t="s">
        <v>57</v>
      </c>
      <c r="AD382" t="s">
        <v>57</v>
      </c>
      <c r="AE382" t="s">
        <v>57</v>
      </c>
      <c r="AF382" t="s">
        <v>57</v>
      </c>
      <c r="AG382">
        <v>50</v>
      </c>
      <c r="AH382" t="s">
        <v>57</v>
      </c>
      <c r="AL382" t="s">
        <v>57</v>
      </c>
      <c r="AM382" s="11">
        <v>44774</v>
      </c>
      <c r="AN382" t="s">
        <v>173</v>
      </c>
      <c r="AO382" t="s">
        <v>65</v>
      </c>
      <c r="AP382">
        <v>1204</v>
      </c>
      <c r="AQ382" t="s">
        <v>66</v>
      </c>
      <c r="AR382">
        <v>254439</v>
      </c>
      <c r="AU382" t="s">
        <v>57</v>
      </c>
      <c r="AV382" t="s">
        <v>68</v>
      </c>
      <c r="AX382" t="s">
        <v>57</v>
      </c>
      <c r="AY382">
        <v>631110</v>
      </c>
      <c r="AZ382">
        <v>1204.63111</v>
      </c>
      <c r="BA382" s="23" t="s">
        <v>12</v>
      </c>
    </row>
    <row r="383" spans="1:53" x14ac:dyDescent="0.25">
      <c r="A383" t="s">
        <v>134</v>
      </c>
      <c r="B383" t="s">
        <v>135</v>
      </c>
      <c r="C383">
        <v>22001785</v>
      </c>
      <c r="D383">
        <v>1204</v>
      </c>
      <c r="E383" s="11">
        <v>44774</v>
      </c>
      <c r="F383" t="s">
        <v>174</v>
      </c>
      <c r="G383">
        <v>166.76</v>
      </c>
      <c r="H383">
        <v>166.76</v>
      </c>
      <c r="I383" t="s">
        <v>56</v>
      </c>
      <c r="O383" t="s">
        <v>57</v>
      </c>
      <c r="Q383" t="s">
        <v>57</v>
      </c>
      <c r="R383" t="s">
        <v>137</v>
      </c>
      <c r="T383" t="s">
        <v>59</v>
      </c>
      <c r="U383" t="s">
        <v>60</v>
      </c>
      <c r="V383" t="s">
        <v>138</v>
      </c>
      <c r="W383" t="s">
        <v>139</v>
      </c>
      <c r="X383">
        <v>1925466</v>
      </c>
      <c r="Y383" s="11">
        <v>44774</v>
      </c>
      <c r="Z383" t="s">
        <v>57</v>
      </c>
      <c r="AA383">
        <v>14</v>
      </c>
      <c r="AB383" t="s">
        <v>57</v>
      </c>
      <c r="AD383" t="s">
        <v>57</v>
      </c>
      <c r="AE383" t="s">
        <v>57</v>
      </c>
      <c r="AF383" t="s">
        <v>57</v>
      </c>
      <c r="AG383">
        <v>100</v>
      </c>
      <c r="AH383" t="s">
        <v>57</v>
      </c>
      <c r="AL383" t="s">
        <v>57</v>
      </c>
      <c r="AM383" s="11">
        <v>44774</v>
      </c>
      <c r="AN383" t="s">
        <v>173</v>
      </c>
      <c r="AO383" t="s">
        <v>65</v>
      </c>
      <c r="AP383">
        <v>1204</v>
      </c>
      <c r="AQ383" t="s">
        <v>66</v>
      </c>
      <c r="AR383">
        <v>89836</v>
      </c>
      <c r="AU383" t="s">
        <v>57</v>
      </c>
      <c r="AV383" t="s">
        <v>68</v>
      </c>
      <c r="AX383" t="s">
        <v>57</v>
      </c>
      <c r="AY383">
        <v>631110</v>
      </c>
      <c r="AZ383">
        <v>1204.63111</v>
      </c>
      <c r="BA383" s="23" t="s">
        <v>12</v>
      </c>
    </row>
    <row r="384" spans="1:53" x14ac:dyDescent="0.25">
      <c r="A384" t="s">
        <v>134</v>
      </c>
      <c r="B384" t="s">
        <v>135</v>
      </c>
      <c r="C384">
        <v>22001798</v>
      </c>
      <c r="D384">
        <v>1204</v>
      </c>
      <c r="E384" s="11">
        <v>44774</v>
      </c>
      <c r="F384" t="s">
        <v>175</v>
      </c>
      <c r="G384">
        <v>0.46</v>
      </c>
      <c r="H384">
        <v>0.46</v>
      </c>
      <c r="I384" t="s">
        <v>56</v>
      </c>
      <c r="O384" t="s">
        <v>57</v>
      </c>
      <c r="Q384" t="s">
        <v>57</v>
      </c>
      <c r="R384" t="s">
        <v>137</v>
      </c>
      <c r="T384" t="s">
        <v>59</v>
      </c>
      <c r="U384" t="s">
        <v>60</v>
      </c>
      <c r="V384" t="s">
        <v>138</v>
      </c>
      <c r="W384" t="s">
        <v>139</v>
      </c>
      <c r="X384">
        <v>1925598</v>
      </c>
      <c r="Y384" s="11">
        <v>44774</v>
      </c>
      <c r="Z384" t="s">
        <v>57</v>
      </c>
      <c r="AA384">
        <v>2</v>
      </c>
      <c r="AB384" t="s">
        <v>57</v>
      </c>
      <c r="AD384" t="s">
        <v>57</v>
      </c>
      <c r="AE384" t="s">
        <v>57</v>
      </c>
      <c r="AF384" t="s">
        <v>57</v>
      </c>
      <c r="AG384">
        <v>6</v>
      </c>
      <c r="AH384" t="s">
        <v>57</v>
      </c>
      <c r="AL384" t="s">
        <v>57</v>
      </c>
      <c r="AM384" s="11">
        <v>44774</v>
      </c>
      <c r="AN384" t="s">
        <v>176</v>
      </c>
      <c r="AO384" t="s">
        <v>65</v>
      </c>
      <c r="AP384">
        <v>1204</v>
      </c>
      <c r="AQ384" t="s">
        <v>66</v>
      </c>
      <c r="AR384">
        <v>91479</v>
      </c>
      <c r="AU384" t="s">
        <v>57</v>
      </c>
      <c r="AV384" t="s">
        <v>68</v>
      </c>
      <c r="AX384" t="s">
        <v>57</v>
      </c>
      <c r="AY384">
        <v>631110</v>
      </c>
      <c r="AZ384">
        <v>1204.63111</v>
      </c>
      <c r="BA384" s="23" t="s">
        <v>12</v>
      </c>
    </row>
    <row r="385" spans="1:53" x14ac:dyDescent="0.25">
      <c r="A385" t="s">
        <v>134</v>
      </c>
      <c r="B385" t="s">
        <v>135</v>
      </c>
      <c r="C385">
        <v>22001798</v>
      </c>
      <c r="D385">
        <v>1204</v>
      </c>
      <c r="E385" s="11">
        <v>44774</v>
      </c>
      <c r="F385" t="s">
        <v>175</v>
      </c>
      <c r="G385">
        <v>1.1000000000000001</v>
      </c>
      <c r="H385">
        <v>1.1000000000000001</v>
      </c>
      <c r="I385" t="s">
        <v>56</v>
      </c>
      <c r="O385" t="s">
        <v>57</v>
      </c>
      <c r="Q385" t="s">
        <v>57</v>
      </c>
      <c r="R385" t="s">
        <v>137</v>
      </c>
      <c r="T385" t="s">
        <v>59</v>
      </c>
      <c r="U385" t="s">
        <v>60</v>
      </c>
      <c r="V385" t="s">
        <v>138</v>
      </c>
      <c r="W385" t="s">
        <v>139</v>
      </c>
      <c r="X385">
        <v>1925598</v>
      </c>
      <c r="Y385" s="11">
        <v>44774</v>
      </c>
      <c r="Z385" t="s">
        <v>57</v>
      </c>
      <c r="AA385">
        <v>4</v>
      </c>
      <c r="AB385" t="s">
        <v>57</v>
      </c>
      <c r="AD385" t="s">
        <v>57</v>
      </c>
      <c r="AE385" t="s">
        <v>57</v>
      </c>
      <c r="AF385" t="s">
        <v>57</v>
      </c>
      <c r="AG385">
        <v>10</v>
      </c>
      <c r="AH385" t="s">
        <v>57</v>
      </c>
      <c r="AL385" t="s">
        <v>57</v>
      </c>
      <c r="AM385" s="11">
        <v>44774</v>
      </c>
      <c r="AN385" t="s">
        <v>176</v>
      </c>
      <c r="AO385" t="s">
        <v>65</v>
      </c>
      <c r="AP385">
        <v>1204</v>
      </c>
      <c r="AQ385" t="s">
        <v>66</v>
      </c>
      <c r="AR385">
        <v>265267</v>
      </c>
      <c r="AU385" t="s">
        <v>57</v>
      </c>
      <c r="AV385" t="s">
        <v>68</v>
      </c>
      <c r="AX385" t="s">
        <v>57</v>
      </c>
      <c r="AY385">
        <v>631110</v>
      </c>
      <c r="AZ385">
        <v>1204.63111</v>
      </c>
      <c r="BA385" s="23" t="s">
        <v>12</v>
      </c>
    </row>
    <row r="386" spans="1:53" x14ac:dyDescent="0.25">
      <c r="A386" t="s">
        <v>134</v>
      </c>
      <c r="B386" t="s">
        <v>135</v>
      </c>
      <c r="C386">
        <v>22001798</v>
      </c>
      <c r="D386">
        <v>1204</v>
      </c>
      <c r="E386" s="11">
        <v>44774</v>
      </c>
      <c r="F386" t="s">
        <v>175</v>
      </c>
      <c r="G386">
        <v>0.23</v>
      </c>
      <c r="H386">
        <v>0.23</v>
      </c>
      <c r="I386" t="s">
        <v>56</v>
      </c>
      <c r="O386" t="s">
        <v>57</v>
      </c>
      <c r="Q386" t="s">
        <v>57</v>
      </c>
      <c r="R386" t="s">
        <v>137</v>
      </c>
      <c r="T386" t="s">
        <v>59</v>
      </c>
      <c r="U386" t="s">
        <v>60</v>
      </c>
      <c r="V386" t="s">
        <v>138</v>
      </c>
      <c r="W386" t="s">
        <v>139</v>
      </c>
      <c r="X386">
        <v>1925598</v>
      </c>
      <c r="Y386" s="11">
        <v>44774</v>
      </c>
      <c r="Z386" t="s">
        <v>57</v>
      </c>
      <c r="AA386">
        <v>6</v>
      </c>
      <c r="AB386" t="s">
        <v>57</v>
      </c>
      <c r="AD386" t="s">
        <v>57</v>
      </c>
      <c r="AE386" t="s">
        <v>57</v>
      </c>
      <c r="AF386" t="s">
        <v>57</v>
      </c>
      <c r="AG386">
        <v>2</v>
      </c>
      <c r="AH386" t="s">
        <v>57</v>
      </c>
      <c r="AL386" t="s">
        <v>57</v>
      </c>
      <c r="AM386" s="11">
        <v>44774</v>
      </c>
      <c r="AN386" t="s">
        <v>176</v>
      </c>
      <c r="AO386" t="s">
        <v>65</v>
      </c>
      <c r="AP386">
        <v>1204</v>
      </c>
      <c r="AQ386" t="s">
        <v>66</v>
      </c>
      <c r="AR386">
        <v>90435</v>
      </c>
      <c r="AU386" t="s">
        <v>57</v>
      </c>
      <c r="AV386" t="s">
        <v>68</v>
      </c>
      <c r="AX386" t="s">
        <v>57</v>
      </c>
      <c r="AY386">
        <v>631110</v>
      </c>
      <c r="AZ386">
        <v>1204.63111</v>
      </c>
      <c r="BA386" s="23" t="s">
        <v>12</v>
      </c>
    </row>
    <row r="387" spans="1:53" x14ac:dyDescent="0.25">
      <c r="A387" t="s">
        <v>134</v>
      </c>
      <c r="B387" t="s">
        <v>135</v>
      </c>
      <c r="C387">
        <v>22001798</v>
      </c>
      <c r="D387">
        <v>1204</v>
      </c>
      <c r="E387" s="11">
        <v>44774</v>
      </c>
      <c r="F387" t="s">
        <v>175</v>
      </c>
      <c r="G387">
        <v>0.99</v>
      </c>
      <c r="H387">
        <v>0.99</v>
      </c>
      <c r="I387" t="s">
        <v>56</v>
      </c>
      <c r="O387" t="s">
        <v>57</v>
      </c>
      <c r="Q387" t="s">
        <v>57</v>
      </c>
      <c r="R387" t="s">
        <v>137</v>
      </c>
      <c r="T387" t="s">
        <v>59</v>
      </c>
      <c r="U387" t="s">
        <v>60</v>
      </c>
      <c r="V387" t="s">
        <v>138</v>
      </c>
      <c r="W387" t="s">
        <v>139</v>
      </c>
      <c r="X387">
        <v>1925598</v>
      </c>
      <c r="Y387" s="11">
        <v>44774</v>
      </c>
      <c r="Z387" t="s">
        <v>57</v>
      </c>
      <c r="AA387">
        <v>8</v>
      </c>
      <c r="AB387" t="s">
        <v>57</v>
      </c>
      <c r="AD387" t="s">
        <v>57</v>
      </c>
      <c r="AE387" t="s">
        <v>57</v>
      </c>
      <c r="AF387" t="s">
        <v>57</v>
      </c>
      <c r="AG387">
        <v>9</v>
      </c>
      <c r="AH387" t="s">
        <v>57</v>
      </c>
      <c r="AL387" t="s">
        <v>57</v>
      </c>
      <c r="AM387" s="11">
        <v>44774</v>
      </c>
      <c r="AN387" t="s">
        <v>176</v>
      </c>
      <c r="AO387" t="s">
        <v>65</v>
      </c>
      <c r="AP387">
        <v>1204</v>
      </c>
      <c r="AQ387" t="s">
        <v>66</v>
      </c>
      <c r="AR387">
        <v>90435</v>
      </c>
      <c r="AU387" t="s">
        <v>57</v>
      </c>
      <c r="AV387" t="s">
        <v>68</v>
      </c>
      <c r="AX387" t="s">
        <v>57</v>
      </c>
      <c r="AY387">
        <v>631110</v>
      </c>
      <c r="AZ387">
        <v>1204.63111</v>
      </c>
      <c r="BA387" s="23" t="s">
        <v>12</v>
      </c>
    </row>
    <row r="388" spans="1:53" x14ac:dyDescent="0.25">
      <c r="A388" t="s">
        <v>134</v>
      </c>
      <c r="B388" t="s">
        <v>135</v>
      </c>
      <c r="C388">
        <v>22001798</v>
      </c>
      <c r="D388">
        <v>1204</v>
      </c>
      <c r="E388" s="11">
        <v>44774</v>
      </c>
      <c r="F388" t="s">
        <v>175</v>
      </c>
      <c r="G388">
        <v>0.23</v>
      </c>
      <c r="H388">
        <v>0.23</v>
      </c>
      <c r="I388" t="s">
        <v>56</v>
      </c>
      <c r="O388" t="s">
        <v>57</v>
      </c>
      <c r="Q388" t="s">
        <v>57</v>
      </c>
      <c r="R388" t="s">
        <v>137</v>
      </c>
      <c r="T388" t="s">
        <v>59</v>
      </c>
      <c r="U388" t="s">
        <v>60</v>
      </c>
      <c r="V388" t="s">
        <v>138</v>
      </c>
      <c r="W388" t="s">
        <v>139</v>
      </c>
      <c r="X388">
        <v>1925598</v>
      </c>
      <c r="Y388" s="11">
        <v>44774</v>
      </c>
      <c r="Z388" t="s">
        <v>57</v>
      </c>
      <c r="AA388">
        <v>10</v>
      </c>
      <c r="AB388" t="s">
        <v>57</v>
      </c>
      <c r="AD388" t="s">
        <v>57</v>
      </c>
      <c r="AE388" t="s">
        <v>57</v>
      </c>
      <c r="AF388" t="s">
        <v>57</v>
      </c>
      <c r="AG388">
        <v>3</v>
      </c>
      <c r="AH388" t="s">
        <v>57</v>
      </c>
      <c r="AL388" t="s">
        <v>57</v>
      </c>
      <c r="AM388" s="11">
        <v>44774</v>
      </c>
      <c r="AN388" t="s">
        <v>176</v>
      </c>
      <c r="AO388" t="s">
        <v>65</v>
      </c>
      <c r="AP388">
        <v>1204</v>
      </c>
      <c r="AQ388" t="s">
        <v>66</v>
      </c>
      <c r="AR388">
        <v>264585</v>
      </c>
      <c r="AU388" t="s">
        <v>57</v>
      </c>
      <c r="AV388" t="s">
        <v>68</v>
      </c>
      <c r="AX388" t="s">
        <v>57</v>
      </c>
      <c r="AY388">
        <v>631110</v>
      </c>
      <c r="AZ388">
        <v>1204.63111</v>
      </c>
      <c r="BA388" s="23" t="s">
        <v>12</v>
      </c>
    </row>
    <row r="389" spans="1:53" x14ac:dyDescent="0.25">
      <c r="A389" t="s">
        <v>134</v>
      </c>
      <c r="B389" t="s">
        <v>135</v>
      </c>
      <c r="C389">
        <v>22001798</v>
      </c>
      <c r="D389">
        <v>1204</v>
      </c>
      <c r="E389" s="11">
        <v>44774</v>
      </c>
      <c r="F389" t="s">
        <v>175</v>
      </c>
      <c r="G389">
        <v>7.99</v>
      </c>
      <c r="H389">
        <v>7.99</v>
      </c>
      <c r="I389" t="s">
        <v>56</v>
      </c>
      <c r="O389" t="s">
        <v>57</v>
      </c>
      <c r="Q389" t="s">
        <v>57</v>
      </c>
      <c r="R389" t="s">
        <v>137</v>
      </c>
      <c r="T389" t="s">
        <v>59</v>
      </c>
      <c r="U389" t="s">
        <v>60</v>
      </c>
      <c r="V389" t="s">
        <v>138</v>
      </c>
      <c r="W389" t="s">
        <v>139</v>
      </c>
      <c r="X389">
        <v>1925598</v>
      </c>
      <c r="Y389" s="11">
        <v>44774</v>
      </c>
      <c r="Z389" t="s">
        <v>57</v>
      </c>
      <c r="AA389">
        <v>12</v>
      </c>
      <c r="AB389" t="s">
        <v>57</v>
      </c>
      <c r="AD389" t="s">
        <v>57</v>
      </c>
      <c r="AE389" t="s">
        <v>57</v>
      </c>
      <c r="AF389" t="s">
        <v>57</v>
      </c>
      <c r="AG389">
        <v>52</v>
      </c>
      <c r="AH389" t="s">
        <v>57</v>
      </c>
      <c r="AL389" t="s">
        <v>57</v>
      </c>
      <c r="AM389" s="11">
        <v>44774</v>
      </c>
      <c r="AN389" t="s">
        <v>176</v>
      </c>
      <c r="AO389" t="s">
        <v>65</v>
      </c>
      <c r="AP389">
        <v>1204</v>
      </c>
      <c r="AQ389" t="s">
        <v>66</v>
      </c>
      <c r="AR389">
        <v>89712</v>
      </c>
      <c r="AU389" t="s">
        <v>57</v>
      </c>
      <c r="AV389" t="s">
        <v>68</v>
      </c>
      <c r="AX389" t="s">
        <v>57</v>
      </c>
      <c r="AY389">
        <v>631110</v>
      </c>
      <c r="AZ389">
        <v>1204.63111</v>
      </c>
      <c r="BA389" s="23" t="s">
        <v>12</v>
      </c>
    </row>
    <row r="390" spans="1:53" x14ac:dyDescent="0.25">
      <c r="A390" t="s">
        <v>134</v>
      </c>
      <c r="B390" t="s">
        <v>135</v>
      </c>
      <c r="C390">
        <v>22001798</v>
      </c>
      <c r="D390">
        <v>1204</v>
      </c>
      <c r="E390" s="11">
        <v>44774</v>
      </c>
      <c r="F390" t="s">
        <v>175</v>
      </c>
      <c r="G390">
        <v>10.050000000000001</v>
      </c>
      <c r="H390">
        <v>10.050000000000001</v>
      </c>
      <c r="I390" t="s">
        <v>56</v>
      </c>
      <c r="O390" t="s">
        <v>57</v>
      </c>
      <c r="Q390" t="s">
        <v>57</v>
      </c>
      <c r="R390" t="s">
        <v>137</v>
      </c>
      <c r="T390" t="s">
        <v>59</v>
      </c>
      <c r="U390" t="s">
        <v>60</v>
      </c>
      <c r="V390" t="s">
        <v>138</v>
      </c>
      <c r="W390" t="s">
        <v>139</v>
      </c>
      <c r="X390">
        <v>1925598</v>
      </c>
      <c r="Y390" s="11">
        <v>44774</v>
      </c>
      <c r="Z390" t="s">
        <v>57</v>
      </c>
      <c r="AA390">
        <v>14</v>
      </c>
      <c r="AB390" t="s">
        <v>57</v>
      </c>
      <c r="AD390" t="s">
        <v>57</v>
      </c>
      <c r="AE390" t="s">
        <v>57</v>
      </c>
      <c r="AF390" t="s">
        <v>57</v>
      </c>
      <c r="AG390">
        <v>27</v>
      </c>
      <c r="AH390" t="s">
        <v>57</v>
      </c>
      <c r="AL390" t="s">
        <v>57</v>
      </c>
      <c r="AM390" s="11">
        <v>44774</v>
      </c>
      <c r="AN390" t="s">
        <v>176</v>
      </c>
      <c r="AO390" t="s">
        <v>65</v>
      </c>
      <c r="AP390">
        <v>1204</v>
      </c>
      <c r="AQ390" t="s">
        <v>66</v>
      </c>
      <c r="AR390">
        <v>91011</v>
      </c>
      <c r="AU390" t="s">
        <v>57</v>
      </c>
      <c r="AV390" t="s">
        <v>68</v>
      </c>
      <c r="AX390" t="s">
        <v>57</v>
      </c>
      <c r="AY390">
        <v>631110</v>
      </c>
      <c r="AZ390">
        <v>1204.63111</v>
      </c>
      <c r="BA390" s="23" t="s">
        <v>12</v>
      </c>
    </row>
    <row r="391" spans="1:53" x14ac:dyDescent="0.25">
      <c r="A391" t="s">
        <v>134</v>
      </c>
      <c r="B391" t="s">
        <v>135</v>
      </c>
      <c r="C391">
        <v>22001798</v>
      </c>
      <c r="D391">
        <v>1204</v>
      </c>
      <c r="E391" s="11">
        <v>44774</v>
      </c>
      <c r="F391" t="s">
        <v>175</v>
      </c>
      <c r="G391">
        <v>12.41</v>
      </c>
      <c r="H391">
        <v>12.41</v>
      </c>
      <c r="I391" t="s">
        <v>56</v>
      </c>
      <c r="O391" t="s">
        <v>57</v>
      </c>
      <c r="Q391" t="s">
        <v>57</v>
      </c>
      <c r="R391" t="s">
        <v>137</v>
      </c>
      <c r="T391" t="s">
        <v>59</v>
      </c>
      <c r="U391" t="s">
        <v>60</v>
      </c>
      <c r="V391" t="s">
        <v>138</v>
      </c>
      <c r="W391" t="s">
        <v>139</v>
      </c>
      <c r="X391">
        <v>1925598</v>
      </c>
      <c r="Y391" s="11">
        <v>44774</v>
      </c>
      <c r="Z391" t="s">
        <v>57</v>
      </c>
      <c r="AA391">
        <v>16</v>
      </c>
      <c r="AB391" t="s">
        <v>57</v>
      </c>
      <c r="AD391" t="s">
        <v>57</v>
      </c>
      <c r="AE391" t="s">
        <v>57</v>
      </c>
      <c r="AF391" t="s">
        <v>57</v>
      </c>
      <c r="AG391">
        <v>34</v>
      </c>
      <c r="AH391" t="s">
        <v>57</v>
      </c>
      <c r="AL391" t="s">
        <v>57</v>
      </c>
      <c r="AM391" s="11">
        <v>44774</v>
      </c>
      <c r="AN391" t="s">
        <v>176</v>
      </c>
      <c r="AO391" t="s">
        <v>65</v>
      </c>
      <c r="AP391">
        <v>1204</v>
      </c>
      <c r="AQ391" t="s">
        <v>66</v>
      </c>
      <c r="AR391">
        <v>91011</v>
      </c>
      <c r="AU391" t="s">
        <v>57</v>
      </c>
      <c r="AV391" t="s">
        <v>68</v>
      </c>
      <c r="AX391" t="s">
        <v>57</v>
      </c>
      <c r="AY391">
        <v>631110</v>
      </c>
      <c r="AZ391">
        <v>1204.63111</v>
      </c>
      <c r="BA391" s="23" t="s">
        <v>12</v>
      </c>
    </row>
    <row r="392" spans="1:53" x14ac:dyDescent="0.25">
      <c r="A392" t="s">
        <v>134</v>
      </c>
      <c r="B392" t="s">
        <v>135</v>
      </c>
      <c r="C392">
        <v>22001798</v>
      </c>
      <c r="D392">
        <v>1204</v>
      </c>
      <c r="E392" s="11">
        <v>44774</v>
      </c>
      <c r="F392" t="s">
        <v>175</v>
      </c>
      <c r="G392">
        <v>3.06</v>
      </c>
      <c r="H392">
        <v>3.06</v>
      </c>
      <c r="I392" t="s">
        <v>56</v>
      </c>
      <c r="O392" t="s">
        <v>57</v>
      </c>
      <c r="Q392" t="s">
        <v>57</v>
      </c>
      <c r="R392" t="s">
        <v>137</v>
      </c>
      <c r="T392" t="s">
        <v>59</v>
      </c>
      <c r="U392" t="s">
        <v>60</v>
      </c>
      <c r="V392" t="s">
        <v>138</v>
      </c>
      <c r="W392" t="s">
        <v>139</v>
      </c>
      <c r="X392">
        <v>1925598</v>
      </c>
      <c r="Y392" s="11">
        <v>44774</v>
      </c>
      <c r="Z392" t="s">
        <v>57</v>
      </c>
      <c r="AA392">
        <v>18</v>
      </c>
      <c r="AB392" t="s">
        <v>57</v>
      </c>
      <c r="AD392" t="s">
        <v>57</v>
      </c>
      <c r="AE392" t="s">
        <v>57</v>
      </c>
      <c r="AF392" t="s">
        <v>57</v>
      </c>
      <c r="AG392">
        <v>20</v>
      </c>
      <c r="AH392" t="s">
        <v>57</v>
      </c>
      <c r="AL392" t="s">
        <v>57</v>
      </c>
      <c r="AM392" s="11">
        <v>44774</v>
      </c>
      <c r="AN392" t="s">
        <v>176</v>
      </c>
      <c r="AO392" t="s">
        <v>65</v>
      </c>
      <c r="AP392">
        <v>1204</v>
      </c>
      <c r="AQ392" t="s">
        <v>66</v>
      </c>
      <c r="AR392">
        <v>144854</v>
      </c>
      <c r="AU392" t="s">
        <v>57</v>
      </c>
      <c r="AV392" t="s">
        <v>68</v>
      </c>
      <c r="AX392" t="s">
        <v>57</v>
      </c>
      <c r="AY392">
        <v>631110</v>
      </c>
      <c r="AZ392">
        <v>1204.63111</v>
      </c>
      <c r="BA392" s="23" t="s">
        <v>12</v>
      </c>
    </row>
    <row r="393" spans="1:53" x14ac:dyDescent="0.25">
      <c r="A393" t="s">
        <v>134</v>
      </c>
      <c r="B393" t="s">
        <v>135</v>
      </c>
      <c r="C393">
        <v>22001799</v>
      </c>
      <c r="D393">
        <v>1204</v>
      </c>
      <c r="E393" s="11">
        <v>44774</v>
      </c>
      <c r="F393" t="s">
        <v>177</v>
      </c>
      <c r="G393">
        <v>4.63</v>
      </c>
      <c r="H393">
        <v>4.63</v>
      </c>
      <c r="I393" t="s">
        <v>56</v>
      </c>
      <c r="O393" t="s">
        <v>57</v>
      </c>
      <c r="Q393" t="s">
        <v>57</v>
      </c>
      <c r="R393" t="s">
        <v>137</v>
      </c>
      <c r="T393" t="s">
        <v>59</v>
      </c>
      <c r="U393" t="s">
        <v>60</v>
      </c>
      <c r="V393" t="s">
        <v>138</v>
      </c>
      <c r="W393" t="s">
        <v>139</v>
      </c>
      <c r="X393">
        <v>1925599</v>
      </c>
      <c r="Y393" s="11">
        <v>44774</v>
      </c>
      <c r="Z393" t="s">
        <v>57</v>
      </c>
      <c r="AA393">
        <v>2</v>
      </c>
      <c r="AB393" t="s">
        <v>57</v>
      </c>
      <c r="AD393" t="s">
        <v>57</v>
      </c>
      <c r="AE393" t="s">
        <v>57</v>
      </c>
      <c r="AF393" t="s">
        <v>57</v>
      </c>
      <c r="AG393">
        <v>9</v>
      </c>
      <c r="AH393" t="s">
        <v>57</v>
      </c>
      <c r="AL393" t="s">
        <v>57</v>
      </c>
      <c r="AM393" s="11">
        <v>44774</v>
      </c>
      <c r="AN393" t="s">
        <v>176</v>
      </c>
      <c r="AO393" t="s">
        <v>65</v>
      </c>
      <c r="AP393">
        <v>1204</v>
      </c>
      <c r="AQ393" t="s">
        <v>66</v>
      </c>
      <c r="AR393">
        <v>265226</v>
      </c>
      <c r="AU393" t="s">
        <v>57</v>
      </c>
      <c r="AV393" t="s">
        <v>68</v>
      </c>
      <c r="AX393" t="s">
        <v>57</v>
      </c>
      <c r="AY393">
        <v>631110</v>
      </c>
      <c r="AZ393">
        <v>1204.63111</v>
      </c>
      <c r="BA393" s="23" t="s">
        <v>12</v>
      </c>
    </row>
    <row r="394" spans="1:53" x14ac:dyDescent="0.25">
      <c r="A394" t="s">
        <v>134</v>
      </c>
      <c r="B394" t="s">
        <v>135</v>
      </c>
      <c r="C394">
        <v>22001801</v>
      </c>
      <c r="D394">
        <v>1204</v>
      </c>
      <c r="E394" s="11">
        <v>44775</v>
      </c>
      <c r="F394" t="s">
        <v>174</v>
      </c>
      <c r="G394">
        <v>13.49</v>
      </c>
      <c r="H394">
        <v>13.49</v>
      </c>
      <c r="I394" t="s">
        <v>56</v>
      </c>
      <c r="O394" t="s">
        <v>57</v>
      </c>
      <c r="Q394" t="s">
        <v>57</v>
      </c>
      <c r="R394" t="s">
        <v>137</v>
      </c>
      <c r="T394" t="s">
        <v>59</v>
      </c>
      <c r="U394" t="s">
        <v>60</v>
      </c>
      <c r="V394" t="s">
        <v>138</v>
      </c>
      <c r="W394" t="s">
        <v>139</v>
      </c>
      <c r="X394">
        <v>1926653</v>
      </c>
      <c r="Y394" s="11">
        <v>44775</v>
      </c>
      <c r="Z394" t="s">
        <v>57</v>
      </c>
      <c r="AA394">
        <v>2</v>
      </c>
      <c r="AB394" t="s">
        <v>57</v>
      </c>
      <c r="AD394" t="s">
        <v>57</v>
      </c>
      <c r="AE394" t="s">
        <v>57</v>
      </c>
      <c r="AF394" t="s">
        <v>57</v>
      </c>
      <c r="AG394">
        <v>1</v>
      </c>
      <c r="AH394" t="s">
        <v>57</v>
      </c>
      <c r="AL394" t="s">
        <v>57</v>
      </c>
      <c r="AM394" s="11">
        <v>44775</v>
      </c>
      <c r="AN394" t="s">
        <v>173</v>
      </c>
      <c r="AO394" t="s">
        <v>65</v>
      </c>
      <c r="AP394">
        <v>1204</v>
      </c>
      <c r="AQ394" t="s">
        <v>66</v>
      </c>
      <c r="AR394">
        <v>96020</v>
      </c>
      <c r="AU394" t="s">
        <v>57</v>
      </c>
      <c r="AV394" t="s">
        <v>68</v>
      </c>
      <c r="AX394" t="s">
        <v>57</v>
      </c>
      <c r="AY394">
        <v>631110</v>
      </c>
      <c r="AZ394">
        <v>1204.63111</v>
      </c>
      <c r="BA394" s="23" t="s">
        <v>12</v>
      </c>
    </row>
    <row r="395" spans="1:53" x14ac:dyDescent="0.25">
      <c r="A395" t="s">
        <v>134</v>
      </c>
      <c r="B395" t="s">
        <v>135</v>
      </c>
      <c r="C395">
        <v>22001801</v>
      </c>
      <c r="D395">
        <v>1204</v>
      </c>
      <c r="E395" s="11">
        <v>44775</v>
      </c>
      <c r="F395" t="s">
        <v>174</v>
      </c>
      <c r="G395">
        <v>5.37</v>
      </c>
      <c r="H395">
        <v>5.37</v>
      </c>
      <c r="I395" t="s">
        <v>56</v>
      </c>
      <c r="O395" t="s">
        <v>57</v>
      </c>
      <c r="Q395" t="s">
        <v>57</v>
      </c>
      <c r="R395" t="s">
        <v>137</v>
      </c>
      <c r="T395" t="s">
        <v>59</v>
      </c>
      <c r="U395" t="s">
        <v>60</v>
      </c>
      <c r="V395" t="s">
        <v>138</v>
      </c>
      <c r="W395" t="s">
        <v>139</v>
      </c>
      <c r="X395">
        <v>1926653</v>
      </c>
      <c r="Y395" s="11">
        <v>44775</v>
      </c>
      <c r="Z395" t="s">
        <v>57</v>
      </c>
      <c r="AA395">
        <v>4</v>
      </c>
      <c r="AB395" t="s">
        <v>57</v>
      </c>
      <c r="AD395" t="s">
        <v>57</v>
      </c>
      <c r="AE395" t="s">
        <v>57</v>
      </c>
      <c r="AF395" t="s">
        <v>57</v>
      </c>
      <c r="AG395">
        <v>1</v>
      </c>
      <c r="AH395" t="s">
        <v>57</v>
      </c>
      <c r="AL395" t="s">
        <v>57</v>
      </c>
      <c r="AM395" s="11">
        <v>44775</v>
      </c>
      <c r="AN395" t="s">
        <v>173</v>
      </c>
      <c r="AO395" t="s">
        <v>65</v>
      </c>
      <c r="AP395">
        <v>1204</v>
      </c>
      <c r="AQ395" t="s">
        <v>66</v>
      </c>
      <c r="AR395">
        <v>221862</v>
      </c>
      <c r="AU395" t="s">
        <v>57</v>
      </c>
      <c r="AV395" t="s">
        <v>68</v>
      </c>
      <c r="AX395" t="s">
        <v>57</v>
      </c>
      <c r="AY395">
        <v>631110</v>
      </c>
      <c r="AZ395">
        <v>1204.63111</v>
      </c>
      <c r="BA395" s="23" t="s">
        <v>12</v>
      </c>
    </row>
    <row r="396" spans="1:53" x14ac:dyDescent="0.25">
      <c r="A396" t="s">
        <v>134</v>
      </c>
      <c r="B396" t="s">
        <v>135</v>
      </c>
      <c r="C396">
        <v>22001801</v>
      </c>
      <c r="D396">
        <v>1204</v>
      </c>
      <c r="E396" s="11">
        <v>44775</v>
      </c>
      <c r="F396" t="s">
        <v>174</v>
      </c>
      <c r="G396">
        <v>3.71</v>
      </c>
      <c r="H396">
        <v>3.71</v>
      </c>
      <c r="I396" t="s">
        <v>56</v>
      </c>
      <c r="O396" t="s">
        <v>57</v>
      </c>
      <c r="Q396" t="s">
        <v>57</v>
      </c>
      <c r="R396" t="s">
        <v>137</v>
      </c>
      <c r="T396" t="s">
        <v>59</v>
      </c>
      <c r="U396" t="s">
        <v>60</v>
      </c>
      <c r="V396" t="s">
        <v>138</v>
      </c>
      <c r="W396" t="s">
        <v>139</v>
      </c>
      <c r="X396">
        <v>1926653</v>
      </c>
      <c r="Y396" s="11">
        <v>44775</v>
      </c>
      <c r="Z396" t="s">
        <v>57</v>
      </c>
      <c r="AA396">
        <v>6</v>
      </c>
      <c r="AB396" t="s">
        <v>57</v>
      </c>
      <c r="AD396" t="s">
        <v>57</v>
      </c>
      <c r="AE396" t="s">
        <v>57</v>
      </c>
      <c r="AF396" t="s">
        <v>57</v>
      </c>
      <c r="AG396">
        <v>3</v>
      </c>
      <c r="AH396" t="s">
        <v>57</v>
      </c>
      <c r="AL396" t="s">
        <v>57</v>
      </c>
      <c r="AM396" s="11">
        <v>44775</v>
      </c>
      <c r="AN396" t="s">
        <v>173</v>
      </c>
      <c r="AO396" t="s">
        <v>65</v>
      </c>
      <c r="AP396">
        <v>1204</v>
      </c>
      <c r="AQ396" t="s">
        <v>66</v>
      </c>
      <c r="AR396">
        <v>190204</v>
      </c>
      <c r="AU396" t="s">
        <v>57</v>
      </c>
      <c r="AV396" t="s">
        <v>68</v>
      </c>
      <c r="AX396" t="s">
        <v>57</v>
      </c>
      <c r="AY396">
        <v>631110</v>
      </c>
      <c r="AZ396">
        <v>1204.63111</v>
      </c>
      <c r="BA396" s="23" t="s">
        <v>12</v>
      </c>
    </row>
    <row r="397" spans="1:53" x14ac:dyDescent="0.25">
      <c r="A397" t="s">
        <v>134</v>
      </c>
      <c r="B397" t="s">
        <v>135</v>
      </c>
      <c r="C397">
        <v>22001801</v>
      </c>
      <c r="D397">
        <v>1204</v>
      </c>
      <c r="E397" s="11">
        <v>44775</v>
      </c>
      <c r="F397" t="s">
        <v>174</v>
      </c>
      <c r="G397">
        <v>4.9400000000000004</v>
      </c>
      <c r="H397">
        <v>4.9400000000000004</v>
      </c>
      <c r="I397" t="s">
        <v>56</v>
      </c>
      <c r="O397" t="s">
        <v>57</v>
      </c>
      <c r="Q397" t="s">
        <v>57</v>
      </c>
      <c r="R397" t="s">
        <v>137</v>
      </c>
      <c r="T397" t="s">
        <v>59</v>
      </c>
      <c r="U397" t="s">
        <v>60</v>
      </c>
      <c r="V397" t="s">
        <v>138</v>
      </c>
      <c r="W397" t="s">
        <v>139</v>
      </c>
      <c r="X397">
        <v>1926653</v>
      </c>
      <c r="Y397" s="11">
        <v>44775</v>
      </c>
      <c r="Z397" t="s">
        <v>57</v>
      </c>
      <c r="AA397">
        <v>8</v>
      </c>
      <c r="AB397" t="s">
        <v>57</v>
      </c>
      <c r="AD397" t="s">
        <v>57</v>
      </c>
      <c r="AE397" t="s">
        <v>57</v>
      </c>
      <c r="AF397" t="s">
        <v>57</v>
      </c>
      <c r="AG397">
        <v>10</v>
      </c>
      <c r="AH397" t="s">
        <v>57</v>
      </c>
      <c r="AL397" t="s">
        <v>57</v>
      </c>
      <c r="AM397" s="11">
        <v>44775</v>
      </c>
      <c r="AN397" t="s">
        <v>173</v>
      </c>
      <c r="AO397" t="s">
        <v>65</v>
      </c>
      <c r="AP397">
        <v>1204</v>
      </c>
      <c r="AQ397" t="s">
        <v>66</v>
      </c>
      <c r="AR397">
        <v>121863</v>
      </c>
      <c r="AU397" t="s">
        <v>57</v>
      </c>
      <c r="AV397" t="s">
        <v>68</v>
      </c>
      <c r="AX397" t="s">
        <v>57</v>
      </c>
      <c r="AY397">
        <v>631110</v>
      </c>
      <c r="AZ397">
        <v>1204.63111</v>
      </c>
      <c r="BA397" s="23" t="s">
        <v>12</v>
      </c>
    </row>
    <row r="398" spans="1:53" x14ac:dyDescent="0.25">
      <c r="A398" t="s">
        <v>134</v>
      </c>
      <c r="B398" t="s">
        <v>135</v>
      </c>
      <c r="C398">
        <v>22001801</v>
      </c>
      <c r="D398">
        <v>1204</v>
      </c>
      <c r="E398" s="11">
        <v>44775</v>
      </c>
      <c r="F398" t="s">
        <v>174</v>
      </c>
      <c r="G398">
        <v>2.59</v>
      </c>
      <c r="H398">
        <v>2.59</v>
      </c>
      <c r="I398" t="s">
        <v>56</v>
      </c>
      <c r="O398" t="s">
        <v>57</v>
      </c>
      <c r="Q398" t="s">
        <v>57</v>
      </c>
      <c r="R398" t="s">
        <v>137</v>
      </c>
      <c r="T398" t="s">
        <v>59</v>
      </c>
      <c r="U398" t="s">
        <v>60</v>
      </c>
      <c r="V398" t="s">
        <v>138</v>
      </c>
      <c r="W398" t="s">
        <v>139</v>
      </c>
      <c r="X398">
        <v>1926653</v>
      </c>
      <c r="Y398" s="11">
        <v>44775</v>
      </c>
      <c r="Z398" t="s">
        <v>57</v>
      </c>
      <c r="AA398">
        <v>10</v>
      </c>
      <c r="AB398" t="s">
        <v>57</v>
      </c>
      <c r="AD398" t="s">
        <v>57</v>
      </c>
      <c r="AE398" t="s">
        <v>57</v>
      </c>
      <c r="AF398" t="s">
        <v>57</v>
      </c>
      <c r="AG398">
        <v>1</v>
      </c>
      <c r="AH398" t="s">
        <v>57</v>
      </c>
      <c r="AL398" t="s">
        <v>57</v>
      </c>
      <c r="AM398" s="11">
        <v>44775</v>
      </c>
      <c r="AN398" t="s">
        <v>173</v>
      </c>
      <c r="AO398" t="s">
        <v>65</v>
      </c>
      <c r="AP398">
        <v>1204</v>
      </c>
      <c r="AQ398" t="s">
        <v>66</v>
      </c>
      <c r="AR398">
        <v>212679</v>
      </c>
      <c r="AU398" t="s">
        <v>57</v>
      </c>
      <c r="AV398" t="s">
        <v>68</v>
      </c>
      <c r="AX398" t="s">
        <v>57</v>
      </c>
      <c r="AY398">
        <v>631110</v>
      </c>
      <c r="AZ398">
        <v>1204.63111</v>
      </c>
      <c r="BA398" s="23" t="s">
        <v>12</v>
      </c>
    </row>
    <row r="399" spans="1:53" x14ac:dyDescent="0.25">
      <c r="A399" t="s">
        <v>134</v>
      </c>
      <c r="B399" t="s">
        <v>135</v>
      </c>
      <c r="C399">
        <v>22001801</v>
      </c>
      <c r="D399">
        <v>1204</v>
      </c>
      <c r="E399" s="11">
        <v>44775</v>
      </c>
      <c r="F399" t="s">
        <v>174</v>
      </c>
      <c r="G399">
        <v>0.49</v>
      </c>
      <c r="H399">
        <v>0.49</v>
      </c>
      <c r="I399" t="s">
        <v>56</v>
      </c>
      <c r="O399" t="s">
        <v>57</v>
      </c>
      <c r="Q399" t="s">
        <v>57</v>
      </c>
      <c r="R399" t="s">
        <v>137</v>
      </c>
      <c r="T399" t="s">
        <v>59</v>
      </c>
      <c r="U399" t="s">
        <v>60</v>
      </c>
      <c r="V399" t="s">
        <v>138</v>
      </c>
      <c r="W399" t="s">
        <v>139</v>
      </c>
      <c r="X399">
        <v>1926653</v>
      </c>
      <c r="Y399" s="11">
        <v>44775</v>
      </c>
      <c r="Z399" t="s">
        <v>57</v>
      </c>
      <c r="AA399">
        <v>12</v>
      </c>
      <c r="AB399" t="s">
        <v>57</v>
      </c>
      <c r="AD399" t="s">
        <v>57</v>
      </c>
      <c r="AE399" t="s">
        <v>57</v>
      </c>
      <c r="AF399" t="s">
        <v>57</v>
      </c>
      <c r="AG399">
        <v>1</v>
      </c>
      <c r="AH399" t="s">
        <v>57</v>
      </c>
      <c r="AL399" t="s">
        <v>57</v>
      </c>
      <c r="AM399" s="11">
        <v>44775</v>
      </c>
      <c r="AN399" t="s">
        <v>173</v>
      </c>
      <c r="AO399" t="s">
        <v>65</v>
      </c>
      <c r="AP399">
        <v>1204</v>
      </c>
      <c r="AQ399" t="s">
        <v>66</v>
      </c>
      <c r="AR399">
        <v>90122</v>
      </c>
      <c r="AU399" t="s">
        <v>57</v>
      </c>
      <c r="AV399" t="s">
        <v>68</v>
      </c>
      <c r="AX399" t="s">
        <v>57</v>
      </c>
      <c r="AY399">
        <v>631110</v>
      </c>
      <c r="AZ399">
        <v>1204.63111</v>
      </c>
      <c r="BA399" s="23" t="s">
        <v>12</v>
      </c>
    </row>
    <row r="400" spans="1:53" x14ac:dyDescent="0.25">
      <c r="A400" t="s">
        <v>134</v>
      </c>
      <c r="B400" t="s">
        <v>135</v>
      </c>
      <c r="C400">
        <v>22001801</v>
      </c>
      <c r="D400">
        <v>1204</v>
      </c>
      <c r="E400" s="11">
        <v>44775</v>
      </c>
      <c r="F400" t="s">
        <v>174</v>
      </c>
      <c r="G400">
        <v>2.02</v>
      </c>
      <c r="H400">
        <v>2.02</v>
      </c>
      <c r="I400" t="s">
        <v>56</v>
      </c>
      <c r="O400" t="s">
        <v>57</v>
      </c>
      <c r="Q400" t="s">
        <v>57</v>
      </c>
      <c r="R400" t="s">
        <v>137</v>
      </c>
      <c r="T400" t="s">
        <v>59</v>
      </c>
      <c r="U400" t="s">
        <v>60</v>
      </c>
      <c r="V400" t="s">
        <v>138</v>
      </c>
      <c r="W400" t="s">
        <v>139</v>
      </c>
      <c r="X400">
        <v>1926653</v>
      </c>
      <c r="Y400" s="11">
        <v>44775</v>
      </c>
      <c r="Z400" t="s">
        <v>57</v>
      </c>
      <c r="AA400">
        <v>14</v>
      </c>
      <c r="AB400" t="s">
        <v>57</v>
      </c>
      <c r="AD400" t="s">
        <v>57</v>
      </c>
      <c r="AE400" t="s">
        <v>57</v>
      </c>
      <c r="AF400" t="s">
        <v>57</v>
      </c>
      <c r="AG400">
        <v>1</v>
      </c>
      <c r="AH400" t="s">
        <v>57</v>
      </c>
      <c r="AL400" t="s">
        <v>57</v>
      </c>
      <c r="AM400" s="11">
        <v>44775</v>
      </c>
      <c r="AN400" t="s">
        <v>173</v>
      </c>
      <c r="AO400" t="s">
        <v>65</v>
      </c>
      <c r="AP400">
        <v>1204</v>
      </c>
      <c r="AQ400" t="s">
        <v>66</v>
      </c>
      <c r="AR400">
        <v>223161</v>
      </c>
      <c r="AU400" t="s">
        <v>57</v>
      </c>
      <c r="AV400" t="s">
        <v>68</v>
      </c>
      <c r="AX400" t="s">
        <v>57</v>
      </c>
      <c r="AY400">
        <v>631110</v>
      </c>
      <c r="AZ400">
        <v>1204.63111</v>
      </c>
      <c r="BA400" s="23" t="s">
        <v>12</v>
      </c>
    </row>
    <row r="401" spans="1:53" x14ac:dyDescent="0.25">
      <c r="A401" t="s">
        <v>134</v>
      </c>
      <c r="B401" t="s">
        <v>135</v>
      </c>
      <c r="C401">
        <v>22001801</v>
      </c>
      <c r="D401">
        <v>1204</v>
      </c>
      <c r="E401" s="11">
        <v>44775</v>
      </c>
      <c r="F401" t="s">
        <v>174</v>
      </c>
      <c r="G401">
        <v>0.84</v>
      </c>
      <c r="H401">
        <v>0.84</v>
      </c>
      <c r="I401" t="s">
        <v>56</v>
      </c>
      <c r="O401" t="s">
        <v>57</v>
      </c>
      <c r="Q401" t="s">
        <v>57</v>
      </c>
      <c r="R401" t="s">
        <v>137</v>
      </c>
      <c r="T401" t="s">
        <v>59</v>
      </c>
      <c r="U401" t="s">
        <v>60</v>
      </c>
      <c r="V401" t="s">
        <v>138</v>
      </c>
      <c r="W401" t="s">
        <v>139</v>
      </c>
      <c r="X401">
        <v>1926653</v>
      </c>
      <c r="Y401" s="11">
        <v>44775</v>
      </c>
      <c r="Z401" t="s">
        <v>57</v>
      </c>
      <c r="AA401">
        <v>16</v>
      </c>
      <c r="AB401" t="s">
        <v>57</v>
      </c>
      <c r="AD401" t="s">
        <v>57</v>
      </c>
      <c r="AE401" t="s">
        <v>57</v>
      </c>
      <c r="AF401" t="s">
        <v>57</v>
      </c>
      <c r="AG401">
        <v>1</v>
      </c>
      <c r="AH401" t="s">
        <v>57</v>
      </c>
      <c r="AL401" t="s">
        <v>57</v>
      </c>
      <c r="AM401" s="11">
        <v>44775</v>
      </c>
      <c r="AN401" t="s">
        <v>173</v>
      </c>
      <c r="AO401" t="s">
        <v>65</v>
      </c>
      <c r="AP401">
        <v>1204</v>
      </c>
      <c r="AQ401" t="s">
        <v>66</v>
      </c>
      <c r="AR401">
        <v>270704</v>
      </c>
      <c r="AU401" t="s">
        <v>57</v>
      </c>
      <c r="AV401" t="s">
        <v>68</v>
      </c>
      <c r="AX401" t="s">
        <v>57</v>
      </c>
      <c r="AY401">
        <v>631110</v>
      </c>
      <c r="AZ401">
        <v>1204.63111</v>
      </c>
      <c r="BA401" s="23" t="s">
        <v>12</v>
      </c>
    </row>
    <row r="402" spans="1:53" x14ac:dyDescent="0.25">
      <c r="A402" t="s">
        <v>134</v>
      </c>
      <c r="B402" t="s">
        <v>135</v>
      </c>
      <c r="C402">
        <v>22001801</v>
      </c>
      <c r="D402">
        <v>1204</v>
      </c>
      <c r="E402" s="11">
        <v>44775</v>
      </c>
      <c r="F402" t="s">
        <v>174</v>
      </c>
      <c r="G402">
        <v>1</v>
      </c>
      <c r="H402">
        <v>1</v>
      </c>
      <c r="I402" t="s">
        <v>56</v>
      </c>
      <c r="O402" t="s">
        <v>57</v>
      </c>
      <c r="Q402" t="s">
        <v>57</v>
      </c>
      <c r="R402" t="s">
        <v>137</v>
      </c>
      <c r="T402" t="s">
        <v>59</v>
      </c>
      <c r="U402" t="s">
        <v>60</v>
      </c>
      <c r="V402" t="s">
        <v>138</v>
      </c>
      <c r="W402" t="s">
        <v>139</v>
      </c>
      <c r="X402">
        <v>1926653</v>
      </c>
      <c r="Y402" s="11">
        <v>44775</v>
      </c>
      <c r="Z402" t="s">
        <v>57</v>
      </c>
      <c r="AA402">
        <v>18</v>
      </c>
      <c r="AB402" t="s">
        <v>57</v>
      </c>
      <c r="AD402" t="s">
        <v>57</v>
      </c>
      <c r="AE402" t="s">
        <v>57</v>
      </c>
      <c r="AF402" t="s">
        <v>57</v>
      </c>
      <c r="AG402">
        <v>1</v>
      </c>
      <c r="AH402" t="s">
        <v>57</v>
      </c>
      <c r="AL402" t="s">
        <v>57</v>
      </c>
      <c r="AM402" s="11">
        <v>44775</v>
      </c>
      <c r="AN402" t="s">
        <v>173</v>
      </c>
      <c r="AO402" t="s">
        <v>65</v>
      </c>
      <c r="AP402">
        <v>1204</v>
      </c>
      <c r="AQ402" t="s">
        <v>66</v>
      </c>
      <c r="AR402">
        <v>88703</v>
      </c>
      <c r="AU402" t="s">
        <v>57</v>
      </c>
      <c r="AV402" t="s">
        <v>68</v>
      </c>
      <c r="AX402" t="s">
        <v>57</v>
      </c>
      <c r="AY402">
        <v>631110</v>
      </c>
      <c r="AZ402">
        <v>1204.63111</v>
      </c>
      <c r="BA402" s="23" t="s">
        <v>12</v>
      </c>
    </row>
    <row r="403" spans="1:53" x14ac:dyDescent="0.25">
      <c r="A403" t="s">
        <v>134</v>
      </c>
      <c r="B403" t="s">
        <v>135</v>
      </c>
      <c r="C403">
        <v>22001802</v>
      </c>
      <c r="D403">
        <v>1204</v>
      </c>
      <c r="E403" s="11">
        <v>44775</v>
      </c>
      <c r="F403" t="s">
        <v>159</v>
      </c>
      <c r="G403">
        <v>1.71</v>
      </c>
      <c r="H403">
        <v>1.71</v>
      </c>
      <c r="I403" t="s">
        <v>56</v>
      </c>
      <c r="O403" t="s">
        <v>57</v>
      </c>
      <c r="Q403" t="s">
        <v>57</v>
      </c>
      <c r="R403" t="s">
        <v>137</v>
      </c>
      <c r="T403" t="s">
        <v>59</v>
      </c>
      <c r="U403" t="s">
        <v>60</v>
      </c>
      <c r="V403" t="s">
        <v>138</v>
      </c>
      <c r="W403" t="s">
        <v>139</v>
      </c>
      <c r="X403">
        <v>1926653</v>
      </c>
      <c r="Y403" s="11">
        <v>44775</v>
      </c>
      <c r="Z403" t="s">
        <v>57</v>
      </c>
      <c r="AA403">
        <v>4</v>
      </c>
      <c r="AB403" t="s">
        <v>57</v>
      </c>
      <c r="AD403" t="s">
        <v>57</v>
      </c>
      <c r="AE403" t="s">
        <v>57</v>
      </c>
      <c r="AF403" t="s">
        <v>57</v>
      </c>
      <c r="AG403">
        <v>2</v>
      </c>
      <c r="AH403" t="s">
        <v>57</v>
      </c>
      <c r="AL403" t="s">
        <v>57</v>
      </c>
      <c r="AM403" s="11">
        <v>44775</v>
      </c>
      <c r="AN403" t="s">
        <v>173</v>
      </c>
      <c r="AO403" t="s">
        <v>65</v>
      </c>
      <c r="AP403">
        <v>1204</v>
      </c>
      <c r="AQ403" t="s">
        <v>66</v>
      </c>
      <c r="AR403">
        <v>114062</v>
      </c>
      <c r="AU403" t="s">
        <v>57</v>
      </c>
      <c r="AV403" t="s">
        <v>68</v>
      </c>
      <c r="AX403" t="s">
        <v>57</v>
      </c>
      <c r="AY403">
        <v>631110</v>
      </c>
      <c r="AZ403">
        <v>1204.63111</v>
      </c>
      <c r="BA403" s="23" t="s">
        <v>12</v>
      </c>
    </row>
    <row r="404" spans="1:53" x14ac:dyDescent="0.25">
      <c r="A404" t="s">
        <v>134</v>
      </c>
      <c r="B404" t="s">
        <v>135</v>
      </c>
      <c r="C404">
        <v>22001802</v>
      </c>
      <c r="D404">
        <v>1204</v>
      </c>
      <c r="E404" s="11">
        <v>44775</v>
      </c>
      <c r="F404" t="s">
        <v>159</v>
      </c>
      <c r="G404">
        <v>30.24</v>
      </c>
      <c r="H404">
        <v>30.24</v>
      </c>
      <c r="I404" t="s">
        <v>56</v>
      </c>
      <c r="O404" t="s">
        <v>57</v>
      </c>
      <c r="Q404" t="s">
        <v>57</v>
      </c>
      <c r="R404" t="s">
        <v>137</v>
      </c>
      <c r="T404" t="s">
        <v>59</v>
      </c>
      <c r="U404" t="s">
        <v>60</v>
      </c>
      <c r="V404" t="s">
        <v>138</v>
      </c>
      <c r="W404" t="s">
        <v>139</v>
      </c>
      <c r="X404">
        <v>1926653</v>
      </c>
      <c r="Y404" s="11">
        <v>44775</v>
      </c>
      <c r="Z404" t="s">
        <v>57</v>
      </c>
      <c r="AA404">
        <v>2</v>
      </c>
      <c r="AB404" t="s">
        <v>57</v>
      </c>
      <c r="AD404" t="s">
        <v>57</v>
      </c>
      <c r="AE404" t="s">
        <v>57</v>
      </c>
      <c r="AF404" t="s">
        <v>57</v>
      </c>
      <c r="AG404">
        <v>2</v>
      </c>
      <c r="AH404" t="s">
        <v>57</v>
      </c>
      <c r="AL404" t="s">
        <v>57</v>
      </c>
      <c r="AM404" s="11">
        <v>44775</v>
      </c>
      <c r="AN404" t="s">
        <v>173</v>
      </c>
      <c r="AO404" t="s">
        <v>65</v>
      </c>
      <c r="AP404">
        <v>1204</v>
      </c>
      <c r="AQ404" t="s">
        <v>66</v>
      </c>
      <c r="AR404">
        <v>88717</v>
      </c>
      <c r="AU404" t="s">
        <v>57</v>
      </c>
      <c r="AV404" t="s">
        <v>68</v>
      </c>
      <c r="AX404" t="s">
        <v>57</v>
      </c>
      <c r="AY404">
        <v>631110</v>
      </c>
      <c r="AZ404">
        <v>1204.63111</v>
      </c>
      <c r="BA404" s="23" t="s">
        <v>12</v>
      </c>
    </row>
    <row r="405" spans="1:53" x14ac:dyDescent="0.25">
      <c r="A405" t="s">
        <v>134</v>
      </c>
      <c r="B405" t="s">
        <v>135</v>
      </c>
      <c r="C405">
        <v>22001803</v>
      </c>
      <c r="D405">
        <v>1204</v>
      </c>
      <c r="E405" s="11">
        <v>44775</v>
      </c>
      <c r="F405" t="s">
        <v>172</v>
      </c>
      <c r="G405">
        <v>272.61</v>
      </c>
      <c r="H405">
        <v>272.61</v>
      </c>
      <c r="I405" t="s">
        <v>56</v>
      </c>
      <c r="O405" t="s">
        <v>57</v>
      </c>
      <c r="Q405" t="s">
        <v>57</v>
      </c>
      <c r="R405" t="s">
        <v>137</v>
      </c>
      <c r="T405" t="s">
        <v>59</v>
      </c>
      <c r="U405" t="s">
        <v>60</v>
      </c>
      <c r="V405" t="s">
        <v>138</v>
      </c>
      <c r="W405" t="s">
        <v>139</v>
      </c>
      <c r="X405">
        <v>1926654</v>
      </c>
      <c r="Y405" s="11">
        <v>44775</v>
      </c>
      <c r="Z405" t="s">
        <v>57</v>
      </c>
      <c r="AA405">
        <v>2</v>
      </c>
      <c r="AB405" t="s">
        <v>57</v>
      </c>
      <c r="AD405" t="s">
        <v>57</v>
      </c>
      <c r="AE405" t="s">
        <v>57</v>
      </c>
      <c r="AF405" t="s">
        <v>57</v>
      </c>
      <c r="AG405">
        <v>20</v>
      </c>
      <c r="AH405" t="s">
        <v>57</v>
      </c>
      <c r="AL405" t="s">
        <v>57</v>
      </c>
      <c r="AM405" s="11">
        <v>44775</v>
      </c>
      <c r="AN405" t="s">
        <v>173</v>
      </c>
      <c r="AO405" t="s">
        <v>65</v>
      </c>
      <c r="AP405">
        <v>1204</v>
      </c>
      <c r="AQ405" t="s">
        <v>66</v>
      </c>
      <c r="AR405">
        <v>234831</v>
      </c>
      <c r="AU405" t="s">
        <v>57</v>
      </c>
      <c r="AV405" t="s">
        <v>68</v>
      </c>
      <c r="AX405" t="s">
        <v>57</v>
      </c>
      <c r="AY405">
        <v>631110</v>
      </c>
      <c r="AZ405">
        <v>1204.63111</v>
      </c>
      <c r="BA405" s="23" t="s">
        <v>12</v>
      </c>
    </row>
    <row r="406" spans="1:53" x14ac:dyDescent="0.25">
      <c r="A406" t="s">
        <v>134</v>
      </c>
      <c r="B406" t="s">
        <v>135</v>
      </c>
      <c r="C406">
        <v>22001804</v>
      </c>
      <c r="D406">
        <v>1204</v>
      </c>
      <c r="E406" s="11">
        <v>44775</v>
      </c>
      <c r="F406" t="s">
        <v>175</v>
      </c>
      <c r="G406">
        <v>2.2000000000000002</v>
      </c>
      <c r="H406">
        <v>2.2000000000000002</v>
      </c>
      <c r="I406" t="s">
        <v>56</v>
      </c>
      <c r="O406" t="s">
        <v>57</v>
      </c>
      <c r="Q406" t="s">
        <v>57</v>
      </c>
      <c r="R406" t="s">
        <v>137</v>
      </c>
      <c r="T406" t="s">
        <v>59</v>
      </c>
      <c r="U406" t="s">
        <v>60</v>
      </c>
      <c r="V406" t="s">
        <v>138</v>
      </c>
      <c r="W406" t="s">
        <v>139</v>
      </c>
      <c r="X406">
        <v>1926656</v>
      </c>
      <c r="Y406" s="11">
        <v>44775</v>
      </c>
      <c r="Z406" t="s">
        <v>57</v>
      </c>
      <c r="AA406">
        <v>2</v>
      </c>
      <c r="AB406" t="s">
        <v>57</v>
      </c>
      <c r="AD406" t="s">
        <v>57</v>
      </c>
      <c r="AE406" t="s">
        <v>57</v>
      </c>
      <c r="AF406" t="s">
        <v>57</v>
      </c>
      <c r="AG406">
        <v>20</v>
      </c>
      <c r="AH406" t="s">
        <v>57</v>
      </c>
      <c r="AL406" t="s">
        <v>57</v>
      </c>
      <c r="AM406" s="11">
        <v>44775</v>
      </c>
      <c r="AN406" t="s">
        <v>176</v>
      </c>
      <c r="AO406" t="s">
        <v>65</v>
      </c>
      <c r="AP406">
        <v>1204</v>
      </c>
      <c r="AQ406" t="s">
        <v>66</v>
      </c>
      <c r="AR406">
        <v>265267</v>
      </c>
      <c r="AU406" t="s">
        <v>57</v>
      </c>
      <c r="AV406" t="s">
        <v>68</v>
      </c>
      <c r="AX406" t="s">
        <v>57</v>
      </c>
      <c r="AY406">
        <v>631110</v>
      </c>
      <c r="AZ406">
        <v>1204.63111</v>
      </c>
      <c r="BA406" s="23" t="s">
        <v>12</v>
      </c>
    </row>
    <row r="407" spans="1:53" x14ac:dyDescent="0.25">
      <c r="A407" t="s">
        <v>134</v>
      </c>
      <c r="B407" t="s">
        <v>135</v>
      </c>
      <c r="C407">
        <v>22001804</v>
      </c>
      <c r="D407">
        <v>1204</v>
      </c>
      <c r="E407" s="11">
        <v>44775</v>
      </c>
      <c r="F407" t="s">
        <v>175</v>
      </c>
      <c r="G407">
        <v>0.66</v>
      </c>
      <c r="H407">
        <v>0.66</v>
      </c>
      <c r="I407" t="s">
        <v>56</v>
      </c>
      <c r="O407" t="s">
        <v>57</v>
      </c>
      <c r="Q407" t="s">
        <v>57</v>
      </c>
      <c r="R407" t="s">
        <v>137</v>
      </c>
      <c r="T407" t="s">
        <v>59</v>
      </c>
      <c r="U407" t="s">
        <v>60</v>
      </c>
      <c r="V407" t="s">
        <v>138</v>
      </c>
      <c r="W407" t="s">
        <v>139</v>
      </c>
      <c r="X407">
        <v>1926656</v>
      </c>
      <c r="Y407" s="11">
        <v>44775</v>
      </c>
      <c r="Z407" t="s">
        <v>57</v>
      </c>
      <c r="AA407">
        <v>4</v>
      </c>
      <c r="AB407" t="s">
        <v>57</v>
      </c>
      <c r="AD407" t="s">
        <v>57</v>
      </c>
      <c r="AE407" t="s">
        <v>57</v>
      </c>
      <c r="AF407" t="s">
        <v>57</v>
      </c>
      <c r="AG407">
        <v>6</v>
      </c>
      <c r="AH407" t="s">
        <v>57</v>
      </c>
      <c r="AL407" t="s">
        <v>57</v>
      </c>
      <c r="AM407" s="11">
        <v>44775</v>
      </c>
      <c r="AN407" t="s">
        <v>176</v>
      </c>
      <c r="AO407" t="s">
        <v>65</v>
      </c>
      <c r="AP407">
        <v>1204</v>
      </c>
      <c r="AQ407" t="s">
        <v>66</v>
      </c>
      <c r="AR407">
        <v>90435</v>
      </c>
      <c r="AU407" t="s">
        <v>57</v>
      </c>
      <c r="AV407" t="s">
        <v>68</v>
      </c>
      <c r="AX407" t="s">
        <v>57</v>
      </c>
      <c r="AY407">
        <v>631110</v>
      </c>
      <c r="AZ407">
        <v>1204.63111</v>
      </c>
      <c r="BA407" s="23" t="s">
        <v>12</v>
      </c>
    </row>
    <row r="408" spans="1:53" x14ac:dyDescent="0.25">
      <c r="A408" t="s">
        <v>134</v>
      </c>
      <c r="B408" t="s">
        <v>135</v>
      </c>
      <c r="C408">
        <v>22001804</v>
      </c>
      <c r="D408">
        <v>1204</v>
      </c>
      <c r="E408" s="11">
        <v>44775</v>
      </c>
      <c r="F408" t="s">
        <v>175</v>
      </c>
      <c r="G408">
        <v>0.08</v>
      </c>
      <c r="H408">
        <v>0.08</v>
      </c>
      <c r="I408" t="s">
        <v>56</v>
      </c>
      <c r="O408" t="s">
        <v>57</v>
      </c>
      <c r="Q408" t="s">
        <v>57</v>
      </c>
      <c r="R408" t="s">
        <v>137</v>
      </c>
      <c r="T408" t="s">
        <v>59</v>
      </c>
      <c r="U408" t="s">
        <v>60</v>
      </c>
      <c r="V408" t="s">
        <v>138</v>
      </c>
      <c r="W408" t="s">
        <v>139</v>
      </c>
      <c r="X408">
        <v>1926656</v>
      </c>
      <c r="Y408" s="11">
        <v>44775</v>
      </c>
      <c r="Z408" t="s">
        <v>57</v>
      </c>
      <c r="AA408">
        <v>6</v>
      </c>
      <c r="AB408" t="s">
        <v>57</v>
      </c>
      <c r="AD408" t="s">
        <v>57</v>
      </c>
      <c r="AE408" t="s">
        <v>57</v>
      </c>
      <c r="AF408" t="s">
        <v>57</v>
      </c>
      <c r="AG408">
        <v>1</v>
      </c>
      <c r="AH408" t="s">
        <v>57</v>
      </c>
      <c r="AL408" t="s">
        <v>57</v>
      </c>
      <c r="AM408" s="11">
        <v>44775</v>
      </c>
      <c r="AN408" t="s">
        <v>176</v>
      </c>
      <c r="AO408" t="s">
        <v>65</v>
      </c>
      <c r="AP408">
        <v>1204</v>
      </c>
      <c r="AQ408" t="s">
        <v>66</v>
      </c>
      <c r="AR408">
        <v>264585</v>
      </c>
      <c r="AU408" t="s">
        <v>57</v>
      </c>
      <c r="AV408" t="s">
        <v>68</v>
      </c>
      <c r="AX408" t="s">
        <v>57</v>
      </c>
      <c r="AY408">
        <v>631110</v>
      </c>
      <c r="AZ408">
        <v>1204.63111</v>
      </c>
      <c r="BA408" s="23" t="s">
        <v>12</v>
      </c>
    </row>
    <row r="409" spans="1:53" x14ac:dyDescent="0.25">
      <c r="A409" t="s">
        <v>134</v>
      </c>
      <c r="B409" t="s">
        <v>135</v>
      </c>
      <c r="C409">
        <v>22001804</v>
      </c>
      <c r="D409">
        <v>1204</v>
      </c>
      <c r="E409" s="11">
        <v>44775</v>
      </c>
      <c r="F409" t="s">
        <v>175</v>
      </c>
      <c r="G409">
        <v>4.45</v>
      </c>
      <c r="H409">
        <v>4.45</v>
      </c>
      <c r="I409" t="s">
        <v>56</v>
      </c>
      <c r="O409" t="s">
        <v>57</v>
      </c>
      <c r="Q409" t="s">
        <v>57</v>
      </c>
      <c r="R409" t="s">
        <v>137</v>
      </c>
      <c r="T409" t="s">
        <v>59</v>
      </c>
      <c r="U409" t="s">
        <v>60</v>
      </c>
      <c r="V409" t="s">
        <v>138</v>
      </c>
      <c r="W409" t="s">
        <v>139</v>
      </c>
      <c r="X409">
        <v>1926656</v>
      </c>
      <c r="Y409" s="11">
        <v>44775</v>
      </c>
      <c r="Z409" t="s">
        <v>57</v>
      </c>
      <c r="AA409">
        <v>8</v>
      </c>
      <c r="AB409" t="s">
        <v>57</v>
      </c>
      <c r="AD409" t="s">
        <v>57</v>
      </c>
      <c r="AE409" t="s">
        <v>57</v>
      </c>
      <c r="AF409" t="s">
        <v>57</v>
      </c>
      <c r="AG409">
        <v>29</v>
      </c>
      <c r="AH409" t="s">
        <v>57</v>
      </c>
      <c r="AL409" t="s">
        <v>57</v>
      </c>
      <c r="AM409" s="11">
        <v>44775</v>
      </c>
      <c r="AN409" t="s">
        <v>176</v>
      </c>
      <c r="AO409" t="s">
        <v>65</v>
      </c>
      <c r="AP409">
        <v>1204</v>
      </c>
      <c r="AQ409" t="s">
        <v>66</v>
      </c>
      <c r="AR409">
        <v>89712</v>
      </c>
      <c r="AU409" t="s">
        <v>57</v>
      </c>
      <c r="AV409" t="s">
        <v>68</v>
      </c>
      <c r="AX409" t="s">
        <v>57</v>
      </c>
      <c r="AY409">
        <v>631110</v>
      </c>
      <c r="AZ409">
        <v>1204.63111</v>
      </c>
      <c r="BA409" s="23" t="s">
        <v>12</v>
      </c>
    </row>
    <row r="410" spans="1:53" x14ac:dyDescent="0.25">
      <c r="A410" t="s">
        <v>134</v>
      </c>
      <c r="B410" t="s">
        <v>135</v>
      </c>
      <c r="C410">
        <v>22001804</v>
      </c>
      <c r="D410">
        <v>1204</v>
      </c>
      <c r="E410" s="11">
        <v>44775</v>
      </c>
      <c r="F410" t="s">
        <v>175</v>
      </c>
      <c r="G410">
        <v>7.66</v>
      </c>
      <c r="H410">
        <v>7.66</v>
      </c>
      <c r="I410" t="s">
        <v>56</v>
      </c>
      <c r="O410" t="s">
        <v>57</v>
      </c>
      <c r="Q410" t="s">
        <v>57</v>
      </c>
      <c r="R410" t="s">
        <v>137</v>
      </c>
      <c r="T410" t="s">
        <v>59</v>
      </c>
      <c r="U410" t="s">
        <v>60</v>
      </c>
      <c r="V410" t="s">
        <v>138</v>
      </c>
      <c r="W410" t="s">
        <v>139</v>
      </c>
      <c r="X410">
        <v>1926656</v>
      </c>
      <c r="Y410" s="11">
        <v>44775</v>
      </c>
      <c r="Z410" t="s">
        <v>57</v>
      </c>
      <c r="AA410">
        <v>10</v>
      </c>
      <c r="AB410" t="s">
        <v>57</v>
      </c>
      <c r="AD410" t="s">
        <v>57</v>
      </c>
      <c r="AE410" t="s">
        <v>57</v>
      </c>
      <c r="AF410" t="s">
        <v>57</v>
      </c>
      <c r="AG410">
        <v>21</v>
      </c>
      <c r="AH410" t="s">
        <v>57</v>
      </c>
      <c r="AL410" t="s">
        <v>57</v>
      </c>
      <c r="AM410" s="11">
        <v>44775</v>
      </c>
      <c r="AN410" t="s">
        <v>176</v>
      </c>
      <c r="AO410" t="s">
        <v>65</v>
      </c>
      <c r="AP410">
        <v>1204</v>
      </c>
      <c r="AQ410" t="s">
        <v>66</v>
      </c>
      <c r="AR410">
        <v>91011</v>
      </c>
      <c r="AU410" t="s">
        <v>57</v>
      </c>
      <c r="AV410" t="s">
        <v>68</v>
      </c>
      <c r="AX410" t="s">
        <v>57</v>
      </c>
      <c r="AY410">
        <v>631110</v>
      </c>
      <c r="AZ410">
        <v>1204.63111</v>
      </c>
      <c r="BA410" s="23" t="s">
        <v>12</v>
      </c>
    </row>
    <row r="411" spans="1:53" x14ac:dyDescent="0.25">
      <c r="A411" t="s">
        <v>134</v>
      </c>
      <c r="B411" t="s">
        <v>135</v>
      </c>
      <c r="C411">
        <v>22001804</v>
      </c>
      <c r="D411">
        <v>1204</v>
      </c>
      <c r="E411" s="11">
        <v>44775</v>
      </c>
      <c r="F411" t="s">
        <v>175</v>
      </c>
      <c r="G411">
        <v>0.76</v>
      </c>
      <c r="H411">
        <v>0.76</v>
      </c>
      <c r="I411" t="s">
        <v>56</v>
      </c>
      <c r="O411" t="s">
        <v>57</v>
      </c>
      <c r="Q411" t="s">
        <v>57</v>
      </c>
      <c r="R411" t="s">
        <v>137</v>
      </c>
      <c r="T411" t="s">
        <v>59</v>
      </c>
      <c r="U411" t="s">
        <v>60</v>
      </c>
      <c r="V411" t="s">
        <v>138</v>
      </c>
      <c r="W411" t="s">
        <v>139</v>
      </c>
      <c r="X411">
        <v>1926656</v>
      </c>
      <c r="Y411" s="11">
        <v>44775</v>
      </c>
      <c r="Z411" t="s">
        <v>57</v>
      </c>
      <c r="AA411">
        <v>12</v>
      </c>
      <c r="AB411" t="s">
        <v>57</v>
      </c>
      <c r="AD411" t="s">
        <v>57</v>
      </c>
      <c r="AE411" t="s">
        <v>57</v>
      </c>
      <c r="AF411" t="s">
        <v>57</v>
      </c>
      <c r="AG411">
        <v>5</v>
      </c>
      <c r="AH411" t="s">
        <v>57</v>
      </c>
      <c r="AL411" t="s">
        <v>57</v>
      </c>
      <c r="AM411" s="11">
        <v>44775</v>
      </c>
      <c r="AN411" t="s">
        <v>176</v>
      </c>
      <c r="AO411" t="s">
        <v>65</v>
      </c>
      <c r="AP411">
        <v>1204</v>
      </c>
      <c r="AQ411" t="s">
        <v>66</v>
      </c>
      <c r="AR411">
        <v>144854</v>
      </c>
      <c r="AU411" t="s">
        <v>57</v>
      </c>
      <c r="AV411" t="s">
        <v>68</v>
      </c>
      <c r="AX411" t="s">
        <v>57</v>
      </c>
      <c r="AY411">
        <v>631110</v>
      </c>
      <c r="AZ411">
        <v>1204.63111</v>
      </c>
      <c r="BA411" s="23" t="s">
        <v>12</v>
      </c>
    </row>
    <row r="412" spans="1:53" x14ac:dyDescent="0.25">
      <c r="A412" t="s">
        <v>134</v>
      </c>
      <c r="B412" t="s">
        <v>135</v>
      </c>
      <c r="C412">
        <v>22001805</v>
      </c>
      <c r="D412">
        <v>1204</v>
      </c>
      <c r="E412" s="11">
        <v>44775</v>
      </c>
      <c r="F412" t="s">
        <v>175</v>
      </c>
      <c r="G412">
        <v>6.17</v>
      </c>
      <c r="H412">
        <v>6.17</v>
      </c>
      <c r="I412" t="s">
        <v>56</v>
      </c>
      <c r="O412" t="s">
        <v>57</v>
      </c>
      <c r="Q412" t="s">
        <v>57</v>
      </c>
      <c r="R412" t="s">
        <v>137</v>
      </c>
      <c r="T412" t="s">
        <v>59</v>
      </c>
      <c r="U412" t="s">
        <v>60</v>
      </c>
      <c r="V412" t="s">
        <v>138</v>
      </c>
      <c r="W412" t="s">
        <v>139</v>
      </c>
      <c r="X412">
        <v>1926657</v>
      </c>
      <c r="Y412" s="11">
        <v>44775</v>
      </c>
      <c r="Z412" t="s">
        <v>57</v>
      </c>
      <c r="AA412">
        <v>2</v>
      </c>
      <c r="AB412" t="s">
        <v>57</v>
      </c>
      <c r="AD412" t="s">
        <v>57</v>
      </c>
      <c r="AE412" t="s">
        <v>57</v>
      </c>
      <c r="AF412" t="s">
        <v>57</v>
      </c>
      <c r="AG412">
        <v>12</v>
      </c>
      <c r="AH412" t="s">
        <v>57</v>
      </c>
      <c r="AL412" t="s">
        <v>57</v>
      </c>
      <c r="AM412" s="11">
        <v>44775</v>
      </c>
      <c r="AN412" t="s">
        <v>176</v>
      </c>
      <c r="AO412" t="s">
        <v>65</v>
      </c>
      <c r="AP412">
        <v>1204</v>
      </c>
      <c r="AQ412" t="s">
        <v>66</v>
      </c>
      <c r="AR412">
        <v>265226</v>
      </c>
      <c r="AU412" t="s">
        <v>57</v>
      </c>
      <c r="AV412" t="s">
        <v>68</v>
      </c>
      <c r="AX412" t="s">
        <v>57</v>
      </c>
      <c r="AY412">
        <v>631110</v>
      </c>
      <c r="AZ412">
        <v>1204.63111</v>
      </c>
      <c r="BA412" s="23" t="s">
        <v>12</v>
      </c>
    </row>
    <row r="413" spans="1:53" x14ac:dyDescent="0.25">
      <c r="A413" t="s">
        <v>134</v>
      </c>
      <c r="B413" t="s">
        <v>135</v>
      </c>
      <c r="C413">
        <v>22001806</v>
      </c>
      <c r="D413">
        <v>1204</v>
      </c>
      <c r="E413" s="11">
        <v>44776</v>
      </c>
      <c r="F413" t="s">
        <v>172</v>
      </c>
      <c r="G413">
        <v>16.5</v>
      </c>
      <c r="H413">
        <v>16.5</v>
      </c>
      <c r="I413" t="s">
        <v>56</v>
      </c>
      <c r="O413" t="s">
        <v>57</v>
      </c>
      <c r="Q413" t="s">
        <v>57</v>
      </c>
      <c r="R413" t="s">
        <v>137</v>
      </c>
      <c r="T413" t="s">
        <v>59</v>
      </c>
      <c r="U413" t="s">
        <v>60</v>
      </c>
      <c r="V413" t="s">
        <v>138</v>
      </c>
      <c r="W413" t="s">
        <v>139</v>
      </c>
      <c r="X413">
        <v>1926830</v>
      </c>
      <c r="Y413" s="11">
        <v>44776</v>
      </c>
      <c r="Z413" t="s">
        <v>57</v>
      </c>
      <c r="AA413">
        <v>2</v>
      </c>
      <c r="AB413" t="s">
        <v>57</v>
      </c>
      <c r="AD413" t="s">
        <v>57</v>
      </c>
      <c r="AE413" t="s">
        <v>57</v>
      </c>
      <c r="AF413" t="s">
        <v>57</v>
      </c>
      <c r="AG413">
        <v>2</v>
      </c>
      <c r="AH413" t="s">
        <v>57</v>
      </c>
      <c r="AL413" t="s">
        <v>57</v>
      </c>
      <c r="AM413" s="11">
        <v>44776</v>
      </c>
      <c r="AN413" t="s">
        <v>173</v>
      </c>
      <c r="AO413" t="s">
        <v>65</v>
      </c>
      <c r="AP413">
        <v>1204</v>
      </c>
      <c r="AQ413" t="s">
        <v>66</v>
      </c>
      <c r="AR413">
        <v>279991</v>
      </c>
      <c r="AU413" t="s">
        <v>57</v>
      </c>
      <c r="AV413" t="s">
        <v>68</v>
      </c>
      <c r="AX413" t="s">
        <v>57</v>
      </c>
      <c r="AY413">
        <v>631110</v>
      </c>
      <c r="AZ413">
        <v>1204.63111</v>
      </c>
      <c r="BA413" s="23" t="s">
        <v>12</v>
      </c>
    </row>
    <row r="414" spans="1:53" x14ac:dyDescent="0.25">
      <c r="A414" t="s">
        <v>134</v>
      </c>
      <c r="B414" t="s">
        <v>135</v>
      </c>
      <c r="C414">
        <v>22001807</v>
      </c>
      <c r="D414">
        <v>1204</v>
      </c>
      <c r="E414" s="11">
        <v>44776</v>
      </c>
      <c r="F414" t="s">
        <v>159</v>
      </c>
      <c r="G414">
        <v>651.04</v>
      </c>
      <c r="H414">
        <v>651.04</v>
      </c>
      <c r="I414" t="s">
        <v>56</v>
      </c>
      <c r="O414" t="s">
        <v>57</v>
      </c>
      <c r="Q414" t="s">
        <v>57</v>
      </c>
      <c r="R414" t="s">
        <v>137</v>
      </c>
      <c r="T414" t="s">
        <v>59</v>
      </c>
      <c r="U414" t="s">
        <v>60</v>
      </c>
      <c r="V414" t="s">
        <v>138</v>
      </c>
      <c r="W414" t="s">
        <v>139</v>
      </c>
      <c r="X414">
        <v>1926830</v>
      </c>
      <c r="Y414" s="11">
        <v>44776</v>
      </c>
      <c r="Z414" t="s">
        <v>57</v>
      </c>
      <c r="AA414">
        <v>6</v>
      </c>
      <c r="AB414" t="s">
        <v>57</v>
      </c>
      <c r="AD414" t="s">
        <v>57</v>
      </c>
      <c r="AE414" t="s">
        <v>57</v>
      </c>
      <c r="AF414" t="s">
        <v>57</v>
      </c>
      <c r="AG414">
        <v>100</v>
      </c>
      <c r="AH414" t="s">
        <v>57</v>
      </c>
      <c r="AL414" t="s">
        <v>57</v>
      </c>
      <c r="AM414" s="11">
        <v>44776</v>
      </c>
      <c r="AN414" t="s">
        <v>173</v>
      </c>
      <c r="AO414" t="s">
        <v>65</v>
      </c>
      <c r="AP414">
        <v>1204</v>
      </c>
      <c r="AQ414" t="s">
        <v>66</v>
      </c>
      <c r="AR414">
        <v>266224</v>
      </c>
      <c r="AU414" t="s">
        <v>57</v>
      </c>
      <c r="AV414" t="s">
        <v>68</v>
      </c>
      <c r="AX414" t="s">
        <v>57</v>
      </c>
      <c r="AY414">
        <v>631110</v>
      </c>
      <c r="AZ414">
        <v>1204.63111</v>
      </c>
      <c r="BA414" s="23" t="s">
        <v>12</v>
      </c>
    </row>
    <row r="415" spans="1:53" x14ac:dyDescent="0.25">
      <c r="A415" t="s">
        <v>134</v>
      </c>
      <c r="B415" t="s">
        <v>135</v>
      </c>
      <c r="C415">
        <v>22001807</v>
      </c>
      <c r="D415">
        <v>1204</v>
      </c>
      <c r="E415" s="11">
        <v>44776</v>
      </c>
      <c r="F415" t="s">
        <v>159</v>
      </c>
      <c r="G415">
        <v>6.41</v>
      </c>
      <c r="H415">
        <v>6.41</v>
      </c>
      <c r="I415" t="s">
        <v>56</v>
      </c>
      <c r="O415" t="s">
        <v>57</v>
      </c>
      <c r="Q415" t="s">
        <v>57</v>
      </c>
      <c r="R415" t="s">
        <v>137</v>
      </c>
      <c r="T415" t="s">
        <v>59</v>
      </c>
      <c r="U415" t="s">
        <v>60</v>
      </c>
      <c r="V415" t="s">
        <v>138</v>
      </c>
      <c r="W415" t="s">
        <v>139</v>
      </c>
      <c r="X415">
        <v>1926830</v>
      </c>
      <c r="Y415" s="11">
        <v>44776</v>
      </c>
      <c r="Z415" t="s">
        <v>57</v>
      </c>
      <c r="AA415">
        <v>2</v>
      </c>
      <c r="AB415" t="s">
        <v>57</v>
      </c>
      <c r="AD415" t="s">
        <v>57</v>
      </c>
      <c r="AE415" t="s">
        <v>57</v>
      </c>
      <c r="AF415" t="s">
        <v>57</v>
      </c>
      <c r="AG415">
        <v>1</v>
      </c>
      <c r="AH415" t="s">
        <v>57</v>
      </c>
      <c r="AL415" t="s">
        <v>57</v>
      </c>
      <c r="AM415" s="11">
        <v>44776</v>
      </c>
      <c r="AN415" t="s">
        <v>173</v>
      </c>
      <c r="AO415" t="s">
        <v>65</v>
      </c>
      <c r="AP415">
        <v>1204</v>
      </c>
      <c r="AQ415" t="s">
        <v>66</v>
      </c>
      <c r="AR415">
        <v>112855</v>
      </c>
      <c r="AU415" t="s">
        <v>57</v>
      </c>
      <c r="AV415" t="s">
        <v>68</v>
      </c>
      <c r="AX415" t="s">
        <v>57</v>
      </c>
      <c r="AY415">
        <v>631110</v>
      </c>
      <c r="AZ415">
        <v>1204.63111</v>
      </c>
      <c r="BA415" s="23" t="s">
        <v>12</v>
      </c>
    </row>
    <row r="416" spans="1:53" x14ac:dyDescent="0.25">
      <c r="A416" t="s">
        <v>134</v>
      </c>
      <c r="B416" t="s">
        <v>135</v>
      </c>
      <c r="C416">
        <v>22001807</v>
      </c>
      <c r="D416">
        <v>1204</v>
      </c>
      <c r="E416" s="11">
        <v>44776</v>
      </c>
      <c r="F416" t="s">
        <v>159</v>
      </c>
      <c r="G416">
        <v>0.14000000000000001</v>
      </c>
      <c r="H416">
        <v>0.14000000000000001</v>
      </c>
      <c r="I416" t="s">
        <v>56</v>
      </c>
      <c r="O416" t="s">
        <v>57</v>
      </c>
      <c r="Q416" t="s">
        <v>57</v>
      </c>
      <c r="R416" t="s">
        <v>137</v>
      </c>
      <c r="T416" t="s">
        <v>59</v>
      </c>
      <c r="U416" t="s">
        <v>60</v>
      </c>
      <c r="V416" t="s">
        <v>138</v>
      </c>
      <c r="W416" t="s">
        <v>139</v>
      </c>
      <c r="X416">
        <v>1926830</v>
      </c>
      <c r="Y416" s="11">
        <v>44776</v>
      </c>
      <c r="Z416" t="s">
        <v>57</v>
      </c>
      <c r="AA416">
        <v>4</v>
      </c>
      <c r="AB416" t="s">
        <v>57</v>
      </c>
      <c r="AD416" t="s">
        <v>57</v>
      </c>
      <c r="AE416" t="s">
        <v>57</v>
      </c>
      <c r="AF416" t="s">
        <v>57</v>
      </c>
      <c r="AG416">
        <v>2</v>
      </c>
      <c r="AH416" t="s">
        <v>57</v>
      </c>
      <c r="AL416" t="s">
        <v>57</v>
      </c>
      <c r="AM416" s="11">
        <v>44776</v>
      </c>
      <c r="AN416" t="s">
        <v>173</v>
      </c>
      <c r="AO416" t="s">
        <v>65</v>
      </c>
      <c r="AP416">
        <v>1204</v>
      </c>
      <c r="AQ416" t="s">
        <v>66</v>
      </c>
      <c r="AR416">
        <v>89908</v>
      </c>
      <c r="AU416" t="s">
        <v>57</v>
      </c>
      <c r="AV416" t="s">
        <v>68</v>
      </c>
      <c r="AX416" t="s">
        <v>57</v>
      </c>
      <c r="AY416">
        <v>631110</v>
      </c>
      <c r="AZ416">
        <v>1204.63111</v>
      </c>
      <c r="BA416" s="23" t="s">
        <v>12</v>
      </c>
    </row>
    <row r="417" spans="1:53" x14ac:dyDescent="0.25">
      <c r="A417" t="s">
        <v>134</v>
      </c>
      <c r="B417" t="s">
        <v>135</v>
      </c>
      <c r="C417">
        <v>22001807</v>
      </c>
      <c r="D417">
        <v>1204</v>
      </c>
      <c r="E417" s="11">
        <v>44776</v>
      </c>
      <c r="F417" t="s">
        <v>159</v>
      </c>
      <c r="G417">
        <v>8.2200000000000006</v>
      </c>
      <c r="H417">
        <v>8.2200000000000006</v>
      </c>
      <c r="I417" t="s">
        <v>56</v>
      </c>
      <c r="O417" t="s">
        <v>57</v>
      </c>
      <c r="Q417" t="s">
        <v>57</v>
      </c>
      <c r="R417" t="s">
        <v>137</v>
      </c>
      <c r="T417" t="s">
        <v>59</v>
      </c>
      <c r="U417" t="s">
        <v>60</v>
      </c>
      <c r="V417" t="s">
        <v>138</v>
      </c>
      <c r="W417" t="s">
        <v>139</v>
      </c>
      <c r="X417">
        <v>1926830</v>
      </c>
      <c r="Y417" s="11">
        <v>44776</v>
      </c>
      <c r="Z417" t="s">
        <v>57</v>
      </c>
      <c r="AA417">
        <v>8</v>
      </c>
      <c r="AB417" t="s">
        <v>57</v>
      </c>
      <c r="AD417" t="s">
        <v>57</v>
      </c>
      <c r="AE417" t="s">
        <v>57</v>
      </c>
      <c r="AF417" t="s">
        <v>57</v>
      </c>
      <c r="AG417">
        <v>12</v>
      </c>
      <c r="AH417" t="s">
        <v>57</v>
      </c>
      <c r="AL417" t="s">
        <v>57</v>
      </c>
      <c r="AM417" s="11">
        <v>44776</v>
      </c>
      <c r="AN417" t="s">
        <v>173</v>
      </c>
      <c r="AO417" t="s">
        <v>65</v>
      </c>
      <c r="AP417">
        <v>1204</v>
      </c>
      <c r="AQ417" t="s">
        <v>66</v>
      </c>
      <c r="AR417">
        <v>88732</v>
      </c>
      <c r="AU417" t="s">
        <v>57</v>
      </c>
      <c r="AV417" t="s">
        <v>68</v>
      </c>
      <c r="AX417" t="s">
        <v>57</v>
      </c>
      <c r="AY417">
        <v>631110</v>
      </c>
      <c r="AZ417">
        <v>1204.63111</v>
      </c>
      <c r="BA417" s="23" t="s">
        <v>12</v>
      </c>
    </row>
    <row r="418" spans="1:53" x14ac:dyDescent="0.25">
      <c r="A418" t="s">
        <v>134</v>
      </c>
      <c r="B418" t="s">
        <v>135</v>
      </c>
      <c r="C418">
        <v>22001807</v>
      </c>
      <c r="D418">
        <v>1204</v>
      </c>
      <c r="E418" s="11">
        <v>44776</v>
      </c>
      <c r="F418" t="s">
        <v>159</v>
      </c>
      <c r="G418">
        <v>30.24</v>
      </c>
      <c r="H418">
        <v>30.24</v>
      </c>
      <c r="I418" t="s">
        <v>56</v>
      </c>
      <c r="O418" t="s">
        <v>57</v>
      </c>
      <c r="Q418" t="s">
        <v>57</v>
      </c>
      <c r="R418" t="s">
        <v>137</v>
      </c>
      <c r="T418" t="s">
        <v>59</v>
      </c>
      <c r="U418" t="s">
        <v>60</v>
      </c>
      <c r="V418" t="s">
        <v>138</v>
      </c>
      <c r="W418" t="s">
        <v>139</v>
      </c>
      <c r="X418">
        <v>1926830</v>
      </c>
      <c r="Y418" s="11">
        <v>44776</v>
      </c>
      <c r="Z418" t="s">
        <v>57</v>
      </c>
      <c r="AA418">
        <v>10</v>
      </c>
      <c r="AB418" t="s">
        <v>57</v>
      </c>
      <c r="AD418" t="s">
        <v>57</v>
      </c>
      <c r="AE418" t="s">
        <v>57</v>
      </c>
      <c r="AF418" t="s">
        <v>57</v>
      </c>
      <c r="AG418">
        <v>2</v>
      </c>
      <c r="AH418" t="s">
        <v>57</v>
      </c>
      <c r="AL418" t="s">
        <v>57</v>
      </c>
      <c r="AM418" s="11">
        <v>44776</v>
      </c>
      <c r="AN418" t="s">
        <v>173</v>
      </c>
      <c r="AO418" t="s">
        <v>65</v>
      </c>
      <c r="AP418">
        <v>1204</v>
      </c>
      <c r="AQ418" t="s">
        <v>66</v>
      </c>
      <c r="AR418">
        <v>88717</v>
      </c>
      <c r="AU418" t="s">
        <v>57</v>
      </c>
      <c r="AV418" t="s">
        <v>68</v>
      </c>
      <c r="AX418" t="s">
        <v>57</v>
      </c>
      <c r="AY418">
        <v>631110</v>
      </c>
      <c r="AZ418">
        <v>1204.63111</v>
      </c>
      <c r="BA418" s="23" t="s">
        <v>12</v>
      </c>
    </row>
    <row r="419" spans="1:53" x14ac:dyDescent="0.25">
      <c r="A419" t="s">
        <v>134</v>
      </c>
      <c r="B419" t="s">
        <v>135</v>
      </c>
      <c r="C419">
        <v>22001808</v>
      </c>
      <c r="D419">
        <v>1204</v>
      </c>
      <c r="E419" s="11">
        <v>44776</v>
      </c>
      <c r="F419" t="s">
        <v>174</v>
      </c>
      <c r="G419">
        <v>1.21</v>
      </c>
      <c r="H419">
        <v>1.21</v>
      </c>
      <c r="I419" t="s">
        <v>56</v>
      </c>
      <c r="O419" t="s">
        <v>57</v>
      </c>
      <c r="Q419" t="s">
        <v>57</v>
      </c>
      <c r="R419" t="s">
        <v>137</v>
      </c>
      <c r="T419" t="s">
        <v>59</v>
      </c>
      <c r="U419" t="s">
        <v>60</v>
      </c>
      <c r="V419" t="s">
        <v>138</v>
      </c>
      <c r="W419" t="s">
        <v>139</v>
      </c>
      <c r="X419">
        <v>1926830</v>
      </c>
      <c r="Y419" s="11">
        <v>44776</v>
      </c>
      <c r="Z419" t="s">
        <v>57</v>
      </c>
      <c r="AA419">
        <v>32</v>
      </c>
      <c r="AB419" t="s">
        <v>57</v>
      </c>
      <c r="AD419" t="s">
        <v>57</v>
      </c>
      <c r="AE419" t="s">
        <v>57</v>
      </c>
      <c r="AF419" t="s">
        <v>57</v>
      </c>
      <c r="AG419">
        <v>1</v>
      </c>
      <c r="AH419" t="s">
        <v>57</v>
      </c>
      <c r="AL419" t="s">
        <v>57</v>
      </c>
      <c r="AM419" s="11">
        <v>44776</v>
      </c>
      <c r="AN419" t="s">
        <v>173</v>
      </c>
      <c r="AO419" t="s">
        <v>65</v>
      </c>
      <c r="AP419">
        <v>1204</v>
      </c>
      <c r="AQ419" t="s">
        <v>66</v>
      </c>
      <c r="AR419">
        <v>234414</v>
      </c>
      <c r="AU419" t="s">
        <v>57</v>
      </c>
      <c r="AV419" t="s">
        <v>68</v>
      </c>
      <c r="AX419" t="s">
        <v>57</v>
      </c>
      <c r="AY419">
        <v>631110</v>
      </c>
      <c r="AZ419">
        <v>1204.63111</v>
      </c>
      <c r="BA419" s="23" t="s">
        <v>12</v>
      </c>
    </row>
    <row r="420" spans="1:53" x14ac:dyDescent="0.25">
      <c r="A420" t="s">
        <v>134</v>
      </c>
      <c r="B420" t="s">
        <v>135</v>
      </c>
      <c r="C420">
        <v>22001808</v>
      </c>
      <c r="D420">
        <v>1204</v>
      </c>
      <c r="E420" s="11">
        <v>44776</v>
      </c>
      <c r="F420" t="s">
        <v>174</v>
      </c>
      <c r="G420">
        <v>1.27</v>
      </c>
      <c r="H420">
        <v>1.27</v>
      </c>
      <c r="I420" t="s">
        <v>56</v>
      </c>
      <c r="O420" t="s">
        <v>57</v>
      </c>
      <c r="Q420" t="s">
        <v>57</v>
      </c>
      <c r="R420" t="s">
        <v>137</v>
      </c>
      <c r="T420" t="s">
        <v>59</v>
      </c>
      <c r="U420" t="s">
        <v>60</v>
      </c>
      <c r="V420" t="s">
        <v>138</v>
      </c>
      <c r="W420" t="s">
        <v>139</v>
      </c>
      <c r="X420">
        <v>1926830</v>
      </c>
      <c r="Y420" s="11">
        <v>44776</v>
      </c>
      <c r="Z420" t="s">
        <v>57</v>
      </c>
      <c r="AA420">
        <v>12</v>
      </c>
      <c r="AB420" t="s">
        <v>57</v>
      </c>
      <c r="AD420" t="s">
        <v>57</v>
      </c>
      <c r="AE420" t="s">
        <v>57</v>
      </c>
      <c r="AF420" t="s">
        <v>57</v>
      </c>
      <c r="AG420">
        <v>1</v>
      </c>
      <c r="AH420" t="s">
        <v>57</v>
      </c>
      <c r="AL420" t="s">
        <v>57</v>
      </c>
      <c r="AM420" s="11">
        <v>44776</v>
      </c>
      <c r="AN420" t="s">
        <v>173</v>
      </c>
      <c r="AO420" t="s">
        <v>65</v>
      </c>
      <c r="AP420">
        <v>1204</v>
      </c>
      <c r="AQ420" t="s">
        <v>66</v>
      </c>
      <c r="AR420">
        <v>270711</v>
      </c>
      <c r="AU420" t="s">
        <v>57</v>
      </c>
      <c r="AV420" t="s">
        <v>68</v>
      </c>
      <c r="AX420" t="s">
        <v>57</v>
      </c>
      <c r="AY420">
        <v>631110</v>
      </c>
      <c r="AZ420">
        <v>1204.63111</v>
      </c>
      <c r="BA420" s="23" t="s">
        <v>12</v>
      </c>
    </row>
    <row r="421" spans="1:53" x14ac:dyDescent="0.25">
      <c r="A421" t="s">
        <v>134</v>
      </c>
      <c r="B421" t="s">
        <v>135</v>
      </c>
      <c r="C421">
        <v>22001808</v>
      </c>
      <c r="D421">
        <v>1204</v>
      </c>
      <c r="E421" s="11">
        <v>44776</v>
      </c>
      <c r="F421" t="s">
        <v>174</v>
      </c>
      <c r="G421">
        <v>538.67999999999995</v>
      </c>
      <c r="H421">
        <v>538.67999999999995</v>
      </c>
      <c r="I421" t="s">
        <v>56</v>
      </c>
      <c r="O421" t="s">
        <v>57</v>
      </c>
      <c r="Q421" t="s">
        <v>57</v>
      </c>
      <c r="R421" t="s">
        <v>137</v>
      </c>
      <c r="T421" t="s">
        <v>59</v>
      </c>
      <c r="U421" t="s">
        <v>60</v>
      </c>
      <c r="V421" t="s">
        <v>138</v>
      </c>
      <c r="W421" t="s">
        <v>139</v>
      </c>
      <c r="X421">
        <v>1926830</v>
      </c>
      <c r="Y421" s="11">
        <v>44776</v>
      </c>
      <c r="Z421" t="s">
        <v>57</v>
      </c>
      <c r="AA421">
        <v>2</v>
      </c>
      <c r="AB421" t="s">
        <v>57</v>
      </c>
      <c r="AD421" t="s">
        <v>57</v>
      </c>
      <c r="AE421" t="s">
        <v>57</v>
      </c>
      <c r="AF421" t="s">
        <v>57</v>
      </c>
      <c r="AG421">
        <v>50</v>
      </c>
      <c r="AH421" t="s">
        <v>57</v>
      </c>
      <c r="AL421" t="s">
        <v>57</v>
      </c>
      <c r="AM421" s="11">
        <v>44776</v>
      </c>
      <c r="AN421" t="s">
        <v>173</v>
      </c>
      <c r="AO421" t="s">
        <v>65</v>
      </c>
      <c r="AP421">
        <v>1204</v>
      </c>
      <c r="AQ421" t="s">
        <v>66</v>
      </c>
      <c r="AR421">
        <v>254439</v>
      </c>
      <c r="AU421" t="s">
        <v>57</v>
      </c>
      <c r="AV421" t="s">
        <v>68</v>
      </c>
      <c r="AX421" t="s">
        <v>57</v>
      </c>
      <c r="AY421">
        <v>631110</v>
      </c>
      <c r="AZ421">
        <v>1204.63111</v>
      </c>
      <c r="BA421" s="23" t="s">
        <v>12</v>
      </c>
    </row>
    <row r="422" spans="1:53" x14ac:dyDescent="0.25">
      <c r="A422" t="s">
        <v>134</v>
      </c>
      <c r="B422" t="s">
        <v>135</v>
      </c>
      <c r="C422">
        <v>22001808</v>
      </c>
      <c r="D422">
        <v>1204</v>
      </c>
      <c r="E422" s="11">
        <v>44776</v>
      </c>
      <c r="F422" t="s">
        <v>174</v>
      </c>
      <c r="G422">
        <v>0.7</v>
      </c>
      <c r="H422">
        <v>0.7</v>
      </c>
      <c r="I422" t="s">
        <v>56</v>
      </c>
      <c r="O422" t="s">
        <v>57</v>
      </c>
      <c r="Q422" t="s">
        <v>57</v>
      </c>
      <c r="R422" t="s">
        <v>137</v>
      </c>
      <c r="T422" t="s">
        <v>59</v>
      </c>
      <c r="U422" t="s">
        <v>60</v>
      </c>
      <c r="V422" t="s">
        <v>138</v>
      </c>
      <c r="W422" t="s">
        <v>139</v>
      </c>
      <c r="X422">
        <v>1926830</v>
      </c>
      <c r="Y422" s="11">
        <v>44776</v>
      </c>
      <c r="Z422" t="s">
        <v>57</v>
      </c>
      <c r="AA422">
        <v>4</v>
      </c>
      <c r="AB422" t="s">
        <v>57</v>
      </c>
      <c r="AD422" t="s">
        <v>57</v>
      </c>
      <c r="AE422" t="s">
        <v>57</v>
      </c>
      <c r="AF422" t="s">
        <v>57</v>
      </c>
      <c r="AG422">
        <v>1</v>
      </c>
      <c r="AH422" t="s">
        <v>57</v>
      </c>
      <c r="AL422" t="s">
        <v>57</v>
      </c>
      <c r="AM422" s="11">
        <v>44776</v>
      </c>
      <c r="AN422" t="s">
        <v>173</v>
      </c>
      <c r="AO422" t="s">
        <v>65</v>
      </c>
      <c r="AP422">
        <v>1204</v>
      </c>
      <c r="AQ422" t="s">
        <v>66</v>
      </c>
      <c r="AR422">
        <v>90167</v>
      </c>
      <c r="AU422" t="s">
        <v>57</v>
      </c>
      <c r="AV422" t="s">
        <v>68</v>
      </c>
      <c r="AX422" t="s">
        <v>57</v>
      </c>
      <c r="AY422">
        <v>631110</v>
      </c>
      <c r="AZ422">
        <v>1204.63111</v>
      </c>
      <c r="BA422" s="23" t="s">
        <v>12</v>
      </c>
    </row>
    <row r="423" spans="1:53" x14ac:dyDescent="0.25">
      <c r="A423" t="s">
        <v>134</v>
      </c>
      <c r="B423" t="s">
        <v>135</v>
      </c>
      <c r="C423">
        <v>22001808</v>
      </c>
      <c r="D423">
        <v>1204</v>
      </c>
      <c r="E423" s="11">
        <v>44776</v>
      </c>
      <c r="F423" t="s">
        <v>174</v>
      </c>
      <c r="G423">
        <v>0.42</v>
      </c>
      <c r="H423">
        <v>0.42</v>
      </c>
      <c r="I423" t="s">
        <v>56</v>
      </c>
      <c r="O423" t="s">
        <v>57</v>
      </c>
      <c r="Q423" t="s">
        <v>57</v>
      </c>
      <c r="R423" t="s">
        <v>137</v>
      </c>
      <c r="T423" t="s">
        <v>59</v>
      </c>
      <c r="U423" t="s">
        <v>60</v>
      </c>
      <c r="V423" t="s">
        <v>138</v>
      </c>
      <c r="W423" t="s">
        <v>139</v>
      </c>
      <c r="X423">
        <v>1926830</v>
      </c>
      <c r="Y423" s="11">
        <v>44776</v>
      </c>
      <c r="Z423" t="s">
        <v>57</v>
      </c>
      <c r="AA423">
        <v>6</v>
      </c>
      <c r="AB423" t="s">
        <v>57</v>
      </c>
      <c r="AD423" t="s">
        <v>57</v>
      </c>
      <c r="AE423" t="s">
        <v>57</v>
      </c>
      <c r="AF423" t="s">
        <v>57</v>
      </c>
      <c r="AG423">
        <v>1</v>
      </c>
      <c r="AH423" t="s">
        <v>57</v>
      </c>
      <c r="AL423" t="s">
        <v>57</v>
      </c>
      <c r="AM423" s="11">
        <v>44776</v>
      </c>
      <c r="AN423" t="s">
        <v>173</v>
      </c>
      <c r="AO423" t="s">
        <v>65</v>
      </c>
      <c r="AP423">
        <v>1204</v>
      </c>
      <c r="AQ423" t="s">
        <v>66</v>
      </c>
      <c r="AR423">
        <v>108183</v>
      </c>
      <c r="AU423" t="s">
        <v>57</v>
      </c>
      <c r="AV423" t="s">
        <v>68</v>
      </c>
      <c r="AX423" t="s">
        <v>57</v>
      </c>
      <c r="AY423">
        <v>631110</v>
      </c>
      <c r="AZ423">
        <v>1204.63111</v>
      </c>
      <c r="BA423" s="23" t="s">
        <v>12</v>
      </c>
    </row>
    <row r="424" spans="1:53" x14ac:dyDescent="0.25">
      <c r="A424" t="s">
        <v>134</v>
      </c>
      <c r="B424" t="s">
        <v>135</v>
      </c>
      <c r="C424">
        <v>22001808</v>
      </c>
      <c r="D424">
        <v>1204</v>
      </c>
      <c r="E424" s="11">
        <v>44776</v>
      </c>
      <c r="F424" t="s">
        <v>174</v>
      </c>
      <c r="G424">
        <v>4.2699999999999996</v>
      </c>
      <c r="H424">
        <v>4.2699999999999996</v>
      </c>
      <c r="I424" t="s">
        <v>56</v>
      </c>
      <c r="O424" t="s">
        <v>57</v>
      </c>
      <c r="Q424" t="s">
        <v>57</v>
      </c>
      <c r="R424" t="s">
        <v>137</v>
      </c>
      <c r="T424" t="s">
        <v>59</v>
      </c>
      <c r="U424" t="s">
        <v>60</v>
      </c>
      <c r="V424" t="s">
        <v>138</v>
      </c>
      <c r="W424" t="s">
        <v>139</v>
      </c>
      <c r="X424">
        <v>1926830</v>
      </c>
      <c r="Y424" s="11">
        <v>44776</v>
      </c>
      <c r="Z424" t="s">
        <v>57</v>
      </c>
      <c r="AA424">
        <v>8</v>
      </c>
      <c r="AB424" t="s">
        <v>57</v>
      </c>
      <c r="AD424" t="s">
        <v>57</v>
      </c>
      <c r="AE424" t="s">
        <v>57</v>
      </c>
      <c r="AF424" t="s">
        <v>57</v>
      </c>
      <c r="AG424">
        <v>1</v>
      </c>
      <c r="AH424" t="s">
        <v>57</v>
      </c>
      <c r="AL424" t="s">
        <v>57</v>
      </c>
      <c r="AM424" s="11">
        <v>44776</v>
      </c>
      <c r="AN424" t="s">
        <v>173</v>
      </c>
      <c r="AO424" t="s">
        <v>65</v>
      </c>
      <c r="AP424">
        <v>1204</v>
      </c>
      <c r="AQ424" t="s">
        <v>66</v>
      </c>
      <c r="AR424">
        <v>210193</v>
      </c>
      <c r="AU424" t="s">
        <v>57</v>
      </c>
      <c r="AV424" t="s">
        <v>68</v>
      </c>
      <c r="AX424" t="s">
        <v>57</v>
      </c>
      <c r="AY424">
        <v>631110</v>
      </c>
      <c r="AZ424">
        <v>1204.63111</v>
      </c>
      <c r="BA424" s="23" t="s">
        <v>12</v>
      </c>
    </row>
    <row r="425" spans="1:53" x14ac:dyDescent="0.25">
      <c r="A425" t="s">
        <v>134</v>
      </c>
      <c r="B425" t="s">
        <v>135</v>
      </c>
      <c r="C425">
        <v>22001808</v>
      </c>
      <c r="D425">
        <v>1204</v>
      </c>
      <c r="E425" s="11">
        <v>44776</v>
      </c>
      <c r="F425" t="s">
        <v>174</v>
      </c>
      <c r="G425">
        <v>58.57</v>
      </c>
      <c r="H425">
        <v>58.57</v>
      </c>
      <c r="I425" t="s">
        <v>56</v>
      </c>
      <c r="O425" t="s">
        <v>57</v>
      </c>
      <c r="Q425" t="s">
        <v>57</v>
      </c>
      <c r="R425" t="s">
        <v>137</v>
      </c>
      <c r="T425" t="s">
        <v>59</v>
      </c>
      <c r="U425" t="s">
        <v>60</v>
      </c>
      <c r="V425" t="s">
        <v>138</v>
      </c>
      <c r="W425" t="s">
        <v>139</v>
      </c>
      <c r="X425">
        <v>1926830</v>
      </c>
      <c r="Y425" s="11">
        <v>44776</v>
      </c>
      <c r="Z425" t="s">
        <v>57</v>
      </c>
      <c r="AA425">
        <v>10</v>
      </c>
      <c r="AB425" t="s">
        <v>57</v>
      </c>
      <c r="AD425" t="s">
        <v>57</v>
      </c>
      <c r="AE425" t="s">
        <v>57</v>
      </c>
      <c r="AF425" t="s">
        <v>57</v>
      </c>
      <c r="AG425">
        <v>1</v>
      </c>
      <c r="AH425" t="s">
        <v>57</v>
      </c>
      <c r="AL425" t="s">
        <v>57</v>
      </c>
      <c r="AM425" s="11">
        <v>44776</v>
      </c>
      <c r="AN425" t="s">
        <v>173</v>
      </c>
      <c r="AO425" t="s">
        <v>65</v>
      </c>
      <c r="AP425">
        <v>1204</v>
      </c>
      <c r="AQ425" t="s">
        <v>66</v>
      </c>
      <c r="AR425">
        <v>98887</v>
      </c>
      <c r="AU425" t="s">
        <v>57</v>
      </c>
      <c r="AV425" t="s">
        <v>68</v>
      </c>
      <c r="AX425" t="s">
        <v>57</v>
      </c>
      <c r="AY425">
        <v>631110</v>
      </c>
      <c r="AZ425">
        <v>1204.63111</v>
      </c>
      <c r="BA425" s="23" t="s">
        <v>12</v>
      </c>
    </row>
    <row r="426" spans="1:53" x14ac:dyDescent="0.25">
      <c r="A426" t="s">
        <v>134</v>
      </c>
      <c r="B426" t="s">
        <v>135</v>
      </c>
      <c r="C426">
        <v>22001808</v>
      </c>
      <c r="D426">
        <v>1204</v>
      </c>
      <c r="E426" s="11">
        <v>44776</v>
      </c>
      <c r="F426" t="s">
        <v>174</v>
      </c>
      <c r="G426">
        <v>1.06</v>
      </c>
      <c r="H426">
        <v>1.06</v>
      </c>
      <c r="I426" t="s">
        <v>56</v>
      </c>
      <c r="O426" t="s">
        <v>57</v>
      </c>
      <c r="Q426" t="s">
        <v>57</v>
      </c>
      <c r="R426" t="s">
        <v>137</v>
      </c>
      <c r="T426" t="s">
        <v>59</v>
      </c>
      <c r="U426" t="s">
        <v>60</v>
      </c>
      <c r="V426" t="s">
        <v>138</v>
      </c>
      <c r="W426" t="s">
        <v>139</v>
      </c>
      <c r="X426">
        <v>1926830</v>
      </c>
      <c r="Y426" s="11">
        <v>44776</v>
      </c>
      <c r="Z426" t="s">
        <v>57</v>
      </c>
      <c r="AA426">
        <v>14</v>
      </c>
      <c r="AB426" t="s">
        <v>57</v>
      </c>
      <c r="AD426" t="s">
        <v>57</v>
      </c>
      <c r="AE426" t="s">
        <v>57</v>
      </c>
      <c r="AF426" t="s">
        <v>57</v>
      </c>
      <c r="AG426">
        <v>1</v>
      </c>
      <c r="AH426" t="s">
        <v>57</v>
      </c>
      <c r="AL426" t="s">
        <v>57</v>
      </c>
      <c r="AM426" s="11">
        <v>44776</v>
      </c>
      <c r="AN426" t="s">
        <v>173</v>
      </c>
      <c r="AO426" t="s">
        <v>65</v>
      </c>
      <c r="AP426">
        <v>1204</v>
      </c>
      <c r="AQ426" t="s">
        <v>66</v>
      </c>
      <c r="AR426">
        <v>88720</v>
      </c>
      <c r="AU426" t="s">
        <v>57</v>
      </c>
      <c r="AV426" t="s">
        <v>68</v>
      </c>
      <c r="AX426" t="s">
        <v>57</v>
      </c>
      <c r="AY426">
        <v>631110</v>
      </c>
      <c r="AZ426">
        <v>1204.63111</v>
      </c>
      <c r="BA426" s="23" t="s">
        <v>12</v>
      </c>
    </row>
    <row r="427" spans="1:53" x14ac:dyDescent="0.25">
      <c r="A427" t="s">
        <v>134</v>
      </c>
      <c r="B427" t="s">
        <v>135</v>
      </c>
      <c r="C427">
        <v>22001808</v>
      </c>
      <c r="D427">
        <v>1204</v>
      </c>
      <c r="E427" s="11">
        <v>44776</v>
      </c>
      <c r="F427" t="s">
        <v>174</v>
      </c>
      <c r="G427">
        <v>2.59</v>
      </c>
      <c r="H427">
        <v>2.59</v>
      </c>
      <c r="I427" t="s">
        <v>56</v>
      </c>
      <c r="O427" t="s">
        <v>57</v>
      </c>
      <c r="Q427" t="s">
        <v>57</v>
      </c>
      <c r="R427" t="s">
        <v>137</v>
      </c>
      <c r="T427" t="s">
        <v>59</v>
      </c>
      <c r="U427" t="s">
        <v>60</v>
      </c>
      <c r="V427" t="s">
        <v>138</v>
      </c>
      <c r="W427" t="s">
        <v>139</v>
      </c>
      <c r="X427">
        <v>1926830</v>
      </c>
      <c r="Y427" s="11">
        <v>44776</v>
      </c>
      <c r="Z427" t="s">
        <v>57</v>
      </c>
      <c r="AA427">
        <v>16</v>
      </c>
      <c r="AB427" t="s">
        <v>57</v>
      </c>
      <c r="AD427" t="s">
        <v>57</v>
      </c>
      <c r="AE427" t="s">
        <v>57</v>
      </c>
      <c r="AF427" t="s">
        <v>57</v>
      </c>
      <c r="AG427">
        <v>1</v>
      </c>
      <c r="AH427" t="s">
        <v>57</v>
      </c>
      <c r="AL427" t="s">
        <v>57</v>
      </c>
      <c r="AM427" s="11">
        <v>44776</v>
      </c>
      <c r="AN427" t="s">
        <v>173</v>
      </c>
      <c r="AO427" t="s">
        <v>65</v>
      </c>
      <c r="AP427">
        <v>1204</v>
      </c>
      <c r="AQ427" t="s">
        <v>66</v>
      </c>
      <c r="AR427">
        <v>212679</v>
      </c>
      <c r="AU427" t="s">
        <v>57</v>
      </c>
      <c r="AV427" t="s">
        <v>68</v>
      </c>
      <c r="AX427" t="s">
        <v>57</v>
      </c>
      <c r="AY427">
        <v>631110</v>
      </c>
      <c r="AZ427">
        <v>1204.63111</v>
      </c>
      <c r="BA427" s="23" t="s">
        <v>12</v>
      </c>
    </row>
    <row r="428" spans="1:53" x14ac:dyDescent="0.25">
      <c r="A428" t="s">
        <v>134</v>
      </c>
      <c r="B428" t="s">
        <v>135</v>
      </c>
      <c r="C428">
        <v>22001808</v>
      </c>
      <c r="D428">
        <v>1204</v>
      </c>
      <c r="E428" s="11">
        <v>44776</v>
      </c>
      <c r="F428" t="s">
        <v>174</v>
      </c>
      <c r="G428">
        <v>0.55000000000000004</v>
      </c>
      <c r="H428">
        <v>0.55000000000000004</v>
      </c>
      <c r="I428" t="s">
        <v>56</v>
      </c>
      <c r="O428" t="s">
        <v>57</v>
      </c>
      <c r="Q428" t="s">
        <v>57</v>
      </c>
      <c r="R428" t="s">
        <v>137</v>
      </c>
      <c r="T428" t="s">
        <v>59</v>
      </c>
      <c r="U428" t="s">
        <v>60</v>
      </c>
      <c r="V428" t="s">
        <v>138</v>
      </c>
      <c r="W428" t="s">
        <v>139</v>
      </c>
      <c r="X428">
        <v>1926830</v>
      </c>
      <c r="Y428" s="11">
        <v>44776</v>
      </c>
      <c r="Z428" t="s">
        <v>57</v>
      </c>
      <c r="AA428">
        <v>18</v>
      </c>
      <c r="AB428" t="s">
        <v>57</v>
      </c>
      <c r="AD428" t="s">
        <v>57</v>
      </c>
      <c r="AE428" t="s">
        <v>57</v>
      </c>
      <c r="AF428" t="s">
        <v>57</v>
      </c>
      <c r="AG428">
        <v>1</v>
      </c>
      <c r="AH428" t="s">
        <v>57</v>
      </c>
      <c r="AL428" t="s">
        <v>57</v>
      </c>
      <c r="AM428" s="11">
        <v>44776</v>
      </c>
      <c r="AN428" t="s">
        <v>173</v>
      </c>
      <c r="AO428" t="s">
        <v>65</v>
      </c>
      <c r="AP428">
        <v>1204</v>
      </c>
      <c r="AQ428" t="s">
        <v>66</v>
      </c>
      <c r="AR428">
        <v>89777</v>
      </c>
      <c r="AU428" t="s">
        <v>57</v>
      </c>
      <c r="AV428" t="s">
        <v>68</v>
      </c>
      <c r="AX428" t="s">
        <v>57</v>
      </c>
      <c r="AY428">
        <v>631110</v>
      </c>
      <c r="AZ428">
        <v>1204.63111</v>
      </c>
      <c r="BA428" s="23" t="s">
        <v>12</v>
      </c>
    </row>
    <row r="429" spans="1:53" x14ac:dyDescent="0.25">
      <c r="A429" t="s">
        <v>134</v>
      </c>
      <c r="B429" t="s">
        <v>135</v>
      </c>
      <c r="C429">
        <v>22001808</v>
      </c>
      <c r="D429">
        <v>1204</v>
      </c>
      <c r="E429" s="11">
        <v>44776</v>
      </c>
      <c r="F429" t="s">
        <v>174</v>
      </c>
      <c r="G429">
        <v>9.86</v>
      </c>
      <c r="H429">
        <v>9.86</v>
      </c>
      <c r="I429" t="s">
        <v>56</v>
      </c>
      <c r="O429" t="s">
        <v>57</v>
      </c>
      <c r="Q429" t="s">
        <v>57</v>
      </c>
      <c r="R429" t="s">
        <v>137</v>
      </c>
      <c r="T429" t="s">
        <v>59</v>
      </c>
      <c r="U429" t="s">
        <v>60</v>
      </c>
      <c r="V429" t="s">
        <v>138</v>
      </c>
      <c r="W429" t="s">
        <v>139</v>
      </c>
      <c r="X429">
        <v>1926830</v>
      </c>
      <c r="Y429" s="11">
        <v>44776</v>
      </c>
      <c r="Z429" t="s">
        <v>57</v>
      </c>
      <c r="AA429">
        <v>20</v>
      </c>
      <c r="AB429" t="s">
        <v>57</v>
      </c>
      <c r="AD429" t="s">
        <v>57</v>
      </c>
      <c r="AE429" t="s">
        <v>57</v>
      </c>
      <c r="AF429" t="s">
        <v>57</v>
      </c>
      <c r="AG429">
        <v>1</v>
      </c>
      <c r="AH429" t="s">
        <v>57</v>
      </c>
      <c r="AL429" t="s">
        <v>57</v>
      </c>
      <c r="AM429" s="11">
        <v>44776</v>
      </c>
      <c r="AN429" t="s">
        <v>173</v>
      </c>
      <c r="AO429" t="s">
        <v>65</v>
      </c>
      <c r="AP429">
        <v>1204</v>
      </c>
      <c r="AQ429" t="s">
        <v>66</v>
      </c>
      <c r="AR429">
        <v>106095</v>
      </c>
      <c r="AU429" t="s">
        <v>57</v>
      </c>
      <c r="AV429" t="s">
        <v>68</v>
      </c>
      <c r="AX429" t="s">
        <v>57</v>
      </c>
      <c r="AY429">
        <v>631110</v>
      </c>
      <c r="AZ429">
        <v>1204.63111</v>
      </c>
      <c r="BA429" s="23" t="s">
        <v>12</v>
      </c>
    </row>
    <row r="430" spans="1:53" x14ac:dyDescent="0.25">
      <c r="A430" t="s">
        <v>134</v>
      </c>
      <c r="B430" t="s">
        <v>135</v>
      </c>
      <c r="C430">
        <v>22001808</v>
      </c>
      <c r="D430">
        <v>1204</v>
      </c>
      <c r="E430" s="11">
        <v>44776</v>
      </c>
      <c r="F430" t="s">
        <v>174</v>
      </c>
      <c r="G430">
        <v>5.91</v>
      </c>
      <c r="H430">
        <v>5.91</v>
      </c>
      <c r="I430" t="s">
        <v>56</v>
      </c>
      <c r="O430" t="s">
        <v>57</v>
      </c>
      <c r="Q430" t="s">
        <v>57</v>
      </c>
      <c r="R430" t="s">
        <v>137</v>
      </c>
      <c r="T430" t="s">
        <v>59</v>
      </c>
      <c r="U430" t="s">
        <v>60</v>
      </c>
      <c r="V430" t="s">
        <v>138</v>
      </c>
      <c r="W430" t="s">
        <v>139</v>
      </c>
      <c r="X430">
        <v>1926830</v>
      </c>
      <c r="Y430" s="11">
        <v>44776</v>
      </c>
      <c r="Z430" t="s">
        <v>57</v>
      </c>
      <c r="AA430">
        <v>22</v>
      </c>
      <c r="AB430" t="s">
        <v>57</v>
      </c>
      <c r="AD430" t="s">
        <v>57</v>
      </c>
      <c r="AE430" t="s">
        <v>57</v>
      </c>
      <c r="AF430" t="s">
        <v>57</v>
      </c>
      <c r="AG430">
        <v>1</v>
      </c>
      <c r="AH430" t="s">
        <v>57</v>
      </c>
      <c r="AL430" t="s">
        <v>57</v>
      </c>
      <c r="AM430" s="11">
        <v>44776</v>
      </c>
      <c r="AN430" t="s">
        <v>173</v>
      </c>
      <c r="AO430" t="s">
        <v>65</v>
      </c>
      <c r="AP430">
        <v>1204</v>
      </c>
      <c r="AQ430" t="s">
        <v>66</v>
      </c>
      <c r="AR430">
        <v>88713</v>
      </c>
      <c r="AU430" t="s">
        <v>57</v>
      </c>
      <c r="AV430" t="s">
        <v>68</v>
      </c>
      <c r="AX430" t="s">
        <v>57</v>
      </c>
      <c r="AY430">
        <v>631110</v>
      </c>
      <c r="AZ430">
        <v>1204.63111</v>
      </c>
      <c r="BA430" s="23" t="s">
        <v>12</v>
      </c>
    </row>
    <row r="431" spans="1:53" x14ac:dyDescent="0.25">
      <c r="A431" t="s">
        <v>134</v>
      </c>
      <c r="B431" t="s">
        <v>135</v>
      </c>
      <c r="C431">
        <v>22001808</v>
      </c>
      <c r="D431">
        <v>1204</v>
      </c>
      <c r="E431" s="11">
        <v>44776</v>
      </c>
      <c r="F431" t="s">
        <v>174</v>
      </c>
      <c r="G431">
        <v>0.16</v>
      </c>
      <c r="H431">
        <v>0.16</v>
      </c>
      <c r="I431" t="s">
        <v>56</v>
      </c>
      <c r="O431" t="s">
        <v>57</v>
      </c>
      <c r="Q431" t="s">
        <v>57</v>
      </c>
      <c r="R431" t="s">
        <v>137</v>
      </c>
      <c r="T431" t="s">
        <v>59</v>
      </c>
      <c r="U431" t="s">
        <v>60</v>
      </c>
      <c r="V431" t="s">
        <v>138</v>
      </c>
      <c r="W431" t="s">
        <v>139</v>
      </c>
      <c r="X431">
        <v>1926830</v>
      </c>
      <c r="Y431" s="11">
        <v>44776</v>
      </c>
      <c r="Z431" t="s">
        <v>57</v>
      </c>
      <c r="AA431">
        <v>24</v>
      </c>
      <c r="AB431" t="s">
        <v>57</v>
      </c>
      <c r="AD431" t="s">
        <v>57</v>
      </c>
      <c r="AE431" t="s">
        <v>57</v>
      </c>
      <c r="AF431" t="s">
        <v>57</v>
      </c>
      <c r="AG431">
        <v>1</v>
      </c>
      <c r="AH431" t="s">
        <v>57</v>
      </c>
      <c r="AL431" t="s">
        <v>57</v>
      </c>
      <c r="AM431" s="11">
        <v>44776</v>
      </c>
      <c r="AN431" t="s">
        <v>173</v>
      </c>
      <c r="AO431" t="s">
        <v>65</v>
      </c>
      <c r="AP431">
        <v>1204</v>
      </c>
      <c r="AQ431" t="s">
        <v>66</v>
      </c>
      <c r="AR431">
        <v>88760</v>
      </c>
      <c r="AU431" t="s">
        <v>57</v>
      </c>
      <c r="AV431" t="s">
        <v>68</v>
      </c>
      <c r="AX431" t="s">
        <v>57</v>
      </c>
      <c r="AY431">
        <v>631110</v>
      </c>
      <c r="AZ431">
        <v>1204.63111</v>
      </c>
      <c r="BA431" s="23" t="s">
        <v>12</v>
      </c>
    </row>
    <row r="432" spans="1:53" x14ac:dyDescent="0.25">
      <c r="A432" t="s">
        <v>134</v>
      </c>
      <c r="B432" t="s">
        <v>135</v>
      </c>
      <c r="C432">
        <v>22001808</v>
      </c>
      <c r="D432">
        <v>1204</v>
      </c>
      <c r="E432" s="11">
        <v>44776</v>
      </c>
      <c r="F432" t="s">
        <v>174</v>
      </c>
      <c r="G432">
        <v>13.9</v>
      </c>
      <c r="H432">
        <v>13.9</v>
      </c>
      <c r="I432" t="s">
        <v>56</v>
      </c>
      <c r="O432" t="s">
        <v>57</v>
      </c>
      <c r="Q432" t="s">
        <v>57</v>
      </c>
      <c r="R432" t="s">
        <v>137</v>
      </c>
      <c r="T432" t="s">
        <v>59</v>
      </c>
      <c r="U432" t="s">
        <v>60</v>
      </c>
      <c r="V432" t="s">
        <v>138</v>
      </c>
      <c r="W432" t="s">
        <v>139</v>
      </c>
      <c r="X432">
        <v>1926830</v>
      </c>
      <c r="Y432" s="11">
        <v>44776</v>
      </c>
      <c r="Z432" t="s">
        <v>57</v>
      </c>
      <c r="AA432">
        <v>26</v>
      </c>
      <c r="AB432" t="s">
        <v>57</v>
      </c>
      <c r="AD432" t="s">
        <v>57</v>
      </c>
      <c r="AE432" t="s">
        <v>57</v>
      </c>
      <c r="AF432" t="s">
        <v>57</v>
      </c>
      <c r="AG432">
        <v>4</v>
      </c>
      <c r="AH432" t="s">
        <v>57</v>
      </c>
      <c r="AL432" t="s">
        <v>57</v>
      </c>
      <c r="AM432" s="11">
        <v>44776</v>
      </c>
      <c r="AN432" t="s">
        <v>173</v>
      </c>
      <c r="AO432" t="s">
        <v>65</v>
      </c>
      <c r="AP432">
        <v>1204</v>
      </c>
      <c r="AQ432" t="s">
        <v>66</v>
      </c>
      <c r="AR432">
        <v>206793</v>
      </c>
      <c r="AU432" t="s">
        <v>57</v>
      </c>
      <c r="AV432" t="s">
        <v>68</v>
      </c>
      <c r="AX432" t="s">
        <v>57</v>
      </c>
      <c r="AY432">
        <v>631110</v>
      </c>
      <c r="AZ432">
        <v>1204.63111</v>
      </c>
      <c r="BA432" s="23" t="s">
        <v>12</v>
      </c>
    </row>
    <row r="433" spans="1:53" x14ac:dyDescent="0.25">
      <c r="A433" t="s">
        <v>134</v>
      </c>
      <c r="B433" t="s">
        <v>135</v>
      </c>
      <c r="C433">
        <v>22001808</v>
      </c>
      <c r="D433">
        <v>1204</v>
      </c>
      <c r="E433" s="11">
        <v>44776</v>
      </c>
      <c r="F433" t="s">
        <v>174</v>
      </c>
      <c r="G433">
        <v>1.68</v>
      </c>
      <c r="H433">
        <v>1.68</v>
      </c>
      <c r="I433" t="s">
        <v>56</v>
      </c>
      <c r="O433" t="s">
        <v>57</v>
      </c>
      <c r="Q433" t="s">
        <v>57</v>
      </c>
      <c r="R433" t="s">
        <v>137</v>
      </c>
      <c r="T433" t="s">
        <v>59</v>
      </c>
      <c r="U433" t="s">
        <v>60</v>
      </c>
      <c r="V433" t="s">
        <v>138</v>
      </c>
      <c r="W433" t="s">
        <v>139</v>
      </c>
      <c r="X433">
        <v>1926830</v>
      </c>
      <c r="Y433" s="11">
        <v>44776</v>
      </c>
      <c r="Z433" t="s">
        <v>57</v>
      </c>
      <c r="AA433">
        <v>28</v>
      </c>
      <c r="AB433" t="s">
        <v>57</v>
      </c>
      <c r="AD433" t="s">
        <v>57</v>
      </c>
      <c r="AE433" t="s">
        <v>57</v>
      </c>
      <c r="AF433" t="s">
        <v>57</v>
      </c>
      <c r="AG433">
        <v>2</v>
      </c>
      <c r="AH433" t="s">
        <v>57</v>
      </c>
      <c r="AL433" t="s">
        <v>57</v>
      </c>
      <c r="AM433" s="11">
        <v>44776</v>
      </c>
      <c r="AN433" t="s">
        <v>173</v>
      </c>
      <c r="AO433" t="s">
        <v>65</v>
      </c>
      <c r="AP433">
        <v>1204</v>
      </c>
      <c r="AQ433" t="s">
        <v>66</v>
      </c>
      <c r="AR433">
        <v>136940</v>
      </c>
      <c r="AU433" t="s">
        <v>57</v>
      </c>
      <c r="AV433" t="s">
        <v>68</v>
      </c>
      <c r="AX433" t="s">
        <v>57</v>
      </c>
      <c r="AY433">
        <v>631110</v>
      </c>
      <c r="AZ433">
        <v>1204.63111</v>
      </c>
      <c r="BA433" s="23" t="s">
        <v>12</v>
      </c>
    </row>
    <row r="434" spans="1:53" x14ac:dyDescent="0.25">
      <c r="A434" t="s">
        <v>134</v>
      </c>
      <c r="B434" t="s">
        <v>135</v>
      </c>
      <c r="C434">
        <v>22001808</v>
      </c>
      <c r="D434">
        <v>1204</v>
      </c>
      <c r="E434" s="11">
        <v>44776</v>
      </c>
      <c r="F434" t="s">
        <v>174</v>
      </c>
      <c r="G434">
        <v>4.9400000000000004</v>
      </c>
      <c r="H434">
        <v>4.9400000000000004</v>
      </c>
      <c r="I434" t="s">
        <v>56</v>
      </c>
      <c r="O434" t="s">
        <v>57</v>
      </c>
      <c r="Q434" t="s">
        <v>57</v>
      </c>
      <c r="R434" t="s">
        <v>137</v>
      </c>
      <c r="T434" t="s">
        <v>59</v>
      </c>
      <c r="U434" t="s">
        <v>60</v>
      </c>
      <c r="V434" t="s">
        <v>138</v>
      </c>
      <c r="W434" t="s">
        <v>139</v>
      </c>
      <c r="X434">
        <v>1926830</v>
      </c>
      <c r="Y434" s="11">
        <v>44776</v>
      </c>
      <c r="Z434" t="s">
        <v>57</v>
      </c>
      <c r="AA434">
        <v>30</v>
      </c>
      <c r="AB434" t="s">
        <v>57</v>
      </c>
      <c r="AD434" t="s">
        <v>57</v>
      </c>
      <c r="AE434" t="s">
        <v>57</v>
      </c>
      <c r="AF434" t="s">
        <v>57</v>
      </c>
      <c r="AG434">
        <v>10</v>
      </c>
      <c r="AH434" t="s">
        <v>57</v>
      </c>
      <c r="AL434" t="s">
        <v>57</v>
      </c>
      <c r="AM434" s="11">
        <v>44776</v>
      </c>
      <c r="AN434" t="s">
        <v>173</v>
      </c>
      <c r="AO434" t="s">
        <v>65</v>
      </c>
      <c r="AP434">
        <v>1204</v>
      </c>
      <c r="AQ434" t="s">
        <v>66</v>
      </c>
      <c r="AR434">
        <v>121863</v>
      </c>
      <c r="AU434" t="s">
        <v>57</v>
      </c>
      <c r="AV434" t="s">
        <v>68</v>
      </c>
      <c r="AX434" t="s">
        <v>57</v>
      </c>
      <c r="AY434">
        <v>631110</v>
      </c>
      <c r="AZ434">
        <v>1204.63111</v>
      </c>
      <c r="BA434" s="23" t="s">
        <v>12</v>
      </c>
    </row>
    <row r="435" spans="1:53" x14ac:dyDescent="0.25">
      <c r="A435" t="s">
        <v>134</v>
      </c>
      <c r="B435" t="s">
        <v>135</v>
      </c>
      <c r="C435">
        <v>22001810</v>
      </c>
      <c r="D435">
        <v>1204</v>
      </c>
      <c r="E435" s="11">
        <v>44776</v>
      </c>
      <c r="F435" t="s">
        <v>175</v>
      </c>
      <c r="G435">
        <v>0.46</v>
      </c>
      <c r="H435">
        <v>0.46</v>
      </c>
      <c r="I435" t="s">
        <v>56</v>
      </c>
      <c r="O435" t="s">
        <v>57</v>
      </c>
      <c r="Q435" t="s">
        <v>57</v>
      </c>
      <c r="R435" t="s">
        <v>137</v>
      </c>
      <c r="T435" t="s">
        <v>59</v>
      </c>
      <c r="U435" t="s">
        <v>60</v>
      </c>
      <c r="V435" t="s">
        <v>138</v>
      </c>
      <c r="W435" t="s">
        <v>139</v>
      </c>
      <c r="X435">
        <v>1927035</v>
      </c>
      <c r="Y435" s="11">
        <v>44776</v>
      </c>
      <c r="Z435" t="s">
        <v>57</v>
      </c>
      <c r="AA435">
        <v>2</v>
      </c>
      <c r="AB435" t="s">
        <v>57</v>
      </c>
      <c r="AD435" t="s">
        <v>57</v>
      </c>
      <c r="AE435" t="s">
        <v>57</v>
      </c>
      <c r="AF435" t="s">
        <v>57</v>
      </c>
      <c r="AG435">
        <v>6</v>
      </c>
      <c r="AH435" t="s">
        <v>57</v>
      </c>
      <c r="AL435" t="s">
        <v>57</v>
      </c>
      <c r="AM435" s="11">
        <v>44776</v>
      </c>
      <c r="AN435" t="s">
        <v>176</v>
      </c>
      <c r="AO435" t="s">
        <v>65</v>
      </c>
      <c r="AP435">
        <v>1204</v>
      </c>
      <c r="AQ435" t="s">
        <v>66</v>
      </c>
      <c r="AR435">
        <v>91479</v>
      </c>
      <c r="AU435" t="s">
        <v>57</v>
      </c>
      <c r="AV435" t="s">
        <v>68</v>
      </c>
      <c r="AX435" t="s">
        <v>57</v>
      </c>
      <c r="AY435">
        <v>631110</v>
      </c>
      <c r="AZ435">
        <v>1204.63111</v>
      </c>
      <c r="BA435" s="23" t="s">
        <v>12</v>
      </c>
    </row>
    <row r="436" spans="1:53" x14ac:dyDescent="0.25">
      <c r="A436" t="s">
        <v>134</v>
      </c>
      <c r="B436" t="s">
        <v>135</v>
      </c>
      <c r="C436">
        <v>22001810</v>
      </c>
      <c r="D436">
        <v>1204</v>
      </c>
      <c r="E436" s="11">
        <v>44776</v>
      </c>
      <c r="F436" t="s">
        <v>175</v>
      </c>
      <c r="G436">
        <v>1.32</v>
      </c>
      <c r="H436">
        <v>1.32</v>
      </c>
      <c r="I436" t="s">
        <v>56</v>
      </c>
      <c r="O436" t="s">
        <v>57</v>
      </c>
      <c r="Q436" t="s">
        <v>57</v>
      </c>
      <c r="R436" t="s">
        <v>137</v>
      </c>
      <c r="T436" t="s">
        <v>59</v>
      </c>
      <c r="U436" t="s">
        <v>60</v>
      </c>
      <c r="V436" t="s">
        <v>138</v>
      </c>
      <c r="W436" t="s">
        <v>139</v>
      </c>
      <c r="X436">
        <v>1927035</v>
      </c>
      <c r="Y436" s="11">
        <v>44776</v>
      </c>
      <c r="Z436" t="s">
        <v>57</v>
      </c>
      <c r="AA436">
        <v>4</v>
      </c>
      <c r="AB436" t="s">
        <v>57</v>
      </c>
      <c r="AD436" t="s">
        <v>57</v>
      </c>
      <c r="AE436" t="s">
        <v>57</v>
      </c>
      <c r="AF436" t="s">
        <v>57</v>
      </c>
      <c r="AG436">
        <v>12</v>
      </c>
      <c r="AH436" t="s">
        <v>57</v>
      </c>
      <c r="AL436" t="s">
        <v>57</v>
      </c>
      <c r="AM436" s="11">
        <v>44776</v>
      </c>
      <c r="AN436" t="s">
        <v>176</v>
      </c>
      <c r="AO436" t="s">
        <v>65</v>
      </c>
      <c r="AP436">
        <v>1204</v>
      </c>
      <c r="AQ436" t="s">
        <v>66</v>
      </c>
      <c r="AR436">
        <v>265267</v>
      </c>
      <c r="AU436" t="s">
        <v>57</v>
      </c>
      <c r="AV436" t="s">
        <v>68</v>
      </c>
      <c r="AX436" t="s">
        <v>57</v>
      </c>
      <c r="AY436">
        <v>631110</v>
      </c>
      <c r="AZ436">
        <v>1204.63111</v>
      </c>
      <c r="BA436" s="23" t="s">
        <v>12</v>
      </c>
    </row>
    <row r="437" spans="1:53" x14ac:dyDescent="0.25">
      <c r="A437" t="s">
        <v>134</v>
      </c>
      <c r="B437" t="s">
        <v>135</v>
      </c>
      <c r="C437">
        <v>22001810</v>
      </c>
      <c r="D437">
        <v>1204</v>
      </c>
      <c r="E437" s="11">
        <v>44776</v>
      </c>
      <c r="F437" t="s">
        <v>175</v>
      </c>
      <c r="G437">
        <v>0.89</v>
      </c>
      <c r="H437">
        <v>0.89</v>
      </c>
      <c r="I437" t="s">
        <v>56</v>
      </c>
      <c r="O437" t="s">
        <v>57</v>
      </c>
      <c r="Q437" t="s">
        <v>57</v>
      </c>
      <c r="R437" t="s">
        <v>137</v>
      </c>
      <c r="T437" t="s">
        <v>59</v>
      </c>
      <c r="U437" t="s">
        <v>60</v>
      </c>
      <c r="V437" t="s">
        <v>138</v>
      </c>
      <c r="W437" t="s">
        <v>139</v>
      </c>
      <c r="X437">
        <v>1927035</v>
      </c>
      <c r="Y437" s="11">
        <v>44776</v>
      </c>
      <c r="Z437" t="s">
        <v>57</v>
      </c>
      <c r="AA437">
        <v>6</v>
      </c>
      <c r="AB437" t="s">
        <v>57</v>
      </c>
      <c r="AD437" t="s">
        <v>57</v>
      </c>
      <c r="AE437" t="s">
        <v>57</v>
      </c>
      <c r="AF437" t="s">
        <v>57</v>
      </c>
      <c r="AG437">
        <v>8</v>
      </c>
      <c r="AH437" t="s">
        <v>57</v>
      </c>
      <c r="AL437" t="s">
        <v>57</v>
      </c>
      <c r="AM437" s="11">
        <v>44776</v>
      </c>
      <c r="AN437" t="s">
        <v>176</v>
      </c>
      <c r="AO437" t="s">
        <v>65</v>
      </c>
      <c r="AP437">
        <v>1204</v>
      </c>
      <c r="AQ437" t="s">
        <v>66</v>
      </c>
      <c r="AR437">
        <v>265267</v>
      </c>
      <c r="AU437" t="s">
        <v>57</v>
      </c>
      <c r="AV437" t="s">
        <v>68</v>
      </c>
      <c r="AX437" t="s">
        <v>57</v>
      </c>
      <c r="AY437">
        <v>631110</v>
      </c>
      <c r="AZ437">
        <v>1204.63111</v>
      </c>
      <c r="BA437" s="23" t="s">
        <v>12</v>
      </c>
    </row>
    <row r="438" spans="1:53" x14ac:dyDescent="0.25">
      <c r="A438" t="s">
        <v>134</v>
      </c>
      <c r="B438" t="s">
        <v>135</v>
      </c>
      <c r="C438">
        <v>22001810</v>
      </c>
      <c r="D438">
        <v>1204</v>
      </c>
      <c r="E438" s="11">
        <v>44776</v>
      </c>
      <c r="F438" t="s">
        <v>175</v>
      </c>
      <c r="G438">
        <v>0.11</v>
      </c>
      <c r="H438">
        <v>0.11</v>
      </c>
      <c r="I438" t="s">
        <v>56</v>
      </c>
      <c r="O438" t="s">
        <v>57</v>
      </c>
      <c r="Q438" t="s">
        <v>57</v>
      </c>
      <c r="R438" t="s">
        <v>137</v>
      </c>
      <c r="T438" t="s">
        <v>59</v>
      </c>
      <c r="U438" t="s">
        <v>60</v>
      </c>
      <c r="V438" t="s">
        <v>138</v>
      </c>
      <c r="W438" t="s">
        <v>139</v>
      </c>
      <c r="X438">
        <v>1927035</v>
      </c>
      <c r="Y438" s="11">
        <v>44776</v>
      </c>
      <c r="Z438" t="s">
        <v>57</v>
      </c>
      <c r="AA438">
        <v>8</v>
      </c>
      <c r="AB438" t="s">
        <v>57</v>
      </c>
      <c r="AD438" t="s">
        <v>57</v>
      </c>
      <c r="AE438" t="s">
        <v>57</v>
      </c>
      <c r="AF438" t="s">
        <v>57</v>
      </c>
      <c r="AG438">
        <v>1</v>
      </c>
      <c r="AH438" t="s">
        <v>57</v>
      </c>
      <c r="AL438" t="s">
        <v>57</v>
      </c>
      <c r="AM438" s="11">
        <v>44776</v>
      </c>
      <c r="AN438" t="s">
        <v>176</v>
      </c>
      <c r="AO438" t="s">
        <v>65</v>
      </c>
      <c r="AP438">
        <v>1204</v>
      </c>
      <c r="AQ438" t="s">
        <v>66</v>
      </c>
      <c r="AR438">
        <v>90435</v>
      </c>
      <c r="AU438" t="s">
        <v>57</v>
      </c>
      <c r="AV438" t="s">
        <v>68</v>
      </c>
      <c r="AX438" t="s">
        <v>57</v>
      </c>
      <c r="AY438">
        <v>631110</v>
      </c>
      <c r="AZ438">
        <v>1204.63111</v>
      </c>
      <c r="BA438" s="23" t="s">
        <v>12</v>
      </c>
    </row>
    <row r="439" spans="1:53" x14ac:dyDescent="0.25">
      <c r="A439" t="s">
        <v>134</v>
      </c>
      <c r="B439" t="s">
        <v>135</v>
      </c>
      <c r="C439">
        <v>22001810</v>
      </c>
      <c r="D439">
        <v>1204</v>
      </c>
      <c r="E439" s="11">
        <v>44776</v>
      </c>
      <c r="F439" t="s">
        <v>175</v>
      </c>
      <c r="G439">
        <v>1.69</v>
      </c>
      <c r="H439">
        <v>1.69</v>
      </c>
      <c r="I439" t="s">
        <v>56</v>
      </c>
      <c r="O439" t="s">
        <v>57</v>
      </c>
      <c r="Q439" t="s">
        <v>57</v>
      </c>
      <c r="R439" t="s">
        <v>137</v>
      </c>
      <c r="T439" t="s">
        <v>59</v>
      </c>
      <c r="U439" t="s">
        <v>60</v>
      </c>
      <c r="V439" t="s">
        <v>138</v>
      </c>
      <c r="W439" t="s">
        <v>139</v>
      </c>
      <c r="X439">
        <v>1927035</v>
      </c>
      <c r="Y439" s="11">
        <v>44776</v>
      </c>
      <c r="Z439" t="s">
        <v>57</v>
      </c>
      <c r="AA439">
        <v>10</v>
      </c>
      <c r="AB439" t="s">
        <v>57</v>
      </c>
      <c r="AD439" t="s">
        <v>57</v>
      </c>
      <c r="AE439" t="s">
        <v>57</v>
      </c>
      <c r="AF439" t="s">
        <v>57</v>
      </c>
      <c r="AG439">
        <v>11</v>
      </c>
      <c r="AH439" t="s">
        <v>57</v>
      </c>
      <c r="AL439" t="s">
        <v>57</v>
      </c>
      <c r="AM439" s="11">
        <v>44776</v>
      </c>
      <c r="AN439" t="s">
        <v>176</v>
      </c>
      <c r="AO439" t="s">
        <v>65</v>
      </c>
      <c r="AP439">
        <v>1204</v>
      </c>
      <c r="AQ439" t="s">
        <v>66</v>
      </c>
      <c r="AR439">
        <v>89712</v>
      </c>
      <c r="AU439" t="s">
        <v>57</v>
      </c>
      <c r="AV439" t="s">
        <v>68</v>
      </c>
      <c r="AX439" t="s">
        <v>57</v>
      </c>
      <c r="AY439">
        <v>631110</v>
      </c>
      <c r="AZ439">
        <v>1204.63111</v>
      </c>
      <c r="BA439" s="23" t="s">
        <v>12</v>
      </c>
    </row>
    <row r="440" spans="1:53" x14ac:dyDescent="0.25">
      <c r="A440" t="s">
        <v>134</v>
      </c>
      <c r="B440" t="s">
        <v>135</v>
      </c>
      <c r="C440">
        <v>22001810</v>
      </c>
      <c r="D440">
        <v>1204</v>
      </c>
      <c r="E440" s="11">
        <v>44776</v>
      </c>
      <c r="F440" t="s">
        <v>175</v>
      </c>
      <c r="G440">
        <v>15.69</v>
      </c>
      <c r="H440">
        <v>15.69</v>
      </c>
      <c r="I440" t="s">
        <v>56</v>
      </c>
      <c r="O440" t="s">
        <v>57</v>
      </c>
      <c r="Q440" t="s">
        <v>57</v>
      </c>
      <c r="R440" t="s">
        <v>137</v>
      </c>
      <c r="T440" t="s">
        <v>59</v>
      </c>
      <c r="U440" t="s">
        <v>60</v>
      </c>
      <c r="V440" t="s">
        <v>138</v>
      </c>
      <c r="W440" t="s">
        <v>139</v>
      </c>
      <c r="X440">
        <v>1927035</v>
      </c>
      <c r="Y440" s="11">
        <v>44776</v>
      </c>
      <c r="Z440" t="s">
        <v>57</v>
      </c>
      <c r="AA440">
        <v>12</v>
      </c>
      <c r="AB440" t="s">
        <v>57</v>
      </c>
      <c r="AD440" t="s">
        <v>57</v>
      </c>
      <c r="AE440" t="s">
        <v>57</v>
      </c>
      <c r="AF440" t="s">
        <v>57</v>
      </c>
      <c r="AG440">
        <v>43</v>
      </c>
      <c r="AH440" t="s">
        <v>57</v>
      </c>
      <c r="AL440" t="s">
        <v>57</v>
      </c>
      <c r="AM440" s="11">
        <v>44776</v>
      </c>
      <c r="AN440" t="s">
        <v>176</v>
      </c>
      <c r="AO440" t="s">
        <v>65</v>
      </c>
      <c r="AP440">
        <v>1204</v>
      </c>
      <c r="AQ440" t="s">
        <v>66</v>
      </c>
      <c r="AR440">
        <v>91011</v>
      </c>
      <c r="AU440" t="s">
        <v>57</v>
      </c>
      <c r="AV440" t="s">
        <v>68</v>
      </c>
      <c r="AX440" t="s">
        <v>57</v>
      </c>
      <c r="AY440">
        <v>631110</v>
      </c>
      <c r="AZ440">
        <v>1204.63111</v>
      </c>
      <c r="BA440" s="23" t="s">
        <v>12</v>
      </c>
    </row>
    <row r="441" spans="1:53" x14ac:dyDescent="0.25">
      <c r="A441" t="s">
        <v>134</v>
      </c>
      <c r="B441" t="s">
        <v>135</v>
      </c>
      <c r="C441">
        <v>22001810</v>
      </c>
      <c r="D441">
        <v>1204</v>
      </c>
      <c r="E441" s="11">
        <v>44776</v>
      </c>
      <c r="F441" t="s">
        <v>175</v>
      </c>
      <c r="G441">
        <v>1.38</v>
      </c>
      <c r="H441">
        <v>1.38</v>
      </c>
      <c r="I441" t="s">
        <v>56</v>
      </c>
      <c r="O441" t="s">
        <v>57</v>
      </c>
      <c r="Q441" t="s">
        <v>57</v>
      </c>
      <c r="R441" t="s">
        <v>137</v>
      </c>
      <c r="T441" t="s">
        <v>59</v>
      </c>
      <c r="U441" t="s">
        <v>60</v>
      </c>
      <c r="V441" t="s">
        <v>138</v>
      </c>
      <c r="W441" t="s">
        <v>139</v>
      </c>
      <c r="X441">
        <v>1927035</v>
      </c>
      <c r="Y441" s="11">
        <v>44776</v>
      </c>
      <c r="Z441" t="s">
        <v>57</v>
      </c>
      <c r="AA441">
        <v>14</v>
      </c>
      <c r="AB441" t="s">
        <v>57</v>
      </c>
      <c r="AD441" t="s">
        <v>57</v>
      </c>
      <c r="AE441" t="s">
        <v>57</v>
      </c>
      <c r="AF441" t="s">
        <v>57</v>
      </c>
      <c r="AG441">
        <v>9</v>
      </c>
      <c r="AH441" t="s">
        <v>57</v>
      </c>
      <c r="AL441" t="s">
        <v>57</v>
      </c>
      <c r="AM441" s="11">
        <v>44776</v>
      </c>
      <c r="AN441" t="s">
        <v>176</v>
      </c>
      <c r="AO441" t="s">
        <v>65</v>
      </c>
      <c r="AP441">
        <v>1204</v>
      </c>
      <c r="AQ441" t="s">
        <v>66</v>
      </c>
      <c r="AR441">
        <v>144854</v>
      </c>
      <c r="AU441" t="s">
        <v>57</v>
      </c>
      <c r="AV441" t="s">
        <v>68</v>
      </c>
      <c r="AX441" t="s">
        <v>57</v>
      </c>
      <c r="AY441">
        <v>631110</v>
      </c>
      <c r="AZ441">
        <v>1204.63111</v>
      </c>
      <c r="BA441" s="23" t="s">
        <v>12</v>
      </c>
    </row>
    <row r="442" spans="1:53" x14ac:dyDescent="0.25">
      <c r="A442" t="s">
        <v>134</v>
      </c>
      <c r="B442" t="s">
        <v>135</v>
      </c>
      <c r="C442">
        <v>22001810</v>
      </c>
      <c r="D442">
        <v>1204</v>
      </c>
      <c r="E442" s="11">
        <v>44776</v>
      </c>
      <c r="F442" t="s">
        <v>175</v>
      </c>
      <c r="G442">
        <v>0.75</v>
      </c>
      <c r="H442">
        <v>0.75</v>
      </c>
      <c r="I442" t="s">
        <v>56</v>
      </c>
      <c r="O442" t="s">
        <v>57</v>
      </c>
      <c r="Q442" t="s">
        <v>57</v>
      </c>
      <c r="R442" t="s">
        <v>137</v>
      </c>
      <c r="T442" t="s">
        <v>59</v>
      </c>
      <c r="U442" t="s">
        <v>60</v>
      </c>
      <c r="V442" t="s">
        <v>138</v>
      </c>
      <c r="W442" t="s">
        <v>139</v>
      </c>
      <c r="X442">
        <v>1927035</v>
      </c>
      <c r="Y442" s="11">
        <v>44776</v>
      </c>
      <c r="Z442" t="s">
        <v>57</v>
      </c>
      <c r="AA442">
        <v>16</v>
      </c>
      <c r="AB442" t="s">
        <v>57</v>
      </c>
      <c r="AD442" t="s">
        <v>57</v>
      </c>
      <c r="AE442" t="s">
        <v>57</v>
      </c>
      <c r="AF442" t="s">
        <v>57</v>
      </c>
      <c r="AG442">
        <v>5</v>
      </c>
      <c r="AH442" t="s">
        <v>57</v>
      </c>
      <c r="AL442" t="s">
        <v>57</v>
      </c>
      <c r="AM442" s="11">
        <v>44776</v>
      </c>
      <c r="AN442" t="s">
        <v>176</v>
      </c>
      <c r="AO442" t="s">
        <v>65</v>
      </c>
      <c r="AP442">
        <v>1204</v>
      </c>
      <c r="AQ442" t="s">
        <v>66</v>
      </c>
      <c r="AR442">
        <v>144854</v>
      </c>
      <c r="AU442" t="s">
        <v>57</v>
      </c>
      <c r="AV442" t="s">
        <v>68</v>
      </c>
      <c r="AX442" t="s">
        <v>57</v>
      </c>
      <c r="AY442">
        <v>631110</v>
      </c>
      <c r="AZ442">
        <v>1204.63111</v>
      </c>
      <c r="BA442" s="23" t="s">
        <v>12</v>
      </c>
    </row>
    <row r="443" spans="1:53" x14ac:dyDescent="0.25">
      <c r="A443" t="s">
        <v>134</v>
      </c>
      <c r="B443" t="s">
        <v>135</v>
      </c>
      <c r="C443">
        <v>22001812</v>
      </c>
      <c r="D443">
        <v>1204</v>
      </c>
      <c r="E443" s="11">
        <v>44777</v>
      </c>
      <c r="F443" t="s">
        <v>172</v>
      </c>
      <c r="G443">
        <v>7.88</v>
      </c>
      <c r="H443">
        <v>7.88</v>
      </c>
      <c r="I443" t="s">
        <v>56</v>
      </c>
      <c r="O443" t="s">
        <v>57</v>
      </c>
      <c r="Q443" t="s">
        <v>57</v>
      </c>
      <c r="R443" t="s">
        <v>137</v>
      </c>
      <c r="T443" t="s">
        <v>59</v>
      </c>
      <c r="U443" t="s">
        <v>60</v>
      </c>
      <c r="V443" t="s">
        <v>138</v>
      </c>
      <c r="W443" t="s">
        <v>139</v>
      </c>
      <c r="X443">
        <v>1927629</v>
      </c>
      <c r="Y443" s="11">
        <v>44777</v>
      </c>
      <c r="Z443" t="s">
        <v>57</v>
      </c>
      <c r="AA443">
        <v>6</v>
      </c>
      <c r="AB443" t="s">
        <v>57</v>
      </c>
      <c r="AD443" t="s">
        <v>57</v>
      </c>
      <c r="AE443" t="s">
        <v>57</v>
      </c>
      <c r="AF443" t="s">
        <v>57</v>
      </c>
      <c r="AG443">
        <v>1</v>
      </c>
      <c r="AH443" t="s">
        <v>57</v>
      </c>
      <c r="AL443" t="s">
        <v>57</v>
      </c>
      <c r="AM443" s="11">
        <v>44777</v>
      </c>
      <c r="AN443" t="s">
        <v>173</v>
      </c>
      <c r="AO443" t="s">
        <v>65</v>
      </c>
      <c r="AP443">
        <v>1204</v>
      </c>
      <c r="AQ443" t="s">
        <v>66</v>
      </c>
      <c r="AR443">
        <v>227112</v>
      </c>
      <c r="AU443" t="s">
        <v>57</v>
      </c>
      <c r="AV443" t="s">
        <v>68</v>
      </c>
      <c r="AX443" t="s">
        <v>57</v>
      </c>
      <c r="AY443">
        <v>631110</v>
      </c>
      <c r="AZ443">
        <v>1204.63111</v>
      </c>
      <c r="BA443" s="23" t="s">
        <v>12</v>
      </c>
    </row>
    <row r="444" spans="1:53" x14ac:dyDescent="0.25">
      <c r="A444" t="s">
        <v>134</v>
      </c>
      <c r="B444" t="s">
        <v>135</v>
      </c>
      <c r="C444">
        <v>22001812</v>
      </c>
      <c r="D444">
        <v>1204</v>
      </c>
      <c r="E444" s="11">
        <v>44777</v>
      </c>
      <c r="F444" t="s">
        <v>172</v>
      </c>
      <c r="G444">
        <v>8.25</v>
      </c>
      <c r="H444">
        <v>8.25</v>
      </c>
      <c r="I444" t="s">
        <v>56</v>
      </c>
      <c r="O444" t="s">
        <v>57</v>
      </c>
      <c r="Q444" t="s">
        <v>57</v>
      </c>
      <c r="R444" t="s">
        <v>137</v>
      </c>
      <c r="T444" t="s">
        <v>59</v>
      </c>
      <c r="U444" t="s">
        <v>60</v>
      </c>
      <c r="V444" t="s">
        <v>138</v>
      </c>
      <c r="W444" t="s">
        <v>139</v>
      </c>
      <c r="X444">
        <v>1927629</v>
      </c>
      <c r="Y444" s="11">
        <v>44777</v>
      </c>
      <c r="Z444" t="s">
        <v>57</v>
      </c>
      <c r="AA444">
        <v>2</v>
      </c>
      <c r="AB444" t="s">
        <v>57</v>
      </c>
      <c r="AD444" t="s">
        <v>57</v>
      </c>
      <c r="AE444" t="s">
        <v>57</v>
      </c>
      <c r="AF444" t="s">
        <v>57</v>
      </c>
      <c r="AG444">
        <v>1</v>
      </c>
      <c r="AH444" t="s">
        <v>57</v>
      </c>
      <c r="AL444" t="s">
        <v>57</v>
      </c>
      <c r="AM444" s="11">
        <v>44777</v>
      </c>
      <c r="AN444" t="s">
        <v>173</v>
      </c>
      <c r="AO444" t="s">
        <v>65</v>
      </c>
      <c r="AP444">
        <v>1204</v>
      </c>
      <c r="AQ444" t="s">
        <v>66</v>
      </c>
      <c r="AR444">
        <v>279991</v>
      </c>
      <c r="AU444" t="s">
        <v>57</v>
      </c>
      <c r="AV444" t="s">
        <v>68</v>
      </c>
      <c r="AX444" t="s">
        <v>57</v>
      </c>
      <c r="AY444">
        <v>631110</v>
      </c>
      <c r="AZ444">
        <v>1204.63111</v>
      </c>
      <c r="BA444" s="23" t="s">
        <v>12</v>
      </c>
    </row>
    <row r="445" spans="1:53" x14ac:dyDescent="0.25">
      <c r="A445" t="s">
        <v>134</v>
      </c>
      <c r="B445" t="s">
        <v>135</v>
      </c>
      <c r="C445">
        <v>22001812</v>
      </c>
      <c r="D445">
        <v>1204</v>
      </c>
      <c r="E445" s="11">
        <v>44777</v>
      </c>
      <c r="F445" t="s">
        <v>172</v>
      </c>
      <c r="G445">
        <v>8.06</v>
      </c>
      <c r="H445">
        <v>8.06</v>
      </c>
      <c r="I445" t="s">
        <v>56</v>
      </c>
      <c r="O445" t="s">
        <v>57</v>
      </c>
      <c r="Q445" t="s">
        <v>57</v>
      </c>
      <c r="R445" t="s">
        <v>137</v>
      </c>
      <c r="T445" t="s">
        <v>59</v>
      </c>
      <c r="U445" t="s">
        <v>60</v>
      </c>
      <c r="V445" t="s">
        <v>138</v>
      </c>
      <c r="W445" t="s">
        <v>139</v>
      </c>
      <c r="X445">
        <v>1927629</v>
      </c>
      <c r="Y445" s="11">
        <v>44777</v>
      </c>
      <c r="Z445" t="s">
        <v>57</v>
      </c>
      <c r="AA445">
        <v>4</v>
      </c>
      <c r="AB445" t="s">
        <v>57</v>
      </c>
      <c r="AD445" t="s">
        <v>57</v>
      </c>
      <c r="AE445" t="s">
        <v>57</v>
      </c>
      <c r="AF445" t="s">
        <v>57</v>
      </c>
      <c r="AG445">
        <v>1</v>
      </c>
      <c r="AH445" t="s">
        <v>57</v>
      </c>
      <c r="AL445" t="s">
        <v>57</v>
      </c>
      <c r="AM445" s="11">
        <v>44777</v>
      </c>
      <c r="AN445" t="s">
        <v>173</v>
      </c>
      <c r="AO445" t="s">
        <v>65</v>
      </c>
      <c r="AP445">
        <v>1204</v>
      </c>
      <c r="AQ445" t="s">
        <v>66</v>
      </c>
      <c r="AR445">
        <v>279991</v>
      </c>
      <c r="AU445" t="s">
        <v>57</v>
      </c>
      <c r="AV445" t="s">
        <v>68</v>
      </c>
      <c r="AX445" t="s">
        <v>57</v>
      </c>
      <c r="AY445">
        <v>631110</v>
      </c>
      <c r="AZ445">
        <v>1204.63111</v>
      </c>
      <c r="BA445" s="23" t="s">
        <v>12</v>
      </c>
    </row>
    <row r="446" spans="1:53" x14ac:dyDescent="0.25">
      <c r="A446" t="s">
        <v>134</v>
      </c>
      <c r="B446" t="s">
        <v>135</v>
      </c>
      <c r="C446">
        <v>22001813</v>
      </c>
      <c r="D446">
        <v>1204</v>
      </c>
      <c r="E446" s="11">
        <v>44777</v>
      </c>
      <c r="F446" t="s">
        <v>174</v>
      </c>
      <c r="G446">
        <v>27.77</v>
      </c>
      <c r="H446">
        <v>27.77</v>
      </c>
      <c r="I446" t="s">
        <v>56</v>
      </c>
      <c r="O446" t="s">
        <v>57</v>
      </c>
      <c r="Q446" t="s">
        <v>57</v>
      </c>
      <c r="R446" t="s">
        <v>137</v>
      </c>
      <c r="T446" t="s">
        <v>59</v>
      </c>
      <c r="U446" t="s">
        <v>60</v>
      </c>
      <c r="V446" t="s">
        <v>138</v>
      </c>
      <c r="W446" t="s">
        <v>139</v>
      </c>
      <c r="X446">
        <v>1927630</v>
      </c>
      <c r="Y446" s="11">
        <v>44777</v>
      </c>
      <c r="Z446" t="s">
        <v>57</v>
      </c>
      <c r="AA446">
        <v>30</v>
      </c>
      <c r="AB446" t="s">
        <v>57</v>
      </c>
      <c r="AD446" t="s">
        <v>57</v>
      </c>
      <c r="AE446" t="s">
        <v>57</v>
      </c>
      <c r="AF446" t="s">
        <v>57</v>
      </c>
      <c r="AG446">
        <v>2</v>
      </c>
      <c r="AH446" t="s">
        <v>57</v>
      </c>
      <c r="AL446" t="s">
        <v>57</v>
      </c>
      <c r="AM446" s="11">
        <v>44777</v>
      </c>
      <c r="AN446" t="s">
        <v>173</v>
      </c>
      <c r="AO446" t="s">
        <v>65</v>
      </c>
      <c r="AP446">
        <v>1204</v>
      </c>
      <c r="AQ446" t="s">
        <v>66</v>
      </c>
      <c r="AR446">
        <v>93759</v>
      </c>
      <c r="AU446" t="s">
        <v>57</v>
      </c>
      <c r="AV446" t="s">
        <v>68</v>
      </c>
      <c r="AX446" t="s">
        <v>57</v>
      </c>
      <c r="AY446">
        <v>631110</v>
      </c>
      <c r="AZ446">
        <v>1204.63111</v>
      </c>
      <c r="BA446" s="23" t="s">
        <v>12</v>
      </c>
    </row>
    <row r="447" spans="1:53" x14ac:dyDescent="0.25">
      <c r="A447" t="s">
        <v>134</v>
      </c>
      <c r="B447" t="s">
        <v>135</v>
      </c>
      <c r="C447">
        <v>22001813</v>
      </c>
      <c r="D447">
        <v>1204</v>
      </c>
      <c r="E447" s="11">
        <v>44777</v>
      </c>
      <c r="F447" t="s">
        <v>174</v>
      </c>
      <c r="G447">
        <v>22.12</v>
      </c>
      <c r="H447">
        <v>22.12</v>
      </c>
      <c r="I447" t="s">
        <v>56</v>
      </c>
      <c r="O447" t="s">
        <v>57</v>
      </c>
      <c r="Q447" t="s">
        <v>57</v>
      </c>
      <c r="R447" t="s">
        <v>137</v>
      </c>
      <c r="T447" t="s">
        <v>59</v>
      </c>
      <c r="U447" t="s">
        <v>60</v>
      </c>
      <c r="V447" t="s">
        <v>138</v>
      </c>
      <c r="W447" t="s">
        <v>139</v>
      </c>
      <c r="X447">
        <v>1927630</v>
      </c>
      <c r="Y447" s="11">
        <v>44777</v>
      </c>
      <c r="Z447" t="s">
        <v>57</v>
      </c>
      <c r="AA447">
        <v>2</v>
      </c>
      <c r="AB447" t="s">
        <v>57</v>
      </c>
      <c r="AD447" t="s">
        <v>57</v>
      </c>
      <c r="AE447" t="s">
        <v>57</v>
      </c>
      <c r="AF447" t="s">
        <v>57</v>
      </c>
      <c r="AG447">
        <v>1</v>
      </c>
      <c r="AH447" t="s">
        <v>57</v>
      </c>
      <c r="AL447" t="s">
        <v>57</v>
      </c>
      <c r="AM447" s="11">
        <v>44777</v>
      </c>
      <c r="AN447" t="s">
        <v>173</v>
      </c>
      <c r="AO447" t="s">
        <v>65</v>
      </c>
      <c r="AP447">
        <v>1204</v>
      </c>
      <c r="AQ447" t="s">
        <v>66</v>
      </c>
      <c r="AR447">
        <v>208951</v>
      </c>
      <c r="AU447" t="s">
        <v>57</v>
      </c>
      <c r="AV447" t="s">
        <v>68</v>
      </c>
      <c r="AX447" t="s">
        <v>57</v>
      </c>
      <c r="AY447">
        <v>631110</v>
      </c>
      <c r="AZ447">
        <v>1204.63111</v>
      </c>
      <c r="BA447" s="23" t="s">
        <v>12</v>
      </c>
    </row>
    <row r="448" spans="1:53" x14ac:dyDescent="0.25">
      <c r="A448" t="s">
        <v>134</v>
      </c>
      <c r="B448" t="s">
        <v>135</v>
      </c>
      <c r="C448">
        <v>22001813</v>
      </c>
      <c r="D448">
        <v>1204</v>
      </c>
      <c r="E448" s="11">
        <v>44777</v>
      </c>
      <c r="F448" t="s">
        <v>174</v>
      </c>
      <c r="G448">
        <v>2.37</v>
      </c>
      <c r="H448">
        <v>2.37</v>
      </c>
      <c r="I448" t="s">
        <v>56</v>
      </c>
      <c r="O448" t="s">
        <v>57</v>
      </c>
      <c r="Q448" t="s">
        <v>57</v>
      </c>
      <c r="R448" t="s">
        <v>137</v>
      </c>
      <c r="T448" t="s">
        <v>59</v>
      </c>
      <c r="U448" t="s">
        <v>60</v>
      </c>
      <c r="V448" t="s">
        <v>138</v>
      </c>
      <c r="W448" t="s">
        <v>139</v>
      </c>
      <c r="X448">
        <v>1927630</v>
      </c>
      <c r="Y448" s="11">
        <v>44777</v>
      </c>
      <c r="Z448" t="s">
        <v>57</v>
      </c>
      <c r="AA448">
        <v>4</v>
      </c>
      <c r="AB448" t="s">
        <v>57</v>
      </c>
      <c r="AD448" t="s">
        <v>57</v>
      </c>
      <c r="AE448" t="s">
        <v>57</v>
      </c>
      <c r="AF448" t="s">
        <v>57</v>
      </c>
      <c r="AG448">
        <v>1</v>
      </c>
      <c r="AH448" t="s">
        <v>57</v>
      </c>
      <c r="AL448" t="s">
        <v>57</v>
      </c>
      <c r="AM448" s="11">
        <v>44777</v>
      </c>
      <c r="AN448" t="s">
        <v>173</v>
      </c>
      <c r="AO448" t="s">
        <v>65</v>
      </c>
      <c r="AP448">
        <v>1204</v>
      </c>
      <c r="AQ448" t="s">
        <v>66</v>
      </c>
      <c r="AR448">
        <v>214874</v>
      </c>
      <c r="AU448" t="s">
        <v>57</v>
      </c>
      <c r="AV448" t="s">
        <v>68</v>
      </c>
      <c r="AX448" t="s">
        <v>57</v>
      </c>
      <c r="AY448">
        <v>631110</v>
      </c>
      <c r="AZ448">
        <v>1204.63111</v>
      </c>
      <c r="BA448" s="23" t="s">
        <v>12</v>
      </c>
    </row>
    <row r="449" spans="1:53" x14ac:dyDescent="0.25">
      <c r="A449" t="s">
        <v>134</v>
      </c>
      <c r="B449" t="s">
        <v>135</v>
      </c>
      <c r="C449">
        <v>22001813</v>
      </c>
      <c r="D449">
        <v>1204</v>
      </c>
      <c r="E449" s="11">
        <v>44777</v>
      </c>
      <c r="F449" t="s">
        <v>174</v>
      </c>
      <c r="G449">
        <v>2.58</v>
      </c>
      <c r="H449">
        <v>2.58</v>
      </c>
      <c r="I449" t="s">
        <v>56</v>
      </c>
      <c r="O449" t="s">
        <v>57</v>
      </c>
      <c r="Q449" t="s">
        <v>57</v>
      </c>
      <c r="R449" t="s">
        <v>137</v>
      </c>
      <c r="T449" t="s">
        <v>59</v>
      </c>
      <c r="U449" t="s">
        <v>60</v>
      </c>
      <c r="V449" t="s">
        <v>138</v>
      </c>
      <c r="W449" t="s">
        <v>139</v>
      </c>
      <c r="X449">
        <v>1927630</v>
      </c>
      <c r="Y449" s="11">
        <v>44777</v>
      </c>
      <c r="Z449" t="s">
        <v>57</v>
      </c>
      <c r="AA449">
        <v>6</v>
      </c>
      <c r="AB449" t="s">
        <v>57</v>
      </c>
      <c r="AD449" t="s">
        <v>57</v>
      </c>
      <c r="AE449" t="s">
        <v>57</v>
      </c>
      <c r="AF449" t="s">
        <v>57</v>
      </c>
      <c r="AG449">
        <v>1</v>
      </c>
      <c r="AH449" t="s">
        <v>57</v>
      </c>
      <c r="AL449" t="s">
        <v>57</v>
      </c>
      <c r="AM449" s="11">
        <v>44777</v>
      </c>
      <c r="AN449" t="s">
        <v>173</v>
      </c>
      <c r="AO449" t="s">
        <v>65</v>
      </c>
      <c r="AP449">
        <v>1204</v>
      </c>
      <c r="AQ449" t="s">
        <v>66</v>
      </c>
      <c r="AR449">
        <v>177903</v>
      </c>
      <c r="AU449" t="s">
        <v>57</v>
      </c>
      <c r="AV449" t="s">
        <v>68</v>
      </c>
      <c r="AX449" t="s">
        <v>57</v>
      </c>
      <c r="AY449">
        <v>631110</v>
      </c>
      <c r="AZ449">
        <v>1204.63111</v>
      </c>
      <c r="BA449" s="23" t="s">
        <v>12</v>
      </c>
    </row>
    <row r="450" spans="1:53" x14ac:dyDescent="0.25">
      <c r="A450" t="s">
        <v>134</v>
      </c>
      <c r="B450" t="s">
        <v>135</v>
      </c>
      <c r="C450">
        <v>22001813</v>
      </c>
      <c r="D450">
        <v>1204</v>
      </c>
      <c r="E450" s="11">
        <v>44777</v>
      </c>
      <c r="F450" t="s">
        <v>174</v>
      </c>
      <c r="G450">
        <v>4.97</v>
      </c>
      <c r="H450">
        <v>4.97</v>
      </c>
      <c r="I450" t="s">
        <v>56</v>
      </c>
      <c r="O450" t="s">
        <v>57</v>
      </c>
      <c r="Q450" t="s">
        <v>57</v>
      </c>
      <c r="R450" t="s">
        <v>137</v>
      </c>
      <c r="T450" t="s">
        <v>59</v>
      </c>
      <c r="U450" t="s">
        <v>60</v>
      </c>
      <c r="V450" t="s">
        <v>138</v>
      </c>
      <c r="W450" t="s">
        <v>139</v>
      </c>
      <c r="X450">
        <v>1927630</v>
      </c>
      <c r="Y450" s="11">
        <v>44777</v>
      </c>
      <c r="Z450" t="s">
        <v>57</v>
      </c>
      <c r="AA450">
        <v>8</v>
      </c>
      <c r="AB450" t="s">
        <v>57</v>
      </c>
      <c r="AD450" t="s">
        <v>57</v>
      </c>
      <c r="AE450" t="s">
        <v>57</v>
      </c>
      <c r="AF450" t="s">
        <v>57</v>
      </c>
      <c r="AG450">
        <v>1</v>
      </c>
      <c r="AH450" t="s">
        <v>57</v>
      </c>
      <c r="AL450" t="s">
        <v>57</v>
      </c>
      <c r="AM450" s="11">
        <v>44777</v>
      </c>
      <c r="AN450" t="s">
        <v>173</v>
      </c>
      <c r="AO450" t="s">
        <v>65</v>
      </c>
      <c r="AP450">
        <v>1204</v>
      </c>
      <c r="AQ450" t="s">
        <v>66</v>
      </c>
      <c r="AR450">
        <v>142792</v>
      </c>
      <c r="AU450" t="s">
        <v>57</v>
      </c>
      <c r="AV450" t="s">
        <v>68</v>
      </c>
      <c r="AX450" t="s">
        <v>57</v>
      </c>
      <c r="AY450">
        <v>631110</v>
      </c>
      <c r="AZ450">
        <v>1204.63111</v>
      </c>
      <c r="BA450" s="23" t="s">
        <v>12</v>
      </c>
    </row>
    <row r="451" spans="1:53" x14ac:dyDescent="0.25">
      <c r="A451" t="s">
        <v>134</v>
      </c>
      <c r="B451" t="s">
        <v>135</v>
      </c>
      <c r="C451">
        <v>22001813</v>
      </c>
      <c r="D451">
        <v>1204</v>
      </c>
      <c r="E451" s="11">
        <v>44777</v>
      </c>
      <c r="F451" t="s">
        <v>174</v>
      </c>
      <c r="G451">
        <v>2.13</v>
      </c>
      <c r="H451">
        <v>2.13</v>
      </c>
      <c r="I451" t="s">
        <v>56</v>
      </c>
      <c r="O451" t="s">
        <v>57</v>
      </c>
      <c r="Q451" t="s">
        <v>57</v>
      </c>
      <c r="R451" t="s">
        <v>137</v>
      </c>
      <c r="T451" t="s">
        <v>59</v>
      </c>
      <c r="U451" t="s">
        <v>60</v>
      </c>
      <c r="V451" t="s">
        <v>138</v>
      </c>
      <c r="W451" t="s">
        <v>139</v>
      </c>
      <c r="X451">
        <v>1927630</v>
      </c>
      <c r="Y451" s="11">
        <v>44777</v>
      </c>
      <c r="Z451" t="s">
        <v>57</v>
      </c>
      <c r="AA451">
        <v>10</v>
      </c>
      <c r="AB451" t="s">
        <v>57</v>
      </c>
      <c r="AD451" t="s">
        <v>57</v>
      </c>
      <c r="AE451" t="s">
        <v>57</v>
      </c>
      <c r="AF451" t="s">
        <v>57</v>
      </c>
      <c r="AG451">
        <v>2</v>
      </c>
      <c r="AH451" t="s">
        <v>57</v>
      </c>
      <c r="AL451" t="s">
        <v>57</v>
      </c>
      <c r="AM451" s="11">
        <v>44777</v>
      </c>
      <c r="AN451" t="s">
        <v>173</v>
      </c>
      <c r="AO451" t="s">
        <v>65</v>
      </c>
      <c r="AP451">
        <v>1204</v>
      </c>
      <c r="AQ451" t="s">
        <v>66</v>
      </c>
      <c r="AR451">
        <v>142793</v>
      </c>
      <c r="AU451" t="s">
        <v>57</v>
      </c>
      <c r="AV451" t="s">
        <v>68</v>
      </c>
      <c r="AX451" t="s">
        <v>57</v>
      </c>
      <c r="AY451">
        <v>631110</v>
      </c>
      <c r="AZ451">
        <v>1204.63111</v>
      </c>
      <c r="BA451" s="23" t="s">
        <v>12</v>
      </c>
    </row>
    <row r="452" spans="1:53" x14ac:dyDescent="0.25">
      <c r="A452" t="s">
        <v>134</v>
      </c>
      <c r="B452" t="s">
        <v>135</v>
      </c>
      <c r="C452">
        <v>22001813</v>
      </c>
      <c r="D452">
        <v>1204</v>
      </c>
      <c r="E452" s="11">
        <v>44777</v>
      </c>
      <c r="F452" t="s">
        <v>174</v>
      </c>
      <c r="G452">
        <v>0.55000000000000004</v>
      </c>
      <c r="H452">
        <v>0.55000000000000004</v>
      </c>
      <c r="I452" t="s">
        <v>56</v>
      </c>
      <c r="O452" t="s">
        <v>57</v>
      </c>
      <c r="Q452" t="s">
        <v>57</v>
      </c>
      <c r="R452" t="s">
        <v>137</v>
      </c>
      <c r="T452" t="s">
        <v>59</v>
      </c>
      <c r="U452" t="s">
        <v>60</v>
      </c>
      <c r="V452" t="s">
        <v>138</v>
      </c>
      <c r="W452" t="s">
        <v>139</v>
      </c>
      <c r="X452">
        <v>1927630</v>
      </c>
      <c r="Y452" s="11">
        <v>44777</v>
      </c>
      <c r="Z452" t="s">
        <v>57</v>
      </c>
      <c r="AA452">
        <v>12</v>
      </c>
      <c r="AB452" t="s">
        <v>57</v>
      </c>
      <c r="AD452" t="s">
        <v>57</v>
      </c>
      <c r="AE452" t="s">
        <v>57</v>
      </c>
      <c r="AF452" t="s">
        <v>57</v>
      </c>
      <c r="AG452">
        <v>1</v>
      </c>
      <c r="AH452" t="s">
        <v>57</v>
      </c>
      <c r="AL452" t="s">
        <v>57</v>
      </c>
      <c r="AM452" s="11">
        <v>44777</v>
      </c>
      <c r="AN452" t="s">
        <v>173</v>
      </c>
      <c r="AO452" t="s">
        <v>65</v>
      </c>
      <c r="AP452">
        <v>1204</v>
      </c>
      <c r="AQ452" t="s">
        <v>66</v>
      </c>
      <c r="AR452">
        <v>89777</v>
      </c>
      <c r="AU452" t="s">
        <v>57</v>
      </c>
      <c r="AV452" t="s">
        <v>68</v>
      </c>
      <c r="AX452" t="s">
        <v>57</v>
      </c>
      <c r="AY452">
        <v>631110</v>
      </c>
      <c r="AZ452">
        <v>1204.63111</v>
      </c>
      <c r="BA452" s="23" t="s">
        <v>12</v>
      </c>
    </row>
    <row r="453" spans="1:53" x14ac:dyDescent="0.25">
      <c r="A453" t="s">
        <v>134</v>
      </c>
      <c r="B453" t="s">
        <v>135</v>
      </c>
      <c r="C453">
        <v>22001813</v>
      </c>
      <c r="D453">
        <v>1204</v>
      </c>
      <c r="E453" s="11">
        <v>44777</v>
      </c>
      <c r="F453" t="s">
        <v>174</v>
      </c>
      <c r="G453">
        <v>2.46</v>
      </c>
      <c r="H453">
        <v>2.46</v>
      </c>
      <c r="I453" t="s">
        <v>56</v>
      </c>
      <c r="O453" t="s">
        <v>57</v>
      </c>
      <c r="Q453" t="s">
        <v>57</v>
      </c>
      <c r="R453" t="s">
        <v>137</v>
      </c>
      <c r="T453" t="s">
        <v>59</v>
      </c>
      <c r="U453" t="s">
        <v>60</v>
      </c>
      <c r="V453" t="s">
        <v>138</v>
      </c>
      <c r="W453" t="s">
        <v>139</v>
      </c>
      <c r="X453">
        <v>1927630</v>
      </c>
      <c r="Y453" s="11">
        <v>44777</v>
      </c>
      <c r="Z453" t="s">
        <v>57</v>
      </c>
      <c r="AA453">
        <v>14</v>
      </c>
      <c r="AB453" t="s">
        <v>57</v>
      </c>
      <c r="AD453" t="s">
        <v>57</v>
      </c>
      <c r="AE453" t="s">
        <v>57</v>
      </c>
      <c r="AF453" t="s">
        <v>57</v>
      </c>
      <c r="AG453">
        <v>1</v>
      </c>
      <c r="AH453" t="s">
        <v>57</v>
      </c>
      <c r="AL453" t="s">
        <v>57</v>
      </c>
      <c r="AM453" s="11">
        <v>44777</v>
      </c>
      <c r="AN453" t="s">
        <v>173</v>
      </c>
      <c r="AO453" t="s">
        <v>65</v>
      </c>
      <c r="AP453">
        <v>1204</v>
      </c>
      <c r="AQ453" t="s">
        <v>66</v>
      </c>
      <c r="AR453">
        <v>88723</v>
      </c>
      <c r="AU453" t="s">
        <v>57</v>
      </c>
      <c r="AV453" t="s">
        <v>68</v>
      </c>
      <c r="AX453" t="s">
        <v>57</v>
      </c>
      <c r="AY453">
        <v>631110</v>
      </c>
      <c r="AZ453">
        <v>1204.63111</v>
      </c>
      <c r="BA453" s="23" t="s">
        <v>12</v>
      </c>
    </row>
    <row r="454" spans="1:53" x14ac:dyDescent="0.25">
      <c r="A454" t="s">
        <v>134</v>
      </c>
      <c r="B454" t="s">
        <v>135</v>
      </c>
      <c r="C454">
        <v>22001813</v>
      </c>
      <c r="D454">
        <v>1204</v>
      </c>
      <c r="E454" s="11">
        <v>44777</v>
      </c>
      <c r="F454" t="s">
        <v>174</v>
      </c>
      <c r="G454">
        <v>0.11</v>
      </c>
      <c r="H454">
        <v>0.11</v>
      </c>
      <c r="I454" t="s">
        <v>56</v>
      </c>
      <c r="O454" t="s">
        <v>57</v>
      </c>
      <c r="Q454" t="s">
        <v>57</v>
      </c>
      <c r="R454" t="s">
        <v>137</v>
      </c>
      <c r="T454" t="s">
        <v>59</v>
      </c>
      <c r="U454" t="s">
        <v>60</v>
      </c>
      <c r="V454" t="s">
        <v>138</v>
      </c>
      <c r="W454" t="s">
        <v>139</v>
      </c>
      <c r="X454">
        <v>1927630</v>
      </c>
      <c r="Y454" s="11">
        <v>44777</v>
      </c>
      <c r="Z454" t="s">
        <v>57</v>
      </c>
      <c r="AA454">
        <v>16</v>
      </c>
      <c r="AB454" t="s">
        <v>57</v>
      </c>
      <c r="AD454" t="s">
        <v>57</v>
      </c>
      <c r="AE454" t="s">
        <v>57</v>
      </c>
      <c r="AF454" t="s">
        <v>57</v>
      </c>
      <c r="AG454">
        <v>2</v>
      </c>
      <c r="AH454" t="s">
        <v>57</v>
      </c>
      <c r="AL454" t="s">
        <v>57</v>
      </c>
      <c r="AM454" s="11">
        <v>44777</v>
      </c>
      <c r="AN454" t="s">
        <v>173</v>
      </c>
      <c r="AO454" t="s">
        <v>65</v>
      </c>
      <c r="AP454">
        <v>1204</v>
      </c>
      <c r="AQ454" t="s">
        <v>66</v>
      </c>
      <c r="AR454">
        <v>88799</v>
      </c>
      <c r="AU454" t="s">
        <v>57</v>
      </c>
      <c r="AV454" t="s">
        <v>68</v>
      </c>
      <c r="AX454" t="s">
        <v>57</v>
      </c>
      <c r="AY454">
        <v>631110</v>
      </c>
      <c r="AZ454">
        <v>1204.63111</v>
      </c>
      <c r="BA454" s="23" t="s">
        <v>12</v>
      </c>
    </row>
    <row r="455" spans="1:53" x14ac:dyDescent="0.25">
      <c r="A455" t="s">
        <v>134</v>
      </c>
      <c r="B455" t="s">
        <v>135</v>
      </c>
      <c r="C455">
        <v>22001813</v>
      </c>
      <c r="D455">
        <v>1204</v>
      </c>
      <c r="E455" s="11">
        <v>44777</v>
      </c>
      <c r="F455" t="s">
        <v>174</v>
      </c>
      <c r="G455">
        <v>1.01</v>
      </c>
      <c r="H455">
        <v>1.01</v>
      </c>
      <c r="I455" t="s">
        <v>56</v>
      </c>
      <c r="O455" t="s">
        <v>57</v>
      </c>
      <c r="Q455" t="s">
        <v>57</v>
      </c>
      <c r="R455" t="s">
        <v>137</v>
      </c>
      <c r="T455" t="s">
        <v>59</v>
      </c>
      <c r="U455" t="s">
        <v>60</v>
      </c>
      <c r="V455" t="s">
        <v>138</v>
      </c>
      <c r="W455" t="s">
        <v>139</v>
      </c>
      <c r="X455">
        <v>1927630</v>
      </c>
      <c r="Y455" s="11">
        <v>44777</v>
      </c>
      <c r="Z455" t="s">
        <v>57</v>
      </c>
      <c r="AA455">
        <v>18</v>
      </c>
      <c r="AB455" t="s">
        <v>57</v>
      </c>
      <c r="AD455" t="s">
        <v>57</v>
      </c>
      <c r="AE455" t="s">
        <v>57</v>
      </c>
      <c r="AF455" t="s">
        <v>57</v>
      </c>
      <c r="AG455">
        <v>1</v>
      </c>
      <c r="AH455" t="s">
        <v>57</v>
      </c>
      <c r="AL455" t="s">
        <v>57</v>
      </c>
      <c r="AM455" s="11">
        <v>44777</v>
      </c>
      <c r="AN455" t="s">
        <v>173</v>
      </c>
      <c r="AO455" t="s">
        <v>65</v>
      </c>
      <c r="AP455">
        <v>1204</v>
      </c>
      <c r="AQ455" t="s">
        <v>66</v>
      </c>
      <c r="AR455">
        <v>248508</v>
      </c>
      <c r="AU455" t="s">
        <v>57</v>
      </c>
      <c r="AV455" t="s">
        <v>68</v>
      </c>
      <c r="AX455" t="s">
        <v>57</v>
      </c>
      <c r="AY455">
        <v>631110</v>
      </c>
      <c r="AZ455">
        <v>1204.63111</v>
      </c>
      <c r="BA455" s="23" t="s">
        <v>12</v>
      </c>
    </row>
    <row r="456" spans="1:53" x14ac:dyDescent="0.25">
      <c r="A456" t="s">
        <v>134</v>
      </c>
      <c r="B456" t="s">
        <v>135</v>
      </c>
      <c r="C456">
        <v>22001813</v>
      </c>
      <c r="D456">
        <v>1204</v>
      </c>
      <c r="E456" s="11">
        <v>44777</v>
      </c>
      <c r="F456" t="s">
        <v>174</v>
      </c>
      <c r="G456">
        <v>0.16</v>
      </c>
      <c r="H456">
        <v>0.16</v>
      </c>
      <c r="I456" t="s">
        <v>56</v>
      </c>
      <c r="O456" t="s">
        <v>57</v>
      </c>
      <c r="Q456" t="s">
        <v>57</v>
      </c>
      <c r="R456" t="s">
        <v>137</v>
      </c>
      <c r="T456" t="s">
        <v>59</v>
      </c>
      <c r="U456" t="s">
        <v>60</v>
      </c>
      <c r="V456" t="s">
        <v>138</v>
      </c>
      <c r="W456" t="s">
        <v>139</v>
      </c>
      <c r="X456">
        <v>1927630</v>
      </c>
      <c r="Y456" s="11">
        <v>44777</v>
      </c>
      <c r="Z456" t="s">
        <v>57</v>
      </c>
      <c r="AA456">
        <v>24</v>
      </c>
      <c r="AB456" t="s">
        <v>57</v>
      </c>
      <c r="AD456" t="s">
        <v>57</v>
      </c>
      <c r="AE456" t="s">
        <v>57</v>
      </c>
      <c r="AF456" t="s">
        <v>57</v>
      </c>
      <c r="AG456">
        <v>1</v>
      </c>
      <c r="AH456" t="s">
        <v>57</v>
      </c>
      <c r="AL456" t="s">
        <v>57</v>
      </c>
      <c r="AM456" s="11">
        <v>44777</v>
      </c>
      <c r="AN456" t="s">
        <v>173</v>
      </c>
      <c r="AO456" t="s">
        <v>65</v>
      </c>
      <c r="AP456">
        <v>1204</v>
      </c>
      <c r="AQ456" t="s">
        <v>66</v>
      </c>
      <c r="AR456">
        <v>88760</v>
      </c>
      <c r="AU456" t="s">
        <v>57</v>
      </c>
      <c r="AV456" t="s">
        <v>68</v>
      </c>
      <c r="AX456" t="s">
        <v>57</v>
      </c>
      <c r="AY456">
        <v>631110</v>
      </c>
      <c r="AZ456">
        <v>1204.63111</v>
      </c>
      <c r="BA456" s="23" t="s">
        <v>12</v>
      </c>
    </row>
    <row r="457" spans="1:53" x14ac:dyDescent="0.25">
      <c r="A457" t="s">
        <v>134</v>
      </c>
      <c r="B457" t="s">
        <v>135</v>
      </c>
      <c r="C457">
        <v>22001813</v>
      </c>
      <c r="D457">
        <v>1204</v>
      </c>
      <c r="E457" s="11">
        <v>44777</v>
      </c>
      <c r="F457" t="s">
        <v>174</v>
      </c>
      <c r="G457">
        <v>11.32</v>
      </c>
      <c r="H457">
        <v>11.32</v>
      </c>
      <c r="I457" t="s">
        <v>56</v>
      </c>
      <c r="O457" t="s">
        <v>57</v>
      </c>
      <c r="Q457" t="s">
        <v>57</v>
      </c>
      <c r="R457" t="s">
        <v>137</v>
      </c>
      <c r="T457" t="s">
        <v>59</v>
      </c>
      <c r="U457" t="s">
        <v>60</v>
      </c>
      <c r="V457" t="s">
        <v>138</v>
      </c>
      <c r="W457" t="s">
        <v>139</v>
      </c>
      <c r="X457">
        <v>1927630</v>
      </c>
      <c r="Y457" s="11">
        <v>44777</v>
      </c>
      <c r="Z457" t="s">
        <v>57</v>
      </c>
      <c r="AA457">
        <v>26</v>
      </c>
      <c r="AB457" t="s">
        <v>57</v>
      </c>
      <c r="AD457" t="s">
        <v>57</v>
      </c>
      <c r="AE457" t="s">
        <v>57</v>
      </c>
      <c r="AF457" t="s">
        <v>57</v>
      </c>
      <c r="AG457">
        <v>3</v>
      </c>
      <c r="AH457" t="s">
        <v>57</v>
      </c>
      <c r="AL457" t="s">
        <v>57</v>
      </c>
      <c r="AM457" s="11">
        <v>44777</v>
      </c>
      <c r="AN457" t="s">
        <v>173</v>
      </c>
      <c r="AO457" t="s">
        <v>65</v>
      </c>
      <c r="AP457">
        <v>1204</v>
      </c>
      <c r="AQ457" t="s">
        <v>66</v>
      </c>
      <c r="AR457">
        <v>209528</v>
      </c>
      <c r="AU457" t="s">
        <v>57</v>
      </c>
      <c r="AV457" t="s">
        <v>68</v>
      </c>
      <c r="AX457" t="s">
        <v>57</v>
      </c>
      <c r="AY457">
        <v>631110</v>
      </c>
      <c r="AZ457">
        <v>1204.63111</v>
      </c>
      <c r="BA457" s="23" t="s">
        <v>12</v>
      </c>
    </row>
    <row r="458" spans="1:53" x14ac:dyDescent="0.25">
      <c r="A458" t="s">
        <v>134</v>
      </c>
      <c r="B458" t="s">
        <v>135</v>
      </c>
      <c r="C458">
        <v>22001813</v>
      </c>
      <c r="D458">
        <v>1204</v>
      </c>
      <c r="E458" s="11">
        <v>44777</v>
      </c>
      <c r="F458" t="s">
        <v>174</v>
      </c>
      <c r="G458">
        <v>3.43</v>
      </c>
      <c r="H458">
        <v>3.43</v>
      </c>
      <c r="I458" t="s">
        <v>56</v>
      </c>
      <c r="O458" t="s">
        <v>57</v>
      </c>
      <c r="Q458" t="s">
        <v>57</v>
      </c>
      <c r="R458" t="s">
        <v>137</v>
      </c>
      <c r="T458" t="s">
        <v>59</v>
      </c>
      <c r="U458" t="s">
        <v>60</v>
      </c>
      <c r="V458" t="s">
        <v>138</v>
      </c>
      <c r="W458" t="s">
        <v>139</v>
      </c>
      <c r="X458">
        <v>1927630</v>
      </c>
      <c r="Y458" s="11">
        <v>44777</v>
      </c>
      <c r="Z458" t="s">
        <v>57</v>
      </c>
      <c r="AA458">
        <v>22</v>
      </c>
      <c r="AB458" t="s">
        <v>57</v>
      </c>
      <c r="AD458" t="s">
        <v>57</v>
      </c>
      <c r="AE458" t="s">
        <v>57</v>
      </c>
      <c r="AF458" t="s">
        <v>57</v>
      </c>
      <c r="AG458">
        <v>1</v>
      </c>
      <c r="AH458" t="s">
        <v>57</v>
      </c>
      <c r="AL458" t="s">
        <v>57</v>
      </c>
      <c r="AM458" s="11">
        <v>44777</v>
      </c>
      <c r="AN458" t="s">
        <v>173</v>
      </c>
      <c r="AO458" t="s">
        <v>65</v>
      </c>
      <c r="AP458">
        <v>1204</v>
      </c>
      <c r="AQ458" t="s">
        <v>66</v>
      </c>
      <c r="AR458">
        <v>206793</v>
      </c>
      <c r="AU458" t="s">
        <v>57</v>
      </c>
      <c r="AV458" t="s">
        <v>68</v>
      </c>
      <c r="AX458" t="s">
        <v>57</v>
      </c>
      <c r="AY458">
        <v>631110</v>
      </c>
      <c r="AZ458">
        <v>1204.63111</v>
      </c>
      <c r="BA458" s="23" t="s">
        <v>12</v>
      </c>
    </row>
    <row r="459" spans="1:53" x14ac:dyDescent="0.25">
      <c r="A459" t="s">
        <v>134</v>
      </c>
      <c r="B459" t="s">
        <v>135</v>
      </c>
      <c r="C459">
        <v>22001813</v>
      </c>
      <c r="D459">
        <v>1204</v>
      </c>
      <c r="E459" s="11">
        <v>44777</v>
      </c>
      <c r="F459" t="s">
        <v>174</v>
      </c>
      <c r="G459">
        <v>14.36</v>
      </c>
      <c r="H459">
        <v>14.36</v>
      </c>
      <c r="I459" t="s">
        <v>56</v>
      </c>
      <c r="O459" t="s">
        <v>57</v>
      </c>
      <c r="Q459" t="s">
        <v>57</v>
      </c>
      <c r="R459" t="s">
        <v>137</v>
      </c>
      <c r="T459" t="s">
        <v>59</v>
      </c>
      <c r="U459" t="s">
        <v>60</v>
      </c>
      <c r="V459" t="s">
        <v>138</v>
      </c>
      <c r="W459" t="s">
        <v>139</v>
      </c>
      <c r="X459">
        <v>1927630</v>
      </c>
      <c r="Y459" s="11">
        <v>44777</v>
      </c>
      <c r="Z459" t="s">
        <v>57</v>
      </c>
      <c r="AA459">
        <v>28</v>
      </c>
      <c r="AB459" t="s">
        <v>57</v>
      </c>
      <c r="AD459" t="s">
        <v>57</v>
      </c>
      <c r="AE459" t="s">
        <v>57</v>
      </c>
      <c r="AF459" t="s">
        <v>57</v>
      </c>
      <c r="AG459">
        <v>1</v>
      </c>
      <c r="AH459" t="s">
        <v>57</v>
      </c>
      <c r="AL459" t="s">
        <v>57</v>
      </c>
      <c r="AM459" s="11">
        <v>44777</v>
      </c>
      <c r="AN459" t="s">
        <v>173</v>
      </c>
      <c r="AO459" t="s">
        <v>65</v>
      </c>
      <c r="AP459">
        <v>1204</v>
      </c>
      <c r="AQ459" t="s">
        <v>66</v>
      </c>
      <c r="AR459">
        <v>96021</v>
      </c>
      <c r="AU459" t="s">
        <v>57</v>
      </c>
      <c r="AV459" t="s">
        <v>68</v>
      </c>
      <c r="AX459" t="s">
        <v>57</v>
      </c>
      <c r="AY459">
        <v>631110</v>
      </c>
      <c r="AZ459">
        <v>1204.63111</v>
      </c>
      <c r="BA459" s="23" t="s">
        <v>12</v>
      </c>
    </row>
    <row r="460" spans="1:53" x14ac:dyDescent="0.25">
      <c r="A460" t="s">
        <v>134</v>
      </c>
      <c r="B460" t="s">
        <v>135</v>
      </c>
      <c r="C460">
        <v>22001814</v>
      </c>
      <c r="D460">
        <v>1204</v>
      </c>
      <c r="E460" s="11">
        <v>44777</v>
      </c>
      <c r="F460" t="s">
        <v>159</v>
      </c>
      <c r="G460">
        <v>6.38</v>
      </c>
      <c r="H460">
        <v>6.38</v>
      </c>
      <c r="I460" t="s">
        <v>56</v>
      </c>
      <c r="O460" t="s">
        <v>57</v>
      </c>
      <c r="Q460" t="s">
        <v>57</v>
      </c>
      <c r="R460" t="s">
        <v>137</v>
      </c>
      <c r="T460" t="s">
        <v>59</v>
      </c>
      <c r="U460" t="s">
        <v>60</v>
      </c>
      <c r="V460" t="s">
        <v>138</v>
      </c>
      <c r="W460" t="s">
        <v>139</v>
      </c>
      <c r="X460">
        <v>1927631</v>
      </c>
      <c r="Y460" s="11">
        <v>44777</v>
      </c>
      <c r="Z460" t="s">
        <v>57</v>
      </c>
      <c r="AA460">
        <v>2</v>
      </c>
      <c r="AB460" t="s">
        <v>57</v>
      </c>
      <c r="AD460" t="s">
        <v>57</v>
      </c>
      <c r="AE460" t="s">
        <v>57</v>
      </c>
      <c r="AF460" t="s">
        <v>57</v>
      </c>
      <c r="AG460">
        <v>1</v>
      </c>
      <c r="AH460" t="s">
        <v>57</v>
      </c>
      <c r="AL460" t="s">
        <v>57</v>
      </c>
      <c r="AM460" s="11">
        <v>44777</v>
      </c>
      <c r="AN460" t="s">
        <v>173</v>
      </c>
      <c r="AO460" t="s">
        <v>65</v>
      </c>
      <c r="AP460">
        <v>1204</v>
      </c>
      <c r="AQ460" t="s">
        <v>66</v>
      </c>
      <c r="AR460">
        <v>122416</v>
      </c>
      <c r="AU460" t="s">
        <v>57</v>
      </c>
      <c r="AV460" t="s">
        <v>68</v>
      </c>
      <c r="AX460" t="s">
        <v>57</v>
      </c>
      <c r="AY460">
        <v>631110</v>
      </c>
      <c r="AZ460">
        <v>1204.63111</v>
      </c>
      <c r="BA460" s="23" t="s">
        <v>12</v>
      </c>
    </row>
    <row r="461" spans="1:53" x14ac:dyDescent="0.25">
      <c r="A461" t="s">
        <v>134</v>
      </c>
      <c r="B461" t="s">
        <v>135</v>
      </c>
      <c r="C461">
        <v>22001815</v>
      </c>
      <c r="D461">
        <v>1204</v>
      </c>
      <c r="E461" s="11">
        <v>44777</v>
      </c>
      <c r="F461" t="s">
        <v>175</v>
      </c>
      <c r="G461">
        <v>0.8</v>
      </c>
      <c r="H461">
        <v>0.8</v>
      </c>
      <c r="I461" t="s">
        <v>56</v>
      </c>
      <c r="O461" t="s">
        <v>57</v>
      </c>
      <c r="Q461" t="s">
        <v>57</v>
      </c>
      <c r="R461" t="s">
        <v>137</v>
      </c>
      <c r="T461" t="s">
        <v>59</v>
      </c>
      <c r="U461" t="s">
        <v>60</v>
      </c>
      <c r="V461" t="s">
        <v>138</v>
      </c>
      <c r="W461" t="s">
        <v>139</v>
      </c>
      <c r="X461">
        <v>1927634</v>
      </c>
      <c r="Y461" s="11">
        <v>44777</v>
      </c>
      <c r="Z461" t="s">
        <v>57</v>
      </c>
      <c r="AA461">
        <v>2</v>
      </c>
      <c r="AB461" t="s">
        <v>57</v>
      </c>
      <c r="AD461" t="s">
        <v>57</v>
      </c>
      <c r="AE461" t="s">
        <v>57</v>
      </c>
      <c r="AF461" t="s">
        <v>57</v>
      </c>
      <c r="AG461">
        <v>10</v>
      </c>
      <c r="AH461" t="s">
        <v>57</v>
      </c>
      <c r="AL461" t="s">
        <v>57</v>
      </c>
      <c r="AM461" s="11">
        <v>44777</v>
      </c>
      <c r="AN461" t="s">
        <v>176</v>
      </c>
      <c r="AO461" t="s">
        <v>65</v>
      </c>
      <c r="AP461">
        <v>1204</v>
      </c>
      <c r="AQ461" t="s">
        <v>66</v>
      </c>
      <c r="AR461">
        <v>265878</v>
      </c>
      <c r="AU461" t="s">
        <v>57</v>
      </c>
      <c r="AV461" t="s">
        <v>68</v>
      </c>
      <c r="AX461" t="s">
        <v>57</v>
      </c>
      <c r="AY461">
        <v>631110</v>
      </c>
      <c r="AZ461">
        <v>1204.63111</v>
      </c>
      <c r="BA461" s="23" t="s">
        <v>12</v>
      </c>
    </row>
    <row r="462" spans="1:53" x14ac:dyDescent="0.25">
      <c r="A462" t="s">
        <v>134</v>
      </c>
      <c r="B462" t="s">
        <v>135</v>
      </c>
      <c r="C462">
        <v>22001815</v>
      </c>
      <c r="D462">
        <v>1204</v>
      </c>
      <c r="E462" s="11">
        <v>44777</v>
      </c>
      <c r="F462" t="s">
        <v>175</v>
      </c>
      <c r="G462">
        <v>0.15</v>
      </c>
      <c r="H462">
        <v>0.15</v>
      </c>
      <c r="I462" t="s">
        <v>56</v>
      </c>
      <c r="O462" t="s">
        <v>57</v>
      </c>
      <c r="Q462" t="s">
        <v>57</v>
      </c>
      <c r="R462" t="s">
        <v>137</v>
      </c>
      <c r="T462" t="s">
        <v>59</v>
      </c>
      <c r="U462" t="s">
        <v>60</v>
      </c>
      <c r="V462" t="s">
        <v>138</v>
      </c>
      <c r="W462" t="s">
        <v>139</v>
      </c>
      <c r="X462">
        <v>1927634</v>
      </c>
      <c r="Y462" s="11">
        <v>44777</v>
      </c>
      <c r="Z462" t="s">
        <v>57</v>
      </c>
      <c r="AA462">
        <v>4</v>
      </c>
      <c r="AB462" t="s">
        <v>57</v>
      </c>
      <c r="AD462" t="s">
        <v>57</v>
      </c>
      <c r="AE462" t="s">
        <v>57</v>
      </c>
      <c r="AF462" t="s">
        <v>57</v>
      </c>
      <c r="AG462">
        <v>2</v>
      </c>
      <c r="AH462" t="s">
        <v>57</v>
      </c>
      <c r="AL462" t="s">
        <v>57</v>
      </c>
      <c r="AM462" s="11">
        <v>44777</v>
      </c>
      <c r="AN462" t="s">
        <v>176</v>
      </c>
      <c r="AO462" t="s">
        <v>65</v>
      </c>
      <c r="AP462">
        <v>1204</v>
      </c>
      <c r="AQ462" t="s">
        <v>66</v>
      </c>
      <c r="AR462">
        <v>91479</v>
      </c>
      <c r="AU462" t="s">
        <v>57</v>
      </c>
      <c r="AV462" t="s">
        <v>68</v>
      </c>
      <c r="AX462" t="s">
        <v>57</v>
      </c>
      <c r="AY462">
        <v>631110</v>
      </c>
      <c r="AZ462">
        <v>1204.63111</v>
      </c>
      <c r="BA462" s="23" t="s">
        <v>12</v>
      </c>
    </row>
    <row r="463" spans="1:53" x14ac:dyDescent="0.25">
      <c r="A463" t="s">
        <v>134</v>
      </c>
      <c r="B463" t="s">
        <v>135</v>
      </c>
      <c r="C463">
        <v>22001815</v>
      </c>
      <c r="D463">
        <v>1204</v>
      </c>
      <c r="E463" s="11">
        <v>44777</v>
      </c>
      <c r="F463" t="s">
        <v>175</v>
      </c>
      <c r="G463">
        <v>1.1200000000000001</v>
      </c>
      <c r="H463">
        <v>1.1200000000000001</v>
      </c>
      <c r="I463" t="s">
        <v>56</v>
      </c>
      <c r="O463" t="s">
        <v>57</v>
      </c>
      <c r="Q463" t="s">
        <v>57</v>
      </c>
      <c r="R463" t="s">
        <v>137</v>
      </c>
      <c r="T463" t="s">
        <v>59</v>
      </c>
      <c r="U463" t="s">
        <v>60</v>
      </c>
      <c r="V463" t="s">
        <v>138</v>
      </c>
      <c r="W463" t="s">
        <v>139</v>
      </c>
      <c r="X463">
        <v>1927634</v>
      </c>
      <c r="Y463" s="11">
        <v>44777</v>
      </c>
      <c r="Z463" t="s">
        <v>57</v>
      </c>
      <c r="AA463">
        <v>6</v>
      </c>
      <c r="AB463" t="s">
        <v>57</v>
      </c>
      <c r="AD463" t="s">
        <v>57</v>
      </c>
      <c r="AE463" t="s">
        <v>57</v>
      </c>
      <c r="AF463" t="s">
        <v>57</v>
      </c>
      <c r="AG463">
        <v>10</v>
      </c>
      <c r="AH463" t="s">
        <v>57</v>
      </c>
      <c r="AL463" t="s">
        <v>57</v>
      </c>
      <c r="AM463" s="11">
        <v>44777</v>
      </c>
      <c r="AN463" t="s">
        <v>176</v>
      </c>
      <c r="AO463" t="s">
        <v>65</v>
      </c>
      <c r="AP463">
        <v>1204</v>
      </c>
      <c r="AQ463" t="s">
        <v>66</v>
      </c>
      <c r="AR463">
        <v>265267</v>
      </c>
      <c r="AU463" t="s">
        <v>57</v>
      </c>
      <c r="AV463" t="s">
        <v>68</v>
      </c>
      <c r="AX463" t="s">
        <v>57</v>
      </c>
      <c r="AY463">
        <v>631110</v>
      </c>
      <c r="AZ463">
        <v>1204.63111</v>
      </c>
      <c r="BA463" s="23" t="s">
        <v>12</v>
      </c>
    </row>
    <row r="464" spans="1:53" x14ac:dyDescent="0.25">
      <c r="A464" t="s">
        <v>134</v>
      </c>
      <c r="B464" t="s">
        <v>135</v>
      </c>
      <c r="C464">
        <v>22001815</v>
      </c>
      <c r="D464">
        <v>1204</v>
      </c>
      <c r="E464" s="11">
        <v>44777</v>
      </c>
      <c r="F464" t="s">
        <v>175</v>
      </c>
      <c r="G464">
        <v>0.22</v>
      </c>
      <c r="H464">
        <v>0.22</v>
      </c>
      <c r="I464" t="s">
        <v>56</v>
      </c>
      <c r="O464" t="s">
        <v>57</v>
      </c>
      <c r="Q464" t="s">
        <v>57</v>
      </c>
      <c r="R464" t="s">
        <v>137</v>
      </c>
      <c r="T464" t="s">
        <v>59</v>
      </c>
      <c r="U464" t="s">
        <v>60</v>
      </c>
      <c r="V464" t="s">
        <v>138</v>
      </c>
      <c r="W464" t="s">
        <v>139</v>
      </c>
      <c r="X464">
        <v>1927634</v>
      </c>
      <c r="Y464" s="11">
        <v>44777</v>
      </c>
      <c r="Z464" t="s">
        <v>57</v>
      </c>
      <c r="AA464">
        <v>8</v>
      </c>
      <c r="AB464" t="s">
        <v>57</v>
      </c>
      <c r="AD464" t="s">
        <v>57</v>
      </c>
      <c r="AE464" t="s">
        <v>57</v>
      </c>
      <c r="AF464" t="s">
        <v>57</v>
      </c>
      <c r="AG464">
        <v>2</v>
      </c>
      <c r="AH464" t="s">
        <v>57</v>
      </c>
      <c r="AL464" t="s">
        <v>57</v>
      </c>
      <c r="AM464" s="11">
        <v>44777</v>
      </c>
      <c r="AN464" t="s">
        <v>176</v>
      </c>
      <c r="AO464" t="s">
        <v>65</v>
      </c>
      <c r="AP464">
        <v>1204</v>
      </c>
      <c r="AQ464" t="s">
        <v>66</v>
      </c>
      <c r="AR464">
        <v>90435</v>
      </c>
      <c r="AU464" t="s">
        <v>57</v>
      </c>
      <c r="AV464" t="s">
        <v>68</v>
      </c>
      <c r="AX464" t="s">
        <v>57</v>
      </c>
      <c r="AY464">
        <v>631110</v>
      </c>
      <c r="AZ464">
        <v>1204.63111</v>
      </c>
      <c r="BA464" s="23" t="s">
        <v>12</v>
      </c>
    </row>
    <row r="465" spans="1:53" x14ac:dyDescent="0.25">
      <c r="A465" t="s">
        <v>134</v>
      </c>
      <c r="B465" t="s">
        <v>135</v>
      </c>
      <c r="C465">
        <v>22001815</v>
      </c>
      <c r="D465">
        <v>1204</v>
      </c>
      <c r="E465" s="11">
        <v>44777</v>
      </c>
      <c r="F465" t="s">
        <v>175</v>
      </c>
      <c r="G465">
        <v>1.54</v>
      </c>
      <c r="H465">
        <v>1.54</v>
      </c>
      <c r="I465" t="s">
        <v>56</v>
      </c>
      <c r="O465" t="s">
        <v>57</v>
      </c>
      <c r="Q465" t="s">
        <v>57</v>
      </c>
      <c r="R465" t="s">
        <v>137</v>
      </c>
      <c r="T465" t="s">
        <v>59</v>
      </c>
      <c r="U465" t="s">
        <v>60</v>
      </c>
      <c r="V465" t="s">
        <v>138</v>
      </c>
      <c r="W465" t="s">
        <v>139</v>
      </c>
      <c r="X465">
        <v>1927634</v>
      </c>
      <c r="Y465" s="11">
        <v>44777</v>
      </c>
      <c r="Z465" t="s">
        <v>57</v>
      </c>
      <c r="AA465">
        <v>10</v>
      </c>
      <c r="AB465" t="s">
        <v>57</v>
      </c>
      <c r="AD465" t="s">
        <v>57</v>
      </c>
      <c r="AE465" t="s">
        <v>57</v>
      </c>
      <c r="AF465" t="s">
        <v>57</v>
      </c>
      <c r="AG465">
        <v>10</v>
      </c>
      <c r="AH465" t="s">
        <v>57</v>
      </c>
      <c r="AL465" t="s">
        <v>57</v>
      </c>
      <c r="AM465" s="11">
        <v>44777</v>
      </c>
      <c r="AN465" t="s">
        <v>176</v>
      </c>
      <c r="AO465" t="s">
        <v>65</v>
      </c>
      <c r="AP465">
        <v>1204</v>
      </c>
      <c r="AQ465" t="s">
        <v>66</v>
      </c>
      <c r="AR465">
        <v>89712</v>
      </c>
      <c r="AU465" t="s">
        <v>57</v>
      </c>
      <c r="AV465" t="s">
        <v>68</v>
      </c>
      <c r="AX465" t="s">
        <v>57</v>
      </c>
      <c r="AY465">
        <v>631110</v>
      </c>
      <c r="AZ465">
        <v>1204.63111</v>
      </c>
      <c r="BA465" s="23" t="s">
        <v>12</v>
      </c>
    </row>
    <row r="466" spans="1:53" x14ac:dyDescent="0.25">
      <c r="A466" t="s">
        <v>134</v>
      </c>
      <c r="B466" t="s">
        <v>135</v>
      </c>
      <c r="C466">
        <v>22001815</v>
      </c>
      <c r="D466">
        <v>1204</v>
      </c>
      <c r="E466" s="11">
        <v>44777</v>
      </c>
      <c r="F466" t="s">
        <v>175</v>
      </c>
      <c r="G466">
        <v>13.5</v>
      </c>
      <c r="H466">
        <v>13.5</v>
      </c>
      <c r="I466" t="s">
        <v>56</v>
      </c>
      <c r="O466" t="s">
        <v>57</v>
      </c>
      <c r="Q466" t="s">
        <v>57</v>
      </c>
      <c r="R466" t="s">
        <v>137</v>
      </c>
      <c r="T466" t="s">
        <v>59</v>
      </c>
      <c r="U466" t="s">
        <v>60</v>
      </c>
      <c r="V466" t="s">
        <v>138</v>
      </c>
      <c r="W466" t="s">
        <v>139</v>
      </c>
      <c r="X466">
        <v>1927634</v>
      </c>
      <c r="Y466" s="11">
        <v>44777</v>
      </c>
      <c r="Z466" t="s">
        <v>57</v>
      </c>
      <c r="AA466">
        <v>12</v>
      </c>
      <c r="AB466" t="s">
        <v>57</v>
      </c>
      <c r="AD466" t="s">
        <v>57</v>
      </c>
      <c r="AE466" t="s">
        <v>57</v>
      </c>
      <c r="AF466" t="s">
        <v>57</v>
      </c>
      <c r="AG466">
        <v>37</v>
      </c>
      <c r="AH466" t="s">
        <v>57</v>
      </c>
      <c r="AL466" t="s">
        <v>57</v>
      </c>
      <c r="AM466" s="11">
        <v>44777</v>
      </c>
      <c r="AN466" t="s">
        <v>176</v>
      </c>
      <c r="AO466" t="s">
        <v>65</v>
      </c>
      <c r="AP466">
        <v>1204</v>
      </c>
      <c r="AQ466" t="s">
        <v>66</v>
      </c>
      <c r="AR466">
        <v>91011</v>
      </c>
      <c r="AU466" t="s">
        <v>57</v>
      </c>
      <c r="AV466" t="s">
        <v>68</v>
      </c>
      <c r="AX466" t="s">
        <v>57</v>
      </c>
      <c r="AY466">
        <v>631110</v>
      </c>
      <c r="AZ466">
        <v>1204.63111</v>
      </c>
      <c r="BA466" s="23" t="s">
        <v>12</v>
      </c>
    </row>
    <row r="467" spans="1:53" x14ac:dyDescent="0.25">
      <c r="A467" t="s">
        <v>134</v>
      </c>
      <c r="B467" t="s">
        <v>135</v>
      </c>
      <c r="C467">
        <v>22001815</v>
      </c>
      <c r="D467">
        <v>1204</v>
      </c>
      <c r="E467" s="11">
        <v>44777</v>
      </c>
      <c r="F467" t="s">
        <v>175</v>
      </c>
      <c r="G467">
        <v>1.5</v>
      </c>
      <c r="H467">
        <v>1.5</v>
      </c>
      <c r="I467" t="s">
        <v>56</v>
      </c>
      <c r="O467" t="s">
        <v>57</v>
      </c>
      <c r="Q467" t="s">
        <v>57</v>
      </c>
      <c r="R467" t="s">
        <v>137</v>
      </c>
      <c r="T467" t="s">
        <v>59</v>
      </c>
      <c r="U467" t="s">
        <v>60</v>
      </c>
      <c r="V467" t="s">
        <v>138</v>
      </c>
      <c r="W467" t="s">
        <v>139</v>
      </c>
      <c r="X467">
        <v>1927634</v>
      </c>
      <c r="Y467" s="11">
        <v>44777</v>
      </c>
      <c r="Z467" t="s">
        <v>57</v>
      </c>
      <c r="AA467">
        <v>14</v>
      </c>
      <c r="AB467" t="s">
        <v>57</v>
      </c>
      <c r="AD467" t="s">
        <v>57</v>
      </c>
      <c r="AE467" t="s">
        <v>57</v>
      </c>
      <c r="AF467" t="s">
        <v>57</v>
      </c>
      <c r="AG467">
        <v>10</v>
      </c>
      <c r="AH467" t="s">
        <v>57</v>
      </c>
      <c r="AL467" t="s">
        <v>57</v>
      </c>
      <c r="AM467" s="11">
        <v>44777</v>
      </c>
      <c r="AN467" t="s">
        <v>176</v>
      </c>
      <c r="AO467" t="s">
        <v>65</v>
      </c>
      <c r="AP467">
        <v>1204</v>
      </c>
      <c r="AQ467" t="s">
        <v>66</v>
      </c>
      <c r="AR467">
        <v>144854</v>
      </c>
      <c r="AU467" t="s">
        <v>57</v>
      </c>
      <c r="AV467" t="s">
        <v>68</v>
      </c>
      <c r="AX467" t="s">
        <v>57</v>
      </c>
      <c r="AY467">
        <v>631110</v>
      </c>
      <c r="AZ467">
        <v>1204.63111</v>
      </c>
      <c r="BA467" s="23" t="s">
        <v>12</v>
      </c>
    </row>
    <row r="468" spans="1:53" x14ac:dyDescent="0.25">
      <c r="A468" t="s">
        <v>134</v>
      </c>
      <c r="B468" t="s">
        <v>135</v>
      </c>
      <c r="C468">
        <v>22001826</v>
      </c>
      <c r="D468">
        <v>1204</v>
      </c>
      <c r="E468" s="11">
        <v>44778</v>
      </c>
      <c r="F468" t="s">
        <v>159</v>
      </c>
      <c r="G468">
        <v>3.83</v>
      </c>
      <c r="H468">
        <v>3.83</v>
      </c>
      <c r="I468" t="s">
        <v>56</v>
      </c>
      <c r="O468" t="s">
        <v>57</v>
      </c>
      <c r="Q468" t="s">
        <v>57</v>
      </c>
      <c r="R468" t="s">
        <v>137</v>
      </c>
      <c r="T468" t="s">
        <v>59</v>
      </c>
      <c r="U468" t="s">
        <v>60</v>
      </c>
      <c r="V468" t="s">
        <v>138</v>
      </c>
      <c r="W468" t="s">
        <v>139</v>
      </c>
      <c r="X468">
        <v>1928763</v>
      </c>
      <c r="Y468" s="11">
        <v>44778</v>
      </c>
      <c r="Z468" t="s">
        <v>57</v>
      </c>
      <c r="AA468">
        <v>2</v>
      </c>
      <c r="AB468" t="s">
        <v>57</v>
      </c>
      <c r="AD468" t="s">
        <v>57</v>
      </c>
      <c r="AE468" t="s">
        <v>57</v>
      </c>
      <c r="AF468" t="s">
        <v>57</v>
      </c>
      <c r="AG468">
        <v>1</v>
      </c>
      <c r="AH468" t="s">
        <v>57</v>
      </c>
      <c r="AL468" t="s">
        <v>57</v>
      </c>
      <c r="AM468" s="11">
        <v>44778</v>
      </c>
      <c r="AN468" t="s">
        <v>173</v>
      </c>
      <c r="AO468" t="s">
        <v>65</v>
      </c>
      <c r="AP468">
        <v>1204</v>
      </c>
      <c r="AQ468" t="s">
        <v>66</v>
      </c>
      <c r="AR468">
        <v>88685</v>
      </c>
      <c r="AU468" t="s">
        <v>57</v>
      </c>
      <c r="AV468" t="s">
        <v>68</v>
      </c>
      <c r="AX468" t="s">
        <v>57</v>
      </c>
      <c r="AY468">
        <v>631110</v>
      </c>
      <c r="AZ468">
        <v>1204.63111</v>
      </c>
      <c r="BA468" s="23" t="s">
        <v>12</v>
      </c>
    </row>
    <row r="469" spans="1:53" x14ac:dyDescent="0.25">
      <c r="A469" t="s">
        <v>134</v>
      </c>
      <c r="B469" t="s">
        <v>135</v>
      </c>
      <c r="C469">
        <v>22001826</v>
      </c>
      <c r="D469">
        <v>1204</v>
      </c>
      <c r="E469" s="11">
        <v>44778</v>
      </c>
      <c r="F469" t="s">
        <v>159</v>
      </c>
      <c r="G469">
        <v>0.21</v>
      </c>
      <c r="H469">
        <v>0.21</v>
      </c>
      <c r="I469" t="s">
        <v>56</v>
      </c>
      <c r="O469" t="s">
        <v>57</v>
      </c>
      <c r="Q469" t="s">
        <v>57</v>
      </c>
      <c r="R469" t="s">
        <v>137</v>
      </c>
      <c r="T469" t="s">
        <v>59</v>
      </c>
      <c r="U469" t="s">
        <v>60</v>
      </c>
      <c r="V469" t="s">
        <v>138</v>
      </c>
      <c r="W469" t="s">
        <v>139</v>
      </c>
      <c r="X469">
        <v>1928763</v>
      </c>
      <c r="Y469" s="11">
        <v>44778</v>
      </c>
      <c r="Z469" t="s">
        <v>57</v>
      </c>
      <c r="AA469">
        <v>4</v>
      </c>
      <c r="AB469" t="s">
        <v>57</v>
      </c>
      <c r="AD469" t="s">
        <v>57</v>
      </c>
      <c r="AE469" t="s">
        <v>57</v>
      </c>
      <c r="AF469" t="s">
        <v>57</v>
      </c>
      <c r="AG469">
        <v>3</v>
      </c>
      <c r="AH469" t="s">
        <v>57</v>
      </c>
      <c r="AL469" t="s">
        <v>57</v>
      </c>
      <c r="AM469" s="11">
        <v>44778</v>
      </c>
      <c r="AN469" t="s">
        <v>173</v>
      </c>
      <c r="AO469" t="s">
        <v>65</v>
      </c>
      <c r="AP469">
        <v>1204</v>
      </c>
      <c r="AQ469" t="s">
        <v>66</v>
      </c>
      <c r="AR469">
        <v>89908</v>
      </c>
      <c r="AU469" t="s">
        <v>57</v>
      </c>
      <c r="AV469" t="s">
        <v>68</v>
      </c>
      <c r="AX469" t="s">
        <v>57</v>
      </c>
      <c r="AY469">
        <v>631110</v>
      </c>
      <c r="AZ469">
        <v>1204.63111</v>
      </c>
      <c r="BA469" s="23" t="s">
        <v>12</v>
      </c>
    </row>
    <row r="470" spans="1:53" x14ac:dyDescent="0.25">
      <c r="A470" t="s">
        <v>134</v>
      </c>
      <c r="B470" t="s">
        <v>135</v>
      </c>
      <c r="C470">
        <v>22001827</v>
      </c>
      <c r="D470">
        <v>1204</v>
      </c>
      <c r="E470" s="11">
        <v>44778</v>
      </c>
      <c r="F470" t="s">
        <v>174</v>
      </c>
      <c r="G470">
        <v>6.85</v>
      </c>
      <c r="H470">
        <v>6.85</v>
      </c>
      <c r="I470" t="s">
        <v>56</v>
      </c>
      <c r="O470" t="s">
        <v>57</v>
      </c>
      <c r="Q470" t="s">
        <v>57</v>
      </c>
      <c r="R470" t="s">
        <v>137</v>
      </c>
      <c r="T470" t="s">
        <v>59</v>
      </c>
      <c r="U470" t="s">
        <v>60</v>
      </c>
      <c r="V470" t="s">
        <v>138</v>
      </c>
      <c r="W470" t="s">
        <v>139</v>
      </c>
      <c r="X470">
        <v>1928763</v>
      </c>
      <c r="Y470" s="11">
        <v>44778</v>
      </c>
      <c r="Z470" t="s">
        <v>57</v>
      </c>
      <c r="AA470">
        <v>2</v>
      </c>
      <c r="AB470" t="s">
        <v>57</v>
      </c>
      <c r="AD470" t="s">
        <v>57</v>
      </c>
      <c r="AE470" t="s">
        <v>57</v>
      </c>
      <c r="AF470" t="s">
        <v>57</v>
      </c>
      <c r="AG470">
        <v>2</v>
      </c>
      <c r="AH470" t="s">
        <v>57</v>
      </c>
      <c r="AL470" t="s">
        <v>57</v>
      </c>
      <c r="AM470" s="11">
        <v>44778</v>
      </c>
      <c r="AN470" t="s">
        <v>173</v>
      </c>
      <c r="AO470" t="s">
        <v>65</v>
      </c>
      <c r="AP470">
        <v>1204</v>
      </c>
      <c r="AQ470" t="s">
        <v>66</v>
      </c>
      <c r="AR470">
        <v>206793</v>
      </c>
      <c r="AU470" t="s">
        <v>57</v>
      </c>
      <c r="AV470" t="s">
        <v>68</v>
      </c>
      <c r="AX470" t="s">
        <v>57</v>
      </c>
      <c r="AY470">
        <v>631110</v>
      </c>
      <c r="AZ470">
        <v>1204.63111</v>
      </c>
      <c r="BA470" s="23" t="s">
        <v>12</v>
      </c>
    </row>
    <row r="471" spans="1:53" x14ac:dyDescent="0.25">
      <c r="A471" t="s">
        <v>134</v>
      </c>
      <c r="B471" t="s">
        <v>135</v>
      </c>
      <c r="C471">
        <v>22001827</v>
      </c>
      <c r="D471">
        <v>1204</v>
      </c>
      <c r="E471" s="11">
        <v>44778</v>
      </c>
      <c r="F471" t="s">
        <v>174</v>
      </c>
      <c r="G471">
        <v>19.66</v>
      </c>
      <c r="H471">
        <v>19.66</v>
      </c>
      <c r="I471" t="s">
        <v>56</v>
      </c>
      <c r="O471" t="s">
        <v>57</v>
      </c>
      <c r="Q471" t="s">
        <v>57</v>
      </c>
      <c r="R471" t="s">
        <v>137</v>
      </c>
      <c r="T471" t="s">
        <v>59</v>
      </c>
      <c r="U471" t="s">
        <v>60</v>
      </c>
      <c r="V471" t="s">
        <v>138</v>
      </c>
      <c r="W471" t="s">
        <v>139</v>
      </c>
      <c r="X471">
        <v>1928763</v>
      </c>
      <c r="Y471" s="11">
        <v>44778</v>
      </c>
      <c r="Z471" t="s">
        <v>57</v>
      </c>
      <c r="AA471">
        <v>4</v>
      </c>
      <c r="AB471" t="s">
        <v>57</v>
      </c>
      <c r="AD471" t="s">
        <v>57</v>
      </c>
      <c r="AE471" t="s">
        <v>57</v>
      </c>
      <c r="AF471" t="s">
        <v>57</v>
      </c>
      <c r="AG471">
        <v>5</v>
      </c>
      <c r="AH471" t="s">
        <v>57</v>
      </c>
      <c r="AL471" t="s">
        <v>57</v>
      </c>
      <c r="AM471" s="11">
        <v>44778</v>
      </c>
      <c r="AN471" t="s">
        <v>173</v>
      </c>
      <c r="AO471" t="s">
        <v>65</v>
      </c>
      <c r="AP471">
        <v>1204</v>
      </c>
      <c r="AQ471" t="s">
        <v>66</v>
      </c>
      <c r="AR471">
        <v>220122</v>
      </c>
      <c r="AU471" t="s">
        <v>57</v>
      </c>
      <c r="AV471" t="s">
        <v>68</v>
      </c>
      <c r="AX471" t="s">
        <v>57</v>
      </c>
      <c r="AY471">
        <v>631110</v>
      </c>
      <c r="AZ471">
        <v>1204.63111</v>
      </c>
      <c r="BA471" s="23" t="s">
        <v>12</v>
      </c>
    </row>
    <row r="472" spans="1:53" x14ac:dyDescent="0.25">
      <c r="A472" t="s">
        <v>134</v>
      </c>
      <c r="B472" t="s">
        <v>135</v>
      </c>
      <c r="C472">
        <v>22001827</v>
      </c>
      <c r="D472">
        <v>1204</v>
      </c>
      <c r="E472" s="11">
        <v>44778</v>
      </c>
      <c r="F472" t="s">
        <v>174</v>
      </c>
      <c r="G472">
        <v>1.89</v>
      </c>
      <c r="H472">
        <v>1.89</v>
      </c>
      <c r="I472" t="s">
        <v>56</v>
      </c>
      <c r="O472" t="s">
        <v>57</v>
      </c>
      <c r="Q472" t="s">
        <v>57</v>
      </c>
      <c r="R472" t="s">
        <v>137</v>
      </c>
      <c r="T472" t="s">
        <v>59</v>
      </c>
      <c r="U472" t="s">
        <v>60</v>
      </c>
      <c r="V472" t="s">
        <v>138</v>
      </c>
      <c r="W472" t="s">
        <v>139</v>
      </c>
      <c r="X472">
        <v>1928763</v>
      </c>
      <c r="Y472" s="11">
        <v>44778</v>
      </c>
      <c r="Z472" t="s">
        <v>57</v>
      </c>
      <c r="AA472">
        <v>6</v>
      </c>
      <c r="AB472" t="s">
        <v>57</v>
      </c>
      <c r="AD472" t="s">
        <v>57</v>
      </c>
      <c r="AE472" t="s">
        <v>57</v>
      </c>
      <c r="AF472" t="s">
        <v>57</v>
      </c>
      <c r="AG472">
        <v>3</v>
      </c>
      <c r="AH472" t="s">
        <v>57</v>
      </c>
      <c r="AL472" t="s">
        <v>57</v>
      </c>
      <c r="AM472" s="11">
        <v>44778</v>
      </c>
      <c r="AN472" t="s">
        <v>173</v>
      </c>
      <c r="AO472" t="s">
        <v>65</v>
      </c>
      <c r="AP472">
        <v>1204</v>
      </c>
      <c r="AQ472" t="s">
        <v>66</v>
      </c>
      <c r="AR472">
        <v>220123</v>
      </c>
      <c r="AU472" t="s">
        <v>57</v>
      </c>
      <c r="AV472" t="s">
        <v>68</v>
      </c>
      <c r="AX472" t="s">
        <v>57</v>
      </c>
      <c r="AY472">
        <v>631110</v>
      </c>
      <c r="AZ472">
        <v>1204.63111</v>
      </c>
      <c r="BA472" s="23" t="s">
        <v>12</v>
      </c>
    </row>
    <row r="473" spans="1:53" x14ac:dyDescent="0.25">
      <c r="A473" t="s">
        <v>134</v>
      </c>
      <c r="B473" t="s">
        <v>135</v>
      </c>
      <c r="C473">
        <v>22001827</v>
      </c>
      <c r="D473">
        <v>1204</v>
      </c>
      <c r="E473" s="11">
        <v>44778</v>
      </c>
      <c r="F473" t="s">
        <v>174</v>
      </c>
      <c r="G473">
        <v>1.46</v>
      </c>
      <c r="H473">
        <v>1.46</v>
      </c>
      <c r="I473" t="s">
        <v>56</v>
      </c>
      <c r="O473" t="s">
        <v>57</v>
      </c>
      <c r="Q473" t="s">
        <v>57</v>
      </c>
      <c r="R473" t="s">
        <v>137</v>
      </c>
      <c r="T473" t="s">
        <v>59</v>
      </c>
      <c r="U473" t="s">
        <v>60</v>
      </c>
      <c r="V473" t="s">
        <v>138</v>
      </c>
      <c r="W473" t="s">
        <v>139</v>
      </c>
      <c r="X473">
        <v>1928763</v>
      </c>
      <c r="Y473" s="11">
        <v>44778</v>
      </c>
      <c r="Z473" t="s">
        <v>57</v>
      </c>
      <c r="AA473">
        <v>8</v>
      </c>
      <c r="AB473" t="s">
        <v>57</v>
      </c>
      <c r="AD473" t="s">
        <v>57</v>
      </c>
      <c r="AE473" t="s">
        <v>57</v>
      </c>
      <c r="AF473" t="s">
        <v>57</v>
      </c>
      <c r="AG473">
        <v>3</v>
      </c>
      <c r="AH473" t="s">
        <v>57</v>
      </c>
      <c r="AL473" t="s">
        <v>57</v>
      </c>
      <c r="AM473" s="11">
        <v>44778</v>
      </c>
      <c r="AN473" t="s">
        <v>173</v>
      </c>
      <c r="AO473" t="s">
        <v>65</v>
      </c>
      <c r="AP473">
        <v>1204</v>
      </c>
      <c r="AQ473" t="s">
        <v>66</v>
      </c>
      <c r="AR473">
        <v>228050</v>
      </c>
      <c r="AU473" t="s">
        <v>57</v>
      </c>
      <c r="AV473" t="s">
        <v>68</v>
      </c>
      <c r="AX473" t="s">
        <v>57</v>
      </c>
      <c r="AY473">
        <v>631110</v>
      </c>
      <c r="AZ473">
        <v>1204.63111</v>
      </c>
      <c r="BA473" s="23" t="s">
        <v>12</v>
      </c>
    </row>
    <row r="474" spans="1:53" x14ac:dyDescent="0.25">
      <c r="A474" t="s">
        <v>134</v>
      </c>
      <c r="B474" t="s">
        <v>135</v>
      </c>
      <c r="C474">
        <v>22001827</v>
      </c>
      <c r="D474">
        <v>1204</v>
      </c>
      <c r="E474" s="11">
        <v>44778</v>
      </c>
      <c r="F474" t="s">
        <v>174</v>
      </c>
      <c r="G474">
        <v>5.93</v>
      </c>
      <c r="H474">
        <v>5.93</v>
      </c>
      <c r="I474" t="s">
        <v>56</v>
      </c>
      <c r="O474" t="s">
        <v>57</v>
      </c>
      <c r="Q474" t="s">
        <v>57</v>
      </c>
      <c r="R474" t="s">
        <v>137</v>
      </c>
      <c r="T474" t="s">
        <v>59</v>
      </c>
      <c r="U474" t="s">
        <v>60</v>
      </c>
      <c r="V474" t="s">
        <v>138</v>
      </c>
      <c r="W474" t="s">
        <v>139</v>
      </c>
      <c r="X474">
        <v>1928763</v>
      </c>
      <c r="Y474" s="11">
        <v>44778</v>
      </c>
      <c r="Z474" t="s">
        <v>57</v>
      </c>
      <c r="AA474">
        <v>10</v>
      </c>
      <c r="AB474" t="s">
        <v>57</v>
      </c>
      <c r="AD474" t="s">
        <v>57</v>
      </c>
      <c r="AE474" t="s">
        <v>57</v>
      </c>
      <c r="AF474" t="s">
        <v>57</v>
      </c>
      <c r="AG474">
        <v>12</v>
      </c>
      <c r="AH474" t="s">
        <v>57</v>
      </c>
      <c r="AL474" t="s">
        <v>57</v>
      </c>
      <c r="AM474" s="11">
        <v>44778</v>
      </c>
      <c r="AN474" t="s">
        <v>173</v>
      </c>
      <c r="AO474" t="s">
        <v>65</v>
      </c>
      <c r="AP474">
        <v>1204</v>
      </c>
      <c r="AQ474" t="s">
        <v>66</v>
      </c>
      <c r="AR474">
        <v>121863</v>
      </c>
      <c r="AU474" t="s">
        <v>57</v>
      </c>
      <c r="AV474" t="s">
        <v>68</v>
      </c>
      <c r="AX474" t="s">
        <v>57</v>
      </c>
      <c r="AY474">
        <v>631110</v>
      </c>
      <c r="AZ474">
        <v>1204.63111</v>
      </c>
      <c r="BA474" s="23" t="s">
        <v>12</v>
      </c>
    </row>
    <row r="475" spans="1:53" x14ac:dyDescent="0.25">
      <c r="A475" t="s">
        <v>134</v>
      </c>
      <c r="B475" t="s">
        <v>135</v>
      </c>
      <c r="C475">
        <v>22001827</v>
      </c>
      <c r="D475">
        <v>1204</v>
      </c>
      <c r="E475" s="11">
        <v>44778</v>
      </c>
      <c r="F475" t="s">
        <v>174</v>
      </c>
      <c r="G475">
        <v>1.6</v>
      </c>
      <c r="H475">
        <v>1.6</v>
      </c>
      <c r="I475" t="s">
        <v>56</v>
      </c>
      <c r="O475" t="s">
        <v>57</v>
      </c>
      <c r="Q475" t="s">
        <v>57</v>
      </c>
      <c r="R475" t="s">
        <v>137</v>
      </c>
      <c r="T475" t="s">
        <v>59</v>
      </c>
      <c r="U475" t="s">
        <v>60</v>
      </c>
      <c r="V475" t="s">
        <v>138</v>
      </c>
      <c r="W475" t="s">
        <v>139</v>
      </c>
      <c r="X475">
        <v>1928763</v>
      </c>
      <c r="Y475" s="11">
        <v>44778</v>
      </c>
      <c r="Z475" t="s">
        <v>57</v>
      </c>
      <c r="AA475">
        <v>12</v>
      </c>
      <c r="AB475" t="s">
        <v>57</v>
      </c>
      <c r="AD475" t="s">
        <v>57</v>
      </c>
      <c r="AE475" t="s">
        <v>57</v>
      </c>
      <c r="AF475" t="s">
        <v>57</v>
      </c>
      <c r="AG475">
        <v>2</v>
      </c>
      <c r="AH475" t="s">
        <v>57</v>
      </c>
      <c r="AL475" t="s">
        <v>57</v>
      </c>
      <c r="AM475" s="11">
        <v>44778</v>
      </c>
      <c r="AN475" t="s">
        <v>173</v>
      </c>
      <c r="AO475" t="s">
        <v>65</v>
      </c>
      <c r="AP475">
        <v>1204</v>
      </c>
      <c r="AQ475" t="s">
        <v>66</v>
      </c>
      <c r="AR475">
        <v>220124</v>
      </c>
      <c r="AU475" t="s">
        <v>57</v>
      </c>
      <c r="AV475" t="s">
        <v>68</v>
      </c>
      <c r="AX475" t="s">
        <v>57</v>
      </c>
      <c r="AY475">
        <v>631110</v>
      </c>
      <c r="AZ475">
        <v>1204.63111</v>
      </c>
      <c r="BA475" s="23" t="s">
        <v>12</v>
      </c>
    </row>
    <row r="476" spans="1:53" x14ac:dyDescent="0.25">
      <c r="A476" t="s">
        <v>134</v>
      </c>
      <c r="B476" t="s">
        <v>135</v>
      </c>
      <c r="C476">
        <v>22001827</v>
      </c>
      <c r="D476">
        <v>1204</v>
      </c>
      <c r="E476" s="11">
        <v>44778</v>
      </c>
      <c r="F476" t="s">
        <v>174</v>
      </c>
      <c r="G476">
        <v>0.32</v>
      </c>
      <c r="H476">
        <v>0.32</v>
      </c>
      <c r="I476" t="s">
        <v>56</v>
      </c>
      <c r="O476" t="s">
        <v>57</v>
      </c>
      <c r="Q476" t="s">
        <v>57</v>
      </c>
      <c r="R476" t="s">
        <v>137</v>
      </c>
      <c r="T476" t="s">
        <v>59</v>
      </c>
      <c r="U476" t="s">
        <v>60</v>
      </c>
      <c r="V476" t="s">
        <v>138</v>
      </c>
      <c r="W476" t="s">
        <v>139</v>
      </c>
      <c r="X476">
        <v>1928763</v>
      </c>
      <c r="Y476" s="11">
        <v>44778</v>
      </c>
      <c r="Z476" t="s">
        <v>57</v>
      </c>
      <c r="AA476">
        <v>14</v>
      </c>
      <c r="AB476" t="s">
        <v>57</v>
      </c>
      <c r="AD476" t="s">
        <v>57</v>
      </c>
      <c r="AE476" t="s">
        <v>57</v>
      </c>
      <c r="AF476" t="s">
        <v>57</v>
      </c>
      <c r="AG476">
        <v>2</v>
      </c>
      <c r="AH476" t="s">
        <v>57</v>
      </c>
      <c r="AL476" t="s">
        <v>57</v>
      </c>
      <c r="AM476" s="11">
        <v>44778</v>
      </c>
      <c r="AN476" t="s">
        <v>173</v>
      </c>
      <c r="AO476" t="s">
        <v>65</v>
      </c>
      <c r="AP476">
        <v>1204</v>
      </c>
      <c r="AQ476" t="s">
        <v>66</v>
      </c>
      <c r="AR476">
        <v>88760</v>
      </c>
      <c r="AU476" t="s">
        <v>57</v>
      </c>
      <c r="AV476" t="s">
        <v>68</v>
      </c>
      <c r="AX476" t="s">
        <v>57</v>
      </c>
      <c r="AY476">
        <v>631110</v>
      </c>
      <c r="AZ476">
        <v>1204.63111</v>
      </c>
      <c r="BA476" s="23" t="s">
        <v>12</v>
      </c>
    </row>
    <row r="477" spans="1:53" x14ac:dyDescent="0.25">
      <c r="A477" t="s">
        <v>134</v>
      </c>
      <c r="B477" t="s">
        <v>135</v>
      </c>
      <c r="C477">
        <v>22001827</v>
      </c>
      <c r="D477">
        <v>1204</v>
      </c>
      <c r="E477" s="11">
        <v>44778</v>
      </c>
      <c r="F477" t="s">
        <v>174</v>
      </c>
      <c r="G477">
        <v>0.85</v>
      </c>
      <c r="H477">
        <v>0.85</v>
      </c>
      <c r="I477" t="s">
        <v>56</v>
      </c>
      <c r="O477" t="s">
        <v>57</v>
      </c>
      <c r="Q477" t="s">
        <v>57</v>
      </c>
      <c r="R477" t="s">
        <v>137</v>
      </c>
      <c r="T477" t="s">
        <v>59</v>
      </c>
      <c r="U477" t="s">
        <v>60</v>
      </c>
      <c r="V477" t="s">
        <v>138</v>
      </c>
      <c r="W477" t="s">
        <v>139</v>
      </c>
      <c r="X477">
        <v>1928763</v>
      </c>
      <c r="Y477" s="11">
        <v>44778</v>
      </c>
      <c r="Z477" t="s">
        <v>57</v>
      </c>
      <c r="AA477">
        <v>16</v>
      </c>
      <c r="AB477" t="s">
        <v>57</v>
      </c>
      <c r="AD477" t="s">
        <v>57</v>
      </c>
      <c r="AE477" t="s">
        <v>57</v>
      </c>
      <c r="AF477" t="s">
        <v>57</v>
      </c>
      <c r="AG477">
        <v>1</v>
      </c>
      <c r="AH477" t="s">
        <v>57</v>
      </c>
      <c r="AL477" t="s">
        <v>57</v>
      </c>
      <c r="AM477" s="11">
        <v>44778</v>
      </c>
      <c r="AN477" t="s">
        <v>173</v>
      </c>
      <c r="AO477" t="s">
        <v>65</v>
      </c>
      <c r="AP477">
        <v>1204</v>
      </c>
      <c r="AQ477" t="s">
        <v>66</v>
      </c>
      <c r="AR477">
        <v>88702</v>
      </c>
      <c r="AU477" t="s">
        <v>57</v>
      </c>
      <c r="AV477" t="s">
        <v>68</v>
      </c>
      <c r="AX477" t="s">
        <v>57</v>
      </c>
      <c r="AY477">
        <v>631110</v>
      </c>
      <c r="AZ477">
        <v>1204.63111</v>
      </c>
      <c r="BA477" s="23" t="s">
        <v>12</v>
      </c>
    </row>
    <row r="478" spans="1:53" x14ac:dyDescent="0.25">
      <c r="A478" t="s">
        <v>134</v>
      </c>
      <c r="B478" t="s">
        <v>135</v>
      </c>
      <c r="C478">
        <v>22001827</v>
      </c>
      <c r="D478">
        <v>1204</v>
      </c>
      <c r="E478" s="11">
        <v>44778</v>
      </c>
      <c r="F478" t="s">
        <v>174</v>
      </c>
      <c r="G478">
        <v>1</v>
      </c>
      <c r="H478">
        <v>1</v>
      </c>
      <c r="I478" t="s">
        <v>56</v>
      </c>
      <c r="O478" t="s">
        <v>57</v>
      </c>
      <c r="Q478" t="s">
        <v>57</v>
      </c>
      <c r="R478" t="s">
        <v>137</v>
      </c>
      <c r="T478" t="s">
        <v>59</v>
      </c>
      <c r="U478" t="s">
        <v>60</v>
      </c>
      <c r="V478" t="s">
        <v>138</v>
      </c>
      <c r="W478" t="s">
        <v>139</v>
      </c>
      <c r="X478">
        <v>1928763</v>
      </c>
      <c r="Y478" s="11">
        <v>44778</v>
      </c>
      <c r="Z478" t="s">
        <v>57</v>
      </c>
      <c r="AA478">
        <v>18</v>
      </c>
      <c r="AB478" t="s">
        <v>57</v>
      </c>
      <c r="AD478" t="s">
        <v>57</v>
      </c>
      <c r="AE478" t="s">
        <v>57</v>
      </c>
      <c r="AF478" t="s">
        <v>57</v>
      </c>
      <c r="AG478">
        <v>1</v>
      </c>
      <c r="AH478" t="s">
        <v>57</v>
      </c>
      <c r="AL478" t="s">
        <v>57</v>
      </c>
      <c r="AM478" s="11">
        <v>44778</v>
      </c>
      <c r="AN478" t="s">
        <v>173</v>
      </c>
      <c r="AO478" t="s">
        <v>65</v>
      </c>
      <c r="AP478">
        <v>1204</v>
      </c>
      <c r="AQ478" t="s">
        <v>66</v>
      </c>
      <c r="AR478">
        <v>88703</v>
      </c>
      <c r="AU478" t="s">
        <v>57</v>
      </c>
      <c r="AV478" t="s">
        <v>68</v>
      </c>
      <c r="AX478" t="s">
        <v>57</v>
      </c>
      <c r="AY478">
        <v>631110</v>
      </c>
      <c r="AZ478">
        <v>1204.63111</v>
      </c>
      <c r="BA478" s="23" t="s">
        <v>12</v>
      </c>
    </row>
    <row r="479" spans="1:53" x14ac:dyDescent="0.25">
      <c r="A479" t="s">
        <v>134</v>
      </c>
      <c r="B479" t="s">
        <v>135</v>
      </c>
      <c r="C479">
        <v>22001827</v>
      </c>
      <c r="D479">
        <v>1204</v>
      </c>
      <c r="E479" s="11">
        <v>44778</v>
      </c>
      <c r="F479" t="s">
        <v>174</v>
      </c>
      <c r="I479" t="s">
        <v>56</v>
      </c>
      <c r="O479" t="s">
        <v>57</v>
      </c>
      <c r="Q479" t="s">
        <v>57</v>
      </c>
      <c r="R479" t="s">
        <v>137</v>
      </c>
      <c r="T479" t="s">
        <v>59</v>
      </c>
      <c r="U479" t="s">
        <v>60</v>
      </c>
      <c r="V479" t="s">
        <v>138</v>
      </c>
      <c r="W479" t="s">
        <v>139</v>
      </c>
      <c r="X479">
        <v>1928763</v>
      </c>
      <c r="Y479" s="11">
        <v>44778</v>
      </c>
      <c r="Z479" t="s">
        <v>57</v>
      </c>
      <c r="AA479">
        <v>20</v>
      </c>
      <c r="AB479" t="s">
        <v>57</v>
      </c>
      <c r="AD479" t="s">
        <v>57</v>
      </c>
      <c r="AE479" t="s">
        <v>57</v>
      </c>
      <c r="AF479" t="s">
        <v>57</v>
      </c>
      <c r="AG479">
        <v>1</v>
      </c>
      <c r="AH479" t="s">
        <v>57</v>
      </c>
      <c r="AL479" t="s">
        <v>57</v>
      </c>
      <c r="AM479" s="11">
        <v>44778</v>
      </c>
      <c r="AN479" t="s">
        <v>173</v>
      </c>
      <c r="AO479" t="s">
        <v>65</v>
      </c>
      <c r="AP479">
        <v>1204</v>
      </c>
      <c r="AQ479" t="s">
        <v>66</v>
      </c>
      <c r="AR479">
        <v>88519</v>
      </c>
      <c r="AU479" t="s">
        <v>57</v>
      </c>
      <c r="AV479" t="s">
        <v>68</v>
      </c>
      <c r="AX479" t="s">
        <v>57</v>
      </c>
      <c r="AY479">
        <v>631110</v>
      </c>
      <c r="AZ479">
        <v>1204.63111</v>
      </c>
      <c r="BA479" s="23" t="s">
        <v>12</v>
      </c>
    </row>
    <row r="480" spans="1:53" x14ac:dyDescent="0.25">
      <c r="A480" t="s">
        <v>134</v>
      </c>
      <c r="B480" t="s">
        <v>135</v>
      </c>
      <c r="C480">
        <v>22001827</v>
      </c>
      <c r="D480">
        <v>1204</v>
      </c>
      <c r="E480" s="11">
        <v>44778</v>
      </c>
      <c r="F480" t="s">
        <v>174</v>
      </c>
      <c r="G480">
        <v>1.21</v>
      </c>
      <c r="H480">
        <v>1.21</v>
      </c>
      <c r="I480" t="s">
        <v>56</v>
      </c>
      <c r="O480" t="s">
        <v>57</v>
      </c>
      <c r="Q480" t="s">
        <v>57</v>
      </c>
      <c r="R480" t="s">
        <v>137</v>
      </c>
      <c r="T480" t="s">
        <v>59</v>
      </c>
      <c r="U480" t="s">
        <v>60</v>
      </c>
      <c r="V480" t="s">
        <v>138</v>
      </c>
      <c r="W480" t="s">
        <v>139</v>
      </c>
      <c r="X480">
        <v>1928763</v>
      </c>
      <c r="Y480" s="11">
        <v>44778</v>
      </c>
      <c r="Z480" t="s">
        <v>57</v>
      </c>
      <c r="AA480">
        <v>22</v>
      </c>
      <c r="AB480" t="s">
        <v>57</v>
      </c>
      <c r="AD480" t="s">
        <v>57</v>
      </c>
      <c r="AE480" t="s">
        <v>57</v>
      </c>
      <c r="AF480" t="s">
        <v>57</v>
      </c>
      <c r="AG480">
        <v>1</v>
      </c>
      <c r="AH480" t="s">
        <v>57</v>
      </c>
      <c r="AL480" t="s">
        <v>57</v>
      </c>
      <c r="AM480" s="11">
        <v>44778</v>
      </c>
      <c r="AN480" t="s">
        <v>173</v>
      </c>
      <c r="AO480" t="s">
        <v>65</v>
      </c>
      <c r="AP480">
        <v>1204</v>
      </c>
      <c r="AQ480" t="s">
        <v>66</v>
      </c>
      <c r="AR480">
        <v>234414</v>
      </c>
      <c r="AU480" t="s">
        <v>57</v>
      </c>
      <c r="AV480" t="s">
        <v>68</v>
      </c>
      <c r="AX480" t="s">
        <v>57</v>
      </c>
      <c r="AY480">
        <v>631110</v>
      </c>
      <c r="AZ480">
        <v>1204.63111</v>
      </c>
      <c r="BA480" s="23" t="s">
        <v>12</v>
      </c>
    </row>
    <row r="481" spans="1:53" x14ac:dyDescent="0.25">
      <c r="A481" t="s">
        <v>134</v>
      </c>
      <c r="B481" t="s">
        <v>135</v>
      </c>
      <c r="C481">
        <v>22001827</v>
      </c>
      <c r="D481">
        <v>1204</v>
      </c>
      <c r="E481" s="11">
        <v>44778</v>
      </c>
      <c r="F481" t="s">
        <v>174</v>
      </c>
      <c r="G481">
        <v>5.37</v>
      </c>
      <c r="H481">
        <v>5.37</v>
      </c>
      <c r="I481" t="s">
        <v>56</v>
      </c>
      <c r="O481" t="s">
        <v>57</v>
      </c>
      <c r="Q481" t="s">
        <v>57</v>
      </c>
      <c r="R481" t="s">
        <v>137</v>
      </c>
      <c r="T481" t="s">
        <v>59</v>
      </c>
      <c r="U481" t="s">
        <v>60</v>
      </c>
      <c r="V481" t="s">
        <v>138</v>
      </c>
      <c r="W481" t="s">
        <v>139</v>
      </c>
      <c r="X481">
        <v>1928763</v>
      </c>
      <c r="Y481" s="11">
        <v>44778</v>
      </c>
      <c r="Z481" t="s">
        <v>57</v>
      </c>
      <c r="AA481">
        <v>24</v>
      </c>
      <c r="AB481" t="s">
        <v>57</v>
      </c>
      <c r="AD481" t="s">
        <v>57</v>
      </c>
      <c r="AE481" t="s">
        <v>57</v>
      </c>
      <c r="AF481" t="s">
        <v>57</v>
      </c>
      <c r="AG481">
        <v>1</v>
      </c>
      <c r="AH481" t="s">
        <v>57</v>
      </c>
      <c r="AL481" t="s">
        <v>57</v>
      </c>
      <c r="AM481" s="11">
        <v>44778</v>
      </c>
      <c r="AN481" t="s">
        <v>173</v>
      </c>
      <c r="AO481" t="s">
        <v>65</v>
      </c>
      <c r="AP481">
        <v>1204</v>
      </c>
      <c r="AQ481" t="s">
        <v>66</v>
      </c>
      <c r="AR481">
        <v>221862</v>
      </c>
      <c r="AU481" t="s">
        <v>57</v>
      </c>
      <c r="AV481" t="s">
        <v>68</v>
      </c>
      <c r="AX481" t="s">
        <v>57</v>
      </c>
      <c r="AY481">
        <v>631110</v>
      </c>
      <c r="AZ481">
        <v>1204.63111</v>
      </c>
      <c r="BA481" s="23" t="s">
        <v>12</v>
      </c>
    </row>
    <row r="482" spans="1:53" x14ac:dyDescent="0.25">
      <c r="A482" t="s">
        <v>134</v>
      </c>
      <c r="B482" t="s">
        <v>135</v>
      </c>
      <c r="C482">
        <v>22001828</v>
      </c>
      <c r="D482">
        <v>1204</v>
      </c>
      <c r="E482" s="11">
        <v>44778</v>
      </c>
      <c r="F482" t="s">
        <v>172</v>
      </c>
      <c r="G482">
        <v>24.19</v>
      </c>
      <c r="H482">
        <v>24.19</v>
      </c>
      <c r="I482" t="s">
        <v>56</v>
      </c>
      <c r="O482" t="s">
        <v>57</v>
      </c>
      <c r="Q482" t="s">
        <v>57</v>
      </c>
      <c r="R482" t="s">
        <v>137</v>
      </c>
      <c r="T482" t="s">
        <v>59</v>
      </c>
      <c r="U482" t="s">
        <v>60</v>
      </c>
      <c r="V482" t="s">
        <v>138</v>
      </c>
      <c r="W482" t="s">
        <v>139</v>
      </c>
      <c r="X482">
        <v>1928763</v>
      </c>
      <c r="Y482" s="11">
        <v>44778</v>
      </c>
      <c r="Z482" t="s">
        <v>57</v>
      </c>
      <c r="AA482">
        <v>2</v>
      </c>
      <c r="AB482" t="s">
        <v>57</v>
      </c>
      <c r="AD482" t="s">
        <v>57</v>
      </c>
      <c r="AE482" t="s">
        <v>57</v>
      </c>
      <c r="AF482" t="s">
        <v>57</v>
      </c>
      <c r="AG482">
        <v>3</v>
      </c>
      <c r="AH482" t="s">
        <v>57</v>
      </c>
      <c r="AL482" t="s">
        <v>57</v>
      </c>
      <c r="AM482" s="11">
        <v>44778</v>
      </c>
      <c r="AN482" t="s">
        <v>173</v>
      </c>
      <c r="AO482" t="s">
        <v>65</v>
      </c>
      <c r="AP482">
        <v>1204</v>
      </c>
      <c r="AQ482" t="s">
        <v>66</v>
      </c>
      <c r="AR482">
        <v>279991</v>
      </c>
      <c r="AU482" t="s">
        <v>57</v>
      </c>
      <c r="AV482" t="s">
        <v>68</v>
      </c>
      <c r="AX482" t="s">
        <v>57</v>
      </c>
      <c r="AY482">
        <v>631110</v>
      </c>
      <c r="AZ482">
        <v>1204.63111</v>
      </c>
      <c r="BA482" s="23" t="s">
        <v>12</v>
      </c>
    </row>
    <row r="483" spans="1:53" x14ac:dyDescent="0.25">
      <c r="A483" t="s">
        <v>134</v>
      </c>
      <c r="B483" t="s">
        <v>135</v>
      </c>
      <c r="C483">
        <v>22001828</v>
      </c>
      <c r="D483">
        <v>1204</v>
      </c>
      <c r="E483" s="11">
        <v>44778</v>
      </c>
      <c r="F483" t="s">
        <v>172</v>
      </c>
      <c r="G483">
        <v>7.88</v>
      </c>
      <c r="H483">
        <v>7.88</v>
      </c>
      <c r="I483" t="s">
        <v>56</v>
      </c>
      <c r="O483" t="s">
        <v>57</v>
      </c>
      <c r="Q483" t="s">
        <v>57</v>
      </c>
      <c r="R483" t="s">
        <v>137</v>
      </c>
      <c r="T483" t="s">
        <v>59</v>
      </c>
      <c r="U483" t="s">
        <v>60</v>
      </c>
      <c r="V483" t="s">
        <v>138</v>
      </c>
      <c r="W483" t="s">
        <v>139</v>
      </c>
      <c r="X483">
        <v>1928763</v>
      </c>
      <c r="Y483" s="11">
        <v>44778</v>
      </c>
      <c r="Z483" t="s">
        <v>57</v>
      </c>
      <c r="AA483">
        <v>4</v>
      </c>
      <c r="AB483" t="s">
        <v>57</v>
      </c>
      <c r="AD483" t="s">
        <v>57</v>
      </c>
      <c r="AE483" t="s">
        <v>57</v>
      </c>
      <c r="AF483" t="s">
        <v>57</v>
      </c>
      <c r="AG483">
        <v>1</v>
      </c>
      <c r="AH483" t="s">
        <v>57</v>
      </c>
      <c r="AL483" t="s">
        <v>57</v>
      </c>
      <c r="AM483" s="11">
        <v>44778</v>
      </c>
      <c r="AN483" t="s">
        <v>173</v>
      </c>
      <c r="AO483" t="s">
        <v>65</v>
      </c>
      <c r="AP483">
        <v>1204</v>
      </c>
      <c r="AQ483" t="s">
        <v>66</v>
      </c>
      <c r="AR483">
        <v>227112</v>
      </c>
      <c r="AU483" t="s">
        <v>57</v>
      </c>
      <c r="AV483" t="s">
        <v>68</v>
      </c>
      <c r="AX483" t="s">
        <v>57</v>
      </c>
      <c r="AY483">
        <v>631110</v>
      </c>
      <c r="AZ483">
        <v>1204.63111</v>
      </c>
      <c r="BA483" s="23" t="s">
        <v>12</v>
      </c>
    </row>
    <row r="484" spans="1:53" x14ac:dyDescent="0.25">
      <c r="A484" t="s">
        <v>134</v>
      </c>
      <c r="B484" t="s">
        <v>135</v>
      </c>
      <c r="C484">
        <v>22001828</v>
      </c>
      <c r="D484">
        <v>1204</v>
      </c>
      <c r="E484" s="11">
        <v>44778</v>
      </c>
      <c r="F484" t="s">
        <v>172</v>
      </c>
      <c r="G484">
        <v>8.06</v>
      </c>
      <c r="H484">
        <v>8.06</v>
      </c>
      <c r="I484" t="s">
        <v>56</v>
      </c>
      <c r="O484" t="s">
        <v>57</v>
      </c>
      <c r="Q484" t="s">
        <v>57</v>
      </c>
      <c r="R484" t="s">
        <v>137</v>
      </c>
      <c r="T484" t="s">
        <v>59</v>
      </c>
      <c r="U484" t="s">
        <v>60</v>
      </c>
      <c r="V484" t="s">
        <v>138</v>
      </c>
      <c r="W484" t="s">
        <v>139</v>
      </c>
      <c r="X484">
        <v>1928763</v>
      </c>
      <c r="Y484" s="11">
        <v>44778</v>
      </c>
      <c r="Z484" t="s">
        <v>57</v>
      </c>
      <c r="AA484">
        <v>6</v>
      </c>
      <c r="AB484" t="s">
        <v>57</v>
      </c>
      <c r="AD484" t="s">
        <v>57</v>
      </c>
      <c r="AE484" t="s">
        <v>57</v>
      </c>
      <c r="AF484" t="s">
        <v>57</v>
      </c>
      <c r="AG484">
        <v>1</v>
      </c>
      <c r="AH484" t="s">
        <v>57</v>
      </c>
      <c r="AL484" t="s">
        <v>57</v>
      </c>
      <c r="AM484" s="11">
        <v>44778</v>
      </c>
      <c r="AN484" t="s">
        <v>173</v>
      </c>
      <c r="AO484" t="s">
        <v>65</v>
      </c>
      <c r="AP484">
        <v>1204</v>
      </c>
      <c r="AQ484" t="s">
        <v>66</v>
      </c>
      <c r="AR484">
        <v>279991</v>
      </c>
      <c r="AU484" t="s">
        <v>57</v>
      </c>
      <c r="AV484" t="s">
        <v>68</v>
      </c>
      <c r="AX484" t="s">
        <v>57</v>
      </c>
      <c r="AY484">
        <v>631110</v>
      </c>
      <c r="AZ484">
        <v>1204.63111</v>
      </c>
      <c r="BA484" s="23" t="s">
        <v>12</v>
      </c>
    </row>
    <row r="485" spans="1:53" x14ac:dyDescent="0.25">
      <c r="A485" t="s">
        <v>134</v>
      </c>
      <c r="B485" t="s">
        <v>135</v>
      </c>
      <c r="C485">
        <v>22001829</v>
      </c>
      <c r="D485">
        <v>1204</v>
      </c>
      <c r="E485" s="11">
        <v>44778</v>
      </c>
      <c r="F485" t="s">
        <v>175</v>
      </c>
      <c r="G485">
        <v>0.23</v>
      </c>
      <c r="H485">
        <v>0.23</v>
      </c>
      <c r="I485" t="s">
        <v>56</v>
      </c>
      <c r="O485" t="s">
        <v>57</v>
      </c>
      <c r="Q485" t="s">
        <v>57</v>
      </c>
      <c r="R485" t="s">
        <v>137</v>
      </c>
      <c r="T485" t="s">
        <v>59</v>
      </c>
      <c r="U485" t="s">
        <v>60</v>
      </c>
      <c r="V485" t="s">
        <v>138</v>
      </c>
      <c r="W485" t="s">
        <v>139</v>
      </c>
      <c r="X485">
        <v>1928767</v>
      </c>
      <c r="Y485" s="11">
        <v>44778</v>
      </c>
      <c r="Z485" t="s">
        <v>57</v>
      </c>
      <c r="AA485">
        <v>2</v>
      </c>
      <c r="AB485" t="s">
        <v>57</v>
      </c>
      <c r="AD485" t="s">
        <v>57</v>
      </c>
      <c r="AE485" t="s">
        <v>57</v>
      </c>
      <c r="AF485" t="s">
        <v>57</v>
      </c>
      <c r="AG485">
        <v>3</v>
      </c>
      <c r="AH485" t="s">
        <v>57</v>
      </c>
      <c r="AL485" t="s">
        <v>57</v>
      </c>
      <c r="AM485" s="11">
        <v>44778</v>
      </c>
      <c r="AN485" t="s">
        <v>176</v>
      </c>
      <c r="AO485" t="s">
        <v>65</v>
      </c>
      <c r="AP485">
        <v>1204</v>
      </c>
      <c r="AQ485" t="s">
        <v>66</v>
      </c>
      <c r="AR485">
        <v>91479</v>
      </c>
      <c r="AU485" t="s">
        <v>57</v>
      </c>
      <c r="AV485" t="s">
        <v>68</v>
      </c>
      <c r="AX485" t="s">
        <v>57</v>
      </c>
      <c r="AY485">
        <v>631110</v>
      </c>
      <c r="AZ485">
        <v>1204.63111</v>
      </c>
      <c r="BA485" s="23" t="s">
        <v>12</v>
      </c>
    </row>
    <row r="486" spans="1:53" x14ac:dyDescent="0.25">
      <c r="A486" t="s">
        <v>134</v>
      </c>
      <c r="B486" t="s">
        <v>135</v>
      </c>
      <c r="C486">
        <v>22001829</v>
      </c>
      <c r="D486">
        <v>1204</v>
      </c>
      <c r="E486" s="11">
        <v>44778</v>
      </c>
      <c r="F486" t="s">
        <v>175</v>
      </c>
      <c r="G486">
        <v>1.1200000000000001</v>
      </c>
      <c r="H486">
        <v>1.1200000000000001</v>
      </c>
      <c r="I486" t="s">
        <v>56</v>
      </c>
      <c r="O486" t="s">
        <v>57</v>
      </c>
      <c r="Q486" t="s">
        <v>57</v>
      </c>
      <c r="R486" t="s">
        <v>137</v>
      </c>
      <c r="T486" t="s">
        <v>59</v>
      </c>
      <c r="U486" t="s">
        <v>60</v>
      </c>
      <c r="V486" t="s">
        <v>138</v>
      </c>
      <c r="W486" t="s">
        <v>139</v>
      </c>
      <c r="X486">
        <v>1928767</v>
      </c>
      <c r="Y486" s="11">
        <v>44778</v>
      </c>
      <c r="Z486" t="s">
        <v>57</v>
      </c>
      <c r="AA486">
        <v>4</v>
      </c>
      <c r="AB486" t="s">
        <v>57</v>
      </c>
      <c r="AD486" t="s">
        <v>57</v>
      </c>
      <c r="AE486" t="s">
        <v>57</v>
      </c>
      <c r="AF486" t="s">
        <v>57</v>
      </c>
      <c r="AG486">
        <v>10</v>
      </c>
      <c r="AH486" t="s">
        <v>57</v>
      </c>
      <c r="AL486" t="s">
        <v>57</v>
      </c>
      <c r="AM486" s="11">
        <v>44778</v>
      </c>
      <c r="AN486" t="s">
        <v>176</v>
      </c>
      <c r="AO486" t="s">
        <v>65</v>
      </c>
      <c r="AP486">
        <v>1204</v>
      </c>
      <c r="AQ486" t="s">
        <v>66</v>
      </c>
      <c r="AR486">
        <v>265267</v>
      </c>
      <c r="AU486" t="s">
        <v>57</v>
      </c>
      <c r="AV486" t="s">
        <v>68</v>
      </c>
      <c r="AX486" t="s">
        <v>57</v>
      </c>
      <c r="AY486">
        <v>631110</v>
      </c>
      <c r="AZ486">
        <v>1204.63111</v>
      </c>
      <c r="BA486" s="23" t="s">
        <v>12</v>
      </c>
    </row>
    <row r="487" spans="1:53" x14ac:dyDescent="0.25">
      <c r="A487" t="s">
        <v>134</v>
      </c>
      <c r="B487" t="s">
        <v>135</v>
      </c>
      <c r="C487">
        <v>22001829</v>
      </c>
      <c r="D487">
        <v>1204</v>
      </c>
      <c r="E487" s="11">
        <v>44778</v>
      </c>
      <c r="F487" t="s">
        <v>175</v>
      </c>
      <c r="G487">
        <v>0.66</v>
      </c>
      <c r="H487">
        <v>0.66</v>
      </c>
      <c r="I487" t="s">
        <v>56</v>
      </c>
      <c r="O487" t="s">
        <v>57</v>
      </c>
      <c r="Q487" t="s">
        <v>57</v>
      </c>
      <c r="R487" t="s">
        <v>137</v>
      </c>
      <c r="T487" t="s">
        <v>59</v>
      </c>
      <c r="U487" t="s">
        <v>60</v>
      </c>
      <c r="V487" t="s">
        <v>138</v>
      </c>
      <c r="W487" t="s">
        <v>139</v>
      </c>
      <c r="X487">
        <v>1928767</v>
      </c>
      <c r="Y487" s="11">
        <v>44778</v>
      </c>
      <c r="Z487" t="s">
        <v>57</v>
      </c>
      <c r="AA487">
        <v>6</v>
      </c>
      <c r="AB487" t="s">
        <v>57</v>
      </c>
      <c r="AD487" t="s">
        <v>57</v>
      </c>
      <c r="AE487" t="s">
        <v>57</v>
      </c>
      <c r="AF487" t="s">
        <v>57</v>
      </c>
      <c r="AG487">
        <v>6</v>
      </c>
      <c r="AH487" t="s">
        <v>57</v>
      </c>
      <c r="AL487" t="s">
        <v>57</v>
      </c>
      <c r="AM487" s="11">
        <v>44778</v>
      </c>
      <c r="AN487" t="s">
        <v>176</v>
      </c>
      <c r="AO487" t="s">
        <v>65</v>
      </c>
      <c r="AP487">
        <v>1204</v>
      </c>
      <c r="AQ487" t="s">
        <v>66</v>
      </c>
      <c r="AR487">
        <v>90435</v>
      </c>
      <c r="AU487" t="s">
        <v>57</v>
      </c>
      <c r="AV487" t="s">
        <v>68</v>
      </c>
      <c r="AX487" t="s">
        <v>57</v>
      </c>
      <c r="AY487">
        <v>631110</v>
      </c>
      <c r="AZ487">
        <v>1204.63111</v>
      </c>
      <c r="BA487" s="23" t="s">
        <v>12</v>
      </c>
    </row>
    <row r="488" spans="1:53" x14ac:dyDescent="0.25">
      <c r="A488" t="s">
        <v>134</v>
      </c>
      <c r="B488" t="s">
        <v>135</v>
      </c>
      <c r="C488">
        <v>22001829</v>
      </c>
      <c r="D488">
        <v>1204</v>
      </c>
      <c r="E488" s="11">
        <v>44778</v>
      </c>
      <c r="F488" t="s">
        <v>175</v>
      </c>
      <c r="G488">
        <v>1.69</v>
      </c>
      <c r="H488">
        <v>1.69</v>
      </c>
      <c r="I488" t="s">
        <v>56</v>
      </c>
      <c r="O488" t="s">
        <v>57</v>
      </c>
      <c r="Q488" t="s">
        <v>57</v>
      </c>
      <c r="R488" t="s">
        <v>137</v>
      </c>
      <c r="T488" t="s">
        <v>59</v>
      </c>
      <c r="U488" t="s">
        <v>60</v>
      </c>
      <c r="V488" t="s">
        <v>138</v>
      </c>
      <c r="W488" t="s">
        <v>139</v>
      </c>
      <c r="X488">
        <v>1928767</v>
      </c>
      <c r="Y488" s="11">
        <v>44778</v>
      </c>
      <c r="Z488" t="s">
        <v>57</v>
      </c>
      <c r="AA488">
        <v>8</v>
      </c>
      <c r="AB488" t="s">
        <v>57</v>
      </c>
      <c r="AD488" t="s">
        <v>57</v>
      </c>
      <c r="AE488" t="s">
        <v>57</v>
      </c>
      <c r="AF488" t="s">
        <v>57</v>
      </c>
      <c r="AG488">
        <v>11</v>
      </c>
      <c r="AH488" t="s">
        <v>57</v>
      </c>
      <c r="AL488" t="s">
        <v>57</v>
      </c>
      <c r="AM488" s="11">
        <v>44778</v>
      </c>
      <c r="AN488" t="s">
        <v>176</v>
      </c>
      <c r="AO488" t="s">
        <v>65</v>
      </c>
      <c r="AP488">
        <v>1204</v>
      </c>
      <c r="AQ488" t="s">
        <v>66</v>
      </c>
      <c r="AR488">
        <v>89712</v>
      </c>
      <c r="AU488" t="s">
        <v>57</v>
      </c>
      <c r="AV488" t="s">
        <v>68</v>
      </c>
      <c r="AX488" t="s">
        <v>57</v>
      </c>
      <c r="AY488">
        <v>631110</v>
      </c>
      <c r="AZ488">
        <v>1204.63111</v>
      </c>
      <c r="BA488" s="23" t="s">
        <v>12</v>
      </c>
    </row>
    <row r="489" spans="1:53" x14ac:dyDescent="0.25">
      <c r="A489" t="s">
        <v>134</v>
      </c>
      <c r="B489" t="s">
        <v>135</v>
      </c>
      <c r="C489">
        <v>22001829</v>
      </c>
      <c r="D489">
        <v>1204</v>
      </c>
      <c r="E489" s="11">
        <v>44778</v>
      </c>
      <c r="F489" t="s">
        <v>175</v>
      </c>
      <c r="G489">
        <v>8.76</v>
      </c>
      <c r="H489">
        <v>8.76</v>
      </c>
      <c r="I489" t="s">
        <v>56</v>
      </c>
      <c r="O489" t="s">
        <v>57</v>
      </c>
      <c r="Q489" t="s">
        <v>57</v>
      </c>
      <c r="R489" t="s">
        <v>137</v>
      </c>
      <c r="T489" t="s">
        <v>59</v>
      </c>
      <c r="U489" t="s">
        <v>60</v>
      </c>
      <c r="V489" t="s">
        <v>138</v>
      </c>
      <c r="W489" t="s">
        <v>139</v>
      </c>
      <c r="X489">
        <v>1928767</v>
      </c>
      <c r="Y489" s="11">
        <v>44778</v>
      </c>
      <c r="Z489" t="s">
        <v>57</v>
      </c>
      <c r="AA489">
        <v>10</v>
      </c>
      <c r="AB489" t="s">
        <v>57</v>
      </c>
      <c r="AD489" t="s">
        <v>57</v>
      </c>
      <c r="AE489" t="s">
        <v>57</v>
      </c>
      <c r="AF489" t="s">
        <v>57</v>
      </c>
      <c r="AG489">
        <v>24</v>
      </c>
      <c r="AH489" t="s">
        <v>57</v>
      </c>
      <c r="AL489" t="s">
        <v>57</v>
      </c>
      <c r="AM489" s="11">
        <v>44778</v>
      </c>
      <c r="AN489" t="s">
        <v>176</v>
      </c>
      <c r="AO489" t="s">
        <v>65</v>
      </c>
      <c r="AP489">
        <v>1204</v>
      </c>
      <c r="AQ489" t="s">
        <v>66</v>
      </c>
      <c r="AR489">
        <v>91011</v>
      </c>
      <c r="AU489" t="s">
        <v>57</v>
      </c>
      <c r="AV489" t="s">
        <v>68</v>
      </c>
      <c r="AX489" t="s">
        <v>57</v>
      </c>
      <c r="AY489">
        <v>631110</v>
      </c>
      <c r="AZ489">
        <v>1204.63111</v>
      </c>
      <c r="BA489" s="23" t="s">
        <v>12</v>
      </c>
    </row>
    <row r="490" spans="1:53" x14ac:dyDescent="0.25">
      <c r="A490" t="s">
        <v>134</v>
      </c>
      <c r="B490" t="s">
        <v>135</v>
      </c>
      <c r="C490">
        <v>22001829</v>
      </c>
      <c r="D490">
        <v>1204</v>
      </c>
      <c r="E490" s="11">
        <v>44778</v>
      </c>
      <c r="F490" t="s">
        <v>175</v>
      </c>
      <c r="G490">
        <v>1.5</v>
      </c>
      <c r="H490">
        <v>1.5</v>
      </c>
      <c r="I490" t="s">
        <v>56</v>
      </c>
      <c r="O490" t="s">
        <v>57</v>
      </c>
      <c r="Q490" t="s">
        <v>57</v>
      </c>
      <c r="R490" t="s">
        <v>137</v>
      </c>
      <c r="T490" t="s">
        <v>59</v>
      </c>
      <c r="U490" t="s">
        <v>60</v>
      </c>
      <c r="V490" t="s">
        <v>138</v>
      </c>
      <c r="W490" t="s">
        <v>139</v>
      </c>
      <c r="X490">
        <v>1928767</v>
      </c>
      <c r="Y490" s="11">
        <v>44778</v>
      </c>
      <c r="Z490" t="s">
        <v>57</v>
      </c>
      <c r="AA490">
        <v>12</v>
      </c>
      <c r="AB490" t="s">
        <v>57</v>
      </c>
      <c r="AD490" t="s">
        <v>57</v>
      </c>
      <c r="AE490" t="s">
        <v>57</v>
      </c>
      <c r="AF490" t="s">
        <v>57</v>
      </c>
      <c r="AG490">
        <v>10</v>
      </c>
      <c r="AH490" t="s">
        <v>57</v>
      </c>
      <c r="AL490" t="s">
        <v>57</v>
      </c>
      <c r="AM490" s="11">
        <v>44778</v>
      </c>
      <c r="AN490" t="s">
        <v>176</v>
      </c>
      <c r="AO490" t="s">
        <v>65</v>
      </c>
      <c r="AP490">
        <v>1204</v>
      </c>
      <c r="AQ490" t="s">
        <v>66</v>
      </c>
      <c r="AR490">
        <v>144854</v>
      </c>
      <c r="AU490" t="s">
        <v>57</v>
      </c>
      <c r="AV490" t="s">
        <v>68</v>
      </c>
      <c r="AX490" t="s">
        <v>57</v>
      </c>
      <c r="AY490">
        <v>631110</v>
      </c>
      <c r="AZ490">
        <v>1204.63111</v>
      </c>
      <c r="BA490" s="23" t="s">
        <v>12</v>
      </c>
    </row>
    <row r="491" spans="1:53" x14ac:dyDescent="0.25">
      <c r="A491" t="s">
        <v>134</v>
      </c>
      <c r="B491" t="s">
        <v>135</v>
      </c>
      <c r="C491">
        <v>22001830</v>
      </c>
      <c r="D491">
        <v>1204</v>
      </c>
      <c r="E491" s="11">
        <v>44781</v>
      </c>
      <c r="F491" t="s">
        <v>174</v>
      </c>
      <c r="G491">
        <v>0.99</v>
      </c>
      <c r="H491">
        <v>0.99</v>
      </c>
      <c r="I491" t="s">
        <v>56</v>
      </c>
      <c r="O491" t="s">
        <v>57</v>
      </c>
      <c r="Q491" t="s">
        <v>57</v>
      </c>
      <c r="R491" t="s">
        <v>137</v>
      </c>
      <c r="T491" t="s">
        <v>59</v>
      </c>
      <c r="U491" t="s">
        <v>60</v>
      </c>
      <c r="V491" t="s">
        <v>138</v>
      </c>
      <c r="W491" t="s">
        <v>139</v>
      </c>
      <c r="X491">
        <v>1928770</v>
      </c>
      <c r="Y491" s="11">
        <v>44781</v>
      </c>
      <c r="Z491" t="s">
        <v>57</v>
      </c>
      <c r="AA491">
        <v>18</v>
      </c>
      <c r="AB491" t="s">
        <v>57</v>
      </c>
      <c r="AD491" t="s">
        <v>57</v>
      </c>
      <c r="AE491" t="s">
        <v>57</v>
      </c>
      <c r="AF491" t="s">
        <v>57</v>
      </c>
      <c r="AG491">
        <v>2</v>
      </c>
      <c r="AH491" t="s">
        <v>57</v>
      </c>
      <c r="AL491" t="s">
        <v>57</v>
      </c>
      <c r="AM491" s="11">
        <v>44781</v>
      </c>
      <c r="AN491" t="s">
        <v>173</v>
      </c>
      <c r="AO491" t="s">
        <v>65</v>
      </c>
      <c r="AP491">
        <v>1204</v>
      </c>
      <c r="AQ491" t="s">
        <v>66</v>
      </c>
      <c r="AR491">
        <v>121863</v>
      </c>
      <c r="AU491" t="s">
        <v>57</v>
      </c>
      <c r="AV491" t="s">
        <v>68</v>
      </c>
      <c r="AX491" t="s">
        <v>57</v>
      </c>
      <c r="AY491">
        <v>631110</v>
      </c>
      <c r="AZ491">
        <v>1204.63111</v>
      </c>
      <c r="BA491" s="23" t="s">
        <v>12</v>
      </c>
    </row>
    <row r="492" spans="1:53" x14ac:dyDescent="0.25">
      <c r="A492" t="s">
        <v>134</v>
      </c>
      <c r="B492" t="s">
        <v>135</v>
      </c>
      <c r="C492">
        <v>22001830</v>
      </c>
      <c r="D492">
        <v>1204</v>
      </c>
      <c r="E492" s="11">
        <v>44781</v>
      </c>
      <c r="F492" t="s">
        <v>174</v>
      </c>
      <c r="I492" t="s">
        <v>56</v>
      </c>
      <c r="O492" t="s">
        <v>57</v>
      </c>
      <c r="Q492" t="s">
        <v>57</v>
      </c>
      <c r="R492" t="s">
        <v>137</v>
      </c>
      <c r="T492" t="s">
        <v>59</v>
      </c>
      <c r="U492" t="s">
        <v>60</v>
      </c>
      <c r="V492" t="s">
        <v>138</v>
      </c>
      <c r="W492" t="s">
        <v>139</v>
      </c>
      <c r="X492">
        <v>1928770</v>
      </c>
      <c r="Y492" s="11">
        <v>44781</v>
      </c>
      <c r="Z492" t="s">
        <v>57</v>
      </c>
      <c r="AA492">
        <v>20</v>
      </c>
      <c r="AB492" t="s">
        <v>57</v>
      </c>
      <c r="AD492" t="s">
        <v>57</v>
      </c>
      <c r="AE492" t="s">
        <v>57</v>
      </c>
      <c r="AF492" t="s">
        <v>57</v>
      </c>
      <c r="AG492">
        <v>1</v>
      </c>
      <c r="AH492" t="s">
        <v>57</v>
      </c>
      <c r="AL492" t="s">
        <v>57</v>
      </c>
      <c r="AM492" s="11">
        <v>44781</v>
      </c>
      <c r="AN492" t="s">
        <v>173</v>
      </c>
      <c r="AO492" t="s">
        <v>65</v>
      </c>
      <c r="AP492">
        <v>1204</v>
      </c>
      <c r="AQ492" t="s">
        <v>66</v>
      </c>
      <c r="AR492">
        <v>208953</v>
      </c>
      <c r="AU492" t="s">
        <v>57</v>
      </c>
      <c r="AV492" t="s">
        <v>68</v>
      </c>
      <c r="AX492" t="s">
        <v>57</v>
      </c>
      <c r="AY492">
        <v>631110</v>
      </c>
      <c r="AZ492">
        <v>1204.63111</v>
      </c>
      <c r="BA492" s="23" t="s">
        <v>12</v>
      </c>
    </row>
    <row r="493" spans="1:53" x14ac:dyDescent="0.25">
      <c r="A493" t="s">
        <v>134</v>
      </c>
      <c r="B493" t="s">
        <v>135</v>
      </c>
      <c r="C493">
        <v>22001830</v>
      </c>
      <c r="D493">
        <v>1204</v>
      </c>
      <c r="E493" s="11">
        <v>44781</v>
      </c>
      <c r="F493" t="s">
        <v>174</v>
      </c>
      <c r="G493">
        <v>3.28</v>
      </c>
      <c r="H493">
        <v>3.28</v>
      </c>
      <c r="I493" t="s">
        <v>56</v>
      </c>
      <c r="O493" t="s">
        <v>57</v>
      </c>
      <c r="Q493" t="s">
        <v>57</v>
      </c>
      <c r="R493" t="s">
        <v>137</v>
      </c>
      <c r="T493" t="s">
        <v>59</v>
      </c>
      <c r="U493" t="s">
        <v>60</v>
      </c>
      <c r="V493" t="s">
        <v>138</v>
      </c>
      <c r="W493" t="s">
        <v>139</v>
      </c>
      <c r="X493">
        <v>1928770</v>
      </c>
      <c r="Y493" s="11">
        <v>44781</v>
      </c>
      <c r="Z493" t="s">
        <v>57</v>
      </c>
      <c r="AA493">
        <v>22</v>
      </c>
      <c r="AB493" t="s">
        <v>57</v>
      </c>
      <c r="AD493" t="s">
        <v>57</v>
      </c>
      <c r="AE493" t="s">
        <v>57</v>
      </c>
      <c r="AF493" t="s">
        <v>57</v>
      </c>
      <c r="AG493">
        <v>1</v>
      </c>
      <c r="AH493" t="s">
        <v>57</v>
      </c>
      <c r="AL493" t="s">
        <v>57</v>
      </c>
      <c r="AM493" s="11">
        <v>44781</v>
      </c>
      <c r="AN493" t="s">
        <v>173</v>
      </c>
      <c r="AO493" t="s">
        <v>65</v>
      </c>
      <c r="AP493">
        <v>1204</v>
      </c>
      <c r="AQ493" t="s">
        <v>66</v>
      </c>
      <c r="AR493">
        <v>268280</v>
      </c>
      <c r="AU493" t="s">
        <v>57</v>
      </c>
      <c r="AV493" t="s">
        <v>68</v>
      </c>
      <c r="AX493" t="s">
        <v>57</v>
      </c>
      <c r="AY493">
        <v>631110</v>
      </c>
      <c r="AZ493">
        <v>1204.63111</v>
      </c>
      <c r="BA493" s="23" t="s">
        <v>12</v>
      </c>
    </row>
    <row r="494" spans="1:53" x14ac:dyDescent="0.25">
      <c r="A494" t="s">
        <v>134</v>
      </c>
      <c r="B494" t="s">
        <v>135</v>
      </c>
      <c r="C494">
        <v>22001830</v>
      </c>
      <c r="D494">
        <v>1204</v>
      </c>
      <c r="E494" s="11">
        <v>44781</v>
      </c>
      <c r="F494" t="s">
        <v>174</v>
      </c>
      <c r="G494">
        <v>1.24</v>
      </c>
      <c r="H494">
        <v>1.24</v>
      </c>
      <c r="I494" t="s">
        <v>56</v>
      </c>
      <c r="O494" t="s">
        <v>57</v>
      </c>
      <c r="Q494" t="s">
        <v>57</v>
      </c>
      <c r="R494" t="s">
        <v>137</v>
      </c>
      <c r="T494" t="s">
        <v>59</v>
      </c>
      <c r="U494" t="s">
        <v>60</v>
      </c>
      <c r="V494" t="s">
        <v>138</v>
      </c>
      <c r="W494" t="s">
        <v>139</v>
      </c>
      <c r="X494">
        <v>1928770</v>
      </c>
      <c r="Y494" s="11">
        <v>44781</v>
      </c>
      <c r="Z494" t="s">
        <v>57</v>
      </c>
      <c r="AA494">
        <v>24</v>
      </c>
      <c r="AB494" t="s">
        <v>57</v>
      </c>
      <c r="AD494" t="s">
        <v>57</v>
      </c>
      <c r="AE494" t="s">
        <v>57</v>
      </c>
      <c r="AF494" t="s">
        <v>57</v>
      </c>
      <c r="AG494">
        <v>1</v>
      </c>
      <c r="AH494" t="s">
        <v>57</v>
      </c>
      <c r="AL494" t="s">
        <v>57</v>
      </c>
      <c r="AM494" s="11">
        <v>44781</v>
      </c>
      <c r="AN494" t="s">
        <v>173</v>
      </c>
      <c r="AO494" t="s">
        <v>65</v>
      </c>
      <c r="AP494">
        <v>1204</v>
      </c>
      <c r="AQ494" t="s">
        <v>66</v>
      </c>
      <c r="AR494">
        <v>181880</v>
      </c>
      <c r="AU494" t="s">
        <v>57</v>
      </c>
      <c r="AV494" t="s">
        <v>68</v>
      </c>
      <c r="AX494" t="s">
        <v>57</v>
      </c>
      <c r="AY494">
        <v>631110</v>
      </c>
      <c r="AZ494">
        <v>1204.63111</v>
      </c>
      <c r="BA494" s="23" t="s">
        <v>12</v>
      </c>
    </row>
    <row r="495" spans="1:53" x14ac:dyDescent="0.25">
      <c r="A495" t="s">
        <v>134</v>
      </c>
      <c r="B495" t="s">
        <v>135</v>
      </c>
      <c r="C495">
        <v>22001830</v>
      </c>
      <c r="D495">
        <v>1204</v>
      </c>
      <c r="E495" s="11">
        <v>44781</v>
      </c>
      <c r="F495" t="s">
        <v>174</v>
      </c>
      <c r="G495">
        <v>20.47</v>
      </c>
      <c r="H495">
        <v>20.47</v>
      </c>
      <c r="I495" t="s">
        <v>56</v>
      </c>
      <c r="O495" t="s">
        <v>57</v>
      </c>
      <c r="Q495" t="s">
        <v>57</v>
      </c>
      <c r="R495" t="s">
        <v>137</v>
      </c>
      <c r="T495" t="s">
        <v>59</v>
      </c>
      <c r="U495" t="s">
        <v>60</v>
      </c>
      <c r="V495" t="s">
        <v>138</v>
      </c>
      <c r="W495" t="s">
        <v>139</v>
      </c>
      <c r="X495">
        <v>1928770</v>
      </c>
      <c r="Y495" s="11">
        <v>44781</v>
      </c>
      <c r="Z495" t="s">
        <v>57</v>
      </c>
      <c r="AA495">
        <v>26</v>
      </c>
      <c r="AB495" t="s">
        <v>57</v>
      </c>
      <c r="AD495" t="s">
        <v>57</v>
      </c>
      <c r="AE495" t="s">
        <v>57</v>
      </c>
      <c r="AF495" t="s">
        <v>57</v>
      </c>
      <c r="AG495">
        <v>1</v>
      </c>
      <c r="AH495" t="s">
        <v>57</v>
      </c>
      <c r="AL495" t="s">
        <v>57</v>
      </c>
      <c r="AM495" s="11">
        <v>44781</v>
      </c>
      <c r="AN495" t="s">
        <v>173</v>
      </c>
      <c r="AO495" t="s">
        <v>65</v>
      </c>
      <c r="AP495">
        <v>1204</v>
      </c>
      <c r="AQ495" t="s">
        <v>66</v>
      </c>
      <c r="AR495">
        <v>262753</v>
      </c>
      <c r="AU495" t="s">
        <v>57</v>
      </c>
      <c r="AV495" t="s">
        <v>68</v>
      </c>
      <c r="AX495" t="s">
        <v>57</v>
      </c>
      <c r="AY495">
        <v>631110</v>
      </c>
      <c r="AZ495">
        <v>1204.63111</v>
      </c>
      <c r="BA495" s="23" t="s">
        <v>12</v>
      </c>
    </row>
    <row r="496" spans="1:53" x14ac:dyDescent="0.25">
      <c r="A496" t="s">
        <v>134</v>
      </c>
      <c r="B496" t="s">
        <v>135</v>
      </c>
      <c r="C496">
        <v>22001830</v>
      </c>
      <c r="D496">
        <v>1204</v>
      </c>
      <c r="E496" s="11">
        <v>44781</v>
      </c>
      <c r="F496" t="s">
        <v>174</v>
      </c>
      <c r="G496">
        <v>0.49</v>
      </c>
      <c r="H496">
        <v>0.49</v>
      </c>
      <c r="I496" t="s">
        <v>56</v>
      </c>
      <c r="O496" t="s">
        <v>57</v>
      </c>
      <c r="Q496" t="s">
        <v>57</v>
      </c>
      <c r="R496" t="s">
        <v>137</v>
      </c>
      <c r="T496" t="s">
        <v>59</v>
      </c>
      <c r="U496" t="s">
        <v>60</v>
      </c>
      <c r="V496" t="s">
        <v>138</v>
      </c>
      <c r="W496" t="s">
        <v>139</v>
      </c>
      <c r="X496">
        <v>1928770</v>
      </c>
      <c r="Y496" s="11">
        <v>44781</v>
      </c>
      <c r="Z496" t="s">
        <v>57</v>
      </c>
      <c r="AA496">
        <v>28</v>
      </c>
      <c r="AB496" t="s">
        <v>57</v>
      </c>
      <c r="AD496" t="s">
        <v>57</v>
      </c>
      <c r="AE496" t="s">
        <v>57</v>
      </c>
      <c r="AF496" t="s">
        <v>57</v>
      </c>
      <c r="AG496">
        <v>1</v>
      </c>
      <c r="AH496" t="s">
        <v>57</v>
      </c>
      <c r="AL496" t="s">
        <v>57</v>
      </c>
      <c r="AM496" s="11">
        <v>44781</v>
      </c>
      <c r="AN496" t="s">
        <v>173</v>
      </c>
      <c r="AO496" t="s">
        <v>65</v>
      </c>
      <c r="AP496">
        <v>1204</v>
      </c>
      <c r="AQ496" t="s">
        <v>66</v>
      </c>
      <c r="AR496">
        <v>90122</v>
      </c>
      <c r="AU496" t="s">
        <v>57</v>
      </c>
      <c r="AV496" t="s">
        <v>68</v>
      </c>
      <c r="AX496" t="s">
        <v>57</v>
      </c>
      <c r="AY496">
        <v>631110</v>
      </c>
      <c r="AZ496">
        <v>1204.63111</v>
      </c>
      <c r="BA496" s="23" t="s">
        <v>12</v>
      </c>
    </row>
    <row r="497" spans="1:53" x14ac:dyDescent="0.25">
      <c r="A497" t="s">
        <v>134</v>
      </c>
      <c r="B497" t="s">
        <v>135</v>
      </c>
      <c r="C497">
        <v>22001830</v>
      </c>
      <c r="D497">
        <v>1204</v>
      </c>
      <c r="E497" s="11">
        <v>44781</v>
      </c>
      <c r="F497" t="s">
        <v>174</v>
      </c>
      <c r="G497">
        <v>25.7</v>
      </c>
      <c r="H497">
        <v>25.7</v>
      </c>
      <c r="I497" t="s">
        <v>56</v>
      </c>
      <c r="O497" t="s">
        <v>57</v>
      </c>
      <c r="Q497" t="s">
        <v>57</v>
      </c>
      <c r="R497" t="s">
        <v>137</v>
      </c>
      <c r="T497" t="s">
        <v>59</v>
      </c>
      <c r="U497" t="s">
        <v>60</v>
      </c>
      <c r="V497" t="s">
        <v>138</v>
      </c>
      <c r="W497" t="s">
        <v>139</v>
      </c>
      <c r="X497">
        <v>1928770</v>
      </c>
      <c r="Y497" s="11">
        <v>44781</v>
      </c>
      <c r="Z497" t="s">
        <v>57</v>
      </c>
      <c r="AA497">
        <v>30</v>
      </c>
      <c r="AB497" t="s">
        <v>57</v>
      </c>
      <c r="AD497" t="s">
        <v>57</v>
      </c>
      <c r="AE497" t="s">
        <v>57</v>
      </c>
      <c r="AF497" t="s">
        <v>57</v>
      </c>
      <c r="AG497">
        <v>1</v>
      </c>
      <c r="AH497" t="s">
        <v>57</v>
      </c>
      <c r="AL497" t="s">
        <v>57</v>
      </c>
      <c r="AM497" s="11">
        <v>44781</v>
      </c>
      <c r="AN497" t="s">
        <v>173</v>
      </c>
      <c r="AO497" t="s">
        <v>65</v>
      </c>
      <c r="AP497">
        <v>1204</v>
      </c>
      <c r="AQ497" t="s">
        <v>66</v>
      </c>
      <c r="AR497">
        <v>255783</v>
      </c>
      <c r="AU497" t="s">
        <v>57</v>
      </c>
      <c r="AV497" t="s">
        <v>68</v>
      </c>
      <c r="AX497" t="s">
        <v>57</v>
      </c>
      <c r="AY497">
        <v>631110</v>
      </c>
      <c r="AZ497">
        <v>1204.63111</v>
      </c>
      <c r="BA497" s="23" t="s">
        <v>12</v>
      </c>
    </row>
    <row r="498" spans="1:53" x14ac:dyDescent="0.25">
      <c r="A498" t="s">
        <v>134</v>
      </c>
      <c r="B498" t="s">
        <v>135</v>
      </c>
      <c r="C498">
        <v>22001830</v>
      </c>
      <c r="D498">
        <v>1204</v>
      </c>
      <c r="E498" s="11">
        <v>44781</v>
      </c>
      <c r="F498" t="s">
        <v>174</v>
      </c>
      <c r="G498">
        <v>13.49</v>
      </c>
      <c r="H498">
        <v>13.49</v>
      </c>
      <c r="I498" t="s">
        <v>56</v>
      </c>
      <c r="O498" t="s">
        <v>57</v>
      </c>
      <c r="Q498" t="s">
        <v>57</v>
      </c>
      <c r="R498" t="s">
        <v>137</v>
      </c>
      <c r="T498" t="s">
        <v>59</v>
      </c>
      <c r="U498" t="s">
        <v>60</v>
      </c>
      <c r="V498" t="s">
        <v>138</v>
      </c>
      <c r="W498" t="s">
        <v>139</v>
      </c>
      <c r="X498">
        <v>1928770</v>
      </c>
      <c r="Y498" s="11">
        <v>44781</v>
      </c>
      <c r="Z498" t="s">
        <v>57</v>
      </c>
      <c r="AA498">
        <v>4</v>
      </c>
      <c r="AB498" t="s">
        <v>57</v>
      </c>
      <c r="AD498" t="s">
        <v>57</v>
      </c>
      <c r="AE498" t="s">
        <v>57</v>
      </c>
      <c r="AF498" t="s">
        <v>57</v>
      </c>
      <c r="AG498">
        <v>1</v>
      </c>
      <c r="AH498" t="s">
        <v>57</v>
      </c>
      <c r="AL498" t="s">
        <v>57</v>
      </c>
      <c r="AM498" s="11">
        <v>44781</v>
      </c>
      <c r="AN498" t="s">
        <v>173</v>
      </c>
      <c r="AO498" t="s">
        <v>65</v>
      </c>
      <c r="AP498">
        <v>1204</v>
      </c>
      <c r="AQ498" t="s">
        <v>66</v>
      </c>
      <c r="AR498">
        <v>96020</v>
      </c>
      <c r="AU498" t="s">
        <v>57</v>
      </c>
      <c r="AV498" t="s">
        <v>68</v>
      </c>
      <c r="AX498" t="s">
        <v>57</v>
      </c>
      <c r="AY498">
        <v>631110</v>
      </c>
      <c r="AZ498">
        <v>1204.63111</v>
      </c>
      <c r="BA498" s="23" t="s">
        <v>12</v>
      </c>
    </row>
    <row r="499" spans="1:53" x14ac:dyDescent="0.25">
      <c r="A499" t="s">
        <v>134</v>
      </c>
      <c r="B499" t="s">
        <v>135</v>
      </c>
      <c r="C499">
        <v>22001830</v>
      </c>
      <c r="D499">
        <v>1204</v>
      </c>
      <c r="E499" s="11">
        <v>44781</v>
      </c>
      <c r="F499" t="s">
        <v>174</v>
      </c>
      <c r="G499">
        <v>10.82</v>
      </c>
      <c r="H499">
        <v>10.82</v>
      </c>
      <c r="I499" t="s">
        <v>56</v>
      </c>
      <c r="O499" t="s">
        <v>57</v>
      </c>
      <c r="Q499" t="s">
        <v>57</v>
      </c>
      <c r="R499" t="s">
        <v>137</v>
      </c>
      <c r="T499" t="s">
        <v>59</v>
      </c>
      <c r="U499" t="s">
        <v>60</v>
      </c>
      <c r="V499" t="s">
        <v>138</v>
      </c>
      <c r="W499" t="s">
        <v>139</v>
      </c>
      <c r="X499">
        <v>1928770</v>
      </c>
      <c r="Y499" s="11">
        <v>44781</v>
      </c>
      <c r="Z499" t="s">
        <v>57</v>
      </c>
      <c r="AA499">
        <v>6</v>
      </c>
      <c r="AB499" t="s">
        <v>57</v>
      </c>
      <c r="AD499" t="s">
        <v>57</v>
      </c>
      <c r="AE499" t="s">
        <v>57</v>
      </c>
      <c r="AF499" t="s">
        <v>57</v>
      </c>
      <c r="AG499">
        <v>1</v>
      </c>
      <c r="AH499" t="s">
        <v>57</v>
      </c>
      <c r="AL499" t="s">
        <v>57</v>
      </c>
      <c r="AM499" s="11">
        <v>44781</v>
      </c>
      <c r="AN499" t="s">
        <v>173</v>
      </c>
      <c r="AO499" t="s">
        <v>65</v>
      </c>
      <c r="AP499">
        <v>1204</v>
      </c>
      <c r="AQ499" t="s">
        <v>66</v>
      </c>
      <c r="AR499">
        <v>221864</v>
      </c>
      <c r="AU499" t="s">
        <v>57</v>
      </c>
      <c r="AV499" t="s">
        <v>68</v>
      </c>
      <c r="AX499" t="s">
        <v>57</v>
      </c>
      <c r="AY499">
        <v>631110</v>
      </c>
      <c r="AZ499">
        <v>1204.63111</v>
      </c>
      <c r="BA499" s="23" t="s">
        <v>12</v>
      </c>
    </row>
    <row r="500" spans="1:53" x14ac:dyDescent="0.25">
      <c r="A500" t="s">
        <v>134</v>
      </c>
      <c r="B500" t="s">
        <v>135</v>
      </c>
      <c r="C500">
        <v>22001830</v>
      </c>
      <c r="D500">
        <v>1204</v>
      </c>
      <c r="E500" s="11">
        <v>44781</v>
      </c>
      <c r="F500" t="s">
        <v>174</v>
      </c>
      <c r="G500">
        <v>4.3899999999999997</v>
      </c>
      <c r="H500">
        <v>4.3899999999999997</v>
      </c>
      <c r="I500" t="s">
        <v>56</v>
      </c>
      <c r="O500" t="s">
        <v>57</v>
      </c>
      <c r="Q500" t="s">
        <v>57</v>
      </c>
      <c r="R500" t="s">
        <v>137</v>
      </c>
      <c r="T500" t="s">
        <v>59</v>
      </c>
      <c r="U500" t="s">
        <v>60</v>
      </c>
      <c r="V500" t="s">
        <v>138</v>
      </c>
      <c r="W500" t="s">
        <v>139</v>
      </c>
      <c r="X500">
        <v>1928770</v>
      </c>
      <c r="Y500" s="11">
        <v>44781</v>
      </c>
      <c r="Z500" t="s">
        <v>57</v>
      </c>
      <c r="AA500">
        <v>8</v>
      </c>
      <c r="AB500" t="s">
        <v>57</v>
      </c>
      <c r="AD500" t="s">
        <v>57</v>
      </c>
      <c r="AE500" t="s">
        <v>57</v>
      </c>
      <c r="AF500" t="s">
        <v>57</v>
      </c>
      <c r="AG500">
        <v>1</v>
      </c>
      <c r="AH500" t="s">
        <v>57</v>
      </c>
      <c r="AL500" t="s">
        <v>57</v>
      </c>
      <c r="AM500" s="11">
        <v>44781</v>
      </c>
      <c r="AN500" t="s">
        <v>173</v>
      </c>
      <c r="AO500" t="s">
        <v>65</v>
      </c>
      <c r="AP500">
        <v>1204</v>
      </c>
      <c r="AQ500" t="s">
        <v>66</v>
      </c>
      <c r="AR500">
        <v>257290</v>
      </c>
      <c r="AU500" t="s">
        <v>57</v>
      </c>
      <c r="AV500" t="s">
        <v>68</v>
      </c>
      <c r="AX500" t="s">
        <v>57</v>
      </c>
      <c r="AY500">
        <v>631110</v>
      </c>
      <c r="AZ500">
        <v>1204.63111</v>
      </c>
      <c r="BA500" s="23" t="s">
        <v>12</v>
      </c>
    </row>
    <row r="501" spans="1:53" x14ac:dyDescent="0.25">
      <c r="A501" t="s">
        <v>134</v>
      </c>
      <c r="B501" t="s">
        <v>135</v>
      </c>
      <c r="C501">
        <v>22001830</v>
      </c>
      <c r="D501">
        <v>1204</v>
      </c>
      <c r="E501" s="11">
        <v>44781</v>
      </c>
      <c r="F501" t="s">
        <v>174</v>
      </c>
      <c r="G501">
        <v>4.53</v>
      </c>
      <c r="H501">
        <v>4.53</v>
      </c>
      <c r="I501" t="s">
        <v>56</v>
      </c>
      <c r="O501" t="s">
        <v>57</v>
      </c>
      <c r="Q501" t="s">
        <v>57</v>
      </c>
      <c r="R501" t="s">
        <v>137</v>
      </c>
      <c r="T501" t="s">
        <v>59</v>
      </c>
      <c r="U501" t="s">
        <v>60</v>
      </c>
      <c r="V501" t="s">
        <v>138</v>
      </c>
      <c r="W501" t="s">
        <v>139</v>
      </c>
      <c r="X501">
        <v>1928770</v>
      </c>
      <c r="Y501" s="11">
        <v>44781</v>
      </c>
      <c r="Z501" t="s">
        <v>57</v>
      </c>
      <c r="AA501">
        <v>10</v>
      </c>
      <c r="AB501" t="s">
        <v>57</v>
      </c>
      <c r="AD501" t="s">
        <v>57</v>
      </c>
      <c r="AE501" t="s">
        <v>57</v>
      </c>
      <c r="AF501" t="s">
        <v>57</v>
      </c>
      <c r="AG501">
        <v>1</v>
      </c>
      <c r="AH501" t="s">
        <v>57</v>
      </c>
      <c r="AL501" t="s">
        <v>57</v>
      </c>
      <c r="AM501" s="11">
        <v>44781</v>
      </c>
      <c r="AN501" t="s">
        <v>173</v>
      </c>
      <c r="AO501" t="s">
        <v>65</v>
      </c>
      <c r="AP501">
        <v>1204</v>
      </c>
      <c r="AQ501" t="s">
        <v>66</v>
      </c>
      <c r="AR501">
        <v>206435</v>
      </c>
      <c r="AU501" t="s">
        <v>57</v>
      </c>
      <c r="AV501" t="s">
        <v>68</v>
      </c>
      <c r="AX501" t="s">
        <v>57</v>
      </c>
      <c r="AY501">
        <v>631110</v>
      </c>
      <c r="AZ501">
        <v>1204.63111</v>
      </c>
      <c r="BA501" s="23" t="s">
        <v>12</v>
      </c>
    </row>
    <row r="502" spans="1:53" x14ac:dyDescent="0.25">
      <c r="A502" t="s">
        <v>134</v>
      </c>
      <c r="B502" t="s">
        <v>135</v>
      </c>
      <c r="C502">
        <v>22001830</v>
      </c>
      <c r="D502">
        <v>1204</v>
      </c>
      <c r="E502" s="11">
        <v>44781</v>
      </c>
      <c r="F502" t="s">
        <v>174</v>
      </c>
      <c r="G502">
        <v>44.28</v>
      </c>
      <c r="H502">
        <v>44.28</v>
      </c>
      <c r="I502" t="s">
        <v>56</v>
      </c>
      <c r="O502" t="s">
        <v>57</v>
      </c>
      <c r="Q502" t="s">
        <v>57</v>
      </c>
      <c r="R502" t="s">
        <v>137</v>
      </c>
      <c r="T502" t="s">
        <v>59</v>
      </c>
      <c r="U502" t="s">
        <v>60</v>
      </c>
      <c r="V502" t="s">
        <v>138</v>
      </c>
      <c r="W502" t="s">
        <v>139</v>
      </c>
      <c r="X502">
        <v>1928770</v>
      </c>
      <c r="Y502" s="11">
        <v>44781</v>
      </c>
      <c r="Z502" t="s">
        <v>57</v>
      </c>
      <c r="AA502">
        <v>12</v>
      </c>
      <c r="AB502" t="s">
        <v>57</v>
      </c>
      <c r="AD502" t="s">
        <v>57</v>
      </c>
      <c r="AE502" t="s">
        <v>57</v>
      </c>
      <c r="AF502" t="s">
        <v>57</v>
      </c>
      <c r="AG502">
        <v>1</v>
      </c>
      <c r="AH502" t="s">
        <v>57</v>
      </c>
      <c r="AL502" t="s">
        <v>57</v>
      </c>
      <c r="AM502" s="11">
        <v>44781</v>
      </c>
      <c r="AN502" t="s">
        <v>173</v>
      </c>
      <c r="AO502" t="s">
        <v>65</v>
      </c>
      <c r="AP502">
        <v>1204</v>
      </c>
      <c r="AQ502" t="s">
        <v>66</v>
      </c>
      <c r="AR502">
        <v>90236</v>
      </c>
      <c r="AU502" t="s">
        <v>57</v>
      </c>
      <c r="AV502" t="s">
        <v>68</v>
      </c>
      <c r="AX502" t="s">
        <v>57</v>
      </c>
      <c r="AY502">
        <v>631110</v>
      </c>
      <c r="AZ502">
        <v>1204.63111</v>
      </c>
      <c r="BA502" s="23" t="s">
        <v>12</v>
      </c>
    </row>
    <row r="503" spans="1:53" x14ac:dyDescent="0.25">
      <c r="A503" t="s">
        <v>134</v>
      </c>
      <c r="B503" t="s">
        <v>135</v>
      </c>
      <c r="C503">
        <v>22001830</v>
      </c>
      <c r="D503">
        <v>1204</v>
      </c>
      <c r="E503" s="11">
        <v>44781</v>
      </c>
      <c r="F503" t="s">
        <v>174</v>
      </c>
      <c r="G503">
        <v>0.49</v>
      </c>
      <c r="H503">
        <v>0.49</v>
      </c>
      <c r="I503" t="s">
        <v>56</v>
      </c>
      <c r="O503" t="s">
        <v>57</v>
      </c>
      <c r="Q503" t="s">
        <v>57</v>
      </c>
      <c r="R503" t="s">
        <v>137</v>
      </c>
      <c r="T503" t="s">
        <v>59</v>
      </c>
      <c r="U503" t="s">
        <v>60</v>
      </c>
      <c r="V503" t="s">
        <v>138</v>
      </c>
      <c r="W503" t="s">
        <v>139</v>
      </c>
      <c r="X503">
        <v>1928770</v>
      </c>
      <c r="Y503" s="11">
        <v>44781</v>
      </c>
      <c r="Z503" t="s">
        <v>57</v>
      </c>
      <c r="AA503">
        <v>14</v>
      </c>
      <c r="AB503" t="s">
        <v>57</v>
      </c>
      <c r="AD503" t="s">
        <v>57</v>
      </c>
      <c r="AE503" t="s">
        <v>57</v>
      </c>
      <c r="AF503" t="s">
        <v>57</v>
      </c>
      <c r="AG503">
        <v>1</v>
      </c>
      <c r="AH503" t="s">
        <v>57</v>
      </c>
      <c r="AL503" t="s">
        <v>57</v>
      </c>
      <c r="AM503" s="11">
        <v>44781</v>
      </c>
      <c r="AN503" t="s">
        <v>173</v>
      </c>
      <c r="AO503" t="s">
        <v>65</v>
      </c>
      <c r="AP503">
        <v>1204</v>
      </c>
      <c r="AQ503" t="s">
        <v>66</v>
      </c>
      <c r="AR503">
        <v>228050</v>
      </c>
      <c r="AU503" t="s">
        <v>57</v>
      </c>
      <c r="AV503" t="s">
        <v>68</v>
      </c>
      <c r="AX503" t="s">
        <v>57</v>
      </c>
      <c r="AY503">
        <v>631110</v>
      </c>
      <c r="AZ503">
        <v>1204.63111</v>
      </c>
      <c r="BA503" s="23" t="s">
        <v>12</v>
      </c>
    </row>
    <row r="504" spans="1:53" x14ac:dyDescent="0.25">
      <c r="A504" t="s">
        <v>134</v>
      </c>
      <c r="B504" t="s">
        <v>135</v>
      </c>
      <c r="C504">
        <v>22001830</v>
      </c>
      <c r="D504">
        <v>1204</v>
      </c>
      <c r="E504" s="11">
        <v>44781</v>
      </c>
      <c r="F504" t="s">
        <v>174</v>
      </c>
      <c r="G504">
        <v>1.26</v>
      </c>
      <c r="H504">
        <v>1.26</v>
      </c>
      <c r="I504" t="s">
        <v>56</v>
      </c>
      <c r="O504" t="s">
        <v>57</v>
      </c>
      <c r="Q504" t="s">
        <v>57</v>
      </c>
      <c r="R504" t="s">
        <v>137</v>
      </c>
      <c r="T504" t="s">
        <v>59</v>
      </c>
      <c r="U504" t="s">
        <v>60</v>
      </c>
      <c r="V504" t="s">
        <v>138</v>
      </c>
      <c r="W504" t="s">
        <v>139</v>
      </c>
      <c r="X504">
        <v>1928770</v>
      </c>
      <c r="Y504" s="11">
        <v>44781</v>
      </c>
      <c r="Z504" t="s">
        <v>57</v>
      </c>
      <c r="AA504">
        <v>16</v>
      </c>
      <c r="AB504" t="s">
        <v>57</v>
      </c>
      <c r="AD504" t="s">
        <v>57</v>
      </c>
      <c r="AE504" t="s">
        <v>57</v>
      </c>
      <c r="AF504" t="s">
        <v>57</v>
      </c>
      <c r="AG504">
        <v>2</v>
      </c>
      <c r="AH504" t="s">
        <v>57</v>
      </c>
      <c r="AL504" t="s">
        <v>57</v>
      </c>
      <c r="AM504" s="11">
        <v>44781</v>
      </c>
      <c r="AN504" t="s">
        <v>173</v>
      </c>
      <c r="AO504" t="s">
        <v>65</v>
      </c>
      <c r="AP504">
        <v>1204</v>
      </c>
      <c r="AQ504" t="s">
        <v>66</v>
      </c>
      <c r="AR504">
        <v>220123</v>
      </c>
      <c r="AU504" t="s">
        <v>57</v>
      </c>
      <c r="AV504" t="s">
        <v>68</v>
      </c>
      <c r="AX504" t="s">
        <v>57</v>
      </c>
      <c r="AY504">
        <v>631110</v>
      </c>
      <c r="AZ504">
        <v>1204.63111</v>
      </c>
      <c r="BA504" s="23" t="s">
        <v>12</v>
      </c>
    </row>
    <row r="505" spans="1:53" x14ac:dyDescent="0.25">
      <c r="A505" t="s">
        <v>134</v>
      </c>
      <c r="B505" t="s">
        <v>135</v>
      </c>
      <c r="C505">
        <v>22001830</v>
      </c>
      <c r="D505">
        <v>1204</v>
      </c>
      <c r="E505" s="11">
        <v>44781</v>
      </c>
      <c r="F505" t="s">
        <v>174</v>
      </c>
      <c r="G505">
        <v>4.9400000000000004</v>
      </c>
      <c r="H505">
        <v>4.9400000000000004</v>
      </c>
      <c r="I505" t="s">
        <v>56</v>
      </c>
      <c r="O505" t="s">
        <v>57</v>
      </c>
      <c r="Q505" t="s">
        <v>57</v>
      </c>
      <c r="R505" t="s">
        <v>137</v>
      </c>
      <c r="T505" t="s">
        <v>59</v>
      </c>
      <c r="U505" t="s">
        <v>60</v>
      </c>
      <c r="V505" t="s">
        <v>138</v>
      </c>
      <c r="W505" t="s">
        <v>139</v>
      </c>
      <c r="X505">
        <v>1928770</v>
      </c>
      <c r="Y505" s="11">
        <v>44781</v>
      </c>
      <c r="Z505" t="s">
        <v>57</v>
      </c>
      <c r="AA505">
        <v>2</v>
      </c>
      <c r="AB505" t="s">
        <v>57</v>
      </c>
      <c r="AD505" t="s">
        <v>57</v>
      </c>
      <c r="AE505" t="s">
        <v>57</v>
      </c>
      <c r="AF505" t="s">
        <v>57</v>
      </c>
      <c r="AG505">
        <v>10</v>
      </c>
      <c r="AH505" t="s">
        <v>57</v>
      </c>
      <c r="AL505" t="s">
        <v>57</v>
      </c>
      <c r="AM505" s="11">
        <v>44781</v>
      </c>
      <c r="AN505" t="s">
        <v>173</v>
      </c>
      <c r="AO505" t="s">
        <v>65</v>
      </c>
      <c r="AP505">
        <v>1204</v>
      </c>
      <c r="AQ505" t="s">
        <v>66</v>
      </c>
      <c r="AR505">
        <v>121863</v>
      </c>
      <c r="AU505" t="s">
        <v>57</v>
      </c>
      <c r="AV505" t="s">
        <v>68</v>
      </c>
      <c r="AX505" t="s">
        <v>57</v>
      </c>
      <c r="AY505">
        <v>631110</v>
      </c>
      <c r="AZ505">
        <v>1204.63111</v>
      </c>
      <c r="BA505" s="23" t="s">
        <v>12</v>
      </c>
    </row>
    <row r="506" spans="1:53" x14ac:dyDescent="0.25">
      <c r="A506" t="s">
        <v>134</v>
      </c>
      <c r="B506" t="s">
        <v>135</v>
      </c>
      <c r="C506">
        <v>22001830</v>
      </c>
      <c r="D506">
        <v>1204</v>
      </c>
      <c r="E506" s="11">
        <v>44781</v>
      </c>
      <c r="F506" t="s">
        <v>174</v>
      </c>
      <c r="G506">
        <v>3.91</v>
      </c>
      <c r="H506">
        <v>3.91</v>
      </c>
      <c r="I506" t="s">
        <v>56</v>
      </c>
      <c r="O506" t="s">
        <v>57</v>
      </c>
      <c r="Q506" t="s">
        <v>57</v>
      </c>
      <c r="R506" t="s">
        <v>137</v>
      </c>
      <c r="T506" t="s">
        <v>59</v>
      </c>
      <c r="U506" t="s">
        <v>60</v>
      </c>
      <c r="V506" t="s">
        <v>138</v>
      </c>
      <c r="W506" t="s">
        <v>139</v>
      </c>
      <c r="X506">
        <v>1928770</v>
      </c>
      <c r="Y506" s="11">
        <v>44781</v>
      </c>
      <c r="Z506" t="s">
        <v>57</v>
      </c>
      <c r="AA506">
        <v>32</v>
      </c>
      <c r="AB506" t="s">
        <v>57</v>
      </c>
      <c r="AD506" t="s">
        <v>57</v>
      </c>
      <c r="AE506" t="s">
        <v>57</v>
      </c>
      <c r="AF506" t="s">
        <v>57</v>
      </c>
      <c r="AG506">
        <v>1</v>
      </c>
      <c r="AH506" t="s">
        <v>57</v>
      </c>
      <c r="AL506" t="s">
        <v>57</v>
      </c>
      <c r="AM506" s="11">
        <v>44781</v>
      </c>
      <c r="AN506" t="s">
        <v>173</v>
      </c>
      <c r="AO506" t="s">
        <v>65</v>
      </c>
      <c r="AP506">
        <v>1204</v>
      </c>
      <c r="AQ506" t="s">
        <v>66</v>
      </c>
      <c r="AR506">
        <v>219292</v>
      </c>
      <c r="AU506" t="s">
        <v>57</v>
      </c>
      <c r="AV506" t="s">
        <v>68</v>
      </c>
      <c r="AX506" t="s">
        <v>57</v>
      </c>
      <c r="AY506">
        <v>631110</v>
      </c>
      <c r="AZ506">
        <v>1204.63111</v>
      </c>
      <c r="BA506" s="23" t="s">
        <v>12</v>
      </c>
    </row>
    <row r="507" spans="1:53" x14ac:dyDescent="0.25">
      <c r="A507" t="s">
        <v>134</v>
      </c>
      <c r="B507" t="s">
        <v>135</v>
      </c>
      <c r="C507">
        <v>22001830</v>
      </c>
      <c r="D507">
        <v>1204</v>
      </c>
      <c r="E507" s="11">
        <v>44781</v>
      </c>
      <c r="F507" t="s">
        <v>174</v>
      </c>
      <c r="G507">
        <v>0.48</v>
      </c>
      <c r="H507">
        <v>0.48</v>
      </c>
      <c r="I507" t="s">
        <v>56</v>
      </c>
      <c r="O507" t="s">
        <v>57</v>
      </c>
      <c r="Q507" t="s">
        <v>57</v>
      </c>
      <c r="R507" t="s">
        <v>137</v>
      </c>
      <c r="T507" t="s">
        <v>59</v>
      </c>
      <c r="U507" t="s">
        <v>60</v>
      </c>
      <c r="V507" t="s">
        <v>138</v>
      </c>
      <c r="W507" t="s">
        <v>139</v>
      </c>
      <c r="X507">
        <v>1928770</v>
      </c>
      <c r="Y507" s="11">
        <v>44781</v>
      </c>
      <c r="Z507" t="s">
        <v>57</v>
      </c>
      <c r="AA507">
        <v>34</v>
      </c>
      <c r="AB507" t="s">
        <v>57</v>
      </c>
      <c r="AD507" t="s">
        <v>57</v>
      </c>
      <c r="AE507" t="s">
        <v>57</v>
      </c>
      <c r="AF507" t="s">
        <v>57</v>
      </c>
      <c r="AG507">
        <v>3</v>
      </c>
      <c r="AH507" t="s">
        <v>57</v>
      </c>
      <c r="AL507" t="s">
        <v>57</v>
      </c>
      <c r="AM507" s="11">
        <v>44781</v>
      </c>
      <c r="AN507" t="s">
        <v>173</v>
      </c>
      <c r="AO507" t="s">
        <v>65</v>
      </c>
      <c r="AP507">
        <v>1204</v>
      </c>
      <c r="AQ507" t="s">
        <v>66</v>
      </c>
      <c r="AR507">
        <v>88760</v>
      </c>
      <c r="AU507" t="s">
        <v>57</v>
      </c>
      <c r="AV507" t="s">
        <v>68</v>
      </c>
      <c r="AX507" t="s">
        <v>57</v>
      </c>
      <c r="AY507">
        <v>631110</v>
      </c>
      <c r="AZ507">
        <v>1204.63111</v>
      </c>
      <c r="BA507" s="23" t="s">
        <v>12</v>
      </c>
    </row>
    <row r="508" spans="1:53" x14ac:dyDescent="0.25">
      <c r="A508" t="s">
        <v>134</v>
      </c>
      <c r="B508" t="s">
        <v>135</v>
      </c>
      <c r="C508">
        <v>22001830</v>
      </c>
      <c r="D508">
        <v>1204</v>
      </c>
      <c r="E508" s="11">
        <v>44781</v>
      </c>
      <c r="F508" t="s">
        <v>174</v>
      </c>
      <c r="G508">
        <v>0.55000000000000004</v>
      </c>
      <c r="H508">
        <v>0.55000000000000004</v>
      </c>
      <c r="I508" t="s">
        <v>56</v>
      </c>
      <c r="O508" t="s">
        <v>57</v>
      </c>
      <c r="Q508" t="s">
        <v>57</v>
      </c>
      <c r="R508" t="s">
        <v>137</v>
      </c>
      <c r="T508" t="s">
        <v>59</v>
      </c>
      <c r="U508" t="s">
        <v>60</v>
      </c>
      <c r="V508" t="s">
        <v>138</v>
      </c>
      <c r="W508" t="s">
        <v>139</v>
      </c>
      <c r="X508">
        <v>1928770</v>
      </c>
      <c r="Y508" s="11">
        <v>44781</v>
      </c>
      <c r="Z508" t="s">
        <v>57</v>
      </c>
      <c r="AA508">
        <v>36</v>
      </c>
      <c r="AB508" t="s">
        <v>57</v>
      </c>
      <c r="AD508" t="s">
        <v>57</v>
      </c>
      <c r="AE508" t="s">
        <v>57</v>
      </c>
      <c r="AF508" t="s">
        <v>57</v>
      </c>
      <c r="AG508">
        <v>1</v>
      </c>
      <c r="AH508" t="s">
        <v>57</v>
      </c>
      <c r="AL508" t="s">
        <v>57</v>
      </c>
      <c r="AM508" s="11">
        <v>44781</v>
      </c>
      <c r="AN508" t="s">
        <v>173</v>
      </c>
      <c r="AO508" t="s">
        <v>65</v>
      </c>
      <c r="AP508">
        <v>1204</v>
      </c>
      <c r="AQ508" t="s">
        <v>66</v>
      </c>
      <c r="AR508">
        <v>89777</v>
      </c>
      <c r="AU508" t="s">
        <v>57</v>
      </c>
      <c r="AV508" t="s">
        <v>68</v>
      </c>
      <c r="AX508" t="s">
        <v>57</v>
      </c>
      <c r="AY508">
        <v>631110</v>
      </c>
      <c r="AZ508">
        <v>1204.63111</v>
      </c>
      <c r="BA508" s="23" t="s">
        <v>12</v>
      </c>
    </row>
    <row r="509" spans="1:53" x14ac:dyDescent="0.25">
      <c r="A509" t="s">
        <v>134</v>
      </c>
      <c r="B509" t="s">
        <v>135</v>
      </c>
      <c r="C509">
        <v>22001831</v>
      </c>
      <c r="D509">
        <v>1204</v>
      </c>
      <c r="E509" s="11">
        <v>44781</v>
      </c>
      <c r="F509" t="s">
        <v>172</v>
      </c>
      <c r="G509">
        <v>8.06</v>
      </c>
      <c r="H509">
        <v>8.06</v>
      </c>
      <c r="I509" t="s">
        <v>56</v>
      </c>
      <c r="O509" t="s">
        <v>57</v>
      </c>
      <c r="Q509" t="s">
        <v>57</v>
      </c>
      <c r="R509" t="s">
        <v>137</v>
      </c>
      <c r="T509" t="s">
        <v>59</v>
      </c>
      <c r="U509" t="s">
        <v>60</v>
      </c>
      <c r="V509" t="s">
        <v>138</v>
      </c>
      <c r="W509" t="s">
        <v>139</v>
      </c>
      <c r="X509">
        <v>1928857</v>
      </c>
      <c r="Y509" s="11">
        <v>44781</v>
      </c>
      <c r="Z509" t="s">
        <v>57</v>
      </c>
      <c r="AA509">
        <v>4</v>
      </c>
      <c r="AB509" t="s">
        <v>57</v>
      </c>
      <c r="AD509" t="s">
        <v>57</v>
      </c>
      <c r="AE509" t="s">
        <v>57</v>
      </c>
      <c r="AF509" t="s">
        <v>57</v>
      </c>
      <c r="AG509">
        <v>1</v>
      </c>
      <c r="AH509" t="s">
        <v>57</v>
      </c>
      <c r="AL509" t="s">
        <v>57</v>
      </c>
      <c r="AM509" s="11">
        <v>44781</v>
      </c>
      <c r="AN509" t="s">
        <v>173</v>
      </c>
      <c r="AO509" t="s">
        <v>65</v>
      </c>
      <c r="AP509">
        <v>1204</v>
      </c>
      <c r="AQ509" t="s">
        <v>66</v>
      </c>
      <c r="AR509">
        <v>279991</v>
      </c>
      <c r="AU509" t="s">
        <v>57</v>
      </c>
      <c r="AV509" t="s">
        <v>68</v>
      </c>
      <c r="AX509" t="s">
        <v>57</v>
      </c>
      <c r="AY509">
        <v>631110</v>
      </c>
      <c r="AZ509">
        <v>1204.63111</v>
      </c>
      <c r="BA509" s="23" t="s">
        <v>12</v>
      </c>
    </row>
    <row r="510" spans="1:53" x14ac:dyDescent="0.25">
      <c r="A510" t="s">
        <v>134</v>
      </c>
      <c r="B510" t="s">
        <v>135</v>
      </c>
      <c r="C510">
        <v>22001831</v>
      </c>
      <c r="D510">
        <v>1204</v>
      </c>
      <c r="E510" s="11">
        <v>44781</v>
      </c>
      <c r="F510" t="s">
        <v>172</v>
      </c>
      <c r="G510">
        <v>8.06</v>
      </c>
      <c r="H510">
        <v>8.06</v>
      </c>
      <c r="I510" t="s">
        <v>56</v>
      </c>
      <c r="O510" t="s">
        <v>57</v>
      </c>
      <c r="Q510" t="s">
        <v>57</v>
      </c>
      <c r="R510" t="s">
        <v>137</v>
      </c>
      <c r="T510" t="s">
        <v>59</v>
      </c>
      <c r="U510" t="s">
        <v>60</v>
      </c>
      <c r="V510" t="s">
        <v>138</v>
      </c>
      <c r="W510" t="s">
        <v>139</v>
      </c>
      <c r="X510">
        <v>1928857</v>
      </c>
      <c r="Y510" s="11">
        <v>44781</v>
      </c>
      <c r="Z510" t="s">
        <v>57</v>
      </c>
      <c r="AA510">
        <v>2</v>
      </c>
      <c r="AB510" t="s">
        <v>57</v>
      </c>
      <c r="AD510" t="s">
        <v>57</v>
      </c>
      <c r="AE510" t="s">
        <v>57</v>
      </c>
      <c r="AF510" t="s">
        <v>57</v>
      </c>
      <c r="AG510">
        <v>1</v>
      </c>
      <c r="AH510" t="s">
        <v>57</v>
      </c>
      <c r="AL510" t="s">
        <v>57</v>
      </c>
      <c r="AM510" s="11">
        <v>44781</v>
      </c>
      <c r="AN510" t="s">
        <v>173</v>
      </c>
      <c r="AO510" t="s">
        <v>65</v>
      </c>
      <c r="AP510">
        <v>1204</v>
      </c>
      <c r="AQ510" t="s">
        <v>66</v>
      </c>
      <c r="AR510">
        <v>279991</v>
      </c>
      <c r="AU510" t="s">
        <v>57</v>
      </c>
      <c r="AV510" t="s">
        <v>68</v>
      </c>
      <c r="AX510" t="s">
        <v>57</v>
      </c>
      <c r="AY510">
        <v>631110</v>
      </c>
      <c r="AZ510">
        <v>1204.63111</v>
      </c>
      <c r="BA510" s="23" t="s">
        <v>12</v>
      </c>
    </row>
    <row r="511" spans="1:53" x14ac:dyDescent="0.25">
      <c r="A511" t="s">
        <v>134</v>
      </c>
      <c r="B511" t="s">
        <v>135</v>
      </c>
      <c r="C511">
        <v>22001832</v>
      </c>
      <c r="D511">
        <v>1204</v>
      </c>
      <c r="E511" s="11">
        <v>44781</v>
      </c>
      <c r="F511" t="s">
        <v>159</v>
      </c>
      <c r="G511">
        <v>5.04</v>
      </c>
      <c r="H511">
        <v>5.04</v>
      </c>
      <c r="I511" t="s">
        <v>56</v>
      </c>
      <c r="O511" t="s">
        <v>57</v>
      </c>
      <c r="Q511" t="s">
        <v>57</v>
      </c>
      <c r="R511" t="s">
        <v>137</v>
      </c>
      <c r="T511" t="s">
        <v>59</v>
      </c>
      <c r="U511" t="s">
        <v>60</v>
      </c>
      <c r="V511" t="s">
        <v>138</v>
      </c>
      <c r="W511" t="s">
        <v>139</v>
      </c>
      <c r="X511">
        <v>1928857</v>
      </c>
      <c r="Y511" s="11">
        <v>44781</v>
      </c>
      <c r="Z511" t="s">
        <v>57</v>
      </c>
      <c r="AA511">
        <v>4</v>
      </c>
      <c r="AB511" t="s">
        <v>57</v>
      </c>
      <c r="AD511" t="s">
        <v>57</v>
      </c>
      <c r="AE511" t="s">
        <v>57</v>
      </c>
      <c r="AF511" t="s">
        <v>57</v>
      </c>
      <c r="AG511">
        <v>6</v>
      </c>
      <c r="AH511" t="s">
        <v>57</v>
      </c>
      <c r="AL511" t="s">
        <v>57</v>
      </c>
      <c r="AM511" s="11">
        <v>44781</v>
      </c>
      <c r="AN511" t="s">
        <v>173</v>
      </c>
      <c r="AO511" t="s">
        <v>65</v>
      </c>
      <c r="AP511">
        <v>1204</v>
      </c>
      <c r="AQ511" t="s">
        <v>66</v>
      </c>
      <c r="AR511">
        <v>136940</v>
      </c>
      <c r="AU511" t="s">
        <v>57</v>
      </c>
      <c r="AV511" t="s">
        <v>68</v>
      </c>
      <c r="AX511" t="s">
        <v>57</v>
      </c>
      <c r="AY511">
        <v>631110</v>
      </c>
      <c r="AZ511">
        <v>1204.63111</v>
      </c>
      <c r="BA511" s="23" t="s">
        <v>12</v>
      </c>
    </row>
    <row r="512" spans="1:53" x14ac:dyDescent="0.25">
      <c r="A512" t="s">
        <v>134</v>
      </c>
      <c r="B512" t="s">
        <v>135</v>
      </c>
      <c r="C512">
        <v>22001832</v>
      </c>
      <c r="D512">
        <v>1204</v>
      </c>
      <c r="E512" s="11">
        <v>44781</v>
      </c>
      <c r="F512" t="s">
        <v>159</v>
      </c>
      <c r="G512">
        <v>2.77</v>
      </c>
      <c r="H512">
        <v>2.77</v>
      </c>
      <c r="I512" t="s">
        <v>56</v>
      </c>
      <c r="O512" t="s">
        <v>57</v>
      </c>
      <c r="Q512" t="s">
        <v>57</v>
      </c>
      <c r="R512" t="s">
        <v>137</v>
      </c>
      <c r="T512" t="s">
        <v>59</v>
      </c>
      <c r="U512" t="s">
        <v>60</v>
      </c>
      <c r="V512" t="s">
        <v>138</v>
      </c>
      <c r="W512" t="s">
        <v>139</v>
      </c>
      <c r="X512">
        <v>1928857</v>
      </c>
      <c r="Y512" s="11">
        <v>44781</v>
      </c>
      <c r="Z512" t="s">
        <v>57</v>
      </c>
      <c r="AA512">
        <v>6</v>
      </c>
      <c r="AB512" t="s">
        <v>57</v>
      </c>
      <c r="AD512" t="s">
        <v>57</v>
      </c>
      <c r="AE512" t="s">
        <v>57</v>
      </c>
      <c r="AF512" t="s">
        <v>57</v>
      </c>
      <c r="AG512">
        <v>1</v>
      </c>
      <c r="AH512" t="s">
        <v>57</v>
      </c>
      <c r="AL512" t="s">
        <v>57</v>
      </c>
      <c r="AM512" s="11">
        <v>44781</v>
      </c>
      <c r="AN512" t="s">
        <v>173</v>
      </c>
      <c r="AO512" t="s">
        <v>65</v>
      </c>
      <c r="AP512">
        <v>1204</v>
      </c>
      <c r="AQ512" t="s">
        <v>66</v>
      </c>
      <c r="AR512">
        <v>114063</v>
      </c>
      <c r="AU512" t="s">
        <v>57</v>
      </c>
      <c r="AV512" t="s">
        <v>68</v>
      </c>
      <c r="AX512" t="s">
        <v>57</v>
      </c>
      <c r="AY512">
        <v>631110</v>
      </c>
      <c r="AZ512">
        <v>1204.63111</v>
      </c>
      <c r="BA512" s="23" t="s">
        <v>12</v>
      </c>
    </row>
    <row r="513" spans="1:53" x14ac:dyDescent="0.25">
      <c r="A513" t="s">
        <v>134</v>
      </c>
      <c r="B513" t="s">
        <v>135</v>
      </c>
      <c r="C513">
        <v>22001832</v>
      </c>
      <c r="D513">
        <v>1204</v>
      </c>
      <c r="E513" s="11">
        <v>44781</v>
      </c>
      <c r="F513" t="s">
        <v>159</v>
      </c>
      <c r="G513">
        <v>7.31</v>
      </c>
      <c r="H513">
        <v>7.31</v>
      </c>
      <c r="I513" t="s">
        <v>56</v>
      </c>
      <c r="O513" t="s">
        <v>57</v>
      </c>
      <c r="Q513" t="s">
        <v>57</v>
      </c>
      <c r="R513" t="s">
        <v>137</v>
      </c>
      <c r="T513" t="s">
        <v>59</v>
      </c>
      <c r="U513" t="s">
        <v>60</v>
      </c>
      <c r="V513" t="s">
        <v>138</v>
      </c>
      <c r="W513" t="s">
        <v>139</v>
      </c>
      <c r="X513">
        <v>1928857</v>
      </c>
      <c r="Y513" s="11">
        <v>44781</v>
      </c>
      <c r="Z513" t="s">
        <v>57</v>
      </c>
      <c r="AA513">
        <v>8</v>
      </c>
      <c r="AB513" t="s">
        <v>57</v>
      </c>
      <c r="AD513" t="s">
        <v>57</v>
      </c>
      <c r="AE513" t="s">
        <v>57</v>
      </c>
      <c r="AF513" t="s">
        <v>57</v>
      </c>
      <c r="AG513">
        <v>1</v>
      </c>
      <c r="AH513" t="s">
        <v>57</v>
      </c>
      <c r="AL513" t="s">
        <v>57</v>
      </c>
      <c r="AM513" s="11">
        <v>44781</v>
      </c>
      <c r="AN513" t="s">
        <v>173</v>
      </c>
      <c r="AO513" t="s">
        <v>65</v>
      </c>
      <c r="AP513">
        <v>1204</v>
      </c>
      <c r="AQ513" t="s">
        <v>66</v>
      </c>
      <c r="AR513">
        <v>212621</v>
      </c>
      <c r="AU513" t="s">
        <v>57</v>
      </c>
      <c r="AV513" t="s">
        <v>68</v>
      </c>
      <c r="AX513" t="s">
        <v>57</v>
      </c>
      <c r="AY513">
        <v>631110</v>
      </c>
      <c r="AZ513">
        <v>1204.63111</v>
      </c>
      <c r="BA513" s="23" t="s">
        <v>12</v>
      </c>
    </row>
    <row r="514" spans="1:53" x14ac:dyDescent="0.25">
      <c r="A514" t="s">
        <v>134</v>
      </c>
      <c r="B514" t="s">
        <v>135</v>
      </c>
      <c r="C514">
        <v>22001832</v>
      </c>
      <c r="D514">
        <v>1204</v>
      </c>
      <c r="E514" s="11">
        <v>44781</v>
      </c>
      <c r="F514" t="s">
        <v>159</v>
      </c>
      <c r="G514">
        <v>30.24</v>
      </c>
      <c r="H514">
        <v>30.24</v>
      </c>
      <c r="I514" t="s">
        <v>56</v>
      </c>
      <c r="O514" t="s">
        <v>57</v>
      </c>
      <c r="Q514" t="s">
        <v>57</v>
      </c>
      <c r="R514" t="s">
        <v>137</v>
      </c>
      <c r="T514" t="s">
        <v>59</v>
      </c>
      <c r="U514" t="s">
        <v>60</v>
      </c>
      <c r="V514" t="s">
        <v>138</v>
      </c>
      <c r="W514" t="s">
        <v>139</v>
      </c>
      <c r="X514">
        <v>1928857</v>
      </c>
      <c r="Y514" s="11">
        <v>44781</v>
      </c>
      <c r="Z514" t="s">
        <v>57</v>
      </c>
      <c r="AA514">
        <v>2</v>
      </c>
      <c r="AB514" t="s">
        <v>57</v>
      </c>
      <c r="AD514" t="s">
        <v>57</v>
      </c>
      <c r="AE514" t="s">
        <v>57</v>
      </c>
      <c r="AF514" t="s">
        <v>57</v>
      </c>
      <c r="AG514">
        <v>2</v>
      </c>
      <c r="AH514" t="s">
        <v>57</v>
      </c>
      <c r="AL514" t="s">
        <v>57</v>
      </c>
      <c r="AM514" s="11">
        <v>44781</v>
      </c>
      <c r="AN514" t="s">
        <v>173</v>
      </c>
      <c r="AO514" t="s">
        <v>65</v>
      </c>
      <c r="AP514">
        <v>1204</v>
      </c>
      <c r="AQ514" t="s">
        <v>66</v>
      </c>
      <c r="AR514">
        <v>88717</v>
      </c>
      <c r="AU514" t="s">
        <v>57</v>
      </c>
      <c r="AV514" t="s">
        <v>68</v>
      </c>
      <c r="AX514" t="s">
        <v>57</v>
      </c>
      <c r="AY514">
        <v>631110</v>
      </c>
      <c r="AZ514">
        <v>1204.63111</v>
      </c>
      <c r="BA514" s="23" t="s">
        <v>12</v>
      </c>
    </row>
    <row r="515" spans="1:53" x14ac:dyDescent="0.25">
      <c r="A515" t="s">
        <v>134</v>
      </c>
      <c r="B515" t="s">
        <v>135</v>
      </c>
      <c r="C515">
        <v>22001834</v>
      </c>
      <c r="D515">
        <v>1204</v>
      </c>
      <c r="E515" s="11">
        <v>44781</v>
      </c>
      <c r="F515" t="s">
        <v>174</v>
      </c>
      <c r="G515">
        <v>28.54</v>
      </c>
      <c r="H515">
        <v>28.54</v>
      </c>
      <c r="I515" t="s">
        <v>56</v>
      </c>
      <c r="O515" t="s">
        <v>57</v>
      </c>
      <c r="Q515" t="s">
        <v>57</v>
      </c>
      <c r="R515" t="s">
        <v>137</v>
      </c>
      <c r="T515" t="s">
        <v>59</v>
      </c>
      <c r="U515" t="s">
        <v>60</v>
      </c>
      <c r="V515" t="s">
        <v>138</v>
      </c>
      <c r="W515" t="s">
        <v>139</v>
      </c>
      <c r="X515">
        <v>1928971</v>
      </c>
      <c r="Y515" s="11">
        <v>44781</v>
      </c>
      <c r="Z515" t="s">
        <v>57</v>
      </c>
      <c r="AA515">
        <v>2</v>
      </c>
      <c r="AB515" t="s">
        <v>57</v>
      </c>
      <c r="AD515" t="s">
        <v>57</v>
      </c>
      <c r="AE515" t="s">
        <v>57</v>
      </c>
      <c r="AF515" t="s">
        <v>57</v>
      </c>
      <c r="AG515">
        <v>1</v>
      </c>
      <c r="AH515" t="s">
        <v>57</v>
      </c>
      <c r="AL515" t="s">
        <v>57</v>
      </c>
      <c r="AM515" s="11">
        <v>44781</v>
      </c>
      <c r="AN515" t="s">
        <v>173</v>
      </c>
      <c r="AO515" t="s">
        <v>65</v>
      </c>
      <c r="AP515">
        <v>1204</v>
      </c>
      <c r="AQ515" t="s">
        <v>66</v>
      </c>
      <c r="AR515">
        <v>139186</v>
      </c>
      <c r="AU515" t="s">
        <v>57</v>
      </c>
      <c r="AV515" t="s">
        <v>68</v>
      </c>
      <c r="AX515" t="s">
        <v>57</v>
      </c>
      <c r="AY515">
        <v>631110</v>
      </c>
      <c r="AZ515">
        <v>1204.63111</v>
      </c>
      <c r="BA515" s="23" t="s">
        <v>12</v>
      </c>
    </row>
    <row r="516" spans="1:53" x14ac:dyDescent="0.25">
      <c r="A516" t="s">
        <v>134</v>
      </c>
      <c r="B516" t="s">
        <v>135</v>
      </c>
      <c r="C516">
        <v>22001834</v>
      </c>
      <c r="D516">
        <v>1204</v>
      </c>
      <c r="E516" s="11">
        <v>44781</v>
      </c>
      <c r="F516" t="s">
        <v>174</v>
      </c>
      <c r="G516">
        <v>4.5199999999999996</v>
      </c>
      <c r="H516">
        <v>4.5199999999999996</v>
      </c>
      <c r="I516" t="s">
        <v>56</v>
      </c>
      <c r="O516" t="s">
        <v>57</v>
      </c>
      <c r="Q516" t="s">
        <v>57</v>
      </c>
      <c r="R516" t="s">
        <v>137</v>
      </c>
      <c r="T516" t="s">
        <v>59</v>
      </c>
      <c r="U516" t="s">
        <v>60</v>
      </c>
      <c r="V516" t="s">
        <v>138</v>
      </c>
      <c r="W516" t="s">
        <v>139</v>
      </c>
      <c r="X516">
        <v>1928971</v>
      </c>
      <c r="Y516" s="11">
        <v>44781</v>
      </c>
      <c r="Z516" t="s">
        <v>57</v>
      </c>
      <c r="AA516">
        <v>4</v>
      </c>
      <c r="AB516" t="s">
        <v>57</v>
      </c>
      <c r="AD516" t="s">
        <v>57</v>
      </c>
      <c r="AE516" t="s">
        <v>57</v>
      </c>
      <c r="AF516" t="s">
        <v>57</v>
      </c>
      <c r="AG516">
        <v>1</v>
      </c>
      <c r="AH516" t="s">
        <v>57</v>
      </c>
      <c r="AL516" t="s">
        <v>57</v>
      </c>
      <c r="AM516" s="11">
        <v>44781</v>
      </c>
      <c r="AN516" t="s">
        <v>173</v>
      </c>
      <c r="AO516" t="s">
        <v>65</v>
      </c>
      <c r="AP516">
        <v>1204</v>
      </c>
      <c r="AQ516" t="s">
        <v>66</v>
      </c>
      <c r="AR516">
        <v>279692</v>
      </c>
      <c r="AU516" t="s">
        <v>57</v>
      </c>
      <c r="AV516" t="s">
        <v>68</v>
      </c>
      <c r="AX516" t="s">
        <v>57</v>
      </c>
      <c r="AY516">
        <v>631110</v>
      </c>
      <c r="AZ516">
        <v>1204.63111</v>
      </c>
      <c r="BA516" s="23" t="s">
        <v>12</v>
      </c>
    </row>
    <row r="517" spans="1:53" x14ac:dyDescent="0.25">
      <c r="A517" t="s">
        <v>134</v>
      </c>
      <c r="B517" t="s">
        <v>135</v>
      </c>
      <c r="C517">
        <v>22001834</v>
      </c>
      <c r="D517">
        <v>1204</v>
      </c>
      <c r="E517" s="11">
        <v>44781</v>
      </c>
      <c r="F517" t="s">
        <v>174</v>
      </c>
      <c r="G517">
        <v>2.4700000000000002</v>
      </c>
      <c r="H517">
        <v>2.4700000000000002</v>
      </c>
      <c r="I517" t="s">
        <v>56</v>
      </c>
      <c r="O517" t="s">
        <v>57</v>
      </c>
      <c r="Q517" t="s">
        <v>57</v>
      </c>
      <c r="R517" t="s">
        <v>137</v>
      </c>
      <c r="T517" t="s">
        <v>59</v>
      </c>
      <c r="U517" t="s">
        <v>60</v>
      </c>
      <c r="V517" t="s">
        <v>138</v>
      </c>
      <c r="W517" t="s">
        <v>139</v>
      </c>
      <c r="X517">
        <v>1928971</v>
      </c>
      <c r="Y517" s="11">
        <v>44781</v>
      </c>
      <c r="Z517" t="s">
        <v>57</v>
      </c>
      <c r="AA517">
        <v>6</v>
      </c>
      <c r="AB517" t="s">
        <v>57</v>
      </c>
      <c r="AD517" t="s">
        <v>57</v>
      </c>
      <c r="AE517" t="s">
        <v>57</v>
      </c>
      <c r="AF517" t="s">
        <v>57</v>
      </c>
      <c r="AG517">
        <v>5</v>
      </c>
      <c r="AH517" t="s">
        <v>57</v>
      </c>
      <c r="AL517" t="s">
        <v>57</v>
      </c>
      <c r="AM517" s="11">
        <v>44781</v>
      </c>
      <c r="AN517" t="s">
        <v>173</v>
      </c>
      <c r="AO517" t="s">
        <v>65</v>
      </c>
      <c r="AP517">
        <v>1204</v>
      </c>
      <c r="AQ517" t="s">
        <v>66</v>
      </c>
      <c r="AR517">
        <v>121863</v>
      </c>
      <c r="AU517" t="s">
        <v>57</v>
      </c>
      <c r="AV517" t="s">
        <v>68</v>
      </c>
      <c r="AX517" t="s">
        <v>57</v>
      </c>
      <c r="AY517">
        <v>631110</v>
      </c>
      <c r="AZ517">
        <v>1204.63111</v>
      </c>
      <c r="BA517" s="23" t="s">
        <v>12</v>
      </c>
    </row>
    <row r="518" spans="1:53" x14ac:dyDescent="0.25">
      <c r="A518" t="s">
        <v>134</v>
      </c>
      <c r="B518" t="s">
        <v>135</v>
      </c>
      <c r="C518">
        <v>22001834</v>
      </c>
      <c r="D518">
        <v>1204</v>
      </c>
      <c r="E518" s="11">
        <v>44781</v>
      </c>
      <c r="F518" t="s">
        <v>174</v>
      </c>
      <c r="G518">
        <v>6.18</v>
      </c>
      <c r="H518">
        <v>6.18</v>
      </c>
      <c r="I518" t="s">
        <v>56</v>
      </c>
      <c r="O518" t="s">
        <v>57</v>
      </c>
      <c r="Q518" t="s">
        <v>57</v>
      </c>
      <c r="R518" t="s">
        <v>137</v>
      </c>
      <c r="T518" t="s">
        <v>59</v>
      </c>
      <c r="U518" t="s">
        <v>60</v>
      </c>
      <c r="V518" t="s">
        <v>138</v>
      </c>
      <c r="W518" t="s">
        <v>139</v>
      </c>
      <c r="X518">
        <v>1928971</v>
      </c>
      <c r="Y518" s="11">
        <v>44781</v>
      </c>
      <c r="Z518" t="s">
        <v>57</v>
      </c>
      <c r="AA518">
        <v>8</v>
      </c>
      <c r="AB518" t="s">
        <v>57</v>
      </c>
      <c r="AD518" t="s">
        <v>57</v>
      </c>
      <c r="AE518" t="s">
        <v>57</v>
      </c>
      <c r="AF518" t="s">
        <v>57</v>
      </c>
      <c r="AG518">
        <v>5</v>
      </c>
      <c r="AH518" t="s">
        <v>57</v>
      </c>
      <c r="AL518" t="s">
        <v>57</v>
      </c>
      <c r="AM518" s="11">
        <v>44781</v>
      </c>
      <c r="AN518" t="s">
        <v>173</v>
      </c>
      <c r="AO518" t="s">
        <v>65</v>
      </c>
      <c r="AP518">
        <v>1204</v>
      </c>
      <c r="AQ518" t="s">
        <v>66</v>
      </c>
      <c r="AR518">
        <v>190204</v>
      </c>
      <c r="AU518" t="s">
        <v>57</v>
      </c>
      <c r="AV518" t="s">
        <v>68</v>
      </c>
      <c r="AX518" t="s">
        <v>57</v>
      </c>
      <c r="AY518">
        <v>631110</v>
      </c>
      <c r="AZ518">
        <v>1204.63111</v>
      </c>
      <c r="BA518" s="23" t="s">
        <v>12</v>
      </c>
    </row>
    <row r="519" spans="1:53" x14ac:dyDescent="0.25">
      <c r="A519" t="s">
        <v>134</v>
      </c>
      <c r="B519" t="s">
        <v>135</v>
      </c>
      <c r="C519">
        <v>22001834</v>
      </c>
      <c r="D519">
        <v>1204</v>
      </c>
      <c r="E519" s="11">
        <v>44781</v>
      </c>
      <c r="F519" t="s">
        <v>174</v>
      </c>
      <c r="G519">
        <v>32.26</v>
      </c>
      <c r="H519">
        <v>32.26</v>
      </c>
      <c r="I519" t="s">
        <v>56</v>
      </c>
      <c r="O519" t="s">
        <v>57</v>
      </c>
      <c r="Q519" t="s">
        <v>57</v>
      </c>
      <c r="R519" t="s">
        <v>137</v>
      </c>
      <c r="T519" t="s">
        <v>59</v>
      </c>
      <c r="U519" t="s">
        <v>60</v>
      </c>
      <c r="V519" t="s">
        <v>138</v>
      </c>
      <c r="W519" t="s">
        <v>139</v>
      </c>
      <c r="X519">
        <v>1928971</v>
      </c>
      <c r="Y519" s="11">
        <v>44781</v>
      </c>
      <c r="Z519" t="s">
        <v>57</v>
      </c>
      <c r="AA519">
        <v>10</v>
      </c>
      <c r="AB519" t="s">
        <v>57</v>
      </c>
      <c r="AD519" t="s">
        <v>57</v>
      </c>
      <c r="AE519" t="s">
        <v>57</v>
      </c>
      <c r="AF519" t="s">
        <v>57</v>
      </c>
      <c r="AG519">
        <v>6</v>
      </c>
      <c r="AH519" t="s">
        <v>57</v>
      </c>
      <c r="AL519" t="s">
        <v>57</v>
      </c>
      <c r="AM519" s="11">
        <v>44781</v>
      </c>
      <c r="AN519" t="s">
        <v>173</v>
      </c>
      <c r="AO519" t="s">
        <v>65</v>
      </c>
      <c r="AP519">
        <v>1204</v>
      </c>
      <c r="AQ519" t="s">
        <v>66</v>
      </c>
      <c r="AR519">
        <v>91077</v>
      </c>
      <c r="AU519" t="s">
        <v>57</v>
      </c>
      <c r="AV519" t="s">
        <v>68</v>
      </c>
      <c r="AX519" t="s">
        <v>57</v>
      </c>
      <c r="AY519">
        <v>631110</v>
      </c>
      <c r="AZ519">
        <v>1204.63111</v>
      </c>
      <c r="BA519" s="23" t="s">
        <v>12</v>
      </c>
    </row>
    <row r="520" spans="1:53" x14ac:dyDescent="0.25">
      <c r="A520" t="s">
        <v>134</v>
      </c>
      <c r="B520" t="s">
        <v>135</v>
      </c>
      <c r="C520">
        <v>22001835</v>
      </c>
      <c r="D520">
        <v>1204</v>
      </c>
      <c r="E520" s="11">
        <v>44781</v>
      </c>
      <c r="F520" t="s">
        <v>175</v>
      </c>
      <c r="G520">
        <v>0.39</v>
      </c>
      <c r="H520">
        <v>0.39</v>
      </c>
      <c r="I520" t="s">
        <v>56</v>
      </c>
      <c r="O520" t="s">
        <v>57</v>
      </c>
      <c r="Q520" t="s">
        <v>57</v>
      </c>
      <c r="R520" t="s">
        <v>137</v>
      </c>
      <c r="T520" t="s">
        <v>59</v>
      </c>
      <c r="U520" t="s">
        <v>60</v>
      </c>
      <c r="V520" t="s">
        <v>138</v>
      </c>
      <c r="W520" t="s">
        <v>139</v>
      </c>
      <c r="X520">
        <v>1928976</v>
      </c>
      <c r="Y520" s="11">
        <v>44781</v>
      </c>
      <c r="Z520" t="s">
        <v>57</v>
      </c>
      <c r="AA520">
        <v>2</v>
      </c>
      <c r="AB520" t="s">
        <v>57</v>
      </c>
      <c r="AD520" t="s">
        <v>57</v>
      </c>
      <c r="AE520" t="s">
        <v>57</v>
      </c>
      <c r="AF520" t="s">
        <v>57</v>
      </c>
      <c r="AG520">
        <v>5</v>
      </c>
      <c r="AH520" t="s">
        <v>57</v>
      </c>
      <c r="AL520" t="s">
        <v>57</v>
      </c>
      <c r="AM520" s="11">
        <v>44781</v>
      </c>
      <c r="AN520" t="s">
        <v>176</v>
      </c>
      <c r="AO520" t="s">
        <v>65</v>
      </c>
      <c r="AP520">
        <v>1204</v>
      </c>
      <c r="AQ520" t="s">
        <v>66</v>
      </c>
      <c r="AR520">
        <v>91479</v>
      </c>
      <c r="AU520" t="s">
        <v>57</v>
      </c>
      <c r="AV520" t="s">
        <v>68</v>
      </c>
      <c r="AX520" t="s">
        <v>57</v>
      </c>
      <c r="AY520">
        <v>631110</v>
      </c>
      <c r="AZ520">
        <v>1204.63111</v>
      </c>
      <c r="BA520" s="23" t="s">
        <v>12</v>
      </c>
    </row>
    <row r="521" spans="1:53" x14ac:dyDescent="0.25">
      <c r="A521" t="s">
        <v>134</v>
      </c>
      <c r="B521" t="s">
        <v>135</v>
      </c>
      <c r="C521">
        <v>22001835</v>
      </c>
      <c r="D521">
        <v>1204</v>
      </c>
      <c r="E521" s="11">
        <v>44781</v>
      </c>
      <c r="F521" t="s">
        <v>175</v>
      </c>
      <c r="G521">
        <v>1.1200000000000001</v>
      </c>
      <c r="H521">
        <v>1.1200000000000001</v>
      </c>
      <c r="I521" t="s">
        <v>56</v>
      </c>
      <c r="O521" t="s">
        <v>57</v>
      </c>
      <c r="Q521" t="s">
        <v>57</v>
      </c>
      <c r="R521" t="s">
        <v>137</v>
      </c>
      <c r="T521" t="s">
        <v>59</v>
      </c>
      <c r="U521" t="s">
        <v>60</v>
      </c>
      <c r="V521" t="s">
        <v>138</v>
      </c>
      <c r="W521" t="s">
        <v>139</v>
      </c>
      <c r="X521">
        <v>1928976</v>
      </c>
      <c r="Y521" s="11">
        <v>44781</v>
      </c>
      <c r="Z521" t="s">
        <v>57</v>
      </c>
      <c r="AA521">
        <v>4</v>
      </c>
      <c r="AB521" t="s">
        <v>57</v>
      </c>
      <c r="AD521" t="s">
        <v>57</v>
      </c>
      <c r="AE521" t="s">
        <v>57</v>
      </c>
      <c r="AF521" t="s">
        <v>57</v>
      </c>
      <c r="AG521">
        <v>10</v>
      </c>
      <c r="AH521" t="s">
        <v>57</v>
      </c>
      <c r="AL521" t="s">
        <v>57</v>
      </c>
      <c r="AM521" s="11">
        <v>44781</v>
      </c>
      <c r="AN521" t="s">
        <v>176</v>
      </c>
      <c r="AO521" t="s">
        <v>65</v>
      </c>
      <c r="AP521">
        <v>1204</v>
      </c>
      <c r="AQ521" t="s">
        <v>66</v>
      </c>
      <c r="AR521">
        <v>265267</v>
      </c>
      <c r="AU521" t="s">
        <v>57</v>
      </c>
      <c r="AV521" t="s">
        <v>68</v>
      </c>
      <c r="AX521" t="s">
        <v>57</v>
      </c>
      <c r="AY521">
        <v>631110</v>
      </c>
      <c r="AZ521">
        <v>1204.63111</v>
      </c>
      <c r="BA521" s="23" t="s">
        <v>12</v>
      </c>
    </row>
    <row r="522" spans="1:53" x14ac:dyDescent="0.25">
      <c r="A522" t="s">
        <v>134</v>
      </c>
      <c r="B522" t="s">
        <v>135</v>
      </c>
      <c r="C522">
        <v>22001835</v>
      </c>
      <c r="D522">
        <v>1204</v>
      </c>
      <c r="E522" s="11">
        <v>44781</v>
      </c>
      <c r="F522" t="s">
        <v>175</v>
      </c>
      <c r="G522">
        <v>0.44</v>
      </c>
      <c r="H522">
        <v>0.44</v>
      </c>
      <c r="I522" t="s">
        <v>56</v>
      </c>
      <c r="O522" t="s">
        <v>57</v>
      </c>
      <c r="Q522" t="s">
        <v>57</v>
      </c>
      <c r="R522" t="s">
        <v>137</v>
      </c>
      <c r="T522" t="s">
        <v>59</v>
      </c>
      <c r="U522" t="s">
        <v>60</v>
      </c>
      <c r="V522" t="s">
        <v>138</v>
      </c>
      <c r="W522" t="s">
        <v>139</v>
      </c>
      <c r="X522">
        <v>1928976</v>
      </c>
      <c r="Y522" s="11">
        <v>44781</v>
      </c>
      <c r="Z522" t="s">
        <v>57</v>
      </c>
      <c r="AA522">
        <v>6</v>
      </c>
      <c r="AB522" t="s">
        <v>57</v>
      </c>
      <c r="AD522" t="s">
        <v>57</v>
      </c>
      <c r="AE522" t="s">
        <v>57</v>
      </c>
      <c r="AF522" t="s">
        <v>57</v>
      </c>
      <c r="AG522">
        <v>4</v>
      </c>
      <c r="AH522" t="s">
        <v>57</v>
      </c>
      <c r="AL522" t="s">
        <v>57</v>
      </c>
      <c r="AM522" s="11">
        <v>44781</v>
      </c>
      <c r="AN522" t="s">
        <v>176</v>
      </c>
      <c r="AO522" t="s">
        <v>65</v>
      </c>
      <c r="AP522">
        <v>1204</v>
      </c>
      <c r="AQ522" t="s">
        <v>66</v>
      </c>
      <c r="AR522">
        <v>90435</v>
      </c>
      <c r="AU522" t="s">
        <v>57</v>
      </c>
      <c r="AV522" t="s">
        <v>68</v>
      </c>
      <c r="AX522" t="s">
        <v>57</v>
      </c>
      <c r="AY522">
        <v>631110</v>
      </c>
      <c r="AZ522">
        <v>1204.63111</v>
      </c>
      <c r="BA522" s="23" t="s">
        <v>12</v>
      </c>
    </row>
    <row r="523" spans="1:53" x14ac:dyDescent="0.25">
      <c r="A523" t="s">
        <v>134</v>
      </c>
      <c r="B523" t="s">
        <v>135</v>
      </c>
      <c r="C523">
        <v>22001835</v>
      </c>
      <c r="D523">
        <v>1204</v>
      </c>
      <c r="E523" s="11">
        <v>44781</v>
      </c>
      <c r="F523" t="s">
        <v>175</v>
      </c>
      <c r="G523">
        <v>0.23</v>
      </c>
      <c r="H523">
        <v>0.23</v>
      </c>
      <c r="I523" t="s">
        <v>56</v>
      </c>
      <c r="O523" t="s">
        <v>57</v>
      </c>
      <c r="Q523" t="s">
        <v>57</v>
      </c>
      <c r="R523" t="s">
        <v>137</v>
      </c>
      <c r="T523" t="s">
        <v>59</v>
      </c>
      <c r="U523" t="s">
        <v>60</v>
      </c>
      <c r="V523" t="s">
        <v>138</v>
      </c>
      <c r="W523" t="s">
        <v>139</v>
      </c>
      <c r="X523">
        <v>1928976</v>
      </c>
      <c r="Y523" s="11">
        <v>44781</v>
      </c>
      <c r="Z523" t="s">
        <v>57</v>
      </c>
      <c r="AA523">
        <v>8</v>
      </c>
      <c r="AB523" t="s">
        <v>57</v>
      </c>
      <c r="AD523" t="s">
        <v>57</v>
      </c>
      <c r="AE523" t="s">
        <v>57</v>
      </c>
      <c r="AF523" t="s">
        <v>57</v>
      </c>
      <c r="AG523">
        <v>3</v>
      </c>
      <c r="AH523" t="s">
        <v>57</v>
      </c>
      <c r="AL523" t="s">
        <v>57</v>
      </c>
      <c r="AM523" s="11">
        <v>44781</v>
      </c>
      <c r="AN523" t="s">
        <v>176</v>
      </c>
      <c r="AO523" t="s">
        <v>65</v>
      </c>
      <c r="AP523">
        <v>1204</v>
      </c>
      <c r="AQ523" t="s">
        <v>66</v>
      </c>
      <c r="AR523">
        <v>264585</v>
      </c>
      <c r="AU523" t="s">
        <v>57</v>
      </c>
      <c r="AV523" t="s">
        <v>68</v>
      </c>
      <c r="AX523" t="s">
        <v>57</v>
      </c>
      <c r="AY523">
        <v>631110</v>
      </c>
      <c r="AZ523">
        <v>1204.63111</v>
      </c>
      <c r="BA523" s="23" t="s">
        <v>12</v>
      </c>
    </row>
    <row r="524" spans="1:53" x14ac:dyDescent="0.25">
      <c r="A524" t="s">
        <v>134</v>
      </c>
      <c r="B524" t="s">
        <v>135</v>
      </c>
      <c r="C524">
        <v>22001835</v>
      </c>
      <c r="D524">
        <v>1204</v>
      </c>
      <c r="E524" s="11">
        <v>44781</v>
      </c>
      <c r="F524" t="s">
        <v>175</v>
      </c>
      <c r="G524">
        <v>2.92</v>
      </c>
      <c r="H524">
        <v>2.92</v>
      </c>
      <c r="I524" t="s">
        <v>56</v>
      </c>
      <c r="O524" t="s">
        <v>57</v>
      </c>
      <c r="Q524" t="s">
        <v>57</v>
      </c>
      <c r="R524" t="s">
        <v>137</v>
      </c>
      <c r="T524" t="s">
        <v>59</v>
      </c>
      <c r="U524" t="s">
        <v>60</v>
      </c>
      <c r="V524" t="s">
        <v>138</v>
      </c>
      <c r="W524" t="s">
        <v>139</v>
      </c>
      <c r="X524">
        <v>1928976</v>
      </c>
      <c r="Y524" s="11">
        <v>44781</v>
      </c>
      <c r="Z524" t="s">
        <v>57</v>
      </c>
      <c r="AA524">
        <v>10</v>
      </c>
      <c r="AB524" t="s">
        <v>57</v>
      </c>
      <c r="AD524" t="s">
        <v>57</v>
      </c>
      <c r="AE524" t="s">
        <v>57</v>
      </c>
      <c r="AF524" t="s">
        <v>57</v>
      </c>
      <c r="AG524">
        <v>19</v>
      </c>
      <c r="AH524" t="s">
        <v>57</v>
      </c>
      <c r="AL524" t="s">
        <v>57</v>
      </c>
      <c r="AM524" s="11">
        <v>44781</v>
      </c>
      <c r="AN524" t="s">
        <v>176</v>
      </c>
      <c r="AO524" t="s">
        <v>65</v>
      </c>
      <c r="AP524">
        <v>1204</v>
      </c>
      <c r="AQ524" t="s">
        <v>66</v>
      </c>
      <c r="AR524">
        <v>89712</v>
      </c>
      <c r="AU524" t="s">
        <v>57</v>
      </c>
      <c r="AV524" t="s">
        <v>68</v>
      </c>
      <c r="AX524" t="s">
        <v>57</v>
      </c>
      <c r="AY524">
        <v>631110</v>
      </c>
      <c r="AZ524">
        <v>1204.63111</v>
      </c>
      <c r="BA524" s="23" t="s">
        <v>12</v>
      </c>
    </row>
    <row r="525" spans="1:53" x14ac:dyDescent="0.25">
      <c r="A525" t="s">
        <v>134</v>
      </c>
      <c r="B525" t="s">
        <v>135</v>
      </c>
      <c r="C525">
        <v>22001835</v>
      </c>
      <c r="D525">
        <v>1204</v>
      </c>
      <c r="E525" s="11">
        <v>44781</v>
      </c>
      <c r="F525" t="s">
        <v>175</v>
      </c>
      <c r="G525">
        <v>7.66</v>
      </c>
      <c r="H525">
        <v>7.66</v>
      </c>
      <c r="I525" t="s">
        <v>56</v>
      </c>
      <c r="O525" t="s">
        <v>57</v>
      </c>
      <c r="Q525" t="s">
        <v>57</v>
      </c>
      <c r="R525" t="s">
        <v>137</v>
      </c>
      <c r="T525" t="s">
        <v>59</v>
      </c>
      <c r="U525" t="s">
        <v>60</v>
      </c>
      <c r="V525" t="s">
        <v>138</v>
      </c>
      <c r="W525" t="s">
        <v>139</v>
      </c>
      <c r="X525">
        <v>1928976</v>
      </c>
      <c r="Y525" s="11">
        <v>44781</v>
      </c>
      <c r="Z525" t="s">
        <v>57</v>
      </c>
      <c r="AA525">
        <v>12</v>
      </c>
      <c r="AB525" t="s">
        <v>57</v>
      </c>
      <c r="AD525" t="s">
        <v>57</v>
      </c>
      <c r="AE525" t="s">
        <v>57</v>
      </c>
      <c r="AF525" t="s">
        <v>57</v>
      </c>
      <c r="AG525">
        <v>21</v>
      </c>
      <c r="AH525" t="s">
        <v>57</v>
      </c>
      <c r="AL525" t="s">
        <v>57</v>
      </c>
      <c r="AM525" s="11">
        <v>44781</v>
      </c>
      <c r="AN525" t="s">
        <v>176</v>
      </c>
      <c r="AO525" t="s">
        <v>65</v>
      </c>
      <c r="AP525">
        <v>1204</v>
      </c>
      <c r="AQ525" t="s">
        <v>66</v>
      </c>
      <c r="AR525">
        <v>91011</v>
      </c>
      <c r="AU525" t="s">
        <v>57</v>
      </c>
      <c r="AV525" t="s">
        <v>68</v>
      </c>
      <c r="AX525" t="s">
        <v>57</v>
      </c>
      <c r="AY525">
        <v>631110</v>
      </c>
      <c r="AZ525">
        <v>1204.63111</v>
      </c>
      <c r="BA525" s="23" t="s">
        <v>12</v>
      </c>
    </row>
    <row r="526" spans="1:53" x14ac:dyDescent="0.25">
      <c r="A526" t="s">
        <v>134</v>
      </c>
      <c r="B526" t="s">
        <v>135</v>
      </c>
      <c r="C526">
        <v>22001835</v>
      </c>
      <c r="D526">
        <v>1204</v>
      </c>
      <c r="E526" s="11">
        <v>44781</v>
      </c>
      <c r="F526" t="s">
        <v>175</v>
      </c>
      <c r="G526">
        <v>1.05</v>
      </c>
      <c r="H526">
        <v>1.05</v>
      </c>
      <c r="I526" t="s">
        <v>56</v>
      </c>
      <c r="O526" t="s">
        <v>57</v>
      </c>
      <c r="Q526" t="s">
        <v>57</v>
      </c>
      <c r="R526" t="s">
        <v>137</v>
      </c>
      <c r="T526" t="s">
        <v>59</v>
      </c>
      <c r="U526" t="s">
        <v>60</v>
      </c>
      <c r="V526" t="s">
        <v>138</v>
      </c>
      <c r="W526" t="s">
        <v>139</v>
      </c>
      <c r="X526">
        <v>1928976</v>
      </c>
      <c r="Y526" s="11">
        <v>44781</v>
      </c>
      <c r="Z526" t="s">
        <v>57</v>
      </c>
      <c r="AA526">
        <v>14</v>
      </c>
      <c r="AB526" t="s">
        <v>57</v>
      </c>
      <c r="AD526" t="s">
        <v>57</v>
      </c>
      <c r="AE526" t="s">
        <v>57</v>
      </c>
      <c r="AF526" t="s">
        <v>57</v>
      </c>
      <c r="AG526">
        <v>7</v>
      </c>
      <c r="AH526" t="s">
        <v>57</v>
      </c>
      <c r="AL526" t="s">
        <v>57</v>
      </c>
      <c r="AM526" s="11">
        <v>44781</v>
      </c>
      <c r="AN526" t="s">
        <v>176</v>
      </c>
      <c r="AO526" t="s">
        <v>65</v>
      </c>
      <c r="AP526">
        <v>1204</v>
      </c>
      <c r="AQ526" t="s">
        <v>66</v>
      </c>
      <c r="AR526">
        <v>144854</v>
      </c>
      <c r="AU526" t="s">
        <v>57</v>
      </c>
      <c r="AV526" t="s">
        <v>68</v>
      </c>
      <c r="AX526" t="s">
        <v>57</v>
      </c>
      <c r="AY526">
        <v>631110</v>
      </c>
      <c r="AZ526">
        <v>1204.63111</v>
      </c>
      <c r="BA526" s="23" t="s">
        <v>12</v>
      </c>
    </row>
    <row r="527" spans="1:53" x14ac:dyDescent="0.25">
      <c r="A527" t="s">
        <v>134</v>
      </c>
      <c r="B527" t="s">
        <v>135</v>
      </c>
      <c r="C527">
        <v>22001836</v>
      </c>
      <c r="D527">
        <v>1204</v>
      </c>
      <c r="E527" s="11">
        <v>44782</v>
      </c>
      <c r="F527" t="s">
        <v>159</v>
      </c>
      <c r="G527">
        <v>30.24</v>
      </c>
      <c r="H527">
        <v>30.24</v>
      </c>
      <c r="I527" t="s">
        <v>56</v>
      </c>
      <c r="O527" t="s">
        <v>57</v>
      </c>
      <c r="Q527" t="s">
        <v>57</v>
      </c>
      <c r="R527" t="s">
        <v>137</v>
      </c>
      <c r="T527" t="s">
        <v>59</v>
      </c>
      <c r="U527" t="s">
        <v>60</v>
      </c>
      <c r="V527" t="s">
        <v>138</v>
      </c>
      <c r="W527" t="s">
        <v>139</v>
      </c>
      <c r="X527">
        <v>1929196</v>
      </c>
      <c r="Y527" s="11">
        <v>44782</v>
      </c>
      <c r="Z527" t="s">
        <v>57</v>
      </c>
      <c r="AA527">
        <v>4</v>
      </c>
      <c r="AB527" t="s">
        <v>57</v>
      </c>
      <c r="AD527" t="s">
        <v>57</v>
      </c>
      <c r="AE527" t="s">
        <v>57</v>
      </c>
      <c r="AF527" t="s">
        <v>57</v>
      </c>
      <c r="AG527">
        <v>2</v>
      </c>
      <c r="AH527" t="s">
        <v>57</v>
      </c>
      <c r="AL527" t="s">
        <v>57</v>
      </c>
      <c r="AM527" s="11">
        <v>44782</v>
      </c>
      <c r="AN527" t="s">
        <v>173</v>
      </c>
      <c r="AO527" t="s">
        <v>65</v>
      </c>
      <c r="AP527">
        <v>1204</v>
      </c>
      <c r="AQ527" t="s">
        <v>66</v>
      </c>
      <c r="AR527">
        <v>88717</v>
      </c>
      <c r="AU527" t="s">
        <v>57</v>
      </c>
      <c r="AV527" t="s">
        <v>68</v>
      </c>
      <c r="AX527" t="s">
        <v>57</v>
      </c>
      <c r="AY527">
        <v>631110</v>
      </c>
      <c r="AZ527">
        <v>1204.63111</v>
      </c>
      <c r="BA527" s="23" t="s">
        <v>12</v>
      </c>
    </row>
    <row r="528" spans="1:53" x14ac:dyDescent="0.25">
      <c r="A528" t="s">
        <v>134</v>
      </c>
      <c r="B528" t="s">
        <v>135</v>
      </c>
      <c r="C528">
        <v>22001836</v>
      </c>
      <c r="D528">
        <v>1204</v>
      </c>
      <c r="E528" s="11">
        <v>44782</v>
      </c>
      <c r="F528" t="s">
        <v>159</v>
      </c>
      <c r="G528">
        <v>7.0000000000000007E-2</v>
      </c>
      <c r="H528">
        <v>7.0000000000000007E-2</v>
      </c>
      <c r="I528" t="s">
        <v>56</v>
      </c>
      <c r="O528" t="s">
        <v>57</v>
      </c>
      <c r="Q528" t="s">
        <v>57</v>
      </c>
      <c r="R528" t="s">
        <v>137</v>
      </c>
      <c r="T528" t="s">
        <v>59</v>
      </c>
      <c r="U528" t="s">
        <v>60</v>
      </c>
      <c r="V528" t="s">
        <v>138</v>
      </c>
      <c r="W528" t="s">
        <v>139</v>
      </c>
      <c r="X528">
        <v>1929196</v>
      </c>
      <c r="Y528" s="11">
        <v>44782</v>
      </c>
      <c r="Z528" t="s">
        <v>57</v>
      </c>
      <c r="AA528">
        <v>6</v>
      </c>
      <c r="AB528" t="s">
        <v>57</v>
      </c>
      <c r="AD528" t="s">
        <v>57</v>
      </c>
      <c r="AE528" t="s">
        <v>57</v>
      </c>
      <c r="AF528" t="s">
        <v>57</v>
      </c>
      <c r="AG528">
        <v>1</v>
      </c>
      <c r="AH528" t="s">
        <v>57</v>
      </c>
      <c r="AL528" t="s">
        <v>57</v>
      </c>
      <c r="AM528" s="11">
        <v>44782</v>
      </c>
      <c r="AN528" t="s">
        <v>173</v>
      </c>
      <c r="AO528" t="s">
        <v>65</v>
      </c>
      <c r="AP528">
        <v>1204</v>
      </c>
      <c r="AQ528" t="s">
        <v>66</v>
      </c>
      <c r="AR528">
        <v>89908</v>
      </c>
      <c r="AU528" t="s">
        <v>57</v>
      </c>
      <c r="AV528" t="s">
        <v>68</v>
      </c>
      <c r="AX528" t="s">
        <v>57</v>
      </c>
      <c r="AY528">
        <v>631110</v>
      </c>
      <c r="AZ528">
        <v>1204.63111</v>
      </c>
      <c r="BA528" s="23" t="s">
        <v>12</v>
      </c>
    </row>
    <row r="529" spans="1:53" x14ac:dyDescent="0.25">
      <c r="A529" t="s">
        <v>134</v>
      </c>
      <c r="B529" t="s">
        <v>135</v>
      </c>
      <c r="C529">
        <v>22001836</v>
      </c>
      <c r="D529">
        <v>1204</v>
      </c>
      <c r="E529" s="11">
        <v>44782</v>
      </c>
      <c r="F529" t="s">
        <v>159</v>
      </c>
      <c r="G529">
        <v>0.18</v>
      </c>
      <c r="H529">
        <v>0.18</v>
      </c>
      <c r="I529" t="s">
        <v>56</v>
      </c>
      <c r="O529" t="s">
        <v>57</v>
      </c>
      <c r="Q529" t="s">
        <v>57</v>
      </c>
      <c r="R529" t="s">
        <v>137</v>
      </c>
      <c r="T529" t="s">
        <v>59</v>
      </c>
      <c r="U529" t="s">
        <v>60</v>
      </c>
      <c r="V529" t="s">
        <v>138</v>
      </c>
      <c r="W529" t="s">
        <v>139</v>
      </c>
      <c r="X529">
        <v>1929196</v>
      </c>
      <c r="Y529" s="11">
        <v>44782</v>
      </c>
      <c r="Z529" t="s">
        <v>57</v>
      </c>
      <c r="AA529">
        <v>8</v>
      </c>
      <c r="AB529" t="s">
        <v>57</v>
      </c>
      <c r="AD529" t="s">
        <v>57</v>
      </c>
      <c r="AE529" t="s">
        <v>57</v>
      </c>
      <c r="AF529" t="s">
        <v>57</v>
      </c>
      <c r="AG529">
        <v>1</v>
      </c>
      <c r="AH529" t="s">
        <v>57</v>
      </c>
      <c r="AL529" t="s">
        <v>57</v>
      </c>
      <c r="AM529" s="11">
        <v>44782</v>
      </c>
      <c r="AN529" t="s">
        <v>173</v>
      </c>
      <c r="AO529" t="s">
        <v>65</v>
      </c>
      <c r="AP529">
        <v>1204</v>
      </c>
      <c r="AQ529" t="s">
        <v>66</v>
      </c>
      <c r="AR529">
        <v>214210</v>
      </c>
      <c r="AU529" t="s">
        <v>57</v>
      </c>
      <c r="AV529" t="s">
        <v>68</v>
      </c>
      <c r="AX529" t="s">
        <v>57</v>
      </c>
      <c r="AY529">
        <v>631110</v>
      </c>
      <c r="AZ529">
        <v>1204.63111</v>
      </c>
      <c r="BA529" s="23" t="s">
        <v>12</v>
      </c>
    </row>
    <row r="530" spans="1:53" x14ac:dyDescent="0.25">
      <c r="A530" t="s">
        <v>134</v>
      </c>
      <c r="B530" t="s">
        <v>135</v>
      </c>
      <c r="C530">
        <v>22001836</v>
      </c>
      <c r="D530">
        <v>1204</v>
      </c>
      <c r="E530" s="11">
        <v>44782</v>
      </c>
      <c r="F530" t="s">
        <v>159</v>
      </c>
      <c r="G530">
        <v>0.14000000000000001</v>
      </c>
      <c r="H530">
        <v>0.14000000000000001</v>
      </c>
      <c r="I530" t="s">
        <v>56</v>
      </c>
      <c r="O530" t="s">
        <v>57</v>
      </c>
      <c r="Q530" t="s">
        <v>57</v>
      </c>
      <c r="R530" t="s">
        <v>137</v>
      </c>
      <c r="T530" t="s">
        <v>59</v>
      </c>
      <c r="U530" t="s">
        <v>60</v>
      </c>
      <c r="V530" t="s">
        <v>138</v>
      </c>
      <c r="W530" t="s">
        <v>139</v>
      </c>
      <c r="X530">
        <v>1929196</v>
      </c>
      <c r="Y530" s="11">
        <v>44782</v>
      </c>
      <c r="Z530" t="s">
        <v>57</v>
      </c>
      <c r="AA530">
        <v>2</v>
      </c>
      <c r="AB530" t="s">
        <v>57</v>
      </c>
      <c r="AD530" t="s">
        <v>57</v>
      </c>
      <c r="AE530" t="s">
        <v>57</v>
      </c>
      <c r="AF530" t="s">
        <v>57</v>
      </c>
      <c r="AG530">
        <v>2</v>
      </c>
      <c r="AH530" t="s">
        <v>57</v>
      </c>
      <c r="AL530" t="s">
        <v>57</v>
      </c>
      <c r="AM530" s="11">
        <v>44782</v>
      </c>
      <c r="AN530" t="s">
        <v>173</v>
      </c>
      <c r="AO530" t="s">
        <v>65</v>
      </c>
      <c r="AP530">
        <v>1204</v>
      </c>
      <c r="AQ530" t="s">
        <v>66</v>
      </c>
      <c r="AR530">
        <v>89908</v>
      </c>
      <c r="AU530" t="s">
        <v>57</v>
      </c>
      <c r="AV530" t="s">
        <v>68</v>
      </c>
      <c r="AX530" t="s">
        <v>57</v>
      </c>
      <c r="AY530">
        <v>631110</v>
      </c>
      <c r="AZ530">
        <v>1204.63111</v>
      </c>
      <c r="BA530" s="23" t="s">
        <v>12</v>
      </c>
    </row>
    <row r="531" spans="1:53" x14ac:dyDescent="0.25">
      <c r="A531" t="s">
        <v>134</v>
      </c>
      <c r="B531" t="s">
        <v>135</v>
      </c>
      <c r="C531">
        <v>22001837</v>
      </c>
      <c r="D531">
        <v>1204</v>
      </c>
      <c r="E531" s="11">
        <v>44782</v>
      </c>
      <c r="F531" t="s">
        <v>174</v>
      </c>
      <c r="G531">
        <v>0.55000000000000004</v>
      </c>
      <c r="H531">
        <v>0.55000000000000004</v>
      </c>
      <c r="I531" t="s">
        <v>56</v>
      </c>
      <c r="O531" t="s">
        <v>57</v>
      </c>
      <c r="Q531" t="s">
        <v>57</v>
      </c>
      <c r="R531" t="s">
        <v>137</v>
      </c>
      <c r="T531" t="s">
        <v>59</v>
      </c>
      <c r="U531" t="s">
        <v>60</v>
      </c>
      <c r="V531" t="s">
        <v>138</v>
      </c>
      <c r="W531" t="s">
        <v>139</v>
      </c>
      <c r="X531">
        <v>1929196</v>
      </c>
      <c r="Y531" s="11">
        <v>44782</v>
      </c>
      <c r="Z531" t="s">
        <v>57</v>
      </c>
      <c r="AA531">
        <v>16</v>
      </c>
      <c r="AB531" t="s">
        <v>57</v>
      </c>
      <c r="AD531" t="s">
        <v>57</v>
      </c>
      <c r="AE531" t="s">
        <v>57</v>
      </c>
      <c r="AF531" t="s">
        <v>57</v>
      </c>
      <c r="AG531">
        <v>1</v>
      </c>
      <c r="AH531" t="s">
        <v>57</v>
      </c>
      <c r="AL531" t="s">
        <v>57</v>
      </c>
      <c r="AM531" s="11">
        <v>44782</v>
      </c>
      <c r="AN531" t="s">
        <v>173</v>
      </c>
      <c r="AO531" t="s">
        <v>65</v>
      </c>
      <c r="AP531">
        <v>1204</v>
      </c>
      <c r="AQ531" t="s">
        <v>66</v>
      </c>
      <c r="AR531">
        <v>89777</v>
      </c>
      <c r="AU531" t="s">
        <v>57</v>
      </c>
      <c r="AV531" t="s">
        <v>68</v>
      </c>
      <c r="AX531" t="s">
        <v>57</v>
      </c>
      <c r="AY531">
        <v>631110</v>
      </c>
      <c r="AZ531">
        <v>1204.63111</v>
      </c>
      <c r="BA531" s="23" t="s">
        <v>12</v>
      </c>
    </row>
    <row r="532" spans="1:53" x14ac:dyDescent="0.25">
      <c r="A532" t="s">
        <v>134</v>
      </c>
      <c r="B532" t="s">
        <v>135</v>
      </c>
      <c r="C532">
        <v>22001837</v>
      </c>
      <c r="D532">
        <v>1204</v>
      </c>
      <c r="E532" s="11">
        <v>44782</v>
      </c>
      <c r="F532" t="s">
        <v>174</v>
      </c>
      <c r="G532">
        <v>10.82</v>
      </c>
      <c r="H532">
        <v>10.82</v>
      </c>
      <c r="I532" t="s">
        <v>56</v>
      </c>
      <c r="O532" t="s">
        <v>57</v>
      </c>
      <c r="Q532" t="s">
        <v>57</v>
      </c>
      <c r="R532" t="s">
        <v>137</v>
      </c>
      <c r="T532" t="s">
        <v>59</v>
      </c>
      <c r="U532" t="s">
        <v>60</v>
      </c>
      <c r="V532" t="s">
        <v>138</v>
      </c>
      <c r="W532" t="s">
        <v>139</v>
      </c>
      <c r="X532">
        <v>1929196</v>
      </c>
      <c r="Y532" s="11">
        <v>44782</v>
      </c>
      <c r="Z532" t="s">
        <v>57</v>
      </c>
      <c r="AA532">
        <v>18</v>
      </c>
      <c r="AB532" t="s">
        <v>57</v>
      </c>
      <c r="AD532" t="s">
        <v>57</v>
      </c>
      <c r="AE532" t="s">
        <v>57</v>
      </c>
      <c r="AF532" t="s">
        <v>57</v>
      </c>
      <c r="AG532">
        <v>1</v>
      </c>
      <c r="AH532" t="s">
        <v>57</v>
      </c>
      <c r="AL532" t="s">
        <v>57</v>
      </c>
      <c r="AM532" s="11">
        <v>44782</v>
      </c>
      <c r="AN532" t="s">
        <v>173</v>
      </c>
      <c r="AO532" t="s">
        <v>65</v>
      </c>
      <c r="AP532">
        <v>1204</v>
      </c>
      <c r="AQ532" t="s">
        <v>66</v>
      </c>
      <c r="AR532">
        <v>221864</v>
      </c>
      <c r="AU532" t="s">
        <v>57</v>
      </c>
      <c r="AV532" t="s">
        <v>68</v>
      </c>
      <c r="AX532" t="s">
        <v>57</v>
      </c>
      <c r="AY532">
        <v>631110</v>
      </c>
      <c r="AZ532">
        <v>1204.63111</v>
      </c>
      <c r="BA532" s="23" t="s">
        <v>12</v>
      </c>
    </row>
    <row r="533" spans="1:53" x14ac:dyDescent="0.25">
      <c r="A533" t="s">
        <v>134</v>
      </c>
      <c r="B533" t="s">
        <v>135</v>
      </c>
      <c r="C533">
        <v>22001837</v>
      </c>
      <c r="D533">
        <v>1204</v>
      </c>
      <c r="E533" s="11">
        <v>44782</v>
      </c>
      <c r="F533" t="s">
        <v>174</v>
      </c>
      <c r="G533">
        <v>0.35</v>
      </c>
      <c r="H533">
        <v>0.35</v>
      </c>
      <c r="I533" t="s">
        <v>56</v>
      </c>
      <c r="O533" t="s">
        <v>57</v>
      </c>
      <c r="Q533" t="s">
        <v>57</v>
      </c>
      <c r="R533" t="s">
        <v>137</v>
      </c>
      <c r="T533" t="s">
        <v>59</v>
      </c>
      <c r="U533" t="s">
        <v>60</v>
      </c>
      <c r="V533" t="s">
        <v>138</v>
      </c>
      <c r="W533" t="s">
        <v>139</v>
      </c>
      <c r="X533">
        <v>1929196</v>
      </c>
      <c r="Y533" s="11">
        <v>44782</v>
      </c>
      <c r="Z533" t="s">
        <v>57</v>
      </c>
      <c r="AA533">
        <v>14</v>
      </c>
      <c r="AB533" t="s">
        <v>57</v>
      </c>
      <c r="AD533" t="s">
        <v>57</v>
      </c>
      <c r="AE533" t="s">
        <v>57</v>
      </c>
      <c r="AF533" t="s">
        <v>57</v>
      </c>
      <c r="AG533">
        <v>1</v>
      </c>
      <c r="AH533" t="s">
        <v>57</v>
      </c>
      <c r="AL533" t="s">
        <v>57</v>
      </c>
      <c r="AM533" s="11">
        <v>44782</v>
      </c>
      <c r="AN533" t="s">
        <v>173</v>
      </c>
      <c r="AO533" t="s">
        <v>65</v>
      </c>
      <c r="AP533">
        <v>1204</v>
      </c>
      <c r="AQ533" t="s">
        <v>66</v>
      </c>
      <c r="AR533">
        <v>249245</v>
      </c>
      <c r="AU533" t="s">
        <v>57</v>
      </c>
      <c r="AV533" t="s">
        <v>68</v>
      </c>
      <c r="AX533" t="s">
        <v>57</v>
      </c>
      <c r="AY533">
        <v>631110</v>
      </c>
      <c r="AZ533">
        <v>1204.63111</v>
      </c>
      <c r="BA533" s="23" t="s">
        <v>12</v>
      </c>
    </row>
    <row r="534" spans="1:53" x14ac:dyDescent="0.25">
      <c r="A534" t="s">
        <v>134</v>
      </c>
      <c r="B534" t="s">
        <v>135</v>
      </c>
      <c r="C534">
        <v>22001837</v>
      </c>
      <c r="D534">
        <v>1204</v>
      </c>
      <c r="E534" s="11">
        <v>44782</v>
      </c>
      <c r="F534" t="s">
        <v>174</v>
      </c>
      <c r="G534">
        <v>0.04</v>
      </c>
      <c r="H534">
        <v>0.04</v>
      </c>
      <c r="I534" t="s">
        <v>56</v>
      </c>
      <c r="O534" t="s">
        <v>57</v>
      </c>
      <c r="Q534" t="s">
        <v>57</v>
      </c>
      <c r="R534" t="s">
        <v>137</v>
      </c>
      <c r="T534" t="s">
        <v>59</v>
      </c>
      <c r="U534" t="s">
        <v>60</v>
      </c>
      <c r="V534" t="s">
        <v>138</v>
      </c>
      <c r="W534" t="s">
        <v>139</v>
      </c>
      <c r="X534">
        <v>1929196</v>
      </c>
      <c r="Y534" s="11">
        <v>44782</v>
      </c>
      <c r="Z534" t="s">
        <v>57</v>
      </c>
      <c r="AA534">
        <v>20</v>
      </c>
      <c r="AB534" t="s">
        <v>57</v>
      </c>
      <c r="AD534" t="s">
        <v>57</v>
      </c>
      <c r="AE534" t="s">
        <v>57</v>
      </c>
      <c r="AF534" t="s">
        <v>57</v>
      </c>
      <c r="AG534">
        <v>1</v>
      </c>
      <c r="AH534" t="s">
        <v>57</v>
      </c>
      <c r="AL534" t="s">
        <v>57</v>
      </c>
      <c r="AM534" s="11">
        <v>44782</v>
      </c>
      <c r="AN534" t="s">
        <v>173</v>
      </c>
      <c r="AO534" t="s">
        <v>65</v>
      </c>
      <c r="AP534">
        <v>1204</v>
      </c>
      <c r="AQ534" t="s">
        <v>66</v>
      </c>
      <c r="AR534">
        <v>90041</v>
      </c>
      <c r="AU534" t="s">
        <v>57</v>
      </c>
      <c r="AV534" t="s">
        <v>68</v>
      </c>
      <c r="AX534" t="s">
        <v>57</v>
      </c>
      <c r="AY534">
        <v>631110</v>
      </c>
      <c r="AZ534">
        <v>1204.63111</v>
      </c>
      <c r="BA534" s="23" t="s">
        <v>12</v>
      </c>
    </row>
    <row r="535" spans="1:53" x14ac:dyDescent="0.25">
      <c r="A535" t="s">
        <v>134</v>
      </c>
      <c r="B535" t="s">
        <v>135</v>
      </c>
      <c r="C535">
        <v>22001837</v>
      </c>
      <c r="D535">
        <v>1204</v>
      </c>
      <c r="E535" s="11">
        <v>44782</v>
      </c>
      <c r="F535" t="s">
        <v>174</v>
      </c>
      <c r="G535">
        <v>10.82</v>
      </c>
      <c r="H535">
        <v>10.82</v>
      </c>
      <c r="I535" t="s">
        <v>56</v>
      </c>
      <c r="O535" t="s">
        <v>57</v>
      </c>
      <c r="Q535" t="s">
        <v>57</v>
      </c>
      <c r="R535" t="s">
        <v>137</v>
      </c>
      <c r="T535" t="s">
        <v>59</v>
      </c>
      <c r="U535" t="s">
        <v>60</v>
      </c>
      <c r="V535" t="s">
        <v>138</v>
      </c>
      <c r="W535" t="s">
        <v>139</v>
      </c>
      <c r="X535">
        <v>1929196</v>
      </c>
      <c r="Y535" s="11">
        <v>44782</v>
      </c>
      <c r="Z535" t="s">
        <v>57</v>
      </c>
      <c r="AA535">
        <v>22</v>
      </c>
      <c r="AB535" t="s">
        <v>57</v>
      </c>
      <c r="AD535" t="s">
        <v>57</v>
      </c>
      <c r="AE535" t="s">
        <v>57</v>
      </c>
      <c r="AF535" t="s">
        <v>57</v>
      </c>
      <c r="AG535">
        <v>1</v>
      </c>
      <c r="AH535" t="s">
        <v>57</v>
      </c>
      <c r="AL535" t="s">
        <v>57</v>
      </c>
      <c r="AM535" s="11">
        <v>44782</v>
      </c>
      <c r="AN535" t="s">
        <v>173</v>
      </c>
      <c r="AO535" t="s">
        <v>65</v>
      </c>
      <c r="AP535">
        <v>1204</v>
      </c>
      <c r="AQ535" t="s">
        <v>66</v>
      </c>
      <c r="AR535">
        <v>221864</v>
      </c>
      <c r="AU535" t="s">
        <v>57</v>
      </c>
      <c r="AV535" t="s">
        <v>68</v>
      </c>
      <c r="AX535" t="s">
        <v>57</v>
      </c>
      <c r="AY535">
        <v>631110</v>
      </c>
      <c r="AZ535">
        <v>1204.63111</v>
      </c>
      <c r="BA535" s="23" t="s">
        <v>12</v>
      </c>
    </row>
    <row r="536" spans="1:53" x14ac:dyDescent="0.25">
      <c r="A536" t="s">
        <v>134</v>
      </c>
      <c r="B536" t="s">
        <v>135</v>
      </c>
      <c r="C536">
        <v>22001837</v>
      </c>
      <c r="D536">
        <v>1204</v>
      </c>
      <c r="E536" s="11">
        <v>44782</v>
      </c>
      <c r="F536" t="s">
        <v>174</v>
      </c>
      <c r="G536">
        <v>0.16</v>
      </c>
      <c r="H536">
        <v>0.16</v>
      </c>
      <c r="I536" t="s">
        <v>56</v>
      </c>
      <c r="O536" t="s">
        <v>57</v>
      </c>
      <c r="Q536" t="s">
        <v>57</v>
      </c>
      <c r="R536" t="s">
        <v>137</v>
      </c>
      <c r="T536" t="s">
        <v>59</v>
      </c>
      <c r="U536" t="s">
        <v>60</v>
      </c>
      <c r="V536" t="s">
        <v>138</v>
      </c>
      <c r="W536" t="s">
        <v>139</v>
      </c>
      <c r="X536">
        <v>1929196</v>
      </c>
      <c r="Y536" s="11">
        <v>44782</v>
      </c>
      <c r="Z536" t="s">
        <v>57</v>
      </c>
      <c r="AA536">
        <v>2</v>
      </c>
      <c r="AB536" t="s">
        <v>57</v>
      </c>
      <c r="AD536" t="s">
        <v>57</v>
      </c>
      <c r="AE536" t="s">
        <v>57</v>
      </c>
      <c r="AF536" t="s">
        <v>57</v>
      </c>
      <c r="AG536">
        <v>1</v>
      </c>
      <c r="AH536" t="s">
        <v>57</v>
      </c>
      <c r="AL536" t="s">
        <v>57</v>
      </c>
      <c r="AM536" s="11">
        <v>44782</v>
      </c>
      <c r="AN536" t="s">
        <v>173</v>
      </c>
      <c r="AO536" t="s">
        <v>65</v>
      </c>
      <c r="AP536">
        <v>1204</v>
      </c>
      <c r="AQ536" t="s">
        <v>66</v>
      </c>
      <c r="AR536">
        <v>88760</v>
      </c>
      <c r="AU536" t="s">
        <v>57</v>
      </c>
      <c r="AV536" t="s">
        <v>68</v>
      </c>
      <c r="AX536" t="s">
        <v>57</v>
      </c>
      <c r="AY536">
        <v>631110</v>
      </c>
      <c r="AZ536">
        <v>1204.63111</v>
      </c>
      <c r="BA536" s="23" t="s">
        <v>12</v>
      </c>
    </row>
    <row r="537" spans="1:53" x14ac:dyDescent="0.25">
      <c r="A537" t="s">
        <v>134</v>
      </c>
      <c r="B537" t="s">
        <v>135</v>
      </c>
      <c r="C537">
        <v>22001837</v>
      </c>
      <c r="D537">
        <v>1204</v>
      </c>
      <c r="E537" s="11">
        <v>44782</v>
      </c>
      <c r="F537" t="s">
        <v>174</v>
      </c>
      <c r="G537">
        <v>1.42</v>
      </c>
      <c r="H537">
        <v>1.42</v>
      </c>
      <c r="I537" t="s">
        <v>56</v>
      </c>
      <c r="O537" t="s">
        <v>57</v>
      </c>
      <c r="Q537" t="s">
        <v>57</v>
      </c>
      <c r="R537" t="s">
        <v>137</v>
      </c>
      <c r="T537" t="s">
        <v>59</v>
      </c>
      <c r="U537" t="s">
        <v>60</v>
      </c>
      <c r="V537" t="s">
        <v>138</v>
      </c>
      <c r="W537" t="s">
        <v>139</v>
      </c>
      <c r="X537">
        <v>1929196</v>
      </c>
      <c r="Y537" s="11">
        <v>44782</v>
      </c>
      <c r="Z537" t="s">
        <v>57</v>
      </c>
      <c r="AA537">
        <v>4</v>
      </c>
      <c r="AB537" t="s">
        <v>57</v>
      </c>
      <c r="AD537" t="s">
        <v>57</v>
      </c>
      <c r="AE537" t="s">
        <v>57</v>
      </c>
      <c r="AF537" t="s">
        <v>57</v>
      </c>
      <c r="AG537">
        <v>2</v>
      </c>
      <c r="AH537" t="s">
        <v>57</v>
      </c>
      <c r="AL537" t="s">
        <v>57</v>
      </c>
      <c r="AM537" s="11">
        <v>44782</v>
      </c>
      <c r="AN537" t="s">
        <v>173</v>
      </c>
      <c r="AO537" t="s">
        <v>65</v>
      </c>
      <c r="AP537">
        <v>1204</v>
      </c>
      <c r="AQ537" t="s">
        <v>66</v>
      </c>
      <c r="AR537">
        <v>89486</v>
      </c>
      <c r="AU537" t="s">
        <v>57</v>
      </c>
      <c r="AV537" t="s">
        <v>68</v>
      </c>
      <c r="AX537" t="s">
        <v>57</v>
      </c>
      <c r="AY537">
        <v>631110</v>
      </c>
      <c r="AZ537">
        <v>1204.63111</v>
      </c>
      <c r="BA537" s="23" t="s">
        <v>12</v>
      </c>
    </row>
    <row r="538" spans="1:53" x14ac:dyDescent="0.25">
      <c r="A538" t="s">
        <v>134</v>
      </c>
      <c r="B538" t="s">
        <v>135</v>
      </c>
      <c r="C538">
        <v>22001837</v>
      </c>
      <c r="D538">
        <v>1204</v>
      </c>
      <c r="E538" s="11">
        <v>44782</v>
      </c>
      <c r="F538" t="s">
        <v>174</v>
      </c>
      <c r="G538">
        <v>2.5099999999999998</v>
      </c>
      <c r="H538">
        <v>2.5099999999999998</v>
      </c>
      <c r="I538" t="s">
        <v>56</v>
      </c>
      <c r="O538" t="s">
        <v>57</v>
      </c>
      <c r="Q538" t="s">
        <v>57</v>
      </c>
      <c r="R538" t="s">
        <v>137</v>
      </c>
      <c r="T538" t="s">
        <v>59</v>
      </c>
      <c r="U538" t="s">
        <v>60</v>
      </c>
      <c r="V538" t="s">
        <v>138</v>
      </c>
      <c r="W538" t="s">
        <v>139</v>
      </c>
      <c r="X538">
        <v>1929196</v>
      </c>
      <c r="Y538" s="11">
        <v>44782</v>
      </c>
      <c r="Z538" t="s">
        <v>57</v>
      </c>
      <c r="AA538">
        <v>6</v>
      </c>
      <c r="AB538" t="s">
        <v>57</v>
      </c>
      <c r="AD538" t="s">
        <v>57</v>
      </c>
      <c r="AE538" t="s">
        <v>57</v>
      </c>
      <c r="AF538" t="s">
        <v>57</v>
      </c>
      <c r="AG538">
        <v>1</v>
      </c>
      <c r="AH538" t="s">
        <v>57</v>
      </c>
      <c r="AL538" t="s">
        <v>57</v>
      </c>
      <c r="AM538" s="11">
        <v>44782</v>
      </c>
      <c r="AN538" t="s">
        <v>173</v>
      </c>
      <c r="AO538" t="s">
        <v>65</v>
      </c>
      <c r="AP538">
        <v>1204</v>
      </c>
      <c r="AQ538" t="s">
        <v>66</v>
      </c>
      <c r="AR538">
        <v>152910</v>
      </c>
      <c r="AU538" t="s">
        <v>57</v>
      </c>
      <c r="AV538" t="s">
        <v>68</v>
      </c>
      <c r="AX538" t="s">
        <v>57</v>
      </c>
      <c r="AY538">
        <v>631110</v>
      </c>
      <c r="AZ538">
        <v>1204.63111</v>
      </c>
      <c r="BA538" s="23" t="s">
        <v>12</v>
      </c>
    </row>
    <row r="539" spans="1:53" x14ac:dyDescent="0.25">
      <c r="A539" t="s">
        <v>134</v>
      </c>
      <c r="B539" t="s">
        <v>135</v>
      </c>
      <c r="C539">
        <v>22001837</v>
      </c>
      <c r="D539">
        <v>1204</v>
      </c>
      <c r="E539" s="11">
        <v>44782</v>
      </c>
      <c r="F539" t="s">
        <v>174</v>
      </c>
      <c r="G539">
        <v>0.3</v>
      </c>
      <c r="H539">
        <v>0.3</v>
      </c>
      <c r="I539" t="s">
        <v>56</v>
      </c>
      <c r="O539" t="s">
        <v>57</v>
      </c>
      <c r="Q539" t="s">
        <v>57</v>
      </c>
      <c r="R539" t="s">
        <v>137</v>
      </c>
      <c r="T539" t="s">
        <v>59</v>
      </c>
      <c r="U539" t="s">
        <v>60</v>
      </c>
      <c r="V539" t="s">
        <v>138</v>
      </c>
      <c r="W539" t="s">
        <v>139</v>
      </c>
      <c r="X539">
        <v>1929196</v>
      </c>
      <c r="Y539" s="11">
        <v>44782</v>
      </c>
      <c r="Z539" t="s">
        <v>57</v>
      </c>
      <c r="AA539">
        <v>8</v>
      </c>
      <c r="AB539" t="s">
        <v>57</v>
      </c>
      <c r="AD539" t="s">
        <v>57</v>
      </c>
      <c r="AE539" t="s">
        <v>57</v>
      </c>
      <c r="AF539" t="s">
        <v>57</v>
      </c>
      <c r="AG539">
        <v>2</v>
      </c>
      <c r="AH539" t="s">
        <v>57</v>
      </c>
      <c r="AL539" t="s">
        <v>57</v>
      </c>
      <c r="AM539" s="11">
        <v>44782</v>
      </c>
      <c r="AN539" t="s">
        <v>173</v>
      </c>
      <c r="AO539" t="s">
        <v>65</v>
      </c>
      <c r="AP539">
        <v>1204</v>
      </c>
      <c r="AQ539" t="s">
        <v>66</v>
      </c>
      <c r="AR539">
        <v>197776</v>
      </c>
      <c r="AU539" t="s">
        <v>57</v>
      </c>
      <c r="AV539" t="s">
        <v>68</v>
      </c>
      <c r="AX539" t="s">
        <v>57</v>
      </c>
      <c r="AY539">
        <v>631110</v>
      </c>
      <c r="AZ539">
        <v>1204.63111</v>
      </c>
      <c r="BA539" s="23" t="s">
        <v>12</v>
      </c>
    </row>
    <row r="540" spans="1:53" x14ac:dyDescent="0.25">
      <c r="A540" t="s">
        <v>134</v>
      </c>
      <c r="B540" t="s">
        <v>135</v>
      </c>
      <c r="C540">
        <v>22001837</v>
      </c>
      <c r="D540">
        <v>1204</v>
      </c>
      <c r="E540" s="11">
        <v>44782</v>
      </c>
      <c r="F540" t="s">
        <v>174</v>
      </c>
      <c r="G540">
        <v>2.97</v>
      </c>
      <c r="H540">
        <v>2.97</v>
      </c>
      <c r="I540" t="s">
        <v>56</v>
      </c>
      <c r="O540" t="s">
        <v>57</v>
      </c>
      <c r="Q540" t="s">
        <v>57</v>
      </c>
      <c r="R540" t="s">
        <v>137</v>
      </c>
      <c r="T540" t="s">
        <v>59</v>
      </c>
      <c r="U540" t="s">
        <v>60</v>
      </c>
      <c r="V540" t="s">
        <v>138</v>
      </c>
      <c r="W540" t="s">
        <v>139</v>
      </c>
      <c r="X540">
        <v>1929196</v>
      </c>
      <c r="Y540" s="11">
        <v>44782</v>
      </c>
      <c r="Z540" t="s">
        <v>57</v>
      </c>
      <c r="AA540">
        <v>10</v>
      </c>
      <c r="AB540" t="s">
        <v>57</v>
      </c>
      <c r="AD540" t="s">
        <v>57</v>
      </c>
      <c r="AE540" t="s">
        <v>57</v>
      </c>
      <c r="AF540" t="s">
        <v>57</v>
      </c>
      <c r="AG540">
        <v>1</v>
      </c>
      <c r="AH540" t="s">
        <v>57</v>
      </c>
      <c r="AL540" t="s">
        <v>57</v>
      </c>
      <c r="AM540" s="11">
        <v>44782</v>
      </c>
      <c r="AN540" t="s">
        <v>173</v>
      </c>
      <c r="AO540" t="s">
        <v>65</v>
      </c>
      <c r="AP540">
        <v>1204</v>
      </c>
      <c r="AQ540" t="s">
        <v>66</v>
      </c>
      <c r="AR540">
        <v>214849</v>
      </c>
      <c r="AU540" t="s">
        <v>57</v>
      </c>
      <c r="AV540" t="s">
        <v>68</v>
      </c>
      <c r="AX540" t="s">
        <v>57</v>
      </c>
      <c r="AY540">
        <v>631110</v>
      </c>
      <c r="AZ540">
        <v>1204.63111</v>
      </c>
      <c r="BA540" s="23" t="s">
        <v>12</v>
      </c>
    </row>
    <row r="541" spans="1:53" x14ac:dyDescent="0.25">
      <c r="A541" t="s">
        <v>134</v>
      </c>
      <c r="B541" t="s">
        <v>135</v>
      </c>
      <c r="C541">
        <v>22001837</v>
      </c>
      <c r="D541">
        <v>1204</v>
      </c>
      <c r="E541" s="11">
        <v>44782</v>
      </c>
      <c r="F541" t="s">
        <v>174</v>
      </c>
      <c r="G541">
        <v>1.06</v>
      </c>
      <c r="H541">
        <v>1.06</v>
      </c>
      <c r="I541" t="s">
        <v>56</v>
      </c>
      <c r="O541" t="s">
        <v>57</v>
      </c>
      <c r="Q541" t="s">
        <v>57</v>
      </c>
      <c r="R541" t="s">
        <v>137</v>
      </c>
      <c r="T541" t="s">
        <v>59</v>
      </c>
      <c r="U541" t="s">
        <v>60</v>
      </c>
      <c r="V541" t="s">
        <v>138</v>
      </c>
      <c r="W541" t="s">
        <v>139</v>
      </c>
      <c r="X541">
        <v>1929196</v>
      </c>
      <c r="Y541" s="11">
        <v>44782</v>
      </c>
      <c r="Z541" t="s">
        <v>57</v>
      </c>
      <c r="AA541">
        <v>12</v>
      </c>
      <c r="AB541" t="s">
        <v>57</v>
      </c>
      <c r="AD541" t="s">
        <v>57</v>
      </c>
      <c r="AE541" t="s">
        <v>57</v>
      </c>
      <c r="AF541" t="s">
        <v>57</v>
      </c>
      <c r="AG541">
        <v>1</v>
      </c>
      <c r="AH541" t="s">
        <v>57</v>
      </c>
      <c r="AL541" t="s">
        <v>57</v>
      </c>
      <c r="AM541" s="11">
        <v>44782</v>
      </c>
      <c r="AN541" t="s">
        <v>173</v>
      </c>
      <c r="AO541" t="s">
        <v>65</v>
      </c>
      <c r="AP541">
        <v>1204</v>
      </c>
      <c r="AQ541" t="s">
        <v>66</v>
      </c>
      <c r="AR541">
        <v>88720</v>
      </c>
      <c r="AU541" t="s">
        <v>57</v>
      </c>
      <c r="AV541" t="s">
        <v>68</v>
      </c>
      <c r="AX541" t="s">
        <v>57</v>
      </c>
      <c r="AY541">
        <v>631110</v>
      </c>
      <c r="AZ541">
        <v>1204.63111</v>
      </c>
      <c r="BA541" s="23" t="s">
        <v>12</v>
      </c>
    </row>
    <row r="542" spans="1:53" x14ac:dyDescent="0.25">
      <c r="A542" t="s">
        <v>134</v>
      </c>
      <c r="B542" t="s">
        <v>135</v>
      </c>
      <c r="C542">
        <v>22001837</v>
      </c>
      <c r="D542">
        <v>1204</v>
      </c>
      <c r="E542" s="11">
        <v>44782</v>
      </c>
      <c r="F542" t="s">
        <v>174</v>
      </c>
      <c r="G542">
        <v>13.89</v>
      </c>
      <c r="H542">
        <v>13.89</v>
      </c>
      <c r="I542" t="s">
        <v>56</v>
      </c>
      <c r="O542" t="s">
        <v>57</v>
      </c>
      <c r="Q542" t="s">
        <v>57</v>
      </c>
      <c r="R542" t="s">
        <v>137</v>
      </c>
      <c r="T542" t="s">
        <v>59</v>
      </c>
      <c r="U542" t="s">
        <v>60</v>
      </c>
      <c r="V542" t="s">
        <v>138</v>
      </c>
      <c r="W542" t="s">
        <v>139</v>
      </c>
      <c r="X542">
        <v>1929196</v>
      </c>
      <c r="Y542" s="11">
        <v>44782</v>
      </c>
      <c r="Z542" t="s">
        <v>57</v>
      </c>
      <c r="AA542">
        <v>24</v>
      </c>
      <c r="AB542" t="s">
        <v>57</v>
      </c>
      <c r="AD542" t="s">
        <v>57</v>
      </c>
      <c r="AE542" t="s">
        <v>57</v>
      </c>
      <c r="AF542" t="s">
        <v>57</v>
      </c>
      <c r="AG542">
        <v>1</v>
      </c>
      <c r="AH542" t="s">
        <v>57</v>
      </c>
      <c r="AL542" t="s">
        <v>57</v>
      </c>
      <c r="AM542" s="11">
        <v>44782</v>
      </c>
      <c r="AN542" t="s">
        <v>173</v>
      </c>
      <c r="AO542" t="s">
        <v>65</v>
      </c>
      <c r="AP542">
        <v>1204</v>
      </c>
      <c r="AQ542" t="s">
        <v>66</v>
      </c>
      <c r="AR542">
        <v>93759</v>
      </c>
      <c r="AU542" t="s">
        <v>57</v>
      </c>
      <c r="AV542" t="s">
        <v>68</v>
      </c>
      <c r="AX542" t="s">
        <v>57</v>
      </c>
      <c r="AY542">
        <v>631110</v>
      </c>
      <c r="AZ542">
        <v>1204.63111</v>
      </c>
      <c r="BA542" s="23" t="s">
        <v>12</v>
      </c>
    </row>
    <row r="543" spans="1:53" x14ac:dyDescent="0.25">
      <c r="A543" t="s">
        <v>134</v>
      </c>
      <c r="B543" t="s">
        <v>135</v>
      </c>
      <c r="C543">
        <v>22001838</v>
      </c>
      <c r="D543">
        <v>1204</v>
      </c>
      <c r="E543" s="11">
        <v>44782</v>
      </c>
      <c r="F543" t="s">
        <v>172</v>
      </c>
      <c r="G543">
        <v>8.06</v>
      </c>
      <c r="H543">
        <v>8.06</v>
      </c>
      <c r="I543" t="s">
        <v>56</v>
      </c>
      <c r="O543" t="s">
        <v>57</v>
      </c>
      <c r="Q543" t="s">
        <v>57</v>
      </c>
      <c r="R543" t="s">
        <v>137</v>
      </c>
      <c r="T543" t="s">
        <v>59</v>
      </c>
      <c r="U543" t="s">
        <v>60</v>
      </c>
      <c r="V543" t="s">
        <v>138</v>
      </c>
      <c r="W543" t="s">
        <v>139</v>
      </c>
      <c r="X543">
        <v>1929239</v>
      </c>
      <c r="Y543" s="11">
        <v>44782</v>
      </c>
      <c r="Z543" t="s">
        <v>57</v>
      </c>
      <c r="AA543">
        <v>2</v>
      </c>
      <c r="AB543" t="s">
        <v>57</v>
      </c>
      <c r="AD543" t="s">
        <v>57</v>
      </c>
      <c r="AE543" t="s">
        <v>57</v>
      </c>
      <c r="AF543" t="s">
        <v>57</v>
      </c>
      <c r="AG543">
        <v>1</v>
      </c>
      <c r="AH543" t="s">
        <v>57</v>
      </c>
      <c r="AL543" t="s">
        <v>57</v>
      </c>
      <c r="AM543" s="11">
        <v>44782</v>
      </c>
      <c r="AN543" t="s">
        <v>173</v>
      </c>
      <c r="AO543" t="s">
        <v>65</v>
      </c>
      <c r="AP543">
        <v>1204</v>
      </c>
      <c r="AQ543" t="s">
        <v>66</v>
      </c>
      <c r="AR543">
        <v>279991</v>
      </c>
      <c r="AU543" t="s">
        <v>57</v>
      </c>
      <c r="AV543" t="s">
        <v>68</v>
      </c>
      <c r="AX543" t="s">
        <v>57</v>
      </c>
      <c r="AY543">
        <v>631110</v>
      </c>
      <c r="AZ543">
        <v>1204.63111</v>
      </c>
      <c r="BA543" s="23" t="s">
        <v>12</v>
      </c>
    </row>
    <row r="544" spans="1:53" x14ac:dyDescent="0.25">
      <c r="A544" t="s">
        <v>134</v>
      </c>
      <c r="B544" t="s">
        <v>135</v>
      </c>
      <c r="C544">
        <v>22001840</v>
      </c>
      <c r="D544">
        <v>1204</v>
      </c>
      <c r="E544" s="11">
        <v>44782</v>
      </c>
      <c r="F544" t="s">
        <v>175</v>
      </c>
      <c r="G544">
        <v>0.46</v>
      </c>
      <c r="H544">
        <v>0.46</v>
      </c>
      <c r="I544" t="s">
        <v>56</v>
      </c>
      <c r="O544" t="s">
        <v>57</v>
      </c>
      <c r="Q544" t="s">
        <v>57</v>
      </c>
      <c r="R544" t="s">
        <v>137</v>
      </c>
      <c r="T544" t="s">
        <v>59</v>
      </c>
      <c r="U544" t="s">
        <v>60</v>
      </c>
      <c r="V544" t="s">
        <v>138</v>
      </c>
      <c r="W544" t="s">
        <v>139</v>
      </c>
      <c r="X544">
        <v>1929850</v>
      </c>
      <c r="Y544" s="11">
        <v>44782</v>
      </c>
      <c r="Z544" t="s">
        <v>57</v>
      </c>
      <c r="AA544">
        <v>2</v>
      </c>
      <c r="AB544" t="s">
        <v>57</v>
      </c>
      <c r="AD544" t="s">
        <v>57</v>
      </c>
      <c r="AE544" t="s">
        <v>57</v>
      </c>
      <c r="AF544" t="s">
        <v>57</v>
      </c>
      <c r="AG544">
        <v>6</v>
      </c>
      <c r="AH544" t="s">
        <v>57</v>
      </c>
      <c r="AL544" t="s">
        <v>57</v>
      </c>
      <c r="AM544" s="11">
        <v>44782</v>
      </c>
      <c r="AN544" t="s">
        <v>176</v>
      </c>
      <c r="AO544" t="s">
        <v>65</v>
      </c>
      <c r="AP544">
        <v>1204</v>
      </c>
      <c r="AQ544" t="s">
        <v>66</v>
      </c>
      <c r="AR544">
        <v>91479</v>
      </c>
      <c r="AU544" t="s">
        <v>57</v>
      </c>
      <c r="AV544" t="s">
        <v>68</v>
      </c>
      <c r="AX544" t="s">
        <v>57</v>
      </c>
      <c r="AY544">
        <v>631110</v>
      </c>
      <c r="AZ544">
        <v>1204.63111</v>
      </c>
      <c r="BA544" s="23" t="s">
        <v>12</v>
      </c>
    </row>
    <row r="545" spans="1:53" x14ac:dyDescent="0.25">
      <c r="A545" t="s">
        <v>134</v>
      </c>
      <c r="B545" t="s">
        <v>135</v>
      </c>
      <c r="C545">
        <v>22001840</v>
      </c>
      <c r="D545">
        <v>1204</v>
      </c>
      <c r="E545" s="11">
        <v>44782</v>
      </c>
      <c r="F545" t="s">
        <v>175</v>
      </c>
      <c r="G545">
        <v>1.1200000000000001</v>
      </c>
      <c r="H545">
        <v>1.1200000000000001</v>
      </c>
      <c r="I545" t="s">
        <v>56</v>
      </c>
      <c r="O545" t="s">
        <v>57</v>
      </c>
      <c r="Q545" t="s">
        <v>57</v>
      </c>
      <c r="R545" t="s">
        <v>137</v>
      </c>
      <c r="T545" t="s">
        <v>59</v>
      </c>
      <c r="U545" t="s">
        <v>60</v>
      </c>
      <c r="V545" t="s">
        <v>138</v>
      </c>
      <c r="W545" t="s">
        <v>139</v>
      </c>
      <c r="X545">
        <v>1929850</v>
      </c>
      <c r="Y545" s="11">
        <v>44782</v>
      </c>
      <c r="Z545" t="s">
        <v>57</v>
      </c>
      <c r="AA545">
        <v>4</v>
      </c>
      <c r="AB545" t="s">
        <v>57</v>
      </c>
      <c r="AD545" t="s">
        <v>57</v>
      </c>
      <c r="AE545" t="s">
        <v>57</v>
      </c>
      <c r="AF545" t="s">
        <v>57</v>
      </c>
      <c r="AG545">
        <v>10</v>
      </c>
      <c r="AH545" t="s">
        <v>57</v>
      </c>
      <c r="AL545" t="s">
        <v>57</v>
      </c>
      <c r="AM545" s="11">
        <v>44782</v>
      </c>
      <c r="AN545" t="s">
        <v>176</v>
      </c>
      <c r="AO545" t="s">
        <v>65</v>
      </c>
      <c r="AP545">
        <v>1204</v>
      </c>
      <c r="AQ545" t="s">
        <v>66</v>
      </c>
      <c r="AR545">
        <v>265267</v>
      </c>
      <c r="AU545" t="s">
        <v>57</v>
      </c>
      <c r="AV545" t="s">
        <v>68</v>
      </c>
      <c r="AX545" t="s">
        <v>57</v>
      </c>
      <c r="AY545">
        <v>631110</v>
      </c>
      <c r="AZ545">
        <v>1204.63111</v>
      </c>
      <c r="BA545" s="23" t="s">
        <v>12</v>
      </c>
    </row>
    <row r="546" spans="1:53" x14ac:dyDescent="0.25">
      <c r="A546" t="s">
        <v>134</v>
      </c>
      <c r="B546" t="s">
        <v>135</v>
      </c>
      <c r="C546">
        <v>22001840</v>
      </c>
      <c r="D546">
        <v>1204</v>
      </c>
      <c r="E546" s="11">
        <v>44782</v>
      </c>
      <c r="F546" t="s">
        <v>175</v>
      </c>
      <c r="G546">
        <v>1.21</v>
      </c>
      <c r="H546">
        <v>1.21</v>
      </c>
      <c r="I546" t="s">
        <v>56</v>
      </c>
      <c r="O546" t="s">
        <v>57</v>
      </c>
      <c r="Q546" t="s">
        <v>57</v>
      </c>
      <c r="R546" t="s">
        <v>137</v>
      </c>
      <c r="T546" t="s">
        <v>59</v>
      </c>
      <c r="U546" t="s">
        <v>60</v>
      </c>
      <c r="V546" t="s">
        <v>138</v>
      </c>
      <c r="W546" t="s">
        <v>139</v>
      </c>
      <c r="X546">
        <v>1929850</v>
      </c>
      <c r="Y546" s="11">
        <v>44782</v>
      </c>
      <c r="Z546" t="s">
        <v>57</v>
      </c>
      <c r="AA546">
        <v>6</v>
      </c>
      <c r="AB546" t="s">
        <v>57</v>
      </c>
      <c r="AD546" t="s">
        <v>57</v>
      </c>
      <c r="AE546" t="s">
        <v>57</v>
      </c>
      <c r="AF546" t="s">
        <v>57</v>
      </c>
      <c r="AG546">
        <v>11</v>
      </c>
      <c r="AH546" t="s">
        <v>57</v>
      </c>
      <c r="AL546" t="s">
        <v>57</v>
      </c>
      <c r="AM546" s="11">
        <v>44782</v>
      </c>
      <c r="AN546" t="s">
        <v>176</v>
      </c>
      <c r="AO546" t="s">
        <v>65</v>
      </c>
      <c r="AP546">
        <v>1204</v>
      </c>
      <c r="AQ546" t="s">
        <v>66</v>
      </c>
      <c r="AR546">
        <v>90435</v>
      </c>
      <c r="AU546" t="s">
        <v>57</v>
      </c>
      <c r="AV546" t="s">
        <v>68</v>
      </c>
      <c r="AX546" t="s">
        <v>57</v>
      </c>
      <c r="AY546">
        <v>631110</v>
      </c>
      <c r="AZ546">
        <v>1204.63111</v>
      </c>
      <c r="BA546" s="23" t="s">
        <v>12</v>
      </c>
    </row>
    <row r="547" spans="1:53" x14ac:dyDescent="0.25">
      <c r="A547" t="s">
        <v>134</v>
      </c>
      <c r="B547" t="s">
        <v>135</v>
      </c>
      <c r="C547">
        <v>22001840</v>
      </c>
      <c r="D547">
        <v>1204</v>
      </c>
      <c r="E547" s="11">
        <v>44782</v>
      </c>
      <c r="F547" t="s">
        <v>175</v>
      </c>
      <c r="G547">
        <v>0.08</v>
      </c>
      <c r="H547">
        <v>0.08</v>
      </c>
      <c r="I547" t="s">
        <v>56</v>
      </c>
      <c r="O547" t="s">
        <v>57</v>
      </c>
      <c r="Q547" t="s">
        <v>57</v>
      </c>
      <c r="R547" t="s">
        <v>137</v>
      </c>
      <c r="T547" t="s">
        <v>59</v>
      </c>
      <c r="U547" t="s">
        <v>60</v>
      </c>
      <c r="V547" t="s">
        <v>138</v>
      </c>
      <c r="W547" t="s">
        <v>139</v>
      </c>
      <c r="X547">
        <v>1929850</v>
      </c>
      <c r="Y547" s="11">
        <v>44782</v>
      </c>
      <c r="Z547" t="s">
        <v>57</v>
      </c>
      <c r="AA547">
        <v>8</v>
      </c>
      <c r="AB547" t="s">
        <v>57</v>
      </c>
      <c r="AD547" t="s">
        <v>57</v>
      </c>
      <c r="AE547" t="s">
        <v>57</v>
      </c>
      <c r="AF547" t="s">
        <v>57</v>
      </c>
      <c r="AG547">
        <v>1</v>
      </c>
      <c r="AH547" t="s">
        <v>57</v>
      </c>
      <c r="AL547" t="s">
        <v>57</v>
      </c>
      <c r="AM547" s="11">
        <v>44782</v>
      </c>
      <c r="AN547" t="s">
        <v>176</v>
      </c>
      <c r="AO547" t="s">
        <v>65</v>
      </c>
      <c r="AP547">
        <v>1204</v>
      </c>
      <c r="AQ547" t="s">
        <v>66</v>
      </c>
      <c r="AR547">
        <v>264585</v>
      </c>
      <c r="AU547" t="s">
        <v>57</v>
      </c>
      <c r="AV547" t="s">
        <v>68</v>
      </c>
      <c r="AX547" t="s">
        <v>57</v>
      </c>
      <c r="AY547">
        <v>631110</v>
      </c>
      <c r="AZ547">
        <v>1204.63111</v>
      </c>
      <c r="BA547" s="23" t="s">
        <v>12</v>
      </c>
    </row>
    <row r="548" spans="1:53" x14ac:dyDescent="0.25">
      <c r="A548" t="s">
        <v>134</v>
      </c>
      <c r="B548" t="s">
        <v>135</v>
      </c>
      <c r="C548">
        <v>22001840</v>
      </c>
      <c r="D548">
        <v>1204</v>
      </c>
      <c r="E548" s="11">
        <v>44782</v>
      </c>
      <c r="F548" t="s">
        <v>175</v>
      </c>
      <c r="G548">
        <v>1.54</v>
      </c>
      <c r="H548">
        <v>1.54</v>
      </c>
      <c r="I548" t="s">
        <v>56</v>
      </c>
      <c r="O548" t="s">
        <v>57</v>
      </c>
      <c r="Q548" t="s">
        <v>57</v>
      </c>
      <c r="R548" t="s">
        <v>137</v>
      </c>
      <c r="T548" t="s">
        <v>59</v>
      </c>
      <c r="U548" t="s">
        <v>60</v>
      </c>
      <c r="V548" t="s">
        <v>138</v>
      </c>
      <c r="W548" t="s">
        <v>139</v>
      </c>
      <c r="X548">
        <v>1929850</v>
      </c>
      <c r="Y548" s="11">
        <v>44782</v>
      </c>
      <c r="Z548" t="s">
        <v>57</v>
      </c>
      <c r="AA548">
        <v>10</v>
      </c>
      <c r="AB548" t="s">
        <v>57</v>
      </c>
      <c r="AD548" t="s">
        <v>57</v>
      </c>
      <c r="AE548" t="s">
        <v>57</v>
      </c>
      <c r="AF548" t="s">
        <v>57</v>
      </c>
      <c r="AG548">
        <v>10</v>
      </c>
      <c r="AH548" t="s">
        <v>57</v>
      </c>
      <c r="AL548" t="s">
        <v>57</v>
      </c>
      <c r="AM548" s="11">
        <v>44782</v>
      </c>
      <c r="AN548" t="s">
        <v>176</v>
      </c>
      <c r="AO548" t="s">
        <v>65</v>
      </c>
      <c r="AP548">
        <v>1204</v>
      </c>
      <c r="AQ548" t="s">
        <v>66</v>
      </c>
      <c r="AR548">
        <v>265523</v>
      </c>
      <c r="AU548" t="s">
        <v>57</v>
      </c>
      <c r="AV548" t="s">
        <v>68</v>
      </c>
      <c r="AX548" t="s">
        <v>57</v>
      </c>
      <c r="AY548">
        <v>631110</v>
      </c>
      <c r="AZ548">
        <v>1204.63111</v>
      </c>
      <c r="BA548" s="23" t="s">
        <v>12</v>
      </c>
    </row>
    <row r="549" spans="1:53" x14ac:dyDescent="0.25">
      <c r="A549" t="s">
        <v>134</v>
      </c>
      <c r="B549" t="s">
        <v>135</v>
      </c>
      <c r="C549">
        <v>22001840</v>
      </c>
      <c r="D549">
        <v>1204</v>
      </c>
      <c r="E549" s="11">
        <v>44782</v>
      </c>
      <c r="F549" t="s">
        <v>175</v>
      </c>
      <c r="G549">
        <v>2.61</v>
      </c>
      <c r="H549">
        <v>2.61</v>
      </c>
      <c r="I549" t="s">
        <v>56</v>
      </c>
      <c r="O549" t="s">
        <v>57</v>
      </c>
      <c r="Q549" t="s">
        <v>57</v>
      </c>
      <c r="R549" t="s">
        <v>137</v>
      </c>
      <c r="T549" t="s">
        <v>59</v>
      </c>
      <c r="U549" t="s">
        <v>60</v>
      </c>
      <c r="V549" t="s">
        <v>138</v>
      </c>
      <c r="W549" t="s">
        <v>139</v>
      </c>
      <c r="X549">
        <v>1929850</v>
      </c>
      <c r="Y549" s="11">
        <v>44782</v>
      </c>
      <c r="Z549" t="s">
        <v>57</v>
      </c>
      <c r="AA549">
        <v>12</v>
      </c>
      <c r="AB549" t="s">
        <v>57</v>
      </c>
      <c r="AD549" t="s">
        <v>57</v>
      </c>
      <c r="AE549" t="s">
        <v>57</v>
      </c>
      <c r="AF549" t="s">
        <v>57</v>
      </c>
      <c r="AG549">
        <v>17</v>
      </c>
      <c r="AH549" t="s">
        <v>57</v>
      </c>
      <c r="AL549" t="s">
        <v>57</v>
      </c>
      <c r="AM549" s="11">
        <v>44782</v>
      </c>
      <c r="AN549" t="s">
        <v>176</v>
      </c>
      <c r="AO549" t="s">
        <v>65</v>
      </c>
      <c r="AP549">
        <v>1204</v>
      </c>
      <c r="AQ549" t="s">
        <v>66</v>
      </c>
      <c r="AR549">
        <v>89712</v>
      </c>
      <c r="AU549" t="s">
        <v>57</v>
      </c>
      <c r="AV549" t="s">
        <v>68</v>
      </c>
      <c r="AX549" t="s">
        <v>57</v>
      </c>
      <c r="AY549">
        <v>631110</v>
      </c>
      <c r="AZ549">
        <v>1204.63111</v>
      </c>
      <c r="BA549" s="23" t="s">
        <v>12</v>
      </c>
    </row>
    <row r="550" spans="1:53" x14ac:dyDescent="0.25">
      <c r="A550" t="s">
        <v>134</v>
      </c>
      <c r="B550" t="s">
        <v>135</v>
      </c>
      <c r="C550">
        <v>22001840</v>
      </c>
      <c r="D550">
        <v>1204</v>
      </c>
      <c r="E550" s="11">
        <v>44782</v>
      </c>
      <c r="F550" t="s">
        <v>175</v>
      </c>
      <c r="G550">
        <v>5.84</v>
      </c>
      <c r="H550">
        <v>5.84</v>
      </c>
      <c r="I550" t="s">
        <v>56</v>
      </c>
      <c r="O550" t="s">
        <v>57</v>
      </c>
      <c r="Q550" t="s">
        <v>57</v>
      </c>
      <c r="R550" t="s">
        <v>137</v>
      </c>
      <c r="T550" t="s">
        <v>59</v>
      </c>
      <c r="U550" t="s">
        <v>60</v>
      </c>
      <c r="V550" t="s">
        <v>138</v>
      </c>
      <c r="W550" t="s">
        <v>139</v>
      </c>
      <c r="X550">
        <v>1929850</v>
      </c>
      <c r="Y550" s="11">
        <v>44782</v>
      </c>
      <c r="Z550" t="s">
        <v>57</v>
      </c>
      <c r="AA550">
        <v>14</v>
      </c>
      <c r="AB550" t="s">
        <v>57</v>
      </c>
      <c r="AD550" t="s">
        <v>57</v>
      </c>
      <c r="AE550" t="s">
        <v>57</v>
      </c>
      <c r="AF550" t="s">
        <v>57</v>
      </c>
      <c r="AG550">
        <v>16</v>
      </c>
      <c r="AH550" t="s">
        <v>57</v>
      </c>
      <c r="AL550" t="s">
        <v>57</v>
      </c>
      <c r="AM550" s="11">
        <v>44782</v>
      </c>
      <c r="AN550" t="s">
        <v>176</v>
      </c>
      <c r="AO550" t="s">
        <v>65</v>
      </c>
      <c r="AP550">
        <v>1204</v>
      </c>
      <c r="AQ550" t="s">
        <v>66</v>
      </c>
      <c r="AR550">
        <v>91011</v>
      </c>
      <c r="AU550" t="s">
        <v>57</v>
      </c>
      <c r="AV550" t="s">
        <v>68</v>
      </c>
      <c r="AX550" t="s">
        <v>57</v>
      </c>
      <c r="AY550">
        <v>631110</v>
      </c>
      <c r="AZ550">
        <v>1204.63111</v>
      </c>
      <c r="BA550" s="23" t="s">
        <v>12</v>
      </c>
    </row>
    <row r="551" spans="1:53" x14ac:dyDescent="0.25">
      <c r="A551" t="s">
        <v>134</v>
      </c>
      <c r="B551" t="s">
        <v>135</v>
      </c>
      <c r="C551">
        <v>22001840</v>
      </c>
      <c r="D551">
        <v>1204</v>
      </c>
      <c r="E551" s="11">
        <v>44782</v>
      </c>
      <c r="F551" t="s">
        <v>175</v>
      </c>
      <c r="G551">
        <v>0.9</v>
      </c>
      <c r="H551">
        <v>0.9</v>
      </c>
      <c r="I551" t="s">
        <v>56</v>
      </c>
      <c r="O551" t="s">
        <v>57</v>
      </c>
      <c r="Q551" t="s">
        <v>57</v>
      </c>
      <c r="R551" t="s">
        <v>137</v>
      </c>
      <c r="T551" t="s">
        <v>59</v>
      </c>
      <c r="U551" t="s">
        <v>60</v>
      </c>
      <c r="V551" t="s">
        <v>138</v>
      </c>
      <c r="W551" t="s">
        <v>139</v>
      </c>
      <c r="X551">
        <v>1929850</v>
      </c>
      <c r="Y551" s="11">
        <v>44782</v>
      </c>
      <c r="Z551" t="s">
        <v>57</v>
      </c>
      <c r="AA551">
        <v>16</v>
      </c>
      <c r="AB551" t="s">
        <v>57</v>
      </c>
      <c r="AD551" t="s">
        <v>57</v>
      </c>
      <c r="AE551" t="s">
        <v>57</v>
      </c>
      <c r="AF551" t="s">
        <v>57</v>
      </c>
      <c r="AG551">
        <v>6</v>
      </c>
      <c r="AH551" t="s">
        <v>57</v>
      </c>
      <c r="AL551" t="s">
        <v>57</v>
      </c>
      <c r="AM551" s="11">
        <v>44782</v>
      </c>
      <c r="AN551" t="s">
        <v>176</v>
      </c>
      <c r="AO551" t="s">
        <v>65</v>
      </c>
      <c r="AP551">
        <v>1204</v>
      </c>
      <c r="AQ551" t="s">
        <v>66</v>
      </c>
      <c r="AR551">
        <v>144854</v>
      </c>
      <c r="AU551" t="s">
        <v>57</v>
      </c>
      <c r="AV551" t="s">
        <v>68</v>
      </c>
      <c r="AX551" t="s">
        <v>57</v>
      </c>
      <c r="AY551">
        <v>631110</v>
      </c>
      <c r="AZ551">
        <v>1204.63111</v>
      </c>
      <c r="BA551" s="23" t="s">
        <v>12</v>
      </c>
    </row>
    <row r="552" spans="1:53" x14ac:dyDescent="0.25">
      <c r="A552" t="s">
        <v>134</v>
      </c>
      <c r="B552" t="s">
        <v>135</v>
      </c>
      <c r="C552">
        <v>22001841</v>
      </c>
      <c r="D552">
        <v>1204</v>
      </c>
      <c r="E552" s="11">
        <v>44783</v>
      </c>
      <c r="F552" t="s">
        <v>172</v>
      </c>
      <c r="G552">
        <v>8.06</v>
      </c>
      <c r="H552">
        <v>8.06</v>
      </c>
      <c r="I552" t="s">
        <v>56</v>
      </c>
      <c r="O552" t="s">
        <v>57</v>
      </c>
      <c r="Q552" t="s">
        <v>57</v>
      </c>
      <c r="R552" t="s">
        <v>137</v>
      </c>
      <c r="T552" t="s">
        <v>59</v>
      </c>
      <c r="U552" t="s">
        <v>60</v>
      </c>
      <c r="V552" t="s">
        <v>138</v>
      </c>
      <c r="W552" t="s">
        <v>139</v>
      </c>
      <c r="X552">
        <v>1930268</v>
      </c>
      <c r="Y552" s="11">
        <v>44783</v>
      </c>
      <c r="Z552" t="s">
        <v>57</v>
      </c>
      <c r="AA552">
        <v>2</v>
      </c>
      <c r="AB552" t="s">
        <v>57</v>
      </c>
      <c r="AD552" t="s">
        <v>57</v>
      </c>
      <c r="AE552" t="s">
        <v>57</v>
      </c>
      <c r="AF552" t="s">
        <v>57</v>
      </c>
      <c r="AG552">
        <v>1</v>
      </c>
      <c r="AH552" t="s">
        <v>57</v>
      </c>
      <c r="AL552" t="s">
        <v>57</v>
      </c>
      <c r="AM552" s="11">
        <v>44783</v>
      </c>
      <c r="AN552" t="s">
        <v>173</v>
      </c>
      <c r="AO552" t="s">
        <v>65</v>
      </c>
      <c r="AP552">
        <v>1204</v>
      </c>
      <c r="AQ552" t="s">
        <v>66</v>
      </c>
      <c r="AR552">
        <v>279991</v>
      </c>
      <c r="AU552" t="s">
        <v>57</v>
      </c>
      <c r="AV552" t="s">
        <v>68</v>
      </c>
      <c r="AX552" t="s">
        <v>57</v>
      </c>
      <c r="AY552">
        <v>631110</v>
      </c>
      <c r="AZ552">
        <v>1204.63111</v>
      </c>
      <c r="BA552" s="23" t="s">
        <v>12</v>
      </c>
    </row>
    <row r="553" spans="1:53" x14ac:dyDescent="0.25">
      <c r="A553" t="s">
        <v>134</v>
      </c>
      <c r="B553" t="s">
        <v>135</v>
      </c>
      <c r="C553">
        <v>22001841</v>
      </c>
      <c r="D553">
        <v>1204</v>
      </c>
      <c r="E553" s="11">
        <v>44783</v>
      </c>
      <c r="F553" t="s">
        <v>172</v>
      </c>
      <c r="G553">
        <v>8.06</v>
      </c>
      <c r="H553">
        <v>8.06</v>
      </c>
      <c r="I553" t="s">
        <v>56</v>
      </c>
      <c r="O553" t="s">
        <v>57</v>
      </c>
      <c r="Q553" t="s">
        <v>57</v>
      </c>
      <c r="R553" t="s">
        <v>137</v>
      </c>
      <c r="T553" t="s">
        <v>59</v>
      </c>
      <c r="U553" t="s">
        <v>60</v>
      </c>
      <c r="V553" t="s">
        <v>138</v>
      </c>
      <c r="W553" t="s">
        <v>139</v>
      </c>
      <c r="X553">
        <v>1930268</v>
      </c>
      <c r="Y553" s="11">
        <v>44783</v>
      </c>
      <c r="Z553" t="s">
        <v>57</v>
      </c>
      <c r="AA553">
        <v>4</v>
      </c>
      <c r="AB553" t="s">
        <v>57</v>
      </c>
      <c r="AD553" t="s">
        <v>57</v>
      </c>
      <c r="AE553" t="s">
        <v>57</v>
      </c>
      <c r="AF553" t="s">
        <v>57</v>
      </c>
      <c r="AG553">
        <v>1</v>
      </c>
      <c r="AH553" t="s">
        <v>57</v>
      </c>
      <c r="AL553" t="s">
        <v>57</v>
      </c>
      <c r="AM553" s="11">
        <v>44783</v>
      </c>
      <c r="AN553" t="s">
        <v>173</v>
      </c>
      <c r="AO553" t="s">
        <v>65</v>
      </c>
      <c r="AP553">
        <v>1204</v>
      </c>
      <c r="AQ553" t="s">
        <v>66</v>
      </c>
      <c r="AR553">
        <v>279991</v>
      </c>
      <c r="AU553" t="s">
        <v>57</v>
      </c>
      <c r="AV553" t="s">
        <v>68</v>
      </c>
      <c r="AX553" t="s">
        <v>57</v>
      </c>
      <c r="AY553">
        <v>631110</v>
      </c>
      <c r="AZ553">
        <v>1204.63111</v>
      </c>
      <c r="BA553" s="23" t="s">
        <v>12</v>
      </c>
    </row>
    <row r="554" spans="1:53" x14ac:dyDescent="0.25">
      <c r="A554" t="s">
        <v>134</v>
      </c>
      <c r="B554" t="s">
        <v>135</v>
      </c>
      <c r="C554">
        <v>22001842</v>
      </c>
      <c r="D554">
        <v>1204</v>
      </c>
      <c r="E554" s="11">
        <v>44783</v>
      </c>
      <c r="F554" t="s">
        <v>174</v>
      </c>
      <c r="G554">
        <v>1.0900000000000001</v>
      </c>
      <c r="H554">
        <v>1.0900000000000001</v>
      </c>
      <c r="I554" t="s">
        <v>56</v>
      </c>
      <c r="O554" t="s">
        <v>57</v>
      </c>
      <c r="Q554" t="s">
        <v>57</v>
      </c>
      <c r="R554" t="s">
        <v>137</v>
      </c>
      <c r="T554" t="s">
        <v>59</v>
      </c>
      <c r="U554" t="s">
        <v>60</v>
      </c>
      <c r="V554" t="s">
        <v>138</v>
      </c>
      <c r="W554" t="s">
        <v>139</v>
      </c>
      <c r="X554">
        <v>1930268</v>
      </c>
      <c r="Y554" s="11">
        <v>44783</v>
      </c>
      <c r="Z554" t="s">
        <v>57</v>
      </c>
      <c r="AA554">
        <v>2</v>
      </c>
      <c r="AB554" t="s">
        <v>57</v>
      </c>
      <c r="AD554" t="s">
        <v>57</v>
      </c>
      <c r="AE554" t="s">
        <v>57</v>
      </c>
      <c r="AF554" t="s">
        <v>57</v>
      </c>
      <c r="AG554">
        <v>2</v>
      </c>
      <c r="AH554" t="s">
        <v>57</v>
      </c>
      <c r="AL554" t="s">
        <v>57</v>
      </c>
      <c r="AM554" s="11">
        <v>44783</v>
      </c>
      <c r="AN554" t="s">
        <v>173</v>
      </c>
      <c r="AO554" t="s">
        <v>65</v>
      </c>
      <c r="AP554">
        <v>1204</v>
      </c>
      <c r="AQ554" t="s">
        <v>66</v>
      </c>
      <c r="AR554">
        <v>89777</v>
      </c>
      <c r="AU554" t="s">
        <v>57</v>
      </c>
      <c r="AV554" t="s">
        <v>68</v>
      </c>
      <c r="AX554" t="s">
        <v>57</v>
      </c>
      <c r="AY554">
        <v>631110</v>
      </c>
      <c r="AZ554">
        <v>1204.63111</v>
      </c>
      <c r="BA554" s="23" t="s">
        <v>12</v>
      </c>
    </row>
    <row r="555" spans="1:53" x14ac:dyDescent="0.25">
      <c r="A555" t="s">
        <v>134</v>
      </c>
      <c r="B555" t="s">
        <v>135</v>
      </c>
      <c r="C555">
        <v>22001842</v>
      </c>
      <c r="D555">
        <v>1204</v>
      </c>
      <c r="E555" s="11">
        <v>44783</v>
      </c>
      <c r="F555" t="s">
        <v>174</v>
      </c>
      <c r="G555">
        <v>0.16</v>
      </c>
      <c r="H555">
        <v>0.16</v>
      </c>
      <c r="I555" t="s">
        <v>56</v>
      </c>
      <c r="O555" t="s">
        <v>57</v>
      </c>
      <c r="Q555" t="s">
        <v>57</v>
      </c>
      <c r="R555" t="s">
        <v>137</v>
      </c>
      <c r="T555" t="s">
        <v>59</v>
      </c>
      <c r="U555" t="s">
        <v>60</v>
      </c>
      <c r="V555" t="s">
        <v>138</v>
      </c>
      <c r="W555" t="s">
        <v>139</v>
      </c>
      <c r="X555">
        <v>1930268</v>
      </c>
      <c r="Y555" s="11">
        <v>44783</v>
      </c>
      <c r="Z555" t="s">
        <v>57</v>
      </c>
      <c r="AA555">
        <v>4</v>
      </c>
      <c r="AB555" t="s">
        <v>57</v>
      </c>
      <c r="AD555" t="s">
        <v>57</v>
      </c>
      <c r="AE555" t="s">
        <v>57</v>
      </c>
      <c r="AF555" t="s">
        <v>57</v>
      </c>
      <c r="AG555">
        <v>1</v>
      </c>
      <c r="AH555" t="s">
        <v>57</v>
      </c>
      <c r="AL555" t="s">
        <v>57</v>
      </c>
      <c r="AM555" s="11">
        <v>44783</v>
      </c>
      <c r="AN555" t="s">
        <v>173</v>
      </c>
      <c r="AO555" t="s">
        <v>65</v>
      </c>
      <c r="AP555">
        <v>1204</v>
      </c>
      <c r="AQ555" t="s">
        <v>66</v>
      </c>
      <c r="AR555">
        <v>88760</v>
      </c>
      <c r="AU555" t="s">
        <v>57</v>
      </c>
      <c r="AV555" t="s">
        <v>68</v>
      </c>
      <c r="AX555" t="s">
        <v>57</v>
      </c>
      <c r="AY555">
        <v>631110</v>
      </c>
      <c r="AZ555">
        <v>1204.63111</v>
      </c>
      <c r="BA555" s="23" t="s">
        <v>12</v>
      </c>
    </row>
    <row r="556" spans="1:53" x14ac:dyDescent="0.25">
      <c r="A556" t="s">
        <v>134</v>
      </c>
      <c r="B556" t="s">
        <v>135</v>
      </c>
      <c r="C556">
        <v>22001842</v>
      </c>
      <c r="D556">
        <v>1204</v>
      </c>
      <c r="E556" s="11">
        <v>44783</v>
      </c>
      <c r="F556" t="s">
        <v>174</v>
      </c>
      <c r="G556">
        <v>15.76</v>
      </c>
      <c r="H556">
        <v>15.76</v>
      </c>
      <c r="I556" t="s">
        <v>56</v>
      </c>
      <c r="O556" t="s">
        <v>57</v>
      </c>
      <c r="Q556" t="s">
        <v>57</v>
      </c>
      <c r="R556" t="s">
        <v>137</v>
      </c>
      <c r="T556" t="s">
        <v>59</v>
      </c>
      <c r="U556" t="s">
        <v>60</v>
      </c>
      <c r="V556" t="s">
        <v>138</v>
      </c>
      <c r="W556" t="s">
        <v>139</v>
      </c>
      <c r="X556">
        <v>1930268</v>
      </c>
      <c r="Y556" s="11">
        <v>44783</v>
      </c>
      <c r="Z556" t="s">
        <v>57</v>
      </c>
      <c r="AA556">
        <v>6</v>
      </c>
      <c r="AB556" t="s">
        <v>57</v>
      </c>
      <c r="AD556" t="s">
        <v>57</v>
      </c>
      <c r="AE556" t="s">
        <v>57</v>
      </c>
      <c r="AF556" t="s">
        <v>57</v>
      </c>
      <c r="AG556">
        <v>1</v>
      </c>
      <c r="AH556" t="s">
        <v>57</v>
      </c>
      <c r="AL556" t="s">
        <v>57</v>
      </c>
      <c r="AM556" s="11">
        <v>44783</v>
      </c>
      <c r="AN556" t="s">
        <v>173</v>
      </c>
      <c r="AO556" t="s">
        <v>65</v>
      </c>
      <c r="AP556">
        <v>1204</v>
      </c>
      <c r="AQ556" t="s">
        <v>66</v>
      </c>
      <c r="AR556">
        <v>188248</v>
      </c>
      <c r="AU556" t="s">
        <v>57</v>
      </c>
      <c r="AV556" t="s">
        <v>68</v>
      </c>
      <c r="AX556" t="s">
        <v>57</v>
      </c>
      <c r="AY556">
        <v>631110</v>
      </c>
      <c r="AZ556">
        <v>1204.63111</v>
      </c>
      <c r="BA556" s="23" t="s">
        <v>12</v>
      </c>
    </row>
    <row r="557" spans="1:53" x14ac:dyDescent="0.25">
      <c r="A557" t="s">
        <v>134</v>
      </c>
      <c r="B557" t="s">
        <v>135</v>
      </c>
      <c r="C557">
        <v>22001842</v>
      </c>
      <c r="D557">
        <v>1204</v>
      </c>
      <c r="E557" s="11">
        <v>44783</v>
      </c>
      <c r="F557" t="s">
        <v>174</v>
      </c>
      <c r="G557">
        <v>0.8</v>
      </c>
      <c r="H557">
        <v>0.8</v>
      </c>
      <c r="I557" t="s">
        <v>56</v>
      </c>
      <c r="O557" t="s">
        <v>57</v>
      </c>
      <c r="Q557" t="s">
        <v>57</v>
      </c>
      <c r="R557" t="s">
        <v>137</v>
      </c>
      <c r="T557" t="s">
        <v>59</v>
      </c>
      <c r="U557" t="s">
        <v>60</v>
      </c>
      <c r="V557" t="s">
        <v>138</v>
      </c>
      <c r="W557" t="s">
        <v>139</v>
      </c>
      <c r="X557">
        <v>1930268</v>
      </c>
      <c r="Y557" s="11">
        <v>44783</v>
      </c>
      <c r="Z557" t="s">
        <v>57</v>
      </c>
      <c r="AA557">
        <v>8</v>
      </c>
      <c r="AB557" t="s">
        <v>57</v>
      </c>
      <c r="AD557" t="s">
        <v>57</v>
      </c>
      <c r="AE557" t="s">
        <v>57</v>
      </c>
      <c r="AF557" t="s">
        <v>57</v>
      </c>
      <c r="AG557">
        <v>1</v>
      </c>
      <c r="AH557" t="s">
        <v>57</v>
      </c>
      <c r="AL557" t="s">
        <v>57</v>
      </c>
      <c r="AM557" s="11">
        <v>44783</v>
      </c>
      <c r="AN557" t="s">
        <v>173</v>
      </c>
      <c r="AO557" t="s">
        <v>65</v>
      </c>
      <c r="AP557">
        <v>1204</v>
      </c>
      <c r="AQ557" t="s">
        <v>66</v>
      </c>
      <c r="AR557">
        <v>247349</v>
      </c>
      <c r="AU557" t="s">
        <v>57</v>
      </c>
      <c r="AV557" t="s">
        <v>68</v>
      </c>
      <c r="AX557" t="s">
        <v>57</v>
      </c>
      <c r="AY557">
        <v>631110</v>
      </c>
      <c r="AZ557">
        <v>1204.63111</v>
      </c>
      <c r="BA557" s="23" t="s">
        <v>12</v>
      </c>
    </row>
    <row r="558" spans="1:53" x14ac:dyDescent="0.25">
      <c r="A558" t="s">
        <v>134</v>
      </c>
      <c r="B558" t="s">
        <v>135</v>
      </c>
      <c r="C558">
        <v>22001842</v>
      </c>
      <c r="D558">
        <v>1204</v>
      </c>
      <c r="E558" s="11">
        <v>44783</v>
      </c>
      <c r="F558" t="s">
        <v>174</v>
      </c>
      <c r="G558">
        <v>7.86</v>
      </c>
      <c r="H558">
        <v>7.86</v>
      </c>
      <c r="I558" t="s">
        <v>56</v>
      </c>
      <c r="O558" t="s">
        <v>57</v>
      </c>
      <c r="Q558" t="s">
        <v>57</v>
      </c>
      <c r="R558" t="s">
        <v>137</v>
      </c>
      <c r="T558" t="s">
        <v>59</v>
      </c>
      <c r="U558" t="s">
        <v>60</v>
      </c>
      <c r="V558" t="s">
        <v>138</v>
      </c>
      <c r="W558" t="s">
        <v>139</v>
      </c>
      <c r="X558">
        <v>1930268</v>
      </c>
      <c r="Y558" s="11">
        <v>44783</v>
      </c>
      <c r="Z558" t="s">
        <v>57</v>
      </c>
      <c r="AA558">
        <v>10</v>
      </c>
      <c r="AB558" t="s">
        <v>57</v>
      </c>
      <c r="AD558" t="s">
        <v>57</v>
      </c>
      <c r="AE558" t="s">
        <v>57</v>
      </c>
      <c r="AF558" t="s">
        <v>57</v>
      </c>
      <c r="AG558">
        <v>2</v>
      </c>
      <c r="AH558" t="s">
        <v>57</v>
      </c>
      <c r="AL558" t="s">
        <v>57</v>
      </c>
      <c r="AM558" s="11">
        <v>44783</v>
      </c>
      <c r="AN558" t="s">
        <v>173</v>
      </c>
      <c r="AO558" t="s">
        <v>65</v>
      </c>
      <c r="AP558">
        <v>1204</v>
      </c>
      <c r="AQ558" t="s">
        <v>66</v>
      </c>
      <c r="AR558">
        <v>220122</v>
      </c>
      <c r="AU558" t="s">
        <v>57</v>
      </c>
      <c r="AV558" t="s">
        <v>68</v>
      </c>
      <c r="AX558" t="s">
        <v>57</v>
      </c>
      <c r="AY558">
        <v>631110</v>
      </c>
      <c r="AZ558">
        <v>1204.63111</v>
      </c>
      <c r="BA558" s="23" t="s">
        <v>12</v>
      </c>
    </row>
    <row r="559" spans="1:53" x14ac:dyDescent="0.25">
      <c r="A559" t="s">
        <v>134</v>
      </c>
      <c r="B559" t="s">
        <v>135</v>
      </c>
      <c r="C559">
        <v>22001842</v>
      </c>
      <c r="D559">
        <v>1204</v>
      </c>
      <c r="E559" s="11">
        <v>44783</v>
      </c>
      <c r="F559" t="s">
        <v>174</v>
      </c>
      <c r="G559">
        <v>1.26</v>
      </c>
      <c r="H559">
        <v>1.26</v>
      </c>
      <c r="I559" t="s">
        <v>56</v>
      </c>
      <c r="O559" t="s">
        <v>57</v>
      </c>
      <c r="Q559" t="s">
        <v>57</v>
      </c>
      <c r="R559" t="s">
        <v>137</v>
      </c>
      <c r="T559" t="s">
        <v>59</v>
      </c>
      <c r="U559" t="s">
        <v>60</v>
      </c>
      <c r="V559" t="s">
        <v>138</v>
      </c>
      <c r="W559" t="s">
        <v>139</v>
      </c>
      <c r="X559">
        <v>1930268</v>
      </c>
      <c r="Y559" s="11">
        <v>44783</v>
      </c>
      <c r="Z559" t="s">
        <v>57</v>
      </c>
      <c r="AA559">
        <v>12</v>
      </c>
      <c r="AB559" t="s">
        <v>57</v>
      </c>
      <c r="AD559" t="s">
        <v>57</v>
      </c>
      <c r="AE559" t="s">
        <v>57</v>
      </c>
      <c r="AF559" t="s">
        <v>57</v>
      </c>
      <c r="AG559">
        <v>2</v>
      </c>
      <c r="AH559" t="s">
        <v>57</v>
      </c>
      <c r="AL559" t="s">
        <v>57</v>
      </c>
      <c r="AM559" s="11">
        <v>44783</v>
      </c>
      <c r="AN559" t="s">
        <v>173</v>
      </c>
      <c r="AO559" t="s">
        <v>65</v>
      </c>
      <c r="AP559">
        <v>1204</v>
      </c>
      <c r="AQ559" t="s">
        <v>66</v>
      </c>
      <c r="AR559">
        <v>220123</v>
      </c>
      <c r="AU559" t="s">
        <v>57</v>
      </c>
      <c r="AV559" t="s">
        <v>68</v>
      </c>
      <c r="AX559" t="s">
        <v>57</v>
      </c>
      <c r="AY559">
        <v>631110</v>
      </c>
      <c r="AZ559">
        <v>1204.63111</v>
      </c>
      <c r="BA559" s="23" t="s">
        <v>12</v>
      </c>
    </row>
    <row r="560" spans="1:53" x14ac:dyDescent="0.25">
      <c r="A560" t="s">
        <v>134</v>
      </c>
      <c r="B560" t="s">
        <v>135</v>
      </c>
      <c r="C560">
        <v>22001842</v>
      </c>
      <c r="D560">
        <v>1204</v>
      </c>
      <c r="E560" s="11">
        <v>44783</v>
      </c>
      <c r="F560" t="s">
        <v>174</v>
      </c>
      <c r="G560">
        <v>0.97</v>
      </c>
      <c r="H560">
        <v>0.97</v>
      </c>
      <c r="I560" t="s">
        <v>56</v>
      </c>
      <c r="O560" t="s">
        <v>57</v>
      </c>
      <c r="Q560" t="s">
        <v>57</v>
      </c>
      <c r="R560" t="s">
        <v>137</v>
      </c>
      <c r="T560" t="s">
        <v>59</v>
      </c>
      <c r="U560" t="s">
        <v>60</v>
      </c>
      <c r="V560" t="s">
        <v>138</v>
      </c>
      <c r="W560" t="s">
        <v>139</v>
      </c>
      <c r="X560">
        <v>1930268</v>
      </c>
      <c r="Y560" s="11">
        <v>44783</v>
      </c>
      <c r="Z560" t="s">
        <v>57</v>
      </c>
      <c r="AA560">
        <v>14</v>
      </c>
      <c r="AB560" t="s">
        <v>57</v>
      </c>
      <c r="AD560" t="s">
        <v>57</v>
      </c>
      <c r="AE560" t="s">
        <v>57</v>
      </c>
      <c r="AF560" t="s">
        <v>57</v>
      </c>
      <c r="AG560">
        <v>2</v>
      </c>
      <c r="AH560" t="s">
        <v>57</v>
      </c>
      <c r="AL560" t="s">
        <v>57</v>
      </c>
      <c r="AM560" s="11">
        <v>44783</v>
      </c>
      <c r="AN560" t="s">
        <v>173</v>
      </c>
      <c r="AO560" t="s">
        <v>65</v>
      </c>
      <c r="AP560">
        <v>1204</v>
      </c>
      <c r="AQ560" t="s">
        <v>66</v>
      </c>
      <c r="AR560">
        <v>228050</v>
      </c>
      <c r="AU560" t="s">
        <v>57</v>
      </c>
      <c r="AV560" t="s">
        <v>68</v>
      </c>
      <c r="AX560" t="s">
        <v>57</v>
      </c>
      <c r="AY560">
        <v>631110</v>
      </c>
      <c r="AZ560">
        <v>1204.63111</v>
      </c>
      <c r="BA560" s="23" t="s">
        <v>12</v>
      </c>
    </row>
    <row r="561" spans="1:53" x14ac:dyDescent="0.25">
      <c r="A561" t="s">
        <v>134</v>
      </c>
      <c r="B561" t="s">
        <v>135</v>
      </c>
      <c r="C561">
        <v>22001842</v>
      </c>
      <c r="D561">
        <v>1204</v>
      </c>
      <c r="E561" s="11">
        <v>44783</v>
      </c>
      <c r="F561" t="s">
        <v>174</v>
      </c>
      <c r="G561">
        <v>0.99</v>
      </c>
      <c r="H561">
        <v>0.99</v>
      </c>
      <c r="I561" t="s">
        <v>56</v>
      </c>
      <c r="O561" t="s">
        <v>57</v>
      </c>
      <c r="Q561" t="s">
        <v>57</v>
      </c>
      <c r="R561" t="s">
        <v>137</v>
      </c>
      <c r="T561" t="s">
        <v>59</v>
      </c>
      <c r="U561" t="s">
        <v>60</v>
      </c>
      <c r="V561" t="s">
        <v>138</v>
      </c>
      <c r="W561" t="s">
        <v>139</v>
      </c>
      <c r="X561">
        <v>1930268</v>
      </c>
      <c r="Y561" s="11">
        <v>44783</v>
      </c>
      <c r="Z561" t="s">
        <v>57</v>
      </c>
      <c r="AA561">
        <v>16</v>
      </c>
      <c r="AB561" t="s">
        <v>57</v>
      </c>
      <c r="AD561" t="s">
        <v>57</v>
      </c>
      <c r="AE561" t="s">
        <v>57</v>
      </c>
      <c r="AF561" t="s">
        <v>57</v>
      </c>
      <c r="AG561">
        <v>2</v>
      </c>
      <c r="AH561" t="s">
        <v>57</v>
      </c>
      <c r="AL561" t="s">
        <v>57</v>
      </c>
      <c r="AM561" s="11">
        <v>44783</v>
      </c>
      <c r="AN561" t="s">
        <v>173</v>
      </c>
      <c r="AO561" t="s">
        <v>65</v>
      </c>
      <c r="AP561">
        <v>1204</v>
      </c>
      <c r="AQ561" t="s">
        <v>66</v>
      </c>
      <c r="AR561">
        <v>121863</v>
      </c>
      <c r="AU561" t="s">
        <v>57</v>
      </c>
      <c r="AV561" t="s">
        <v>68</v>
      </c>
      <c r="AX561" t="s">
        <v>57</v>
      </c>
      <c r="AY561">
        <v>631110</v>
      </c>
      <c r="AZ561">
        <v>1204.63111</v>
      </c>
      <c r="BA561" s="23" t="s">
        <v>12</v>
      </c>
    </row>
    <row r="562" spans="1:53" x14ac:dyDescent="0.25">
      <c r="A562" t="s">
        <v>134</v>
      </c>
      <c r="B562" t="s">
        <v>135</v>
      </c>
      <c r="C562">
        <v>22001842</v>
      </c>
      <c r="D562">
        <v>1204</v>
      </c>
      <c r="E562" s="11">
        <v>44783</v>
      </c>
      <c r="F562" t="s">
        <v>174</v>
      </c>
      <c r="G562">
        <v>4.9400000000000004</v>
      </c>
      <c r="H562">
        <v>4.9400000000000004</v>
      </c>
      <c r="I562" t="s">
        <v>56</v>
      </c>
      <c r="O562" t="s">
        <v>57</v>
      </c>
      <c r="Q562" t="s">
        <v>57</v>
      </c>
      <c r="R562" t="s">
        <v>137</v>
      </c>
      <c r="T562" t="s">
        <v>59</v>
      </c>
      <c r="U562" t="s">
        <v>60</v>
      </c>
      <c r="V562" t="s">
        <v>138</v>
      </c>
      <c r="W562" t="s">
        <v>139</v>
      </c>
      <c r="X562">
        <v>1930268</v>
      </c>
      <c r="Y562" s="11">
        <v>44783</v>
      </c>
      <c r="Z562" t="s">
        <v>57</v>
      </c>
      <c r="AA562">
        <v>18</v>
      </c>
      <c r="AB562" t="s">
        <v>57</v>
      </c>
      <c r="AD562" t="s">
        <v>57</v>
      </c>
      <c r="AE562" t="s">
        <v>57</v>
      </c>
      <c r="AF562" t="s">
        <v>57</v>
      </c>
      <c r="AG562">
        <v>10</v>
      </c>
      <c r="AH562" t="s">
        <v>57</v>
      </c>
      <c r="AL562" t="s">
        <v>57</v>
      </c>
      <c r="AM562" s="11">
        <v>44783</v>
      </c>
      <c r="AN562" t="s">
        <v>173</v>
      </c>
      <c r="AO562" t="s">
        <v>65</v>
      </c>
      <c r="AP562">
        <v>1204</v>
      </c>
      <c r="AQ562" t="s">
        <v>66</v>
      </c>
      <c r="AR562">
        <v>121863</v>
      </c>
      <c r="AU562" t="s">
        <v>57</v>
      </c>
      <c r="AV562" t="s">
        <v>68</v>
      </c>
      <c r="AX562" t="s">
        <v>57</v>
      </c>
      <c r="AY562">
        <v>631110</v>
      </c>
      <c r="AZ562">
        <v>1204.63111</v>
      </c>
      <c r="BA562" s="23" t="s">
        <v>12</v>
      </c>
    </row>
    <row r="563" spans="1:53" x14ac:dyDescent="0.25">
      <c r="A563" t="s">
        <v>134</v>
      </c>
      <c r="B563" t="s">
        <v>135</v>
      </c>
      <c r="C563">
        <v>22001842</v>
      </c>
      <c r="D563">
        <v>1204</v>
      </c>
      <c r="E563" s="11">
        <v>44783</v>
      </c>
      <c r="F563" t="s">
        <v>174</v>
      </c>
      <c r="G563">
        <v>31.52</v>
      </c>
      <c r="H563">
        <v>31.52</v>
      </c>
      <c r="I563" t="s">
        <v>56</v>
      </c>
      <c r="O563" t="s">
        <v>57</v>
      </c>
      <c r="Q563" t="s">
        <v>57</v>
      </c>
      <c r="R563" t="s">
        <v>137</v>
      </c>
      <c r="T563" t="s">
        <v>59</v>
      </c>
      <c r="U563" t="s">
        <v>60</v>
      </c>
      <c r="V563" t="s">
        <v>138</v>
      </c>
      <c r="W563" t="s">
        <v>139</v>
      </c>
      <c r="X563">
        <v>1930268</v>
      </c>
      <c r="Y563" s="11">
        <v>44783</v>
      </c>
      <c r="Z563" t="s">
        <v>57</v>
      </c>
      <c r="AA563">
        <v>20</v>
      </c>
      <c r="AB563" t="s">
        <v>57</v>
      </c>
      <c r="AD563" t="s">
        <v>57</v>
      </c>
      <c r="AE563" t="s">
        <v>57</v>
      </c>
      <c r="AF563" t="s">
        <v>57</v>
      </c>
      <c r="AG563">
        <v>2</v>
      </c>
      <c r="AH563" t="s">
        <v>57</v>
      </c>
      <c r="AL563" t="s">
        <v>57</v>
      </c>
      <c r="AM563" s="11">
        <v>44783</v>
      </c>
      <c r="AN563" t="s">
        <v>173</v>
      </c>
      <c r="AO563" t="s">
        <v>65</v>
      </c>
      <c r="AP563">
        <v>1204</v>
      </c>
      <c r="AQ563" t="s">
        <v>66</v>
      </c>
      <c r="AR563">
        <v>188248</v>
      </c>
      <c r="AU563" t="s">
        <v>57</v>
      </c>
      <c r="AV563" t="s">
        <v>68</v>
      </c>
      <c r="AX563" t="s">
        <v>57</v>
      </c>
      <c r="AY563">
        <v>631110</v>
      </c>
      <c r="AZ563">
        <v>1204.63111</v>
      </c>
      <c r="BA563" s="23" t="s">
        <v>12</v>
      </c>
    </row>
    <row r="564" spans="1:53" x14ac:dyDescent="0.25">
      <c r="A564" t="s">
        <v>134</v>
      </c>
      <c r="B564" t="s">
        <v>135</v>
      </c>
      <c r="C564">
        <v>22001842</v>
      </c>
      <c r="D564">
        <v>1204</v>
      </c>
      <c r="E564" s="11">
        <v>44783</v>
      </c>
      <c r="F564" t="s">
        <v>174</v>
      </c>
      <c r="G564">
        <v>3.96</v>
      </c>
      <c r="H564">
        <v>3.96</v>
      </c>
      <c r="I564" t="s">
        <v>56</v>
      </c>
      <c r="O564" t="s">
        <v>57</v>
      </c>
      <c r="Q564" t="s">
        <v>57</v>
      </c>
      <c r="R564" t="s">
        <v>137</v>
      </c>
      <c r="T564" t="s">
        <v>59</v>
      </c>
      <c r="U564" t="s">
        <v>60</v>
      </c>
      <c r="V564" t="s">
        <v>138</v>
      </c>
      <c r="W564" t="s">
        <v>139</v>
      </c>
      <c r="X564">
        <v>1930268</v>
      </c>
      <c r="Y564" s="11">
        <v>44783</v>
      </c>
      <c r="Z564" t="s">
        <v>57</v>
      </c>
      <c r="AA564">
        <v>22</v>
      </c>
      <c r="AB564" t="s">
        <v>57</v>
      </c>
      <c r="AD564" t="s">
        <v>57</v>
      </c>
      <c r="AE564" t="s">
        <v>57</v>
      </c>
      <c r="AF564" t="s">
        <v>57</v>
      </c>
      <c r="AG564">
        <v>1</v>
      </c>
      <c r="AH564" t="s">
        <v>57</v>
      </c>
      <c r="AL564" t="s">
        <v>57</v>
      </c>
      <c r="AM564" s="11">
        <v>44783</v>
      </c>
      <c r="AN564" t="s">
        <v>173</v>
      </c>
      <c r="AO564" t="s">
        <v>65</v>
      </c>
      <c r="AP564">
        <v>1204</v>
      </c>
      <c r="AQ564" t="s">
        <v>66</v>
      </c>
      <c r="AR564">
        <v>142788</v>
      </c>
      <c r="AU564" t="s">
        <v>57</v>
      </c>
      <c r="AV564" t="s">
        <v>68</v>
      </c>
      <c r="AX564" t="s">
        <v>57</v>
      </c>
      <c r="AY564">
        <v>631110</v>
      </c>
      <c r="AZ564">
        <v>1204.63111</v>
      </c>
      <c r="BA564" s="23" t="s">
        <v>12</v>
      </c>
    </row>
    <row r="565" spans="1:53" x14ac:dyDescent="0.25">
      <c r="A565" t="s">
        <v>134</v>
      </c>
      <c r="B565" t="s">
        <v>135</v>
      </c>
      <c r="C565">
        <v>22001842</v>
      </c>
      <c r="D565">
        <v>1204</v>
      </c>
      <c r="E565" s="11">
        <v>44783</v>
      </c>
      <c r="F565" t="s">
        <v>174</v>
      </c>
      <c r="G565">
        <v>2.54</v>
      </c>
      <c r="H565">
        <v>2.54</v>
      </c>
      <c r="I565" t="s">
        <v>56</v>
      </c>
      <c r="O565" t="s">
        <v>57</v>
      </c>
      <c r="Q565" t="s">
        <v>57</v>
      </c>
      <c r="R565" t="s">
        <v>137</v>
      </c>
      <c r="T565" t="s">
        <v>59</v>
      </c>
      <c r="U565" t="s">
        <v>60</v>
      </c>
      <c r="V565" t="s">
        <v>138</v>
      </c>
      <c r="W565" t="s">
        <v>139</v>
      </c>
      <c r="X565">
        <v>1930268</v>
      </c>
      <c r="Y565" s="11">
        <v>44783</v>
      </c>
      <c r="Z565" t="s">
        <v>57</v>
      </c>
      <c r="AA565">
        <v>24</v>
      </c>
      <c r="AB565" t="s">
        <v>57</v>
      </c>
      <c r="AD565" t="s">
        <v>57</v>
      </c>
      <c r="AE565" t="s">
        <v>57</v>
      </c>
      <c r="AF565" t="s">
        <v>57</v>
      </c>
      <c r="AG565">
        <v>1</v>
      </c>
      <c r="AH565" t="s">
        <v>57</v>
      </c>
      <c r="AL565" t="s">
        <v>57</v>
      </c>
      <c r="AM565" s="11">
        <v>44783</v>
      </c>
      <c r="AN565" t="s">
        <v>173</v>
      </c>
      <c r="AO565" t="s">
        <v>65</v>
      </c>
      <c r="AP565">
        <v>1204</v>
      </c>
      <c r="AQ565" t="s">
        <v>66</v>
      </c>
      <c r="AR565">
        <v>218965</v>
      </c>
      <c r="AU565" t="s">
        <v>57</v>
      </c>
      <c r="AV565" t="s">
        <v>68</v>
      </c>
      <c r="AX565" t="s">
        <v>57</v>
      </c>
      <c r="AY565">
        <v>631110</v>
      </c>
      <c r="AZ565">
        <v>1204.63111</v>
      </c>
      <c r="BA565" s="23" t="s">
        <v>12</v>
      </c>
    </row>
    <row r="566" spans="1:53" x14ac:dyDescent="0.25">
      <c r="A566" t="s">
        <v>134</v>
      </c>
      <c r="B566" t="s">
        <v>135</v>
      </c>
      <c r="C566">
        <v>22001842</v>
      </c>
      <c r="D566">
        <v>1204</v>
      </c>
      <c r="E566" s="11">
        <v>44783</v>
      </c>
      <c r="F566" t="s">
        <v>174</v>
      </c>
      <c r="G566">
        <v>8.6</v>
      </c>
      <c r="H566">
        <v>8.6</v>
      </c>
      <c r="I566" t="s">
        <v>56</v>
      </c>
      <c r="O566" t="s">
        <v>57</v>
      </c>
      <c r="Q566" t="s">
        <v>57</v>
      </c>
      <c r="R566" t="s">
        <v>137</v>
      </c>
      <c r="T566" t="s">
        <v>59</v>
      </c>
      <c r="U566" t="s">
        <v>60</v>
      </c>
      <c r="V566" t="s">
        <v>138</v>
      </c>
      <c r="W566" t="s">
        <v>139</v>
      </c>
      <c r="X566">
        <v>1930268</v>
      </c>
      <c r="Y566" s="11">
        <v>44783</v>
      </c>
      <c r="Z566" t="s">
        <v>57</v>
      </c>
      <c r="AA566">
        <v>26</v>
      </c>
      <c r="AB566" t="s">
        <v>57</v>
      </c>
      <c r="AD566" t="s">
        <v>57</v>
      </c>
      <c r="AE566" t="s">
        <v>57</v>
      </c>
      <c r="AF566" t="s">
        <v>57</v>
      </c>
      <c r="AG566">
        <v>1</v>
      </c>
      <c r="AH566" t="s">
        <v>57</v>
      </c>
      <c r="AL566" t="s">
        <v>57</v>
      </c>
      <c r="AM566" s="11">
        <v>44783</v>
      </c>
      <c r="AN566" t="s">
        <v>173</v>
      </c>
      <c r="AO566" t="s">
        <v>65</v>
      </c>
      <c r="AP566">
        <v>1204</v>
      </c>
      <c r="AQ566" t="s">
        <v>66</v>
      </c>
      <c r="AR566">
        <v>214845</v>
      </c>
      <c r="AU566" t="s">
        <v>57</v>
      </c>
      <c r="AV566" t="s">
        <v>68</v>
      </c>
      <c r="AX566" t="s">
        <v>57</v>
      </c>
      <c r="AY566">
        <v>631110</v>
      </c>
      <c r="AZ566">
        <v>1204.63111</v>
      </c>
      <c r="BA566" s="23" t="s">
        <v>12</v>
      </c>
    </row>
    <row r="567" spans="1:53" x14ac:dyDescent="0.25">
      <c r="A567" t="s">
        <v>134</v>
      </c>
      <c r="B567" t="s">
        <v>135</v>
      </c>
      <c r="C567">
        <v>22001843</v>
      </c>
      <c r="D567">
        <v>1204</v>
      </c>
      <c r="E567" s="11">
        <v>44783</v>
      </c>
      <c r="F567" t="s">
        <v>159</v>
      </c>
      <c r="G567">
        <v>6.41</v>
      </c>
      <c r="H567">
        <v>6.41</v>
      </c>
      <c r="I567" t="s">
        <v>56</v>
      </c>
      <c r="O567" t="s">
        <v>57</v>
      </c>
      <c r="Q567" t="s">
        <v>57</v>
      </c>
      <c r="R567" t="s">
        <v>137</v>
      </c>
      <c r="T567" t="s">
        <v>59</v>
      </c>
      <c r="U567" t="s">
        <v>60</v>
      </c>
      <c r="V567" t="s">
        <v>138</v>
      </c>
      <c r="W567" t="s">
        <v>139</v>
      </c>
      <c r="X567">
        <v>1930269</v>
      </c>
      <c r="Y567" s="11">
        <v>44783</v>
      </c>
      <c r="Z567" t="s">
        <v>57</v>
      </c>
      <c r="AA567">
        <v>2</v>
      </c>
      <c r="AB567" t="s">
        <v>57</v>
      </c>
      <c r="AD567" t="s">
        <v>57</v>
      </c>
      <c r="AE567" t="s">
        <v>57</v>
      </c>
      <c r="AF567" t="s">
        <v>57</v>
      </c>
      <c r="AG567">
        <v>1</v>
      </c>
      <c r="AH567" t="s">
        <v>57</v>
      </c>
      <c r="AL567" t="s">
        <v>57</v>
      </c>
      <c r="AM567" s="11">
        <v>44783</v>
      </c>
      <c r="AN567" t="s">
        <v>173</v>
      </c>
      <c r="AO567" t="s">
        <v>65</v>
      </c>
      <c r="AP567">
        <v>1204</v>
      </c>
      <c r="AQ567" t="s">
        <v>66</v>
      </c>
      <c r="AR567">
        <v>112855</v>
      </c>
      <c r="AU567" t="s">
        <v>57</v>
      </c>
      <c r="AV567" t="s">
        <v>68</v>
      </c>
      <c r="AX567" t="s">
        <v>57</v>
      </c>
      <c r="AY567">
        <v>631110</v>
      </c>
      <c r="AZ567">
        <v>1204.63111</v>
      </c>
      <c r="BA567" s="23" t="s">
        <v>12</v>
      </c>
    </row>
    <row r="568" spans="1:53" x14ac:dyDescent="0.25">
      <c r="A568" t="s">
        <v>134</v>
      </c>
      <c r="B568" t="s">
        <v>135</v>
      </c>
      <c r="C568">
        <v>22001843</v>
      </c>
      <c r="D568">
        <v>1204</v>
      </c>
      <c r="E568" s="11">
        <v>44783</v>
      </c>
      <c r="F568" t="s">
        <v>159</v>
      </c>
      <c r="G568">
        <v>3.2</v>
      </c>
      <c r="H568">
        <v>3.2</v>
      </c>
      <c r="I568" t="s">
        <v>56</v>
      </c>
      <c r="O568" t="s">
        <v>57</v>
      </c>
      <c r="Q568" t="s">
        <v>57</v>
      </c>
      <c r="R568" t="s">
        <v>137</v>
      </c>
      <c r="T568" t="s">
        <v>59</v>
      </c>
      <c r="U568" t="s">
        <v>60</v>
      </c>
      <c r="V568" t="s">
        <v>138</v>
      </c>
      <c r="W568" t="s">
        <v>139</v>
      </c>
      <c r="X568">
        <v>1930269</v>
      </c>
      <c r="Y568" s="11">
        <v>44783</v>
      </c>
      <c r="Z568" t="s">
        <v>57</v>
      </c>
      <c r="AA568">
        <v>4</v>
      </c>
      <c r="AB568" t="s">
        <v>57</v>
      </c>
      <c r="AD568" t="s">
        <v>57</v>
      </c>
      <c r="AE568" t="s">
        <v>57</v>
      </c>
      <c r="AF568" t="s">
        <v>57</v>
      </c>
      <c r="AG568">
        <v>1</v>
      </c>
      <c r="AH568" t="s">
        <v>57</v>
      </c>
      <c r="AL568" t="s">
        <v>57</v>
      </c>
      <c r="AM568" s="11">
        <v>44783</v>
      </c>
      <c r="AN568" t="s">
        <v>173</v>
      </c>
      <c r="AO568" t="s">
        <v>65</v>
      </c>
      <c r="AP568">
        <v>1204</v>
      </c>
      <c r="AQ568" t="s">
        <v>66</v>
      </c>
      <c r="AR568">
        <v>89967</v>
      </c>
      <c r="AU568" t="s">
        <v>57</v>
      </c>
      <c r="AV568" t="s">
        <v>68</v>
      </c>
      <c r="AX568" t="s">
        <v>57</v>
      </c>
      <c r="AY568">
        <v>631110</v>
      </c>
      <c r="AZ568">
        <v>1204.63111</v>
      </c>
      <c r="BA568" s="23" t="s">
        <v>12</v>
      </c>
    </row>
    <row r="569" spans="1:53" x14ac:dyDescent="0.25">
      <c r="A569" t="s">
        <v>134</v>
      </c>
      <c r="B569" t="s">
        <v>135</v>
      </c>
      <c r="C569">
        <v>22001843</v>
      </c>
      <c r="D569">
        <v>1204</v>
      </c>
      <c r="E569" s="11">
        <v>44783</v>
      </c>
      <c r="F569" t="s">
        <v>159</v>
      </c>
      <c r="G569">
        <v>7.31</v>
      </c>
      <c r="H569">
        <v>7.31</v>
      </c>
      <c r="I569" t="s">
        <v>56</v>
      </c>
      <c r="O569" t="s">
        <v>57</v>
      </c>
      <c r="Q569" t="s">
        <v>57</v>
      </c>
      <c r="R569" t="s">
        <v>137</v>
      </c>
      <c r="T569" t="s">
        <v>59</v>
      </c>
      <c r="U569" t="s">
        <v>60</v>
      </c>
      <c r="V569" t="s">
        <v>138</v>
      </c>
      <c r="W569" t="s">
        <v>139</v>
      </c>
      <c r="X569">
        <v>1930269</v>
      </c>
      <c r="Y569" s="11">
        <v>44783</v>
      </c>
      <c r="Z569" t="s">
        <v>57</v>
      </c>
      <c r="AA569">
        <v>6</v>
      </c>
      <c r="AB569" t="s">
        <v>57</v>
      </c>
      <c r="AD569" t="s">
        <v>57</v>
      </c>
      <c r="AE569" t="s">
        <v>57</v>
      </c>
      <c r="AF569" t="s">
        <v>57</v>
      </c>
      <c r="AG569">
        <v>1</v>
      </c>
      <c r="AH569" t="s">
        <v>57</v>
      </c>
      <c r="AL569" t="s">
        <v>57</v>
      </c>
      <c r="AM569" s="11">
        <v>44783</v>
      </c>
      <c r="AN569" t="s">
        <v>173</v>
      </c>
      <c r="AO569" t="s">
        <v>65</v>
      </c>
      <c r="AP569">
        <v>1204</v>
      </c>
      <c r="AQ569" t="s">
        <v>66</v>
      </c>
      <c r="AR569">
        <v>212621</v>
      </c>
      <c r="AU569" t="s">
        <v>57</v>
      </c>
      <c r="AV569" t="s">
        <v>68</v>
      </c>
      <c r="AX569" t="s">
        <v>57</v>
      </c>
      <c r="AY569">
        <v>631110</v>
      </c>
      <c r="AZ569">
        <v>1204.63111</v>
      </c>
      <c r="BA569" s="23" t="s">
        <v>12</v>
      </c>
    </row>
    <row r="570" spans="1:53" x14ac:dyDescent="0.25">
      <c r="A570" t="s">
        <v>134</v>
      </c>
      <c r="B570" t="s">
        <v>135</v>
      </c>
      <c r="C570">
        <v>22001843</v>
      </c>
      <c r="D570">
        <v>1204</v>
      </c>
      <c r="E570" s="11">
        <v>44783</v>
      </c>
      <c r="F570" t="s">
        <v>159</v>
      </c>
      <c r="G570">
        <v>0.14000000000000001</v>
      </c>
      <c r="H570">
        <v>0.14000000000000001</v>
      </c>
      <c r="I570" t="s">
        <v>56</v>
      </c>
      <c r="O570" t="s">
        <v>57</v>
      </c>
      <c r="Q570" t="s">
        <v>57</v>
      </c>
      <c r="R570" t="s">
        <v>137</v>
      </c>
      <c r="T570" t="s">
        <v>59</v>
      </c>
      <c r="U570" t="s">
        <v>60</v>
      </c>
      <c r="V570" t="s">
        <v>138</v>
      </c>
      <c r="W570" t="s">
        <v>139</v>
      </c>
      <c r="X570">
        <v>1930269</v>
      </c>
      <c r="Y570" s="11">
        <v>44783</v>
      </c>
      <c r="Z570" t="s">
        <v>57</v>
      </c>
      <c r="AA570">
        <v>8</v>
      </c>
      <c r="AB570" t="s">
        <v>57</v>
      </c>
      <c r="AD570" t="s">
        <v>57</v>
      </c>
      <c r="AE570" t="s">
        <v>57</v>
      </c>
      <c r="AF570" t="s">
        <v>57</v>
      </c>
      <c r="AG570">
        <v>2</v>
      </c>
      <c r="AH570" t="s">
        <v>57</v>
      </c>
      <c r="AL570" t="s">
        <v>57</v>
      </c>
      <c r="AM570" s="11">
        <v>44783</v>
      </c>
      <c r="AN570" t="s">
        <v>173</v>
      </c>
      <c r="AO570" t="s">
        <v>65</v>
      </c>
      <c r="AP570">
        <v>1204</v>
      </c>
      <c r="AQ570" t="s">
        <v>66</v>
      </c>
      <c r="AR570">
        <v>89908</v>
      </c>
      <c r="AU570" t="s">
        <v>57</v>
      </c>
      <c r="AV570" t="s">
        <v>68</v>
      </c>
      <c r="AX570" t="s">
        <v>57</v>
      </c>
      <c r="AY570">
        <v>631110</v>
      </c>
      <c r="AZ570">
        <v>1204.63111</v>
      </c>
      <c r="BA570" s="23" t="s">
        <v>12</v>
      </c>
    </row>
    <row r="571" spans="1:53" x14ac:dyDescent="0.25">
      <c r="A571" t="s">
        <v>134</v>
      </c>
      <c r="B571" t="s">
        <v>135</v>
      </c>
      <c r="C571">
        <v>22001843</v>
      </c>
      <c r="D571">
        <v>1204</v>
      </c>
      <c r="E571" s="11">
        <v>44783</v>
      </c>
      <c r="F571" t="s">
        <v>159</v>
      </c>
      <c r="G571">
        <v>7.0000000000000007E-2</v>
      </c>
      <c r="H571">
        <v>7.0000000000000007E-2</v>
      </c>
      <c r="I571" t="s">
        <v>56</v>
      </c>
      <c r="O571" t="s">
        <v>57</v>
      </c>
      <c r="Q571" t="s">
        <v>57</v>
      </c>
      <c r="R571" t="s">
        <v>137</v>
      </c>
      <c r="T571" t="s">
        <v>59</v>
      </c>
      <c r="U571" t="s">
        <v>60</v>
      </c>
      <c r="V571" t="s">
        <v>138</v>
      </c>
      <c r="W571" t="s">
        <v>139</v>
      </c>
      <c r="X571">
        <v>1930269</v>
      </c>
      <c r="Y571" s="11">
        <v>44783</v>
      </c>
      <c r="Z571" t="s">
        <v>57</v>
      </c>
      <c r="AA571">
        <v>10</v>
      </c>
      <c r="AB571" t="s">
        <v>57</v>
      </c>
      <c r="AD571" t="s">
        <v>57</v>
      </c>
      <c r="AE571" t="s">
        <v>57</v>
      </c>
      <c r="AF571" t="s">
        <v>57</v>
      </c>
      <c r="AG571">
        <v>1</v>
      </c>
      <c r="AH571" t="s">
        <v>57</v>
      </c>
      <c r="AL571" t="s">
        <v>57</v>
      </c>
      <c r="AM571" s="11">
        <v>44783</v>
      </c>
      <c r="AN571" t="s">
        <v>173</v>
      </c>
      <c r="AO571" t="s">
        <v>65</v>
      </c>
      <c r="AP571">
        <v>1204</v>
      </c>
      <c r="AQ571" t="s">
        <v>66</v>
      </c>
      <c r="AR571">
        <v>89908</v>
      </c>
      <c r="AU571" t="s">
        <v>57</v>
      </c>
      <c r="AV571" t="s">
        <v>68</v>
      </c>
      <c r="AX571" t="s">
        <v>57</v>
      </c>
      <c r="AY571">
        <v>631110</v>
      </c>
      <c r="AZ571">
        <v>1204.63111</v>
      </c>
      <c r="BA571" s="23" t="s">
        <v>12</v>
      </c>
    </row>
    <row r="572" spans="1:53" x14ac:dyDescent="0.25">
      <c r="A572" t="s">
        <v>134</v>
      </c>
      <c r="B572" t="s">
        <v>135</v>
      </c>
      <c r="C572">
        <v>22001845</v>
      </c>
      <c r="D572">
        <v>1204</v>
      </c>
      <c r="E572" s="11">
        <v>44783</v>
      </c>
      <c r="F572" t="s">
        <v>175</v>
      </c>
      <c r="G572">
        <v>0.15</v>
      </c>
      <c r="H572">
        <v>0.15</v>
      </c>
      <c r="I572" t="s">
        <v>56</v>
      </c>
      <c r="O572" t="s">
        <v>57</v>
      </c>
      <c r="Q572" t="s">
        <v>57</v>
      </c>
      <c r="R572" t="s">
        <v>137</v>
      </c>
      <c r="T572" t="s">
        <v>59</v>
      </c>
      <c r="U572" t="s">
        <v>60</v>
      </c>
      <c r="V572" t="s">
        <v>138</v>
      </c>
      <c r="W572" t="s">
        <v>139</v>
      </c>
      <c r="X572">
        <v>1930355</v>
      </c>
      <c r="Y572" s="11">
        <v>44783</v>
      </c>
      <c r="Z572" t="s">
        <v>57</v>
      </c>
      <c r="AA572">
        <v>2</v>
      </c>
      <c r="AB572" t="s">
        <v>57</v>
      </c>
      <c r="AD572" t="s">
        <v>57</v>
      </c>
      <c r="AE572" t="s">
        <v>57</v>
      </c>
      <c r="AF572" t="s">
        <v>57</v>
      </c>
      <c r="AG572">
        <v>2</v>
      </c>
      <c r="AH572" t="s">
        <v>57</v>
      </c>
      <c r="AL572" t="s">
        <v>57</v>
      </c>
      <c r="AM572" s="11">
        <v>44783</v>
      </c>
      <c r="AN572" t="s">
        <v>176</v>
      </c>
      <c r="AO572" t="s">
        <v>65</v>
      </c>
      <c r="AP572">
        <v>1204</v>
      </c>
      <c r="AQ572" t="s">
        <v>66</v>
      </c>
      <c r="AR572">
        <v>91479</v>
      </c>
      <c r="AU572" t="s">
        <v>57</v>
      </c>
      <c r="AV572" t="s">
        <v>68</v>
      </c>
      <c r="AX572" t="s">
        <v>57</v>
      </c>
      <c r="AY572">
        <v>631110</v>
      </c>
      <c r="AZ572">
        <v>1204.63111</v>
      </c>
      <c r="BA572" s="23" t="s">
        <v>12</v>
      </c>
    </row>
    <row r="573" spans="1:53" x14ac:dyDescent="0.25">
      <c r="A573" t="s">
        <v>134</v>
      </c>
      <c r="B573" t="s">
        <v>135</v>
      </c>
      <c r="C573">
        <v>22001845</v>
      </c>
      <c r="D573">
        <v>1204</v>
      </c>
      <c r="E573" s="11">
        <v>44783</v>
      </c>
      <c r="F573" t="s">
        <v>175</v>
      </c>
      <c r="G573">
        <v>1.1200000000000001</v>
      </c>
      <c r="H573">
        <v>1.1200000000000001</v>
      </c>
      <c r="I573" t="s">
        <v>56</v>
      </c>
      <c r="O573" t="s">
        <v>57</v>
      </c>
      <c r="Q573" t="s">
        <v>57</v>
      </c>
      <c r="R573" t="s">
        <v>137</v>
      </c>
      <c r="T573" t="s">
        <v>59</v>
      </c>
      <c r="U573" t="s">
        <v>60</v>
      </c>
      <c r="V573" t="s">
        <v>138</v>
      </c>
      <c r="W573" t="s">
        <v>139</v>
      </c>
      <c r="X573">
        <v>1930355</v>
      </c>
      <c r="Y573" s="11">
        <v>44783</v>
      </c>
      <c r="Z573" t="s">
        <v>57</v>
      </c>
      <c r="AA573">
        <v>4</v>
      </c>
      <c r="AB573" t="s">
        <v>57</v>
      </c>
      <c r="AD573" t="s">
        <v>57</v>
      </c>
      <c r="AE573" t="s">
        <v>57</v>
      </c>
      <c r="AF573" t="s">
        <v>57</v>
      </c>
      <c r="AG573">
        <v>10</v>
      </c>
      <c r="AH573" t="s">
        <v>57</v>
      </c>
      <c r="AL573" t="s">
        <v>57</v>
      </c>
      <c r="AM573" s="11">
        <v>44783</v>
      </c>
      <c r="AN573" t="s">
        <v>176</v>
      </c>
      <c r="AO573" t="s">
        <v>65</v>
      </c>
      <c r="AP573">
        <v>1204</v>
      </c>
      <c r="AQ573" t="s">
        <v>66</v>
      </c>
      <c r="AR573">
        <v>265267</v>
      </c>
      <c r="AU573" t="s">
        <v>57</v>
      </c>
      <c r="AV573" t="s">
        <v>68</v>
      </c>
      <c r="AX573" t="s">
        <v>57</v>
      </c>
      <c r="AY573">
        <v>631110</v>
      </c>
      <c r="AZ573">
        <v>1204.63111</v>
      </c>
      <c r="BA573" s="23" t="s">
        <v>12</v>
      </c>
    </row>
    <row r="574" spans="1:53" x14ac:dyDescent="0.25">
      <c r="A574" t="s">
        <v>134</v>
      </c>
      <c r="B574" t="s">
        <v>135</v>
      </c>
      <c r="C574">
        <v>22001845</v>
      </c>
      <c r="D574">
        <v>1204</v>
      </c>
      <c r="E574" s="11">
        <v>44783</v>
      </c>
      <c r="F574" t="s">
        <v>175</v>
      </c>
      <c r="G574">
        <v>0.33</v>
      </c>
      <c r="H574">
        <v>0.33</v>
      </c>
      <c r="I574" t="s">
        <v>56</v>
      </c>
      <c r="O574" t="s">
        <v>57</v>
      </c>
      <c r="Q574" t="s">
        <v>57</v>
      </c>
      <c r="R574" t="s">
        <v>137</v>
      </c>
      <c r="T574" t="s">
        <v>59</v>
      </c>
      <c r="U574" t="s">
        <v>60</v>
      </c>
      <c r="V574" t="s">
        <v>138</v>
      </c>
      <c r="W574" t="s">
        <v>139</v>
      </c>
      <c r="X574">
        <v>1930355</v>
      </c>
      <c r="Y574" s="11">
        <v>44783</v>
      </c>
      <c r="Z574" t="s">
        <v>57</v>
      </c>
      <c r="AA574">
        <v>6</v>
      </c>
      <c r="AB574" t="s">
        <v>57</v>
      </c>
      <c r="AD574" t="s">
        <v>57</v>
      </c>
      <c r="AE574" t="s">
        <v>57</v>
      </c>
      <c r="AF574" t="s">
        <v>57</v>
      </c>
      <c r="AG574">
        <v>3</v>
      </c>
      <c r="AH574" t="s">
        <v>57</v>
      </c>
      <c r="AL574" t="s">
        <v>57</v>
      </c>
      <c r="AM574" s="11">
        <v>44783</v>
      </c>
      <c r="AN574" t="s">
        <v>176</v>
      </c>
      <c r="AO574" t="s">
        <v>65</v>
      </c>
      <c r="AP574">
        <v>1204</v>
      </c>
      <c r="AQ574" t="s">
        <v>66</v>
      </c>
      <c r="AR574">
        <v>90435</v>
      </c>
      <c r="AU574" t="s">
        <v>57</v>
      </c>
      <c r="AV574" t="s">
        <v>68</v>
      </c>
      <c r="AX574" t="s">
        <v>57</v>
      </c>
      <c r="AY574">
        <v>631110</v>
      </c>
      <c r="AZ574">
        <v>1204.63111</v>
      </c>
      <c r="BA574" s="23" t="s">
        <v>12</v>
      </c>
    </row>
    <row r="575" spans="1:53" x14ac:dyDescent="0.25">
      <c r="A575" t="s">
        <v>134</v>
      </c>
      <c r="B575" t="s">
        <v>135</v>
      </c>
      <c r="C575">
        <v>22001845</v>
      </c>
      <c r="D575">
        <v>1204</v>
      </c>
      <c r="E575" s="11">
        <v>44783</v>
      </c>
      <c r="F575" t="s">
        <v>175</v>
      </c>
      <c r="G575">
        <v>0.15</v>
      </c>
      <c r="H575">
        <v>0.15</v>
      </c>
      <c r="I575" t="s">
        <v>56</v>
      </c>
      <c r="O575" t="s">
        <v>57</v>
      </c>
      <c r="Q575" t="s">
        <v>57</v>
      </c>
      <c r="R575" t="s">
        <v>137</v>
      </c>
      <c r="T575" t="s">
        <v>59</v>
      </c>
      <c r="U575" t="s">
        <v>60</v>
      </c>
      <c r="V575" t="s">
        <v>138</v>
      </c>
      <c r="W575" t="s">
        <v>139</v>
      </c>
      <c r="X575">
        <v>1930355</v>
      </c>
      <c r="Y575" s="11">
        <v>44783</v>
      </c>
      <c r="Z575" t="s">
        <v>57</v>
      </c>
      <c r="AA575">
        <v>8</v>
      </c>
      <c r="AB575" t="s">
        <v>57</v>
      </c>
      <c r="AD575" t="s">
        <v>57</v>
      </c>
      <c r="AE575" t="s">
        <v>57</v>
      </c>
      <c r="AF575" t="s">
        <v>57</v>
      </c>
      <c r="AG575">
        <v>2</v>
      </c>
      <c r="AH575" t="s">
        <v>57</v>
      </c>
      <c r="AL575" t="s">
        <v>57</v>
      </c>
      <c r="AM575" s="11">
        <v>44783</v>
      </c>
      <c r="AN575" t="s">
        <v>176</v>
      </c>
      <c r="AO575" t="s">
        <v>65</v>
      </c>
      <c r="AP575">
        <v>1204</v>
      </c>
      <c r="AQ575" t="s">
        <v>66</v>
      </c>
      <c r="AR575">
        <v>264585</v>
      </c>
      <c r="AU575" t="s">
        <v>57</v>
      </c>
      <c r="AV575" t="s">
        <v>68</v>
      </c>
      <c r="AX575" t="s">
        <v>57</v>
      </c>
      <c r="AY575">
        <v>631110</v>
      </c>
      <c r="AZ575">
        <v>1204.63111</v>
      </c>
      <c r="BA575" s="23" t="s">
        <v>12</v>
      </c>
    </row>
    <row r="576" spans="1:53" x14ac:dyDescent="0.25">
      <c r="A576" t="s">
        <v>134</v>
      </c>
      <c r="B576" t="s">
        <v>135</v>
      </c>
      <c r="C576">
        <v>22001845</v>
      </c>
      <c r="D576">
        <v>1204</v>
      </c>
      <c r="E576" s="11">
        <v>44783</v>
      </c>
      <c r="F576" t="s">
        <v>175</v>
      </c>
      <c r="G576">
        <v>3.53</v>
      </c>
      <c r="H576">
        <v>3.53</v>
      </c>
      <c r="I576" t="s">
        <v>56</v>
      </c>
      <c r="O576" t="s">
        <v>57</v>
      </c>
      <c r="Q576" t="s">
        <v>57</v>
      </c>
      <c r="R576" t="s">
        <v>137</v>
      </c>
      <c r="T576" t="s">
        <v>59</v>
      </c>
      <c r="U576" t="s">
        <v>60</v>
      </c>
      <c r="V576" t="s">
        <v>138</v>
      </c>
      <c r="W576" t="s">
        <v>139</v>
      </c>
      <c r="X576">
        <v>1930355</v>
      </c>
      <c r="Y576" s="11">
        <v>44783</v>
      </c>
      <c r="Z576" t="s">
        <v>57</v>
      </c>
      <c r="AA576">
        <v>10</v>
      </c>
      <c r="AB576" t="s">
        <v>57</v>
      </c>
      <c r="AD576" t="s">
        <v>57</v>
      </c>
      <c r="AE576" t="s">
        <v>57</v>
      </c>
      <c r="AF576" t="s">
        <v>57</v>
      </c>
      <c r="AG576">
        <v>23</v>
      </c>
      <c r="AH576" t="s">
        <v>57</v>
      </c>
      <c r="AL576" t="s">
        <v>57</v>
      </c>
      <c r="AM576" s="11">
        <v>44783</v>
      </c>
      <c r="AN576" t="s">
        <v>176</v>
      </c>
      <c r="AO576" t="s">
        <v>65</v>
      </c>
      <c r="AP576">
        <v>1204</v>
      </c>
      <c r="AQ576" t="s">
        <v>66</v>
      </c>
      <c r="AR576">
        <v>89712</v>
      </c>
      <c r="AU576" t="s">
        <v>57</v>
      </c>
      <c r="AV576" t="s">
        <v>68</v>
      </c>
      <c r="AX576" t="s">
        <v>57</v>
      </c>
      <c r="AY576">
        <v>631110</v>
      </c>
      <c r="AZ576">
        <v>1204.63111</v>
      </c>
      <c r="BA576" s="23" t="s">
        <v>12</v>
      </c>
    </row>
    <row r="577" spans="1:53" x14ac:dyDescent="0.25">
      <c r="A577" t="s">
        <v>134</v>
      </c>
      <c r="B577" t="s">
        <v>135</v>
      </c>
      <c r="C577">
        <v>22001845</v>
      </c>
      <c r="D577">
        <v>1204</v>
      </c>
      <c r="E577" s="11">
        <v>44783</v>
      </c>
      <c r="F577" t="s">
        <v>175</v>
      </c>
      <c r="G577">
        <v>4.74</v>
      </c>
      <c r="H577">
        <v>4.74</v>
      </c>
      <c r="I577" t="s">
        <v>56</v>
      </c>
      <c r="O577" t="s">
        <v>57</v>
      </c>
      <c r="Q577" t="s">
        <v>57</v>
      </c>
      <c r="R577" t="s">
        <v>137</v>
      </c>
      <c r="T577" t="s">
        <v>59</v>
      </c>
      <c r="U577" t="s">
        <v>60</v>
      </c>
      <c r="V577" t="s">
        <v>138</v>
      </c>
      <c r="W577" t="s">
        <v>139</v>
      </c>
      <c r="X577">
        <v>1930355</v>
      </c>
      <c r="Y577" s="11">
        <v>44783</v>
      </c>
      <c r="Z577" t="s">
        <v>57</v>
      </c>
      <c r="AA577">
        <v>12</v>
      </c>
      <c r="AB577" t="s">
        <v>57</v>
      </c>
      <c r="AD577" t="s">
        <v>57</v>
      </c>
      <c r="AE577" t="s">
        <v>57</v>
      </c>
      <c r="AF577" t="s">
        <v>57</v>
      </c>
      <c r="AG577">
        <v>13</v>
      </c>
      <c r="AH577" t="s">
        <v>57</v>
      </c>
      <c r="AL577" t="s">
        <v>57</v>
      </c>
      <c r="AM577" s="11">
        <v>44783</v>
      </c>
      <c r="AN577" t="s">
        <v>176</v>
      </c>
      <c r="AO577" t="s">
        <v>65</v>
      </c>
      <c r="AP577">
        <v>1204</v>
      </c>
      <c r="AQ577" t="s">
        <v>66</v>
      </c>
      <c r="AR577">
        <v>91011</v>
      </c>
      <c r="AU577" t="s">
        <v>57</v>
      </c>
      <c r="AV577" t="s">
        <v>68</v>
      </c>
      <c r="AX577" t="s">
        <v>57</v>
      </c>
      <c r="AY577">
        <v>631110</v>
      </c>
      <c r="AZ577">
        <v>1204.63111</v>
      </c>
      <c r="BA577" s="23" t="s">
        <v>12</v>
      </c>
    </row>
    <row r="578" spans="1:53" x14ac:dyDescent="0.25">
      <c r="A578" t="s">
        <v>134</v>
      </c>
      <c r="B578" t="s">
        <v>135</v>
      </c>
      <c r="C578">
        <v>22001845</v>
      </c>
      <c r="D578">
        <v>1204</v>
      </c>
      <c r="E578" s="11">
        <v>44783</v>
      </c>
      <c r="F578" t="s">
        <v>175</v>
      </c>
      <c r="G578">
        <v>1.05</v>
      </c>
      <c r="H578">
        <v>1.05</v>
      </c>
      <c r="I578" t="s">
        <v>56</v>
      </c>
      <c r="O578" t="s">
        <v>57</v>
      </c>
      <c r="Q578" t="s">
        <v>57</v>
      </c>
      <c r="R578" t="s">
        <v>137</v>
      </c>
      <c r="T578" t="s">
        <v>59</v>
      </c>
      <c r="U578" t="s">
        <v>60</v>
      </c>
      <c r="V578" t="s">
        <v>138</v>
      </c>
      <c r="W578" t="s">
        <v>139</v>
      </c>
      <c r="X578">
        <v>1930355</v>
      </c>
      <c r="Y578" s="11">
        <v>44783</v>
      </c>
      <c r="Z578" t="s">
        <v>57</v>
      </c>
      <c r="AA578">
        <v>14</v>
      </c>
      <c r="AB578" t="s">
        <v>57</v>
      </c>
      <c r="AD578" t="s">
        <v>57</v>
      </c>
      <c r="AE578" t="s">
        <v>57</v>
      </c>
      <c r="AF578" t="s">
        <v>57</v>
      </c>
      <c r="AG578">
        <v>7</v>
      </c>
      <c r="AH578" t="s">
        <v>57</v>
      </c>
      <c r="AL578" t="s">
        <v>57</v>
      </c>
      <c r="AM578" s="11">
        <v>44783</v>
      </c>
      <c r="AN578" t="s">
        <v>176</v>
      </c>
      <c r="AO578" t="s">
        <v>65</v>
      </c>
      <c r="AP578">
        <v>1204</v>
      </c>
      <c r="AQ578" t="s">
        <v>66</v>
      </c>
      <c r="AR578">
        <v>144854</v>
      </c>
      <c r="AU578" t="s">
        <v>57</v>
      </c>
      <c r="AV578" t="s">
        <v>68</v>
      </c>
      <c r="AX578" t="s">
        <v>57</v>
      </c>
      <c r="AY578">
        <v>631110</v>
      </c>
      <c r="AZ578">
        <v>1204.63111</v>
      </c>
      <c r="BA578" s="23" t="s">
        <v>12</v>
      </c>
    </row>
    <row r="579" spans="1:53" x14ac:dyDescent="0.25">
      <c r="A579" t="s">
        <v>134</v>
      </c>
      <c r="B579" t="s">
        <v>135</v>
      </c>
      <c r="C579">
        <v>22001846</v>
      </c>
      <c r="D579">
        <v>1204</v>
      </c>
      <c r="E579" s="11">
        <v>44783</v>
      </c>
      <c r="F579" t="s">
        <v>177</v>
      </c>
      <c r="G579">
        <v>5.72</v>
      </c>
      <c r="H579">
        <v>5.72</v>
      </c>
      <c r="I579" t="s">
        <v>56</v>
      </c>
      <c r="O579" t="s">
        <v>57</v>
      </c>
      <c r="Q579" t="s">
        <v>57</v>
      </c>
      <c r="R579" t="s">
        <v>137</v>
      </c>
      <c r="T579" t="s">
        <v>59</v>
      </c>
      <c r="U579" t="s">
        <v>60</v>
      </c>
      <c r="V579" t="s">
        <v>138</v>
      </c>
      <c r="W579" t="s">
        <v>139</v>
      </c>
      <c r="X579">
        <v>1930355</v>
      </c>
      <c r="Y579" s="11">
        <v>44783</v>
      </c>
      <c r="Z579" t="s">
        <v>57</v>
      </c>
      <c r="AA579">
        <v>2</v>
      </c>
      <c r="AB579" t="s">
        <v>57</v>
      </c>
      <c r="AD579" t="s">
        <v>57</v>
      </c>
      <c r="AE579" t="s">
        <v>57</v>
      </c>
      <c r="AF579" t="s">
        <v>57</v>
      </c>
      <c r="AG579">
        <v>10</v>
      </c>
      <c r="AH579" t="s">
        <v>57</v>
      </c>
      <c r="AL579" t="s">
        <v>57</v>
      </c>
      <c r="AM579" s="11">
        <v>44783</v>
      </c>
      <c r="AN579" t="s">
        <v>176</v>
      </c>
      <c r="AO579" t="s">
        <v>65</v>
      </c>
      <c r="AP579">
        <v>1204</v>
      </c>
      <c r="AQ579" t="s">
        <v>66</v>
      </c>
      <c r="AR579">
        <v>265226</v>
      </c>
      <c r="AU579" t="s">
        <v>57</v>
      </c>
      <c r="AV579" t="s">
        <v>68</v>
      </c>
      <c r="AX579" t="s">
        <v>57</v>
      </c>
      <c r="AY579">
        <v>631110</v>
      </c>
      <c r="AZ579">
        <v>1204.63111</v>
      </c>
      <c r="BA579" s="23" t="s">
        <v>12</v>
      </c>
    </row>
    <row r="580" spans="1:53" x14ac:dyDescent="0.25">
      <c r="A580" t="s">
        <v>134</v>
      </c>
      <c r="B580" t="s">
        <v>135</v>
      </c>
      <c r="C580">
        <v>22001847</v>
      </c>
      <c r="D580">
        <v>1204</v>
      </c>
      <c r="E580" s="11">
        <v>44784</v>
      </c>
      <c r="F580" t="s">
        <v>159</v>
      </c>
      <c r="G580">
        <v>7.0000000000000007E-2</v>
      </c>
      <c r="H580">
        <v>7.0000000000000007E-2</v>
      </c>
      <c r="I580" t="s">
        <v>56</v>
      </c>
      <c r="O580" t="s">
        <v>57</v>
      </c>
      <c r="Q580" t="s">
        <v>57</v>
      </c>
      <c r="R580" t="s">
        <v>137</v>
      </c>
      <c r="T580" t="s">
        <v>59</v>
      </c>
      <c r="U580" t="s">
        <v>60</v>
      </c>
      <c r="V580" t="s">
        <v>138</v>
      </c>
      <c r="W580" t="s">
        <v>139</v>
      </c>
      <c r="X580">
        <v>1930405</v>
      </c>
      <c r="Y580" s="11">
        <v>44784</v>
      </c>
      <c r="Z580" t="s">
        <v>57</v>
      </c>
      <c r="AA580">
        <v>2</v>
      </c>
      <c r="AB580" t="s">
        <v>57</v>
      </c>
      <c r="AD580" t="s">
        <v>57</v>
      </c>
      <c r="AE580" t="s">
        <v>57</v>
      </c>
      <c r="AF580" t="s">
        <v>57</v>
      </c>
      <c r="AG580">
        <v>1</v>
      </c>
      <c r="AH580" t="s">
        <v>57</v>
      </c>
      <c r="AL580" t="s">
        <v>57</v>
      </c>
      <c r="AM580" s="11">
        <v>44784</v>
      </c>
      <c r="AN580" t="s">
        <v>173</v>
      </c>
      <c r="AO580" t="s">
        <v>65</v>
      </c>
      <c r="AP580">
        <v>1204</v>
      </c>
      <c r="AQ580" t="s">
        <v>66</v>
      </c>
      <c r="AR580">
        <v>89908</v>
      </c>
      <c r="AU580" t="s">
        <v>57</v>
      </c>
      <c r="AV580" t="s">
        <v>68</v>
      </c>
      <c r="AX580" t="s">
        <v>57</v>
      </c>
      <c r="AY580">
        <v>631110</v>
      </c>
      <c r="AZ580">
        <v>1204.63111</v>
      </c>
      <c r="BA580" s="23" t="s">
        <v>12</v>
      </c>
    </row>
    <row r="581" spans="1:53" x14ac:dyDescent="0.25">
      <c r="A581" t="s">
        <v>134</v>
      </c>
      <c r="B581" t="s">
        <v>135</v>
      </c>
      <c r="C581">
        <v>22001847</v>
      </c>
      <c r="D581">
        <v>1204</v>
      </c>
      <c r="E581" s="11">
        <v>44784</v>
      </c>
      <c r="F581" t="s">
        <v>159</v>
      </c>
      <c r="G581">
        <v>15.12</v>
      </c>
      <c r="H581">
        <v>15.12</v>
      </c>
      <c r="I581" t="s">
        <v>56</v>
      </c>
      <c r="O581" t="s">
        <v>57</v>
      </c>
      <c r="Q581" t="s">
        <v>57</v>
      </c>
      <c r="R581" t="s">
        <v>137</v>
      </c>
      <c r="T581" t="s">
        <v>59</v>
      </c>
      <c r="U581" t="s">
        <v>60</v>
      </c>
      <c r="V581" t="s">
        <v>138</v>
      </c>
      <c r="W581" t="s">
        <v>139</v>
      </c>
      <c r="X581">
        <v>1930405</v>
      </c>
      <c r="Y581" s="11">
        <v>44784</v>
      </c>
      <c r="Z581" t="s">
        <v>57</v>
      </c>
      <c r="AA581">
        <v>4</v>
      </c>
      <c r="AB581" t="s">
        <v>57</v>
      </c>
      <c r="AD581" t="s">
        <v>57</v>
      </c>
      <c r="AE581" t="s">
        <v>57</v>
      </c>
      <c r="AF581" t="s">
        <v>57</v>
      </c>
      <c r="AG581">
        <v>1</v>
      </c>
      <c r="AH581" t="s">
        <v>57</v>
      </c>
      <c r="AL581" t="s">
        <v>57</v>
      </c>
      <c r="AM581" s="11">
        <v>44784</v>
      </c>
      <c r="AN581" t="s">
        <v>173</v>
      </c>
      <c r="AO581" t="s">
        <v>65</v>
      </c>
      <c r="AP581">
        <v>1204</v>
      </c>
      <c r="AQ581" t="s">
        <v>66</v>
      </c>
      <c r="AR581">
        <v>88717</v>
      </c>
      <c r="AU581" t="s">
        <v>57</v>
      </c>
      <c r="AV581" t="s">
        <v>68</v>
      </c>
      <c r="AX581" t="s">
        <v>57</v>
      </c>
      <c r="AY581">
        <v>631110</v>
      </c>
      <c r="AZ581">
        <v>1204.63111</v>
      </c>
      <c r="BA581" s="23" t="s">
        <v>12</v>
      </c>
    </row>
    <row r="582" spans="1:53" x14ac:dyDescent="0.25">
      <c r="A582" t="s">
        <v>134</v>
      </c>
      <c r="B582" t="s">
        <v>135</v>
      </c>
      <c r="C582">
        <v>22001848</v>
      </c>
      <c r="D582">
        <v>1204</v>
      </c>
      <c r="E582" s="11">
        <v>44784</v>
      </c>
      <c r="F582" t="s">
        <v>172</v>
      </c>
      <c r="G582">
        <v>7.88</v>
      </c>
      <c r="H582">
        <v>7.88</v>
      </c>
      <c r="I582" t="s">
        <v>56</v>
      </c>
      <c r="O582" t="s">
        <v>57</v>
      </c>
      <c r="Q582" t="s">
        <v>57</v>
      </c>
      <c r="R582" t="s">
        <v>137</v>
      </c>
      <c r="T582" t="s">
        <v>59</v>
      </c>
      <c r="U582" t="s">
        <v>60</v>
      </c>
      <c r="V582" t="s">
        <v>138</v>
      </c>
      <c r="W582" t="s">
        <v>139</v>
      </c>
      <c r="X582">
        <v>1930405</v>
      </c>
      <c r="Y582" s="11">
        <v>44784</v>
      </c>
      <c r="Z582" t="s">
        <v>57</v>
      </c>
      <c r="AA582">
        <v>4</v>
      </c>
      <c r="AB582" t="s">
        <v>57</v>
      </c>
      <c r="AD582" t="s">
        <v>57</v>
      </c>
      <c r="AE582" t="s">
        <v>57</v>
      </c>
      <c r="AF582" t="s">
        <v>57</v>
      </c>
      <c r="AG582">
        <v>1</v>
      </c>
      <c r="AH582" t="s">
        <v>57</v>
      </c>
      <c r="AL582" t="s">
        <v>57</v>
      </c>
      <c r="AM582" s="11">
        <v>44784</v>
      </c>
      <c r="AN582" t="s">
        <v>173</v>
      </c>
      <c r="AO582" t="s">
        <v>65</v>
      </c>
      <c r="AP582">
        <v>1204</v>
      </c>
      <c r="AQ582" t="s">
        <v>66</v>
      </c>
      <c r="AR582">
        <v>227112</v>
      </c>
      <c r="AU582" t="s">
        <v>57</v>
      </c>
      <c r="AV582" t="s">
        <v>68</v>
      </c>
      <c r="AX582" t="s">
        <v>57</v>
      </c>
      <c r="AY582">
        <v>631110</v>
      </c>
      <c r="AZ582">
        <v>1204.63111</v>
      </c>
      <c r="BA582" s="23" t="s">
        <v>12</v>
      </c>
    </row>
    <row r="583" spans="1:53" x14ac:dyDescent="0.25">
      <c r="A583" t="s">
        <v>134</v>
      </c>
      <c r="B583" t="s">
        <v>135</v>
      </c>
      <c r="C583">
        <v>22001848</v>
      </c>
      <c r="D583">
        <v>1204</v>
      </c>
      <c r="E583" s="11">
        <v>44784</v>
      </c>
      <c r="F583" t="s">
        <v>172</v>
      </c>
      <c r="G583">
        <v>8.06</v>
      </c>
      <c r="H583">
        <v>8.06</v>
      </c>
      <c r="I583" t="s">
        <v>56</v>
      </c>
      <c r="O583" t="s">
        <v>57</v>
      </c>
      <c r="Q583" t="s">
        <v>57</v>
      </c>
      <c r="R583" t="s">
        <v>137</v>
      </c>
      <c r="T583" t="s">
        <v>59</v>
      </c>
      <c r="U583" t="s">
        <v>60</v>
      </c>
      <c r="V583" t="s">
        <v>138</v>
      </c>
      <c r="W583" t="s">
        <v>139</v>
      </c>
      <c r="X583">
        <v>1930405</v>
      </c>
      <c r="Y583" s="11">
        <v>44784</v>
      </c>
      <c r="Z583" t="s">
        <v>57</v>
      </c>
      <c r="AA583">
        <v>2</v>
      </c>
      <c r="AB583" t="s">
        <v>57</v>
      </c>
      <c r="AD583" t="s">
        <v>57</v>
      </c>
      <c r="AE583" t="s">
        <v>57</v>
      </c>
      <c r="AF583" t="s">
        <v>57</v>
      </c>
      <c r="AG583">
        <v>1</v>
      </c>
      <c r="AH583" t="s">
        <v>57</v>
      </c>
      <c r="AL583" t="s">
        <v>57</v>
      </c>
      <c r="AM583" s="11">
        <v>44784</v>
      </c>
      <c r="AN583" t="s">
        <v>173</v>
      </c>
      <c r="AO583" t="s">
        <v>65</v>
      </c>
      <c r="AP583">
        <v>1204</v>
      </c>
      <c r="AQ583" t="s">
        <v>66</v>
      </c>
      <c r="AR583">
        <v>279991</v>
      </c>
      <c r="AU583" t="s">
        <v>57</v>
      </c>
      <c r="AV583" t="s">
        <v>68</v>
      </c>
      <c r="AX583" t="s">
        <v>57</v>
      </c>
      <c r="AY583">
        <v>631110</v>
      </c>
      <c r="AZ583">
        <v>1204.63111</v>
      </c>
      <c r="BA583" s="23" t="s">
        <v>12</v>
      </c>
    </row>
    <row r="584" spans="1:53" x14ac:dyDescent="0.25">
      <c r="A584" t="s">
        <v>134</v>
      </c>
      <c r="B584" t="s">
        <v>135</v>
      </c>
      <c r="C584">
        <v>22001849</v>
      </c>
      <c r="D584">
        <v>1204</v>
      </c>
      <c r="E584" s="11">
        <v>44784</v>
      </c>
      <c r="F584" t="s">
        <v>174</v>
      </c>
      <c r="G584">
        <v>0.7</v>
      </c>
      <c r="H584">
        <v>0.7</v>
      </c>
      <c r="I584" t="s">
        <v>56</v>
      </c>
      <c r="O584" t="s">
        <v>57</v>
      </c>
      <c r="Q584" t="s">
        <v>57</v>
      </c>
      <c r="R584" t="s">
        <v>137</v>
      </c>
      <c r="T584" t="s">
        <v>59</v>
      </c>
      <c r="U584" t="s">
        <v>60</v>
      </c>
      <c r="V584" t="s">
        <v>138</v>
      </c>
      <c r="W584" t="s">
        <v>139</v>
      </c>
      <c r="X584">
        <v>1930407</v>
      </c>
      <c r="Y584" s="11">
        <v>44784</v>
      </c>
      <c r="Z584" t="s">
        <v>57</v>
      </c>
      <c r="AA584">
        <v>2</v>
      </c>
      <c r="AB584" t="s">
        <v>57</v>
      </c>
      <c r="AD584" t="s">
        <v>57</v>
      </c>
      <c r="AE584" t="s">
        <v>57</v>
      </c>
      <c r="AF584" t="s">
        <v>57</v>
      </c>
      <c r="AG584">
        <v>1</v>
      </c>
      <c r="AH584" t="s">
        <v>57</v>
      </c>
      <c r="AL584" t="s">
        <v>57</v>
      </c>
      <c r="AM584" s="11">
        <v>44784</v>
      </c>
      <c r="AN584" t="s">
        <v>173</v>
      </c>
      <c r="AO584" t="s">
        <v>65</v>
      </c>
      <c r="AP584">
        <v>1204</v>
      </c>
      <c r="AQ584" t="s">
        <v>66</v>
      </c>
      <c r="AR584">
        <v>90167</v>
      </c>
      <c r="AU584" t="s">
        <v>57</v>
      </c>
      <c r="AV584" t="s">
        <v>68</v>
      </c>
      <c r="AX584" t="s">
        <v>57</v>
      </c>
      <c r="AY584">
        <v>631110</v>
      </c>
      <c r="AZ584">
        <v>1204.63111</v>
      </c>
      <c r="BA584" s="23" t="s">
        <v>12</v>
      </c>
    </row>
    <row r="585" spans="1:53" x14ac:dyDescent="0.25">
      <c r="A585" t="s">
        <v>134</v>
      </c>
      <c r="B585" t="s">
        <v>135</v>
      </c>
      <c r="C585">
        <v>22001849</v>
      </c>
      <c r="D585">
        <v>1204</v>
      </c>
      <c r="E585" s="11">
        <v>44784</v>
      </c>
      <c r="F585" t="s">
        <v>174</v>
      </c>
      <c r="G585">
        <v>0.55000000000000004</v>
      </c>
      <c r="H585">
        <v>0.55000000000000004</v>
      </c>
      <c r="I585" t="s">
        <v>56</v>
      </c>
      <c r="O585" t="s">
        <v>57</v>
      </c>
      <c r="Q585" t="s">
        <v>57</v>
      </c>
      <c r="R585" t="s">
        <v>137</v>
      </c>
      <c r="T585" t="s">
        <v>59</v>
      </c>
      <c r="U585" t="s">
        <v>60</v>
      </c>
      <c r="V585" t="s">
        <v>138</v>
      </c>
      <c r="W585" t="s">
        <v>139</v>
      </c>
      <c r="X585">
        <v>1930407</v>
      </c>
      <c r="Y585" s="11">
        <v>44784</v>
      </c>
      <c r="Z585" t="s">
        <v>57</v>
      </c>
      <c r="AA585">
        <v>4</v>
      </c>
      <c r="AB585" t="s">
        <v>57</v>
      </c>
      <c r="AD585" t="s">
        <v>57</v>
      </c>
      <c r="AE585" t="s">
        <v>57</v>
      </c>
      <c r="AF585" t="s">
        <v>57</v>
      </c>
      <c r="AG585">
        <v>1</v>
      </c>
      <c r="AH585" t="s">
        <v>57</v>
      </c>
      <c r="AL585" t="s">
        <v>57</v>
      </c>
      <c r="AM585" s="11">
        <v>44784</v>
      </c>
      <c r="AN585" t="s">
        <v>173</v>
      </c>
      <c r="AO585" t="s">
        <v>65</v>
      </c>
      <c r="AP585">
        <v>1204</v>
      </c>
      <c r="AQ585" t="s">
        <v>66</v>
      </c>
      <c r="AR585">
        <v>140249</v>
      </c>
      <c r="AU585" t="s">
        <v>57</v>
      </c>
      <c r="AV585" t="s">
        <v>68</v>
      </c>
      <c r="AX585" t="s">
        <v>57</v>
      </c>
      <c r="AY585">
        <v>631110</v>
      </c>
      <c r="AZ585">
        <v>1204.63111</v>
      </c>
      <c r="BA585" s="23" t="s">
        <v>12</v>
      </c>
    </row>
    <row r="586" spans="1:53" x14ac:dyDescent="0.25">
      <c r="A586" t="s">
        <v>134</v>
      </c>
      <c r="B586" t="s">
        <v>135</v>
      </c>
      <c r="C586">
        <v>22001849</v>
      </c>
      <c r="D586">
        <v>1204</v>
      </c>
      <c r="E586" s="11">
        <v>44784</v>
      </c>
      <c r="F586" t="s">
        <v>174</v>
      </c>
      <c r="G586">
        <v>133.52000000000001</v>
      </c>
      <c r="H586">
        <v>133.52000000000001</v>
      </c>
      <c r="I586" t="s">
        <v>56</v>
      </c>
      <c r="O586" t="s">
        <v>57</v>
      </c>
      <c r="Q586" t="s">
        <v>57</v>
      </c>
      <c r="R586" t="s">
        <v>137</v>
      </c>
      <c r="T586" t="s">
        <v>59</v>
      </c>
      <c r="U586" t="s">
        <v>60</v>
      </c>
      <c r="V586" t="s">
        <v>138</v>
      </c>
      <c r="W586" t="s">
        <v>139</v>
      </c>
      <c r="X586">
        <v>1930407</v>
      </c>
      <c r="Y586" s="11">
        <v>44784</v>
      </c>
      <c r="Z586" t="s">
        <v>57</v>
      </c>
      <c r="AA586">
        <v>6</v>
      </c>
      <c r="AB586" t="s">
        <v>57</v>
      </c>
      <c r="AD586" t="s">
        <v>57</v>
      </c>
      <c r="AE586" t="s">
        <v>57</v>
      </c>
      <c r="AF586" t="s">
        <v>57</v>
      </c>
      <c r="AG586">
        <v>1</v>
      </c>
      <c r="AH586" t="s">
        <v>57</v>
      </c>
      <c r="AL586" t="s">
        <v>57</v>
      </c>
      <c r="AM586" s="11">
        <v>44784</v>
      </c>
      <c r="AN586" t="s">
        <v>173</v>
      </c>
      <c r="AO586" t="s">
        <v>65</v>
      </c>
      <c r="AP586">
        <v>1204</v>
      </c>
      <c r="AQ586" t="s">
        <v>66</v>
      </c>
      <c r="AR586">
        <v>209862</v>
      </c>
      <c r="AU586" t="s">
        <v>57</v>
      </c>
      <c r="AV586" t="s">
        <v>68</v>
      </c>
      <c r="AX586" t="s">
        <v>57</v>
      </c>
      <c r="AY586">
        <v>631110</v>
      </c>
      <c r="AZ586">
        <v>1204.63111</v>
      </c>
      <c r="BA586" s="23" t="s">
        <v>12</v>
      </c>
    </row>
    <row r="587" spans="1:53" x14ac:dyDescent="0.25">
      <c r="A587" t="s">
        <v>134</v>
      </c>
      <c r="B587" t="s">
        <v>135</v>
      </c>
      <c r="C587">
        <v>22001849</v>
      </c>
      <c r="D587">
        <v>1204</v>
      </c>
      <c r="E587" s="11">
        <v>44784</v>
      </c>
      <c r="F587" t="s">
        <v>174</v>
      </c>
      <c r="G587">
        <v>0.16</v>
      </c>
      <c r="H587">
        <v>0.16</v>
      </c>
      <c r="I587" t="s">
        <v>56</v>
      </c>
      <c r="O587" t="s">
        <v>57</v>
      </c>
      <c r="Q587" t="s">
        <v>57</v>
      </c>
      <c r="R587" t="s">
        <v>137</v>
      </c>
      <c r="T587" t="s">
        <v>59</v>
      </c>
      <c r="U587" t="s">
        <v>60</v>
      </c>
      <c r="V587" t="s">
        <v>138</v>
      </c>
      <c r="W587" t="s">
        <v>139</v>
      </c>
      <c r="X587">
        <v>1930407</v>
      </c>
      <c r="Y587" s="11">
        <v>44784</v>
      </c>
      <c r="Z587" t="s">
        <v>57</v>
      </c>
      <c r="AA587">
        <v>8</v>
      </c>
      <c r="AB587" t="s">
        <v>57</v>
      </c>
      <c r="AD587" t="s">
        <v>57</v>
      </c>
      <c r="AE587" t="s">
        <v>57</v>
      </c>
      <c r="AF587" t="s">
        <v>57</v>
      </c>
      <c r="AG587">
        <v>1</v>
      </c>
      <c r="AH587" t="s">
        <v>57</v>
      </c>
      <c r="AL587" t="s">
        <v>57</v>
      </c>
      <c r="AM587" s="11">
        <v>44784</v>
      </c>
      <c r="AN587" t="s">
        <v>173</v>
      </c>
      <c r="AO587" t="s">
        <v>65</v>
      </c>
      <c r="AP587">
        <v>1204</v>
      </c>
      <c r="AQ587" t="s">
        <v>66</v>
      </c>
      <c r="AR587">
        <v>88760</v>
      </c>
      <c r="AU587" t="s">
        <v>57</v>
      </c>
      <c r="AV587" t="s">
        <v>68</v>
      </c>
      <c r="AX587" t="s">
        <v>57</v>
      </c>
      <c r="AY587">
        <v>631110</v>
      </c>
      <c r="AZ587">
        <v>1204.63111</v>
      </c>
      <c r="BA587" s="23" t="s">
        <v>12</v>
      </c>
    </row>
    <row r="588" spans="1:53" x14ac:dyDescent="0.25">
      <c r="A588" t="s">
        <v>134</v>
      </c>
      <c r="B588" t="s">
        <v>135</v>
      </c>
      <c r="C588">
        <v>22001849</v>
      </c>
      <c r="D588">
        <v>1204</v>
      </c>
      <c r="E588" s="11">
        <v>44784</v>
      </c>
      <c r="F588" t="s">
        <v>174</v>
      </c>
      <c r="G588">
        <v>1.26</v>
      </c>
      <c r="H588">
        <v>1.26</v>
      </c>
      <c r="I588" t="s">
        <v>56</v>
      </c>
      <c r="O588" t="s">
        <v>57</v>
      </c>
      <c r="Q588" t="s">
        <v>57</v>
      </c>
      <c r="R588" t="s">
        <v>137</v>
      </c>
      <c r="T588" t="s">
        <v>59</v>
      </c>
      <c r="U588" t="s">
        <v>60</v>
      </c>
      <c r="V588" t="s">
        <v>138</v>
      </c>
      <c r="W588" t="s">
        <v>139</v>
      </c>
      <c r="X588">
        <v>1930407</v>
      </c>
      <c r="Y588" s="11">
        <v>44784</v>
      </c>
      <c r="Z588" t="s">
        <v>57</v>
      </c>
      <c r="AA588">
        <v>10</v>
      </c>
      <c r="AB588" t="s">
        <v>57</v>
      </c>
      <c r="AD588" t="s">
        <v>57</v>
      </c>
      <c r="AE588" t="s">
        <v>57</v>
      </c>
      <c r="AF588" t="s">
        <v>57</v>
      </c>
      <c r="AG588">
        <v>1</v>
      </c>
      <c r="AH588" t="s">
        <v>57</v>
      </c>
      <c r="AL588" t="s">
        <v>57</v>
      </c>
      <c r="AM588" s="11">
        <v>44784</v>
      </c>
      <c r="AN588" t="s">
        <v>173</v>
      </c>
      <c r="AO588" t="s">
        <v>65</v>
      </c>
      <c r="AP588">
        <v>1204</v>
      </c>
      <c r="AQ588" t="s">
        <v>66</v>
      </c>
      <c r="AR588">
        <v>88783</v>
      </c>
      <c r="AU588" t="s">
        <v>57</v>
      </c>
      <c r="AV588" t="s">
        <v>68</v>
      </c>
      <c r="AX588" t="s">
        <v>57</v>
      </c>
      <c r="AY588">
        <v>631110</v>
      </c>
      <c r="AZ588">
        <v>1204.63111</v>
      </c>
      <c r="BA588" s="23" t="s">
        <v>12</v>
      </c>
    </row>
    <row r="589" spans="1:53" x14ac:dyDescent="0.25">
      <c r="A589" t="s">
        <v>134</v>
      </c>
      <c r="B589" t="s">
        <v>135</v>
      </c>
      <c r="C589">
        <v>22001849</v>
      </c>
      <c r="D589">
        <v>1204</v>
      </c>
      <c r="E589" s="11">
        <v>44784</v>
      </c>
      <c r="F589" t="s">
        <v>174</v>
      </c>
      <c r="G589">
        <v>5.91</v>
      </c>
      <c r="H589">
        <v>5.91</v>
      </c>
      <c r="I589" t="s">
        <v>56</v>
      </c>
      <c r="O589" t="s">
        <v>57</v>
      </c>
      <c r="Q589" t="s">
        <v>57</v>
      </c>
      <c r="R589" t="s">
        <v>137</v>
      </c>
      <c r="T589" t="s">
        <v>59</v>
      </c>
      <c r="U589" t="s">
        <v>60</v>
      </c>
      <c r="V589" t="s">
        <v>138</v>
      </c>
      <c r="W589" t="s">
        <v>139</v>
      </c>
      <c r="X589">
        <v>1930407</v>
      </c>
      <c r="Y589" s="11">
        <v>44784</v>
      </c>
      <c r="Z589" t="s">
        <v>57</v>
      </c>
      <c r="AA589">
        <v>12</v>
      </c>
      <c r="AB589" t="s">
        <v>57</v>
      </c>
      <c r="AD589" t="s">
        <v>57</v>
      </c>
      <c r="AE589" t="s">
        <v>57</v>
      </c>
      <c r="AF589" t="s">
        <v>57</v>
      </c>
      <c r="AG589">
        <v>1</v>
      </c>
      <c r="AH589" t="s">
        <v>57</v>
      </c>
      <c r="AL589" t="s">
        <v>57</v>
      </c>
      <c r="AM589" s="11">
        <v>44784</v>
      </c>
      <c r="AN589" t="s">
        <v>173</v>
      </c>
      <c r="AO589" t="s">
        <v>65</v>
      </c>
      <c r="AP589">
        <v>1204</v>
      </c>
      <c r="AQ589" t="s">
        <v>66</v>
      </c>
      <c r="AR589">
        <v>88713</v>
      </c>
      <c r="AU589" t="s">
        <v>57</v>
      </c>
      <c r="AV589" t="s">
        <v>68</v>
      </c>
      <c r="AX589" t="s">
        <v>57</v>
      </c>
      <c r="AY589">
        <v>631110</v>
      </c>
      <c r="AZ589">
        <v>1204.63111</v>
      </c>
      <c r="BA589" s="23" t="s">
        <v>12</v>
      </c>
    </row>
    <row r="590" spans="1:53" x14ac:dyDescent="0.25">
      <c r="A590" t="s">
        <v>134</v>
      </c>
      <c r="B590" t="s">
        <v>135</v>
      </c>
      <c r="C590">
        <v>22001849</v>
      </c>
      <c r="D590">
        <v>1204</v>
      </c>
      <c r="E590" s="11">
        <v>44784</v>
      </c>
      <c r="F590" t="s">
        <v>174</v>
      </c>
      <c r="G590">
        <v>0.16</v>
      </c>
      <c r="H590">
        <v>0.16</v>
      </c>
      <c r="I590" t="s">
        <v>56</v>
      </c>
      <c r="O590" t="s">
        <v>57</v>
      </c>
      <c r="Q590" t="s">
        <v>57</v>
      </c>
      <c r="R590" t="s">
        <v>137</v>
      </c>
      <c r="T590" t="s">
        <v>59</v>
      </c>
      <c r="U590" t="s">
        <v>60</v>
      </c>
      <c r="V590" t="s">
        <v>138</v>
      </c>
      <c r="W590" t="s">
        <v>139</v>
      </c>
      <c r="X590">
        <v>1930407</v>
      </c>
      <c r="Y590" s="11">
        <v>44784</v>
      </c>
      <c r="Z590" t="s">
        <v>57</v>
      </c>
      <c r="AA590">
        <v>14</v>
      </c>
      <c r="AB590" t="s">
        <v>57</v>
      </c>
      <c r="AD590" t="s">
        <v>57</v>
      </c>
      <c r="AE590" t="s">
        <v>57</v>
      </c>
      <c r="AF590" t="s">
        <v>57</v>
      </c>
      <c r="AG590">
        <v>1</v>
      </c>
      <c r="AH590" t="s">
        <v>57</v>
      </c>
      <c r="AL590" t="s">
        <v>57</v>
      </c>
      <c r="AM590" s="11">
        <v>44784</v>
      </c>
      <c r="AN590" t="s">
        <v>173</v>
      </c>
      <c r="AO590" t="s">
        <v>65</v>
      </c>
      <c r="AP590">
        <v>1204</v>
      </c>
      <c r="AQ590" t="s">
        <v>66</v>
      </c>
      <c r="AR590">
        <v>88760</v>
      </c>
      <c r="AU590" t="s">
        <v>57</v>
      </c>
      <c r="AV590" t="s">
        <v>68</v>
      </c>
      <c r="AX590" t="s">
        <v>57</v>
      </c>
      <c r="AY590">
        <v>631110</v>
      </c>
      <c r="AZ590">
        <v>1204.63111</v>
      </c>
      <c r="BA590" s="23" t="s">
        <v>12</v>
      </c>
    </row>
    <row r="591" spans="1:53" x14ac:dyDescent="0.25">
      <c r="A591" t="s">
        <v>134</v>
      </c>
      <c r="B591" t="s">
        <v>135</v>
      </c>
      <c r="C591">
        <v>22001849</v>
      </c>
      <c r="D591">
        <v>1204</v>
      </c>
      <c r="E591" s="11">
        <v>44784</v>
      </c>
      <c r="F591" t="s">
        <v>174</v>
      </c>
      <c r="G591">
        <v>12.59</v>
      </c>
      <c r="H591">
        <v>12.59</v>
      </c>
      <c r="I591" t="s">
        <v>56</v>
      </c>
      <c r="O591" t="s">
        <v>57</v>
      </c>
      <c r="Q591" t="s">
        <v>57</v>
      </c>
      <c r="R591" t="s">
        <v>137</v>
      </c>
      <c r="T591" t="s">
        <v>59</v>
      </c>
      <c r="U591" t="s">
        <v>60</v>
      </c>
      <c r="V591" t="s">
        <v>138</v>
      </c>
      <c r="W591" t="s">
        <v>139</v>
      </c>
      <c r="X591">
        <v>1930407</v>
      </c>
      <c r="Y591" s="11">
        <v>44784</v>
      </c>
      <c r="Z591" t="s">
        <v>57</v>
      </c>
      <c r="AA591">
        <v>16</v>
      </c>
      <c r="AB591" t="s">
        <v>57</v>
      </c>
      <c r="AD591" t="s">
        <v>57</v>
      </c>
      <c r="AE591" t="s">
        <v>57</v>
      </c>
      <c r="AF591" t="s">
        <v>57</v>
      </c>
      <c r="AG591">
        <v>1</v>
      </c>
      <c r="AH591" t="s">
        <v>57</v>
      </c>
      <c r="AL591" t="s">
        <v>57</v>
      </c>
      <c r="AM591" s="11">
        <v>44784</v>
      </c>
      <c r="AN591" t="s">
        <v>173</v>
      </c>
      <c r="AO591" t="s">
        <v>65</v>
      </c>
      <c r="AP591">
        <v>1204</v>
      </c>
      <c r="AQ591" t="s">
        <v>66</v>
      </c>
      <c r="AR591">
        <v>219277</v>
      </c>
      <c r="AU591" t="s">
        <v>57</v>
      </c>
      <c r="AV591" t="s">
        <v>68</v>
      </c>
      <c r="AX591" t="s">
        <v>57</v>
      </c>
      <c r="AY591">
        <v>631110</v>
      </c>
      <c r="AZ591">
        <v>1204.63111</v>
      </c>
      <c r="BA591" s="23" t="s">
        <v>12</v>
      </c>
    </row>
    <row r="592" spans="1:53" x14ac:dyDescent="0.25">
      <c r="A592" t="s">
        <v>134</v>
      </c>
      <c r="B592" t="s">
        <v>135</v>
      </c>
      <c r="C592">
        <v>22001849</v>
      </c>
      <c r="D592">
        <v>1204</v>
      </c>
      <c r="E592" s="11">
        <v>44784</v>
      </c>
      <c r="F592" t="s">
        <v>174</v>
      </c>
      <c r="G592">
        <v>44.28</v>
      </c>
      <c r="H592">
        <v>44.28</v>
      </c>
      <c r="I592" t="s">
        <v>56</v>
      </c>
      <c r="O592" t="s">
        <v>57</v>
      </c>
      <c r="Q592" t="s">
        <v>57</v>
      </c>
      <c r="R592" t="s">
        <v>137</v>
      </c>
      <c r="T592" t="s">
        <v>59</v>
      </c>
      <c r="U592" t="s">
        <v>60</v>
      </c>
      <c r="V592" t="s">
        <v>138</v>
      </c>
      <c r="W592" t="s">
        <v>139</v>
      </c>
      <c r="X592">
        <v>1930407</v>
      </c>
      <c r="Y592" s="11">
        <v>44784</v>
      </c>
      <c r="Z592" t="s">
        <v>57</v>
      </c>
      <c r="AA592">
        <v>18</v>
      </c>
      <c r="AB592" t="s">
        <v>57</v>
      </c>
      <c r="AD592" t="s">
        <v>57</v>
      </c>
      <c r="AE592" t="s">
        <v>57</v>
      </c>
      <c r="AF592" t="s">
        <v>57</v>
      </c>
      <c r="AG592">
        <v>1</v>
      </c>
      <c r="AH592" t="s">
        <v>57</v>
      </c>
      <c r="AL592" t="s">
        <v>57</v>
      </c>
      <c r="AM592" s="11">
        <v>44784</v>
      </c>
      <c r="AN592" t="s">
        <v>173</v>
      </c>
      <c r="AO592" t="s">
        <v>65</v>
      </c>
      <c r="AP592">
        <v>1204</v>
      </c>
      <c r="AQ592" t="s">
        <v>66</v>
      </c>
      <c r="AR592">
        <v>90236</v>
      </c>
      <c r="AU592" t="s">
        <v>57</v>
      </c>
      <c r="AV592" t="s">
        <v>68</v>
      </c>
      <c r="AX592" t="s">
        <v>57</v>
      </c>
      <c r="AY592">
        <v>631110</v>
      </c>
      <c r="AZ592">
        <v>1204.63111</v>
      </c>
      <c r="BA592" s="23" t="s">
        <v>12</v>
      </c>
    </row>
    <row r="593" spans="1:53" x14ac:dyDescent="0.25">
      <c r="A593" t="s">
        <v>134</v>
      </c>
      <c r="B593" t="s">
        <v>135</v>
      </c>
      <c r="C593">
        <v>22001849</v>
      </c>
      <c r="D593">
        <v>1204</v>
      </c>
      <c r="E593" s="11">
        <v>44784</v>
      </c>
      <c r="F593" t="s">
        <v>174</v>
      </c>
      <c r="G593">
        <v>28.54</v>
      </c>
      <c r="H593">
        <v>28.54</v>
      </c>
      <c r="I593" t="s">
        <v>56</v>
      </c>
      <c r="O593" t="s">
        <v>57</v>
      </c>
      <c r="Q593" t="s">
        <v>57</v>
      </c>
      <c r="R593" t="s">
        <v>137</v>
      </c>
      <c r="T593" t="s">
        <v>59</v>
      </c>
      <c r="U593" t="s">
        <v>60</v>
      </c>
      <c r="V593" t="s">
        <v>138</v>
      </c>
      <c r="W593" t="s">
        <v>139</v>
      </c>
      <c r="X593">
        <v>1930407</v>
      </c>
      <c r="Y593" s="11">
        <v>44784</v>
      </c>
      <c r="Z593" t="s">
        <v>57</v>
      </c>
      <c r="AA593">
        <v>20</v>
      </c>
      <c r="AB593" t="s">
        <v>57</v>
      </c>
      <c r="AD593" t="s">
        <v>57</v>
      </c>
      <c r="AE593" t="s">
        <v>57</v>
      </c>
      <c r="AF593" t="s">
        <v>57</v>
      </c>
      <c r="AG593">
        <v>1</v>
      </c>
      <c r="AH593" t="s">
        <v>57</v>
      </c>
      <c r="AL593" t="s">
        <v>57</v>
      </c>
      <c r="AM593" s="11">
        <v>44784</v>
      </c>
      <c r="AN593" t="s">
        <v>173</v>
      </c>
      <c r="AO593" t="s">
        <v>65</v>
      </c>
      <c r="AP593">
        <v>1204</v>
      </c>
      <c r="AQ593" t="s">
        <v>66</v>
      </c>
      <c r="AR593">
        <v>139186</v>
      </c>
      <c r="AU593" t="s">
        <v>57</v>
      </c>
      <c r="AV593" t="s">
        <v>68</v>
      </c>
      <c r="AX593" t="s">
        <v>57</v>
      </c>
      <c r="AY593">
        <v>631110</v>
      </c>
      <c r="AZ593">
        <v>1204.63111</v>
      </c>
      <c r="BA593" s="23" t="s">
        <v>12</v>
      </c>
    </row>
    <row r="594" spans="1:53" x14ac:dyDescent="0.25">
      <c r="A594" t="s">
        <v>134</v>
      </c>
      <c r="B594" t="s">
        <v>135</v>
      </c>
      <c r="C594">
        <v>22001849</v>
      </c>
      <c r="D594">
        <v>1204</v>
      </c>
      <c r="E594" s="11">
        <v>44784</v>
      </c>
      <c r="F594" t="s">
        <v>174</v>
      </c>
      <c r="G594">
        <v>0.16</v>
      </c>
      <c r="H594">
        <v>0.16</v>
      </c>
      <c r="I594" t="s">
        <v>56</v>
      </c>
      <c r="O594" t="s">
        <v>57</v>
      </c>
      <c r="Q594" t="s">
        <v>57</v>
      </c>
      <c r="R594" t="s">
        <v>137</v>
      </c>
      <c r="T594" t="s">
        <v>59</v>
      </c>
      <c r="U594" t="s">
        <v>60</v>
      </c>
      <c r="V594" t="s">
        <v>138</v>
      </c>
      <c r="W594" t="s">
        <v>139</v>
      </c>
      <c r="X594">
        <v>1930407</v>
      </c>
      <c r="Y594" s="11">
        <v>44784</v>
      </c>
      <c r="Z594" t="s">
        <v>57</v>
      </c>
      <c r="AA594">
        <v>22</v>
      </c>
      <c r="AB594" t="s">
        <v>57</v>
      </c>
      <c r="AD594" t="s">
        <v>57</v>
      </c>
      <c r="AE594" t="s">
        <v>57</v>
      </c>
      <c r="AF594" t="s">
        <v>57</v>
      </c>
      <c r="AG594">
        <v>1</v>
      </c>
      <c r="AH594" t="s">
        <v>57</v>
      </c>
      <c r="AL594" t="s">
        <v>57</v>
      </c>
      <c r="AM594" s="11">
        <v>44784</v>
      </c>
      <c r="AN594" t="s">
        <v>173</v>
      </c>
      <c r="AO594" t="s">
        <v>65</v>
      </c>
      <c r="AP594">
        <v>1204</v>
      </c>
      <c r="AQ594" t="s">
        <v>66</v>
      </c>
      <c r="AR594">
        <v>88760</v>
      </c>
      <c r="AU594" t="s">
        <v>57</v>
      </c>
      <c r="AV594" t="s">
        <v>68</v>
      </c>
      <c r="AX594" t="s">
        <v>57</v>
      </c>
      <c r="AY594">
        <v>631110</v>
      </c>
      <c r="AZ594">
        <v>1204.63111</v>
      </c>
      <c r="BA594" s="23" t="s">
        <v>12</v>
      </c>
    </row>
    <row r="595" spans="1:53" x14ac:dyDescent="0.25">
      <c r="A595" t="s">
        <v>134</v>
      </c>
      <c r="B595" t="s">
        <v>135</v>
      </c>
      <c r="C595">
        <v>22001849</v>
      </c>
      <c r="D595">
        <v>1204</v>
      </c>
      <c r="E595" s="11">
        <v>44784</v>
      </c>
      <c r="F595" t="s">
        <v>174</v>
      </c>
      <c r="G595">
        <v>8.3000000000000007</v>
      </c>
      <c r="H595">
        <v>8.3000000000000007</v>
      </c>
      <c r="I595" t="s">
        <v>56</v>
      </c>
      <c r="O595" t="s">
        <v>57</v>
      </c>
      <c r="Q595" t="s">
        <v>57</v>
      </c>
      <c r="R595" t="s">
        <v>137</v>
      </c>
      <c r="T595" t="s">
        <v>59</v>
      </c>
      <c r="U595" t="s">
        <v>60</v>
      </c>
      <c r="V595" t="s">
        <v>138</v>
      </c>
      <c r="W595" t="s">
        <v>139</v>
      </c>
      <c r="X595">
        <v>1930407</v>
      </c>
      <c r="Y595" s="11">
        <v>44784</v>
      </c>
      <c r="Z595" t="s">
        <v>57</v>
      </c>
      <c r="AA595">
        <v>30</v>
      </c>
      <c r="AB595" t="s">
        <v>57</v>
      </c>
      <c r="AD595" t="s">
        <v>57</v>
      </c>
      <c r="AE595" t="s">
        <v>57</v>
      </c>
      <c r="AF595" t="s">
        <v>57</v>
      </c>
      <c r="AG595">
        <v>2</v>
      </c>
      <c r="AH595" t="s">
        <v>57</v>
      </c>
      <c r="AL595" t="s">
        <v>57</v>
      </c>
      <c r="AM595" s="11">
        <v>44784</v>
      </c>
      <c r="AN595" t="s">
        <v>173</v>
      </c>
      <c r="AO595" t="s">
        <v>65</v>
      </c>
      <c r="AP595">
        <v>1204</v>
      </c>
      <c r="AQ595" t="s">
        <v>66</v>
      </c>
      <c r="AR595">
        <v>210193</v>
      </c>
      <c r="AU595" t="s">
        <v>57</v>
      </c>
      <c r="AV595" t="s">
        <v>68</v>
      </c>
      <c r="AX595" t="s">
        <v>57</v>
      </c>
      <c r="AY595">
        <v>631110</v>
      </c>
      <c r="AZ595">
        <v>1204.63111</v>
      </c>
      <c r="BA595" s="23" t="s">
        <v>12</v>
      </c>
    </row>
    <row r="596" spans="1:53" x14ac:dyDescent="0.25">
      <c r="A596" t="s">
        <v>134</v>
      </c>
      <c r="B596" t="s">
        <v>135</v>
      </c>
      <c r="C596">
        <v>22001849</v>
      </c>
      <c r="D596">
        <v>1204</v>
      </c>
      <c r="E596" s="11">
        <v>44784</v>
      </c>
      <c r="F596" t="s">
        <v>174</v>
      </c>
      <c r="G596">
        <v>1.26</v>
      </c>
      <c r="H596">
        <v>1.26</v>
      </c>
      <c r="I596" t="s">
        <v>56</v>
      </c>
      <c r="O596" t="s">
        <v>57</v>
      </c>
      <c r="Q596" t="s">
        <v>57</v>
      </c>
      <c r="R596" t="s">
        <v>137</v>
      </c>
      <c r="T596" t="s">
        <v>59</v>
      </c>
      <c r="U596" t="s">
        <v>60</v>
      </c>
      <c r="V596" t="s">
        <v>138</v>
      </c>
      <c r="W596" t="s">
        <v>139</v>
      </c>
      <c r="X596">
        <v>1930407</v>
      </c>
      <c r="Y596" s="11">
        <v>44784</v>
      </c>
      <c r="Z596" t="s">
        <v>57</v>
      </c>
      <c r="AA596">
        <v>24</v>
      </c>
      <c r="AB596" t="s">
        <v>57</v>
      </c>
      <c r="AD596" t="s">
        <v>57</v>
      </c>
      <c r="AE596" t="s">
        <v>57</v>
      </c>
      <c r="AF596" t="s">
        <v>57</v>
      </c>
      <c r="AG596">
        <v>1</v>
      </c>
      <c r="AH596" t="s">
        <v>57</v>
      </c>
      <c r="AL596" t="s">
        <v>57</v>
      </c>
      <c r="AM596" s="11">
        <v>44784</v>
      </c>
      <c r="AN596" t="s">
        <v>173</v>
      </c>
      <c r="AO596" t="s">
        <v>65</v>
      </c>
      <c r="AP596">
        <v>1204</v>
      </c>
      <c r="AQ596" t="s">
        <v>66</v>
      </c>
      <c r="AR596">
        <v>88783</v>
      </c>
      <c r="AU596" t="s">
        <v>57</v>
      </c>
      <c r="AV596" t="s">
        <v>68</v>
      </c>
      <c r="AX596" t="s">
        <v>57</v>
      </c>
      <c r="AY596">
        <v>631110</v>
      </c>
      <c r="AZ596">
        <v>1204.63111</v>
      </c>
      <c r="BA596" s="23" t="s">
        <v>12</v>
      </c>
    </row>
    <row r="597" spans="1:53" x14ac:dyDescent="0.25">
      <c r="A597" t="s">
        <v>134</v>
      </c>
      <c r="B597" t="s">
        <v>135</v>
      </c>
      <c r="C597">
        <v>22001849</v>
      </c>
      <c r="D597">
        <v>1204</v>
      </c>
      <c r="E597" s="11">
        <v>44784</v>
      </c>
      <c r="F597" t="s">
        <v>174</v>
      </c>
      <c r="G597">
        <v>1.64</v>
      </c>
      <c r="H597">
        <v>1.64</v>
      </c>
      <c r="I597" t="s">
        <v>56</v>
      </c>
      <c r="O597" t="s">
        <v>57</v>
      </c>
      <c r="Q597" t="s">
        <v>57</v>
      </c>
      <c r="R597" t="s">
        <v>137</v>
      </c>
      <c r="T597" t="s">
        <v>59</v>
      </c>
      <c r="U597" t="s">
        <v>60</v>
      </c>
      <c r="V597" t="s">
        <v>138</v>
      </c>
      <c r="W597" t="s">
        <v>139</v>
      </c>
      <c r="X597">
        <v>1930407</v>
      </c>
      <c r="Y597" s="11">
        <v>44784</v>
      </c>
      <c r="Z597" t="s">
        <v>57</v>
      </c>
      <c r="AA597">
        <v>26</v>
      </c>
      <c r="AB597" t="s">
        <v>57</v>
      </c>
      <c r="AD597" t="s">
        <v>57</v>
      </c>
      <c r="AE597" t="s">
        <v>57</v>
      </c>
      <c r="AF597" t="s">
        <v>57</v>
      </c>
      <c r="AG597">
        <v>3</v>
      </c>
      <c r="AH597" t="s">
        <v>57</v>
      </c>
      <c r="AL597" t="s">
        <v>57</v>
      </c>
      <c r="AM597" s="11">
        <v>44784</v>
      </c>
      <c r="AN597" t="s">
        <v>173</v>
      </c>
      <c r="AO597" t="s">
        <v>65</v>
      </c>
      <c r="AP597">
        <v>1204</v>
      </c>
      <c r="AQ597" t="s">
        <v>66</v>
      </c>
      <c r="AR597">
        <v>89777</v>
      </c>
      <c r="AU597" t="s">
        <v>57</v>
      </c>
      <c r="AV597" t="s">
        <v>68</v>
      </c>
      <c r="AX597" t="s">
        <v>57</v>
      </c>
      <c r="AY597">
        <v>631110</v>
      </c>
      <c r="AZ597">
        <v>1204.63111</v>
      </c>
      <c r="BA597" s="23" t="s">
        <v>12</v>
      </c>
    </row>
    <row r="598" spans="1:53" x14ac:dyDescent="0.25">
      <c r="A598" t="s">
        <v>134</v>
      </c>
      <c r="B598" t="s">
        <v>135</v>
      </c>
      <c r="C598">
        <v>22001849</v>
      </c>
      <c r="D598">
        <v>1204</v>
      </c>
      <c r="E598" s="11">
        <v>44784</v>
      </c>
      <c r="F598" t="s">
        <v>174</v>
      </c>
      <c r="G598">
        <v>6.18</v>
      </c>
      <c r="H598">
        <v>6.18</v>
      </c>
      <c r="I598" t="s">
        <v>56</v>
      </c>
      <c r="O598" t="s">
        <v>57</v>
      </c>
      <c r="Q598" t="s">
        <v>57</v>
      </c>
      <c r="R598" t="s">
        <v>137</v>
      </c>
      <c r="T598" t="s">
        <v>59</v>
      </c>
      <c r="U598" t="s">
        <v>60</v>
      </c>
      <c r="V598" t="s">
        <v>138</v>
      </c>
      <c r="W598" t="s">
        <v>139</v>
      </c>
      <c r="X598">
        <v>1930407</v>
      </c>
      <c r="Y598" s="11">
        <v>44784</v>
      </c>
      <c r="Z598" t="s">
        <v>57</v>
      </c>
      <c r="AA598">
        <v>28</v>
      </c>
      <c r="AB598" t="s">
        <v>57</v>
      </c>
      <c r="AD598" t="s">
        <v>57</v>
      </c>
      <c r="AE598" t="s">
        <v>57</v>
      </c>
      <c r="AF598" t="s">
        <v>57</v>
      </c>
      <c r="AG598">
        <v>5</v>
      </c>
      <c r="AH598" t="s">
        <v>57</v>
      </c>
      <c r="AL598" t="s">
        <v>57</v>
      </c>
      <c r="AM598" s="11">
        <v>44784</v>
      </c>
      <c r="AN598" t="s">
        <v>173</v>
      </c>
      <c r="AO598" t="s">
        <v>65</v>
      </c>
      <c r="AP598">
        <v>1204</v>
      </c>
      <c r="AQ598" t="s">
        <v>66</v>
      </c>
      <c r="AR598">
        <v>190204</v>
      </c>
      <c r="AU598" t="s">
        <v>57</v>
      </c>
      <c r="AV598" t="s">
        <v>68</v>
      </c>
      <c r="AX598" t="s">
        <v>57</v>
      </c>
      <c r="AY598">
        <v>631110</v>
      </c>
      <c r="AZ598">
        <v>1204.63111</v>
      </c>
      <c r="BA598" s="23" t="s">
        <v>12</v>
      </c>
    </row>
    <row r="599" spans="1:53" x14ac:dyDescent="0.25">
      <c r="A599" t="s">
        <v>134</v>
      </c>
      <c r="B599" t="s">
        <v>135</v>
      </c>
      <c r="C599">
        <v>22001851</v>
      </c>
      <c r="D599">
        <v>1204</v>
      </c>
      <c r="E599" s="11">
        <v>44784</v>
      </c>
      <c r="F599" t="s">
        <v>174</v>
      </c>
      <c r="G599">
        <v>2.76</v>
      </c>
      <c r="H599">
        <v>2.76</v>
      </c>
      <c r="I599" t="s">
        <v>56</v>
      </c>
      <c r="O599" t="s">
        <v>57</v>
      </c>
      <c r="Q599" t="s">
        <v>57</v>
      </c>
      <c r="R599" t="s">
        <v>137</v>
      </c>
      <c r="T599" t="s">
        <v>59</v>
      </c>
      <c r="U599" t="s">
        <v>60</v>
      </c>
      <c r="V599" t="s">
        <v>138</v>
      </c>
      <c r="W599" t="s">
        <v>139</v>
      </c>
      <c r="X599">
        <v>1930522</v>
      </c>
      <c r="Y599" s="11">
        <v>44784</v>
      </c>
      <c r="Z599" t="s">
        <v>57</v>
      </c>
      <c r="AA599">
        <v>2</v>
      </c>
      <c r="AB599" t="s">
        <v>57</v>
      </c>
      <c r="AD599" t="s">
        <v>57</v>
      </c>
      <c r="AE599" t="s">
        <v>57</v>
      </c>
      <c r="AF599" t="s">
        <v>57</v>
      </c>
      <c r="AG599">
        <v>1</v>
      </c>
      <c r="AH599" t="s">
        <v>57</v>
      </c>
      <c r="AL599" t="s">
        <v>57</v>
      </c>
      <c r="AM599" s="11">
        <v>44784</v>
      </c>
      <c r="AN599" t="s">
        <v>173</v>
      </c>
      <c r="AO599" t="s">
        <v>65</v>
      </c>
      <c r="AP599">
        <v>1204</v>
      </c>
      <c r="AQ599" t="s">
        <v>66</v>
      </c>
      <c r="AR599">
        <v>94430</v>
      </c>
      <c r="AU599" t="s">
        <v>57</v>
      </c>
      <c r="AV599" t="s">
        <v>68</v>
      </c>
      <c r="AX599" t="s">
        <v>57</v>
      </c>
      <c r="AY599">
        <v>631110</v>
      </c>
      <c r="AZ599">
        <v>1204.63111</v>
      </c>
      <c r="BA599" s="23" t="s">
        <v>12</v>
      </c>
    </row>
    <row r="600" spans="1:53" x14ac:dyDescent="0.25">
      <c r="A600" t="s">
        <v>134</v>
      </c>
      <c r="B600" t="s">
        <v>135</v>
      </c>
      <c r="C600">
        <v>22001851</v>
      </c>
      <c r="D600">
        <v>1204</v>
      </c>
      <c r="E600" s="11">
        <v>44784</v>
      </c>
      <c r="F600" t="s">
        <v>174</v>
      </c>
      <c r="G600">
        <v>32.26</v>
      </c>
      <c r="H600">
        <v>32.26</v>
      </c>
      <c r="I600" t="s">
        <v>56</v>
      </c>
      <c r="O600" t="s">
        <v>57</v>
      </c>
      <c r="Q600" t="s">
        <v>57</v>
      </c>
      <c r="R600" t="s">
        <v>137</v>
      </c>
      <c r="T600" t="s">
        <v>59</v>
      </c>
      <c r="U600" t="s">
        <v>60</v>
      </c>
      <c r="V600" t="s">
        <v>138</v>
      </c>
      <c r="W600" t="s">
        <v>139</v>
      </c>
      <c r="X600">
        <v>1930522</v>
      </c>
      <c r="Y600" s="11">
        <v>44784</v>
      </c>
      <c r="Z600" t="s">
        <v>57</v>
      </c>
      <c r="AA600">
        <v>4</v>
      </c>
      <c r="AB600" t="s">
        <v>57</v>
      </c>
      <c r="AD600" t="s">
        <v>57</v>
      </c>
      <c r="AE600" t="s">
        <v>57</v>
      </c>
      <c r="AF600" t="s">
        <v>57</v>
      </c>
      <c r="AG600">
        <v>6</v>
      </c>
      <c r="AH600" t="s">
        <v>57</v>
      </c>
      <c r="AL600" t="s">
        <v>57</v>
      </c>
      <c r="AM600" s="11">
        <v>44784</v>
      </c>
      <c r="AN600" t="s">
        <v>173</v>
      </c>
      <c r="AO600" t="s">
        <v>65</v>
      </c>
      <c r="AP600">
        <v>1204</v>
      </c>
      <c r="AQ600" t="s">
        <v>66</v>
      </c>
      <c r="AR600">
        <v>91077</v>
      </c>
      <c r="AU600" t="s">
        <v>57</v>
      </c>
      <c r="AV600" t="s">
        <v>68</v>
      </c>
      <c r="AX600" t="s">
        <v>57</v>
      </c>
      <c r="AY600">
        <v>631110</v>
      </c>
      <c r="AZ600">
        <v>1204.63111</v>
      </c>
      <c r="BA600" s="23" t="s">
        <v>12</v>
      </c>
    </row>
    <row r="601" spans="1:53" x14ac:dyDescent="0.25">
      <c r="A601" t="s">
        <v>134</v>
      </c>
      <c r="B601" t="s">
        <v>135</v>
      </c>
      <c r="C601">
        <v>22001851</v>
      </c>
      <c r="D601">
        <v>1204</v>
      </c>
      <c r="E601" s="11">
        <v>44784</v>
      </c>
      <c r="F601" t="s">
        <v>174</v>
      </c>
      <c r="G601">
        <v>1.29</v>
      </c>
      <c r="H601">
        <v>1.29</v>
      </c>
      <c r="I601" t="s">
        <v>56</v>
      </c>
      <c r="O601" t="s">
        <v>57</v>
      </c>
      <c r="Q601" t="s">
        <v>57</v>
      </c>
      <c r="R601" t="s">
        <v>137</v>
      </c>
      <c r="T601" t="s">
        <v>59</v>
      </c>
      <c r="U601" t="s">
        <v>60</v>
      </c>
      <c r="V601" t="s">
        <v>138</v>
      </c>
      <c r="W601" t="s">
        <v>139</v>
      </c>
      <c r="X601">
        <v>1930522</v>
      </c>
      <c r="Y601" s="11">
        <v>44784</v>
      </c>
      <c r="Z601" t="s">
        <v>57</v>
      </c>
      <c r="AA601">
        <v>6</v>
      </c>
      <c r="AB601" t="s">
        <v>57</v>
      </c>
      <c r="AD601" t="s">
        <v>57</v>
      </c>
      <c r="AE601" t="s">
        <v>57</v>
      </c>
      <c r="AF601" t="s">
        <v>57</v>
      </c>
      <c r="AG601">
        <v>2</v>
      </c>
      <c r="AH601" t="s">
        <v>57</v>
      </c>
      <c r="AL601" t="s">
        <v>57</v>
      </c>
      <c r="AM601" s="11">
        <v>44784</v>
      </c>
      <c r="AN601" t="s">
        <v>173</v>
      </c>
      <c r="AO601" t="s">
        <v>65</v>
      </c>
      <c r="AP601">
        <v>1204</v>
      </c>
      <c r="AQ601" t="s">
        <v>66</v>
      </c>
      <c r="AR601">
        <v>270710</v>
      </c>
      <c r="AU601" t="s">
        <v>57</v>
      </c>
      <c r="AV601" t="s">
        <v>68</v>
      </c>
      <c r="AX601" t="s">
        <v>57</v>
      </c>
      <c r="AY601">
        <v>631110</v>
      </c>
      <c r="AZ601">
        <v>1204.63111</v>
      </c>
      <c r="BA601" s="23" t="s">
        <v>12</v>
      </c>
    </row>
    <row r="602" spans="1:53" x14ac:dyDescent="0.25">
      <c r="A602" t="s">
        <v>134</v>
      </c>
      <c r="B602" t="s">
        <v>135</v>
      </c>
      <c r="C602">
        <v>22001851</v>
      </c>
      <c r="D602">
        <v>1204</v>
      </c>
      <c r="E602" s="11">
        <v>44784</v>
      </c>
      <c r="F602" t="s">
        <v>174</v>
      </c>
      <c r="G602">
        <v>0.64</v>
      </c>
      <c r="H602">
        <v>0.64</v>
      </c>
      <c r="I602" t="s">
        <v>56</v>
      </c>
      <c r="O602" t="s">
        <v>57</v>
      </c>
      <c r="Q602" t="s">
        <v>57</v>
      </c>
      <c r="R602" t="s">
        <v>137</v>
      </c>
      <c r="T602" t="s">
        <v>59</v>
      </c>
      <c r="U602" t="s">
        <v>60</v>
      </c>
      <c r="V602" t="s">
        <v>138</v>
      </c>
      <c r="W602" t="s">
        <v>139</v>
      </c>
      <c r="X602">
        <v>1930522</v>
      </c>
      <c r="Y602" s="11">
        <v>44784</v>
      </c>
      <c r="Z602" t="s">
        <v>57</v>
      </c>
      <c r="AA602">
        <v>8</v>
      </c>
      <c r="AB602" t="s">
        <v>57</v>
      </c>
      <c r="AD602" t="s">
        <v>57</v>
      </c>
      <c r="AE602" t="s">
        <v>57</v>
      </c>
      <c r="AF602" t="s">
        <v>57</v>
      </c>
      <c r="AG602">
        <v>1</v>
      </c>
      <c r="AH602" t="s">
        <v>57</v>
      </c>
      <c r="AL602" t="s">
        <v>57</v>
      </c>
      <c r="AM602" s="11">
        <v>44784</v>
      </c>
      <c r="AN602" t="s">
        <v>173</v>
      </c>
      <c r="AO602" t="s">
        <v>65</v>
      </c>
      <c r="AP602">
        <v>1204</v>
      </c>
      <c r="AQ602" t="s">
        <v>66</v>
      </c>
      <c r="AR602">
        <v>270706</v>
      </c>
      <c r="AU602" t="s">
        <v>57</v>
      </c>
      <c r="AV602" t="s">
        <v>68</v>
      </c>
      <c r="AX602" t="s">
        <v>57</v>
      </c>
      <c r="AY602">
        <v>631110</v>
      </c>
      <c r="AZ602">
        <v>1204.63111</v>
      </c>
      <c r="BA602" s="23" t="s">
        <v>12</v>
      </c>
    </row>
    <row r="603" spans="1:53" x14ac:dyDescent="0.25">
      <c r="A603" t="s">
        <v>134</v>
      </c>
      <c r="B603" t="s">
        <v>135</v>
      </c>
      <c r="C603">
        <v>22001851</v>
      </c>
      <c r="D603">
        <v>1204</v>
      </c>
      <c r="E603" s="11">
        <v>44784</v>
      </c>
      <c r="F603" t="s">
        <v>174</v>
      </c>
      <c r="G603">
        <v>21.44</v>
      </c>
      <c r="H603">
        <v>21.44</v>
      </c>
      <c r="I603" t="s">
        <v>56</v>
      </c>
      <c r="O603" t="s">
        <v>57</v>
      </c>
      <c r="Q603" t="s">
        <v>57</v>
      </c>
      <c r="R603" t="s">
        <v>137</v>
      </c>
      <c r="T603" t="s">
        <v>59</v>
      </c>
      <c r="U603" t="s">
        <v>60</v>
      </c>
      <c r="V603" t="s">
        <v>138</v>
      </c>
      <c r="W603" t="s">
        <v>139</v>
      </c>
      <c r="X603">
        <v>1930522</v>
      </c>
      <c r="Y603" s="11">
        <v>44784</v>
      </c>
      <c r="Z603" t="s">
        <v>57</v>
      </c>
      <c r="AA603">
        <v>10</v>
      </c>
      <c r="AB603" t="s">
        <v>57</v>
      </c>
      <c r="AD603" t="s">
        <v>57</v>
      </c>
      <c r="AE603" t="s">
        <v>57</v>
      </c>
      <c r="AF603" t="s">
        <v>57</v>
      </c>
      <c r="AG603">
        <v>1</v>
      </c>
      <c r="AH603" t="s">
        <v>57</v>
      </c>
      <c r="AL603" t="s">
        <v>57</v>
      </c>
      <c r="AM603" s="11">
        <v>44784</v>
      </c>
      <c r="AN603" t="s">
        <v>173</v>
      </c>
      <c r="AO603" t="s">
        <v>65</v>
      </c>
      <c r="AP603">
        <v>1204</v>
      </c>
      <c r="AQ603" t="s">
        <v>66</v>
      </c>
      <c r="AR603">
        <v>258398</v>
      </c>
      <c r="AU603" t="s">
        <v>57</v>
      </c>
      <c r="AV603" t="s">
        <v>68</v>
      </c>
      <c r="AX603" t="s">
        <v>57</v>
      </c>
      <c r="AY603">
        <v>631110</v>
      </c>
      <c r="AZ603">
        <v>1204.63111</v>
      </c>
      <c r="BA603" s="23" t="s">
        <v>12</v>
      </c>
    </row>
    <row r="604" spans="1:53" x14ac:dyDescent="0.25">
      <c r="A604" t="s">
        <v>134</v>
      </c>
      <c r="B604" t="s">
        <v>135</v>
      </c>
      <c r="C604">
        <v>22001851</v>
      </c>
      <c r="D604">
        <v>1204</v>
      </c>
      <c r="E604" s="11">
        <v>44784</v>
      </c>
      <c r="F604" t="s">
        <v>174</v>
      </c>
      <c r="G604">
        <v>82.77</v>
      </c>
      <c r="H604">
        <v>82.77</v>
      </c>
      <c r="I604" t="s">
        <v>56</v>
      </c>
      <c r="O604" t="s">
        <v>57</v>
      </c>
      <c r="Q604" t="s">
        <v>57</v>
      </c>
      <c r="R604" t="s">
        <v>137</v>
      </c>
      <c r="T604" t="s">
        <v>59</v>
      </c>
      <c r="U604" t="s">
        <v>60</v>
      </c>
      <c r="V604" t="s">
        <v>138</v>
      </c>
      <c r="W604" t="s">
        <v>139</v>
      </c>
      <c r="X604">
        <v>1930522</v>
      </c>
      <c r="Y604" s="11">
        <v>44784</v>
      </c>
      <c r="Z604" t="s">
        <v>57</v>
      </c>
      <c r="AA604">
        <v>12</v>
      </c>
      <c r="AB604" t="s">
        <v>57</v>
      </c>
      <c r="AD604" t="s">
        <v>57</v>
      </c>
      <c r="AE604" t="s">
        <v>57</v>
      </c>
      <c r="AF604" t="s">
        <v>57</v>
      </c>
      <c r="AG604">
        <v>1</v>
      </c>
      <c r="AH604" t="s">
        <v>57</v>
      </c>
      <c r="AL604" t="s">
        <v>57</v>
      </c>
      <c r="AM604" s="11">
        <v>44784</v>
      </c>
      <c r="AN604" t="s">
        <v>173</v>
      </c>
      <c r="AO604" t="s">
        <v>65</v>
      </c>
      <c r="AP604">
        <v>1204</v>
      </c>
      <c r="AQ604" t="s">
        <v>66</v>
      </c>
      <c r="AR604">
        <v>258399</v>
      </c>
      <c r="AU604" t="s">
        <v>57</v>
      </c>
      <c r="AV604" t="s">
        <v>68</v>
      </c>
      <c r="AX604" t="s">
        <v>57</v>
      </c>
      <c r="AY604">
        <v>631110</v>
      </c>
      <c r="AZ604">
        <v>1204.63111</v>
      </c>
      <c r="BA604" s="23" t="s">
        <v>12</v>
      </c>
    </row>
    <row r="605" spans="1:53" x14ac:dyDescent="0.25">
      <c r="A605" t="s">
        <v>134</v>
      </c>
      <c r="B605" t="s">
        <v>135</v>
      </c>
      <c r="C605">
        <v>22001851</v>
      </c>
      <c r="D605">
        <v>1204</v>
      </c>
      <c r="E605" s="11">
        <v>44784</v>
      </c>
      <c r="F605" t="s">
        <v>174</v>
      </c>
      <c r="G605">
        <v>82.48</v>
      </c>
      <c r="H605">
        <v>82.48</v>
      </c>
      <c r="I605" t="s">
        <v>56</v>
      </c>
      <c r="O605" t="s">
        <v>57</v>
      </c>
      <c r="Q605" t="s">
        <v>57</v>
      </c>
      <c r="R605" t="s">
        <v>137</v>
      </c>
      <c r="T605" t="s">
        <v>59</v>
      </c>
      <c r="U605" t="s">
        <v>60</v>
      </c>
      <c r="V605" t="s">
        <v>138</v>
      </c>
      <c r="W605" t="s">
        <v>139</v>
      </c>
      <c r="X605">
        <v>1930522</v>
      </c>
      <c r="Y605" s="11">
        <v>44784</v>
      </c>
      <c r="Z605" t="s">
        <v>57</v>
      </c>
      <c r="AA605">
        <v>14</v>
      </c>
      <c r="AB605" t="s">
        <v>57</v>
      </c>
      <c r="AD605" t="s">
        <v>57</v>
      </c>
      <c r="AE605" t="s">
        <v>57</v>
      </c>
      <c r="AF605" t="s">
        <v>57</v>
      </c>
      <c r="AG605">
        <v>1</v>
      </c>
      <c r="AH605" t="s">
        <v>57</v>
      </c>
      <c r="AL605" t="s">
        <v>57</v>
      </c>
      <c r="AM605" s="11">
        <v>44784</v>
      </c>
      <c r="AN605" t="s">
        <v>173</v>
      </c>
      <c r="AO605" t="s">
        <v>65</v>
      </c>
      <c r="AP605">
        <v>1204</v>
      </c>
      <c r="AQ605" t="s">
        <v>66</v>
      </c>
      <c r="AR605">
        <v>284493</v>
      </c>
      <c r="AU605" t="s">
        <v>57</v>
      </c>
      <c r="AV605" t="s">
        <v>68</v>
      </c>
      <c r="AX605" t="s">
        <v>57</v>
      </c>
      <c r="AY605">
        <v>631110</v>
      </c>
      <c r="AZ605">
        <v>1204.63111</v>
      </c>
      <c r="BA605" s="23" t="s">
        <v>12</v>
      </c>
    </row>
    <row r="606" spans="1:53" x14ac:dyDescent="0.25">
      <c r="A606" t="s">
        <v>134</v>
      </c>
      <c r="B606" t="s">
        <v>135</v>
      </c>
      <c r="C606">
        <v>22001852</v>
      </c>
      <c r="D606">
        <v>1204</v>
      </c>
      <c r="E606" s="11">
        <v>44784</v>
      </c>
      <c r="F606" t="s">
        <v>175</v>
      </c>
      <c r="G606">
        <v>0.54</v>
      </c>
      <c r="H606">
        <v>0.54</v>
      </c>
      <c r="I606" t="s">
        <v>56</v>
      </c>
      <c r="O606" t="s">
        <v>57</v>
      </c>
      <c r="Q606" t="s">
        <v>57</v>
      </c>
      <c r="R606" t="s">
        <v>137</v>
      </c>
      <c r="T606" t="s">
        <v>59</v>
      </c>
      <c r="U606" t="s">
        <v>60</v>
      </c>
      <c r="V606" t="s">
        <v>138</v>
      </c>
      <c r="W606" t="s">
        <v>139</v>
      </c>
      <c r="X606">
        <v>1930523</v>
      </c>
      <c r="Y606" s="11">
        <v>44784</v>
      </c>
      <c r="Z606" t="s">
        <v>57</v>
      </c>
      <c r="AA606">
        <v>2</v>
      </c>
      <c r="AB606" t="s">
        <v>57</v>
      </c>
      <c r="AD606" t="s">
        <v>57</v>
      </c>
      <c r="AE606" t="s">
        <v>57</v>
      </c>
      <c r="AF606" t="s">
        <v>57</v>
      </c>
      <c r="AG606">
        <v>7</v>
      </c>
      <c r="AH606" t="s">
        <v>57</v>
      </c>
      <c r="AL606" t="s">
        <v>57</v>
      </c>
      <c r="AM606" s="11">
        <v>44784</v>
      </c>
      <c r="AN606" t="s">
        <v>176</v>
      </c>
      <c r="AO606" t="s">
        <v>65</v>
      </c>
      <c r="AP606">
        <v>1204</v>
      </c>
      <c r="AQ606" t="s">
        <v>66</v>
      </c>
      <c r="AR606">
        <v>91479</v>
      </c>
      <c r="AU606" t="s">
        <v>57</v>
      </c>
      <c r="AV606" t="s">
        <v>68</v>
      </c>
      <c r="AX606" t="s">
        <v>57</v>
      </c>
      <c r="AY606">
        <v>631110</v>
      </c>
      <c r="AZ606">
        <v>1204.63111</v>
      </c>
      <c r="BA606" s="23" t="s">
        <v>12</v>
      </c>
    </row>
    <row r="607" spans="1:53" x14ac:dyDescent="0.25">
      <c r="A607" t="s">
        <v>134</v>
      </c>
      <c r="B607" t="s">
        <v>135</v>
      </c>
      <c r="C607">
        <v>22001852</v>
      </c>
      <c r="D607">
        <v>1204</v>
      </c>
      <c r="E607" s="11">
        <v>44784</v>
      </c>
      <c r="F607" t="s">
        <v>175</v>
      </c>
      <c r="G607">
        <v>2.23</v>
      </c>
      <c r="H607">
        <v>2.23</v>
      </c>
      <c r="I607" t="s">
        <v>56</v>
      </c>
      <c r="O607" t="s">
        <v>57</v>
      </c>
      <c r="Q607" t="s">
        <v>57</v>
      </c>
      <c r="R607" t="s">
        <v>137</v>
      </c>
      <c r="T607" t="s">
        <v>59</v>
      </c>
      <c r="U607" t="s">
        <v>60</v>
      </c>
      <c r="V607" t="s">
        <v>138</v>
      </c>
      <c r="W607" t="s">
        <v>139</v>
      </c>
      <c r="X607">
        <v>1930523</v>
      </c>
      <c r="Y607" s="11">
        <v>44784</v>
      </c>
      <c r="Z607" t="s">
        <v>57</v>
      </c>
      <c r="AA607">
        <v>4</v>
      </c>
      <c r="AB607" t="s">
        <v>57</v>
      </c>
      <c r="AD607" t="s">
        <v>57</v>
      </c>
      <c r="AE607" t="s">
        <v>57</v>
      </c>
      <c r="AF607" t="s">
        <v>57</v>
      </c>
      <c r="AG607">
        <v>20</v>
      </c>
      <c r="AH607" t="s">
        <v>57</v>
      </c>
      <c r="AL607" t="s">
        <v>57</v>
      </c>
      <c r="AM607" s="11">
        <v>44784</v>
      </c>
      <c r="AN607" t="s">
        <v>176</v>
      </c>
      <c r="AO607" t="s">
        <v>65</v>
      </c>
      <c r="AP607">
        <v>1204</v>
      </c>
      <c r="AQ607" t="s">
        <v>66</v>
      </c>
      <c r="AR607">
        <v>265267</v>
      </c>
      <c r="AU607" t="s">
        <v>57</v>
      </c>
      <c r="AV607" t="s">
        <v>68</v>
      </c>
      <c r="AX607" t="s">
        <v>57</v>
      </c>
      <c r="AY607">
        <v>631110</v>
      </c>
      <c r="AZ607">
        <v>1204.63111</v>
      </c>
      <c r="BA607" s="23" t="s">
        <v>12</v>
      </c>
    </row>
    <row r="608" spans="1:53" x14ac:dyDescent="0.25">
      <c r="A608" t="s">
        <v>134</v>
      </c>
      <c r="B608" t="s">
        <v>135</v>
      </c>
      <c r="C608">
        <v>22001852</v>
      </c>
      <c r="D608">
        <v>1204</v>
      </c>
      <c r="E608" s="11">
        <v>44784</v>
      </c>
      <c r="F608" t="s">
        <v>175</v>
      </c>
      <c r="G608">
        <v>0.33</v>
      </c>
      <c r="H608">
        <v>0.33</v>
      </c>
      <c r="I608" t="s">
        <v>56</v>
      </c>
      <c r="O608" t="s">
        <v>57</v>
      </c>
      <c r="Q608" t="s">
        <v>57</v>
      </c>
      <c r="R608" t="s">
        <v>137</v>
      </c>
      <c r="T608" t="s">
        <v>59</v>
      </c>
      <c r="U608" t="s">
        <v>60</v>
      </c>
      <c r="V608" t="s">
        <v>138</v>
      </c>
      <c r="W608" t="s">
        <v>139</v>
      </c>
      <c r="X608">
        <v>1930523</v>
      </c>
      <c r="Y608" s="11">
        <v>44784</v>
      </c>
      <c r="Z608" t="s">
        <v>57</v>
      </c>
      <c r="AA608">
        <v>6</v>
      </c>
      <c r="AB608" t="s">
        <v>57</v>
      </c>
      <c r="AD608" t="s">
        <v>57</v>
      </c>
      <c r="AE608" t="s">
        <v>57</v>
      </c>
      <c r="AF608" t="s">
        <v>57</v>
      </c>
      <c r="AG608">
        <v>3</v>
      </c>
      <c r="AH608" t="s">
        <v>57</v>
      </c>
      <c r="AL608" t="s">
        <v>57</v>
      </c>
      <c r="AM608" s="11">
        <v>44784</v>
      </c>
      <c r="AN608" t="s">
        <v>176</v>
      </c>
      <c r="AO608" t="s">
        <v>65</v>
      </c>
      <c r="AP608">
        <v>1204</v>
      </c>
      <c r="AQ608" t="s">
        <v>66</v>
      </c>
      <c r="AR608">
        <v>90435</v>
      </c>
      <c r="AU608" t="s">
        <v>57</v>
      </c>
      <c r="AV608" t="s">
        <v>68</v>
      </c>
      <c r="AX608" t="s">
        <v>57</v>
      </c>
      <c r="AY608">
        <v>631110</v>
      </c>
      <c r="AZ608">
        <v>1204.63111</v>
      </c>
      <c r="BA608" s="23" t="s">
        <v>12</v>
      </c>
    </row>
    <row r="609" spans="1:53" x14ac:dyDescent="0.25">
      <c r="A609" t="s">
        <v>134</v>
      </c>
      <c r="B609" t="s">
        <v>135</v>
      </c>
      <c r="C609">
        <v>22001852</v>
      </c>
      <c r="D609">
        <v>1204</v>
      </c>
      <c r="E609" s="11">
        <v>44784</v>
      </c>
      <c r="F609" t="s">
        <v>175</v>
      </c>
      <c r="G609">
        <v>0.08</v>
      </c>
      <c r="H609">
        <v>0.08</v>
      </c>
      <c r="I609" t="s">
        <v>56</v>
      </c>
      <c r="O609" t="s">
        <v>57</v>
      </c>
      <c r="Q609" t="s">
        <v>57</v>
      </c>
      <c r="R609" t="s">
        <v>137</v>
      </c>
      <c r="T609" t="s">
        <v>59</v>
      </c>
      <c r="U609" t="s">
        <v>60</v>
      </c>
      <c r="V609" t="s">
        <v>138</v>
      </c>
      <c r="W609" t="s">
        <v>139</v>
      </c>
      <c r="X609">
        <v>1930523</v>
      </c>
      <c r="Y609" s="11">
        <v>44784</v>
      </c>
      <c r="Z609" t="s">
        <v>57</v>
      </c>
      <c r="AA609">
        <v>8</v>
      </c>
      <c r="AB609" t="s">
        <v>57</v>
      </c>
      <c r="AD609" t="s">
        <v>57</v>
      </c>
      <c r="AE609" t="s">
        <v>57</v>
      </c>
      <c r="AF609" t="s">
        <v>57</v>
      </c>
      <c r="AG609">
        <v>1</v>
      </c>
      <c r="AH609" t="s">
        <v>57</v>
      </c>
      <c r="AL609" t="s">
        <v>57</v>
      </c>
      <c r="AM609" s="11">
        <v>44784</v>
      </c>
      <c r="AN609" t="s">
        <v>176</v>
      </c>
      <c r="AO609" t="s">
        <v>65</v>
      </c>
      <c r="AP609">
        <v>1204</v>
      </c>
      <c r="AQ609" t="s">
        <v>66</v>
      </c>
      <c r="AR609">
        <v>264585</v>
      </c>
      <c r="AU609" t="s">
        <v>57</v>
      </c>
      <c r="AV609" t="s">
        <v>68</v>
      </c>
      <c r="AX609" t="s">
        <v>57</v>
      </c>
      <c r="AY609">
        <v>631110</v>
      </c>
      <c r="AZ609">
        <v>1204.63111</v>
      </c>
      <c r="BA609" s="23" t="s">
        <v>12</v>
      </c>
    </row>
    <row r="610" spans="1:53" x14ac:dyDescent="0.25">
      <c r="A610" t="s">
        <v>134</v>
      </c>
      <c r="B610" t="s">
        <v>135</v>
      </c>
      <c r="C610">
        <v>22001852</v>
      </c>
      <c r="D610">
        <v>1204</v>
      </c>
      <c r="E610" s="11">
        <v>44784</v>
      </c>
      <c r="F610" t="s">
        <v>175</v>
      </c>
      <c r="G610">
        <v>1.41</v>
      </c>
      <c r="H610">
        <v>1.41</v>
      </c>
      <c r="I610" t="s">
        <v>56</v>
      </c>
      <c r="O610" t="s">
        <v>57</v>
      </c>
      <c r="Q610" t="s">
        <v>57</v>
      </c>
      <c r="R610" t="s">
        <v>137</v>
      </c>
      <c r="T610" t="s">
        <v>59</v>
      </c>
      <c r="U610" t="s">
        <v>60</v>
      </c>
      <c r="V610" t="s">
        <v>138</v>
      </c>
      <c r="W610" t="s">
        <v>139</v>
      </c>
      <c r="X610">
        <v>1930523</v>
      </c>
      <c r="Y610" s="11">
        <v>44784</v>
      </c>
      <c r="Z610" t="s">
        <v>57</v>
      </c>
      <c r="AA610">
        <v>10</v>
      </c>
      <c r="AB610" t="s">
        <v>57</v>
      </c>
      <c r="AD610" t="s">
        <v>57</v>
      </c>
      <c r="AE610" t="s">
        <v>57</v>
      </c>
      <c r="AF610" t="s">
        <v>57</v>
      </c>
      <c r="AG610">
        <v>9</v>
      </c>
      <c r="AH610" t="s">
        <v>57</v>
      </c>
      <c r="AL610" t="s">
        <v>57</v>
      </c>
      <c r="AM610" s="11">
        <v>44784</v>
      </c>
      <c r="AN610" t="s">
        <v>176</v>
      </c>
      <c r="AO610" t="s">
        <v>65</v>
      </c>
      <c r="AP610">
        <v>1204</v>
      </c>
      <c r="AQ610" t="s">
        <v>66</v>
      </c>
      <c r="AR610">
        <v>89712</v>
      </c>
      <c r="AU610" t="s">
        <v>57</v>
      </c>
      <c r="AV610" t="s">
        <v>68</v>
      </c>
      <c r="AX610" t="s">
        <v>57</v>
      </c>
      <c r="AY610">
        <v>631110</v>
      </c>
      <c r="AZ610">
        <v>1204.63111</v>
      </c>
      <c r="BA610" s="23" t="s">
        <v>12</v>
      </c>
    </row>
    <row r="611" spans="1:53" x14ac:dyDescent="0.25">
      <c r="A611" t="s">
        <v>134</v>
      </c>
      <c r="B611" t="s">
        <v>135</v>
      </c>
      <c r="C611">
        <v>22001852</v>
      </c>
      <c r="D611">
        <v>1204</v>
      </c>
      <c r="E611" s="11">
        <v>44784</v>
      </c>
      <c r="F611" t="s">
        <v>175</v>
      </c>
      <c r="G611">
        <v>2.5499999999999998</v>
      </c>
      <c r="H611">
        <v>2.5499999999999998</v>
      </c>
      <c r="I611" t="s">
        <v>56</v>
      </c>
      <c r="O611" t="s">
        <v>57</v>
      </c>
      <c r="Q611" t="s">
        <v>57</v>
      </c>
      <c r="R611" t="s">
        <v>137</v>
      </c>
      <c r="T611" t="s">
        <v>59</v>
      </c>
      <c r="U611" t="s">
        <v>60</v>
      </c>
      <c r="V611" t="s">
        <v>138</v>
      </c>
      <c r="W611" t="s">
        <v>139</v>
      </c>
      <c r="X611">
        <v>1930523</v>
      </c>
      <c r="Y611" s="11">
        <v>44784</v>
      </c>
      <c r="Z611" t="s">
        <v>57</v>
      </c>
      <c r="AA611">
        <v>12</v>
      </c>
      <c r="AB611" t="s">
        <v>57</v>
      </c>
      <c r="AD611" t="s">
        <v>57</v>
      </c>
      <c r="AE611" t="s">
        <v>57</v>
      </c>
      <c r="AF611" t="s">
        <v>57</v>
      </c>
      <c r="AG611">
        <v>7</v>
      </c>
      <c r="AH611" t="s">
        <v>57</v>
      </c>
      <c r="AL611" t="s">
        <v>57</v>
      </c>
      <c r="AM611" s="11">
        <v>44784</v>
      </c>
      <c r="AN611" t="s">
        <v>176</v>
      </c>
      <c r="AO611" t="s">
        <v>65</v>
      </c>
      <c r="AP611">
        <v>1204</v>
      </c>
      <c r="AQ611" t="s">
        <v>66</v>
      </c>
      <c r="AR611">
        <v>91011</v>
      </c>
      <c r="AU611" t="s">
        <v>57</v>
      </c>
      <c r="AV611" t="s">
        <v>68</v>
      </c>
      <c r="AX611" t="s">
        <v>57</v>
      </c>
      <c r="AY611">
        <v>631110</v>
      </c>
      <c r="AZ611">
        <v>1204.63111</v>
      </c>
      <c r="BA611" s="23" t="s">
        <v>12</v>
      </c>
    </row>
    <row r="612" spans="1:53" x14ac:dyDescent="0.25">
      <c r="A612" t="s">
        <v>134</v>
      </c>
      <c r="B612" t="s">
        <v>135</v>
      </c>
      <c r="C612">
        <v>22001852</v>
      </c>
      <c r="D612">
        <v>1204</v>
      </c>
      <c r="E612" s="11">
        <v>44784</v>
      </c>
      <c r="F612" t="s">
        <v>175</v>
      </c>
      <c r="G612">
        <v>0.45</v>
      </c>
      <c r="H612">
        <v>0.45</v>
      </c>
      <c r="I612" t="s">
        <v>56</v>
      </c>
      <c r="O612" t="s">
        <v>57</v>
      </c>
      <c r="Q612" t="s">
        <v>57</v>
      </c>
      <c r="R612" t="s">
        <v>137</v>
      </c>
      <c r="T612" t="s">
        <v>59</v>
      </c>
      <c r="U612" t="s">
        <v>60</v>
      </c>
      <c r="V612" t="s">
        <v>138</v>
      </c>
      <c r="W612" t="s">
        <v>139</v>
      </c>
      <c r="X612">
        <v>1930523</v>
      </c>
      <c r="Y612" s="11">
        <v>44784</v>
      </c>
      <c r="Z612" t="s">
        <v>57</v>
      </c>
      <c r="AA612">
        <v>14</v>
      </c>
      <c r="AB612" t="s">
        <v>57</v>
      </c>
      <c r="AD612" t="s">
        <v>57</v>
      </c>
      <c r="AE612" t="s">
        <v>57</v>
      </c>
      <c r="AF612" t="s">
        <v>57</v>
      </c>
      <c r="AG612">
        <v>3</v>
      </c>
      <c r="AH612" t="s">
        <v>57</v>
      </c>
      <c r="AL612" t="s">
        <v>57</v>
      </c>
      <c r="AM612" s="11">
        <v>44784</v>
      </c>
      <c r="AN612" t="s">
        <v>176</v>
      </c>
      <c r="AO612" t="s">
        <v>65</v>
      </c>
      <c r="AP612">
        <v>1204</v>
      </c>
      <c r="AQ612" t="s">
        <v>66</v>
      </c>
      <c r="AR612">
        <v>144854</v>
      </c>
      <c r="AU612" t="s">
        <v>57</v>
      </c>
      <c r="AV612" t="s">
        <v>68</v>
      </c>
      <c r="AX612" t="s">
        <v>57</v>
      </c>
      <c r="AY612">
        <v>631110</v>
      </c>
      <c r="AZ612">
        <v>1204.63111</v>
      </c>
      <c r="BA612" s="23" t="s">
        <v>12</v>
      </c>
    </row>
    <row r="613" spans="1:53" x14ac:dyDescent="0.25">
      <c r="A613" t="s">
        <v>134</v>
      </c>
      <c r="B613" t="s">
        <v>135</v>
      </c>
      <c r="C613">
        <v>22001853</v>
      </c>
      <c r="D613">
        <v>1204</v>
      </c>
      <c r="E613" s="11">
        <v>44785</v>
      </c>
      <c r="F613" t="s">
        <v>172</v>
      </c>
      <c r="G613">
        <v>8.06</v>
      </c>
      <c r="H613">
        <v>8.06</v>
      </c>
      <c r="I613" t="s">
        <v>56</v>
      </c>
      <c r="O613" t="s">
        <v>57</v>
      </c>
      <c r="Q613" t="s">
        <v>57</v>
      </c>
      <c r="R613" t="s">
        <v>137</v>
      </c>
      <c r="T613" t="s">
        <v>59</v>
      </c>
      <c r="U613" t="s">
        <v>60</v>
      </c>
      <c r="V613" t="s">
        <v>138</v>
      </c>
      <c r="W613" t="s">
        <v>139</v>
      </c>
      <c r="X613">
        <v>1930576</v>
      </c>
      <c r="Y613" s="11">
        <v>44785</v>
      </c>
      <c r="Z613" t="s">
        <v>57</v>
      </c>
      <c r="AA613">
        <v>4</v>
      </c>
      <c r="AB613" t="s">
        <v>57</v>
      </c>
      <c r="AD613" t="s">
        <v>57</v>
      </c>
      <c r="AE613" t="s">
        <v>57</v>
      </c>
      <c r="AF613" t="s">
        <v>57</v>
      </c>
      <c r="AG613">
        <v>1</v>
      </c>
      <c r="AH613" t="s">
        <v>57</v>
      </c>
      <c r="AL613" t="s">
        <v>57</v>
      </c>
      <c r="AM613" s="11">
        <v>44785</v>
      </c>
      <c r="AN613" t="s">
        <v>173</v>
      </c>
      <c r="AO613" t="s">
        <v>65</v>
      </c>
      <c r="AP613">
        <v>1204</v>
      </c>
      <c r="AQ613" t="s">
        <v>66</v>
      </c>
      <c r="AR613">
        <v>279991</v>
      </c>
      <c r="AU613" t="s">
        <v>57</v>
      </c>
      <c r="AV613" t="s">
        <v>68</v>
      </c>
      <c r="AX613" t="s">
        <v>57</v>
      </c>
      <c r="AY613">
        <v>631110</v>
      </c>
      <c r="AZ613">
        <v>1204.63111</v>
      </c>
      <c r="BA613" s="23" t="s">
        <v>12</v>
      </c>
    </row>
    <row r="614" spans="1:53" x14ac:dyDescent="0.25">
      <c r="A614" t="s">
        <v>134</v>
      </c>
      <c r="B614" t="s">
        <v>135</v>
      </c>
      <c r="C614">
        <v>22001853</v>
      </c>
      <c r="D614">
        <v>1204</v>
      </c>
      <c r="E614" s="11">
        <v>44785</v>
      </c>
      <c r="F614" t="s">
        <v>172</v>
      </c>
      <c r="G614">
        <v>8.06</v>
      </c>
      <c r="H614">
        <v>8.06</v>
      </c>
      <c r="I614" t="s">
        <v>56</v>
      </c>
      <c r="O614" t="s">
        <v>57</v>
      </c>
      <c r="Q614" t="s">
        <v>57</v>
      </c>
      <c r="R614" t="s">
        <v>137</v>
      </c>
      <c r="T614" t="s">
        <v>59</v>
      </c>
      <c r="U614" t="s">
        <v>60</v>
      </c>
      <c r="V614" t="s">
        <v>138</v>
      </c>
      <c r="W614" t="s">
        <v>139</v>
      </c>
      <c r="X614">
        <v>1930576</v>
      </c>
      <c r="Y614" s="11">
        <v>44785</v>
      </c>
      <c r="Z614" t="s">
        <v>57</v>
      </c>
      <c r="AA614">
        <v>2</v>
      </c>
      <c r="AB614" t="s">
        <v>57</v>
      </c>
      <c r="AD614" t="s">
        <v>57</v>
      </c>
      <c r="AE614" t="s">
        <v>57</v>
      </c>
      <c r="AF614" t="s">
        <v>57</v>
      </c>
      <c r="AG614">
        <v>1</v>
      </c>
      <c r="AH614" t="s">
        <v>57</v>
      </c>
      <c r="AL614" t="s">
        <v>57</v>
      </c>
      <c r="AM614" s="11">
        <v>44785</v>
      </c>
      <c r="AN614" t="s">
        <v>173</v>
      </c>
      <c r="AO614" t="s">
        <v>65</v>
      </c>
      <c r="AP614">
        <v>1204</v>
      </c>
      <c r="AQ614" t="s">
        <v>66</v>
      </c>
      <c r="AR614">
        <v>279991</v>
      </c>
      <c r="AU614" t="s">
        <v>57</v>
      </c>
      <c r="AV614" t="s">
        <v>68</v>
      </c>
      <c r="AX614" t="s">
        <v>57</v>
      </c>
      <c r="AY614">
        <v>631110</v>
      </c>
      <c r="AZ614">
        <v>1204.63111</v>
      </c>
      <c r="BA614" s="23" t="s">
        <v>12</v>
      </c>
    </row>
    <row r="615" spans="1:53" x14ac:dyDescent="0.25">
      <c r="A615" t="s">
        <v>134</v>
      </c>
      <c r="B615" t="s">
        <v>135</v>
      </c>
      <c r="C615">
        <v>22001854</v>
      </c>
      <c r="D615">
        <v>1204</v>
      </c>
      <c r="E615" s="11">
        <v>44785</v>
      </c>
      <c r="F615" t="s">
        <v>159</v>
      </c>
      <c r="G615">
        <v>30.24</v>
      </c>
      <c r="H615">
        <v>30.24</v>
      </c>
      <c r="I615" t="s">
        <v>56</v>
      </c>
      <c r="O615" t="s">
        <v>57</v>
      </c>
      <c r="Q615" t="s">
        <v>57</v>
      </c>
      <c r="R615" t="s">
        <v>137</v>
      </c>
      <c r="T615" t="s">
        <v>59</v>
      </c>
      <c r="U615" t="s">
        <v>60</v>
      </c>
      <c r="V615" t="s">
        <v>138</v>
      </c>
      <c r="W615" t="s">
        <v>139</v>
      </c>
      <c r="X615">
        <v>1930576</v>
      </c>
      <c r="Y615" s="11">
        <v>44785</v>
      </c>
      <c r="Z615" t="s">
        <v>57</v>
      </c>
      <c r="AA615">
        <v>4</v>
      </c>
      <c r="AB615" t="s">
        <v>57</v>
      </c>
      <c r="AD615" t="s">
        <v>57</v>
      </c>
      <c r="AE615" t="s">
        <v>57</v>
      </c>
      <c r="AF615" t="s">
        <v>57</v>
      </c>
      <c r="AG615">
        <v>2</v>
      </c>
      <c r="AH615" t="s">
        <v>57</v>
      </c>
      <c r="AL615" t="s">
        <v>57</v>
      </c>
      <c r="AM615" s="11">
        <v>44785</v>
      </c>
      <c r="AN615" t="s">
        <v>173</v>
      </c>
      <c r="AO615" t="s">
        <v>65</v>
      </c>
      <c r="AP615">
        <v>1204</v>
      </c>
      <c r="AQ615" t="s">
        <v>66</v>
      </c>
      <c r="AR615">
        <v>88717</v>
      </c>
      <c r="AU615" t="s">
        <v>57</v>
      </c>
      <c r="AV615" t="s">
        <v>68</v>
      </c>
      <c r="AX615" t="s">
        <v>57</v>
      </c>
      <c r="AY615">
        <v>631110</v>
      </c>
      <c r="AZ615">
        <v>1204.63111</v>
      </c>
      <c r="BA615" s="23" t="s">
        <v>12</v>
      </c>
    </row>
    <row r="616" spans="1:53" x14ac:dyDescent="0.25">
      <c r="A616" t="s">
        <v>134</v>
      </c>
      <c r="B616" t="s">
        <v>135</v>
      </c>
      <c r="C616">
        <v>22001854</v>
      </c>
      <c r="D616">
        <v>1204</v>
      </c>
      <c r="E616" s="11">
        <v>44785</v>
      </c>
      <c r="F616" t="s">
        <v>159</v>
      </c>
      <c r="G616">
        <v>30.24</v>
      </c>
      <c r="H616">
        <v>30.24</v>
      </c>
      <c r="I616" t="s">
        <v>56</v>
      </c>
      <c r="O616" t="s">
        <v>57</v>
      </c>
      <c r="Q616" t="s">
        <v>57</v>
      </c>
      <c r="R616" t="s">
        <v>137</v>
      </c>
      <c r="T616" t="s">
        <v>59</v>
      </c>
      <c r="U616" t="s">
        <v>60</v>
      </c>
      <c r="V616" t="s">
        <v>138</v>
      </c>
      <c r="W616" t="s">
        <v>139</v>
      </c>
      <c r="X616">
        <v>1930576</v>
      </c>
      <c r="Y616" s="11">
        <v>44785</v>
      </c>
      <c r="Z616" t="s">
        <v>57</v>
      </c>
      <c r="AA616">
        <v>2</v>
      </c>
      <c r="AB616" t="s">
        <v>57</v>
      </c>
      <c r="AD616" t="s">
        <v>57</v>
      </c>
      <c r="AE616" t="s">
        <v>57</v>
      </c>
      <c r="AF616" t="s">
        <v>57</v>
      </c>
      <c r="AG616">
        <v>2</v>
      </c>
      <c r="AH616" t="s">
        <v>57</v>
      </c>
      <c r="AL616" t="s">
        <v>57</v>
      </c>
      <c r="AM616" s="11">
        <v>44785</v>
      </c>
      <c r="AN616" t="s">
        <v>173</v>
      </c>
      <c r="AO616" t="s">
        <v>65</v>
      </c>
      <c r="AP616">
        <v>1204</v>
      </c>
      <c r="AQ616" t="s">
        <v>66</v>
      </c>
      <c r="AR616">
        <v>88717</v>
      </c>
      <c r="AU616" t="s">
        <v>57</v>
      </c>
      <c r="AV616" t="s">
        <v>68</v>
      </c>
      <c r="AX616" t="s">
        <v>57</v>
      </c>
      <c r="AY616">
        <v>631110</v>
      </c>
      <c r="AZ616">
        <v>1204.63111</v>
      </c>
      <c r="BA616" s="23" t="s">
        <v>12</v>
      </c>
    </row>
    <row r="617" spans="1:53" x14ac:dyDescent="0.25">
      <c r="A617" t="s">
        <v>134</v>
      </c>
      <c r="B617" t="s">
        <v>135</v>
      </c>
      <c r="C617">
        <v>22001855</v>
      </c>
      <c r="D617">
        <v>1204</v>
      </c>
      <c r="E617" s="11">
        <v>44785</v>
      </c>
      <c r="F617" t="s">
        <v>174</v>
      </c>
      <c r="G617">
        <v>3.76</v>
      </c>
      <c r="H617">
        <v>3.76</v>
      </c>
      <c r="I617" t="s">
        <v>56</v>
      </c>
      <c r="O617" t="s">
        <v>57</v>
      </c>
      <c r="Q617" t="s">
        <v>57</v>
      </c>
      <c r="R617" t="s">
        <v>137</v>
      </c>
      <c r="T617" t="s">
        <v>59</v>
      </c>
      <c r="U617" t="s">
        <v>60</v>
      </c>
      <c r="V617" t="s">
        <v>138</v>
      </c>
      <c r="W617" t="s">
        <v>139</v>
      </c>
      <c r="X617">
        <v>1930576</v>
      </c>
      <c r="Y617" s="11">
        <v>44785</v>
      </c>
      <c r="Z617" t="s">
        <v>57</v>
      </c>
      <c r="AA617">
        <v>12</v>
      </c>
      <c r="AB617" t="s">
        <v>57</v>
      </c>
      <c r="AD617" t="s">
        <v>57</v>
      </c>
      <c r="AE617" t="s">
        <v>57</v>
      </c>
      <c r="AF617" t="s">
        <v>57</v>
      </c>
      <c r="AG617">
        <v>1</v>
      </c>
      <c r="AH617" t="s">
        <v>57</v>
      </c>
      <c r="AL617" t="s">
        <v>57</v>
      </c>
      <c r="AM617" s="11">
        <v>44785</v>
      </c>
      <c r="AN617" t="s">
        <v>173</v>
      </c>
      <c r="AO617" t="s">
        <v>65</v>
      </c>
      <c r="AP617">
        <v>1204</v>
      </c>
      <c r="AQ617" t="s">
        <v>66</v>
      </c>
      <c r="AR617">
        <v>209528</v>
      </c>
      <c r="AU617" t="s">
        <v>57</v>
      </c>
      <c r="AV617" t="s">
        <v>68</v>
      </c>
      <c r="AX617" t="s">
        <v>57</v>
      </c>
      <c r="AY617">
        <v>631110</v>
      </c>
      <c r="AZ617">
        <v>1204.63111</v>
      </c>
      <c r="BA617" s="23" t="s">
        <v>12</v>
      </c>
    </row>
    <row r="618" spans="1:53" x14ac:dyDescent="0.25">
      <c r="A618" t="s">
        <v>134</v>
      </c>
      <c r="B618" t="s">
        <v>135</v>
      </c>
      <c r="C618">
        <v>22001855</v>
      </c>
      <c r="D618">
        <v>1204</v>
      </c>
      <c r="E618" s="11">
        <v>44785</v>
      </c>
      <c r="F618" t="s">
        <v>174</v>
      </c>
      <c r="G618">
        <v>0.16</v>
      </c>
      <c r="H618">
        <v>0.16</v>
      </c>
      <c r="I618" t="s">
        <v>56</v>
      </c>
      <c r="O618" t="s">
        <v>57</v>
      </c>
      <c r="Q618" t="s">
        <v>57</v>
      </c>
      <c r="R618" t="s">
        <v>137</v>
      </c>
      <c r="T618" t="s">
        <v>59</v>
      </c>
      <c r="U618" t="s">
        <v>60</v>
      </c>
      <c r="V618" t="s">
        <v>138</v>
      </c>
      <c r="W618" t="s">
        <v>139</v>
      </c>
      <c r="X618">
        <v>1930576</v>
      </c>
      <c r="Y618" s="11">
        <v>44785</v>
      </c>
      <c r="Z618" t="s">
        <v>57</v>
      </c>
      <c r="AA618">
        <v>14</v>
      </c>
      <c r="AB618" t="s">
        <v>57</v>
      </c>
      <c r="AD618" t="s">
        <v>57</v>
      </c>
      <c r="AE618" t="s">
        <v>57</v>
      </c>
      <c r="AF618" t="s">
        <v>57</v>
      </c>
      <c r="AG618">
        <v>1</v>
      </c>
      <c r="AH618" t="s">
        <v>57</v>
      </c>
      <c r="AL618" t="s">
        <v>57</v>
      </c>
      <c r="AM618" s="11">
        <v>44785</v>
      </c>
      <c r="AN618" t="s">
        <v>173</v>
      </c>
      <c r="AO618" t="s">
        <v>65</v>
      </c>
      <c r="AP618">
        <v>1204</v>
      </c>
      <c r="AQ618" t="s">
        <v>66</v>
      </c>
      <c r="AR618">
        <v>88760</v>
      </c>
      <c r="AU618" t="s">
        <v>57</v>
      </c>
      <c r="AV618" t="s">
        <v>68</v>
      </c>
      <c r="AX618" t="s">
        <v>57</v>
      </c>
      <c r="AY618">
        <v>631110</v>
      </c>
      <c r="AZ618">
        <v>1204.63111</v>
      </c>
      <c r="BA618" s="23" t="s">
        <v>12</v>
      </c>
    </row>
    <row r="619" spans="1:53" x14ac:dyDescent="0.25">
      <c r="A619" t="s">
        <v>134</v>
      </c>
      <c r="B619" t="s">
        <v>135</v>
      </c>
      <c r="C619">
        <v>22001855</v>
      </c>
      <c r="D619">
        <v>1204</v>
      </c>
      <c r="E619" s="11">
        <v>44785</v>
      </c>
      <c r="F619" t="s">
        <v>174</v>
      </c>
      <c r="G619">
        <v>0.32</v>
      </c>
      <c r="H619">
        <v>0.32</v>
      </c>
      <c r="I619" t="s">
        <v>56</v>
      </c>
      <c r="O619" t="s">
        <v>57</v>
      </c>
      <c r="Q619" t="s">
        <v>57</v>
      </c>
      <c r="R619" t="s">
        <v>137</v>
      </c>
      <c r="T619" t="s">
        <v>59</v>
      </c>
      <c r="U619" t="s">
        <v>60</v>
      </c>
      <c r="V619" t="s">
        <v>138</v>
      </c>
      <c r="W619" t="s">
        <v>139</v>
      </c>
      <c r="X619">
        <v>1930576</v>
      </c>
      <c r="Y619" s="11">
        <v>44785</v>
      </c>
      <c r="Z619" t="s">
        <v>57</v>
      </c>
      <c r="AA619">
        <v>2</v>
      </c>
      <c r="AB619" t="s">
        <v>57</v>
      </c>
      <c r="AD619" t="s">
        <v>57</v>
      </c>
      <c r="AE619" t="s">
        <v>57</v>
      </c>
      <c r="AF619" t="s">
        <v>57</v>
      </c>
      <c r="AG619">
        <v>2</v>
      </c>
      <c r="AH619" t="s">
        <v>57</v>
      </c>
      <c r="AL619" t="s">
        <v>57</v>
      </c>
      <c r="AM619" s="11">
        <v>44785</v>
      </c>
      <c r="AN619" t="s">
        <v>173</v>
      </c>
      <c r="AO619" t="s">
        <v>65</v>
      </c>
      <c r="AP619">
        <v>1204</v>
      </c>
      <c r="AQ619" t="s">
        <v>66</v>
      </c>
      <c r="AR619">
        <v>88760</v>
      </c>
      <c r="AU619" t="s">
        <v>57</v>
      </c>
      <c r="AV619" t="s">
        <v>68</v>
      </c>
      <c r="AX619" t="s">
        <v>57</v>
      </c>
      <c r="AY619">
        <v>631110</v>
      </c>
      <c r="AZ619">
        <v>1204.63111</v>
      </c>
      <c r="BA619" s="23" t="s">
        <v>12</v>
      </c>
    </row>
    <row r="620" spans="1:53" x14ac:dyDescent="0.25">
      <c r="A620" t="s">
        <v>134</v>
      </c>
      <c r="B620" t="s">
        <v>135</v>
      </c>
      <c r="C620">
        <v>22001855</v>
      </c>
      <c r="D620">
        <v>1204</v>
      </c>
      <c r="E620" s="11">
        <v>44785</v>
      </c>
      <c r="F620" t="s">
        <v>174</v>
      </c>
      <c r="G620">
        <v>4.5199999999999996</v>
      </c>
      <c r="H620">
        <v>4.5199999999999996</v>
      </c>
      <c r="I620" t="s">
        <v>56</v>
      </c>
      <c r="O620" t="s">
        <v>57</v>
      </c>
      <c r="Q620" t="s">
        <v>57</v>
      </c>
      <c r="R620" t="s">
        <v>137</v>
      </c>
      <c r="T620" t="s">
        <v>59</v>
      </c>
      <c r="U620" t="s">
        <v>60</v>
      </c>
      <c r="V620" t="s">
        <v>138</v>
      </c>
      <c r="W620" t="s">
        <v>139</v>
      </c>
      <c r="X620">
        <v>1930576</v>
      </c>
      <c r="Y620" s="11">
        <v>44785</v>
      </c>
      <c r="Z620" t="s">
        <v>57</v>
      </c>
      <c r="AA620">
        <v>4</v>
      </c>
      <c r="AB620" t="s">
        <v>57</v>
      </c>
      <c r="AD620" t="s">
        <v>57</v>
      </c>
      <c r="AE620" t="s">
        <v>57</v>
      </c>
      <c r="AF620" t="s">
        <v>57</v>
      </c>
      <c r="AG620">
        <v>1</v>
      </c>
      <c r="AH620" t="s">
        <v>57</v>
      </c>
      <c r="AL620" t="s">
        <v>57</v>
      </c>
      <c r="AM620" s="11">
        <v>44785</v>
      </c>
      <c r="AN620" t="s">
        <v>173</v>
      </c>
      <c r="AO620" t="s">
        <v>65</v>
      </c>
      <c r="AP620">
        <v>1204</v>
      </c>
      <c r="AQ620" t="s">
        <v>66</v>
      </c>
      <c r="AR620">
        <v>279692</v>
      </c>
      <c r="AU620" t="s">
        <v>57</v>
      </c>
      <c r="AV620" t="s">
        <v>68</v>
      </c>
      <c r="AX620" t="s">
        <v>57</v>
      </c>
      <c r="AY620">
        <v>631110</v>
      </c>
      <c r="AZ620">
        <v>1204.63111</v>
      </c>
      <c r="BA620" s="23" t="s">
        <v>12</v>
      </c>
    </row>
    <row r="621" spans="1:53" x14ac:dyDescent="0.25">
      <c r="A621" t="s">
        <v>134</v>
      </c>
      <c r="B621" t="s">
        <v>135</v>
      </c>
      <c r="C621">
        <v>22001855</v>
      </c>
      <c r="D621">
        <v>1204</v>
      </c>
      <c r="E621" s="11">
        <v>44785</v>
      </c>
      <c r="F621" t="s">
        <v>174</v>
      </c>
      <c r="G621">
        <v>0.55000000000000004</v>
      </c>
      <c r="H621">
        <v>0.55000000000000004</v>
      </c>
      <c r="I621" t="s">
        <v>56</v>
      </c>
      <c r="O621" t="s">
        <v>57</v>
      </c>
      <c r="Q621" t="s">
        <v>57</v>
      </c>
      <c r="R621" t="s">
        <v>137</v>
      </c>
      <c r="T621" t="s">
        <v>59</v>
      </c>
      <c r="U621" t="s">
        <v>60</v>
      </c>
      <c r="V621" t="s">
        <v>138</v>
      </c>
      <c r="W621" t="s">
        <v>139</v>
      </c>
      <c r="X621">
        <v>1930576</v>
      </c>
      <c r="Y621" s="11">
        <v>44785</v>
      </c>
      <c r="Z621" t="s">
        <v>57</v>
      </c>
      <c r="AA621">
        <v>6</v>
      </c>
      <c r="AB621" t="s">
        <v>57</v>
      </c>
      <c r="AD621" t="s">
        <v>57</v>
      </c>
      <c r="AE621" t="s">
        <v>57</v>
      </c>
      <c r="AF621" t="s">
        <v>57</v>
      </c>
      <c r="AG621">
        <v>1</v>
      </c>
      <c r="AH621" t="s">
        <v>57</v>
      </c>
      <c r="AL621" t="s">
        <v>57</v>
      </c>
      <c r="AM621" s="11">
        <v>44785</v>
      </c>
      <c r="AN621" t="s">
        <v>173</v>
      </c>
      <c r="AO621" t="s">
        <v>65</v>
      </c>
      <c r="AP621">
        <v>1204</v>
      </c>
      <c r="AQ621" t="s">
        <v>66</v>
      </c>
      <c r="AR621">
        <v>89777</v>
      </c>
      <c r="AU621" t="s">
        <v>57</v>
      </c>
      <c r="AV621" t="s">
        <v>68</v>
      </c>
      <c r="AX621" t="s">
        <v>57</v>
      </c>
      <c r="AY621">
        <v>631110</v>
      </c>
      <c r="AZ621">
        <v>1204.63111</v>
      </c>
      <c r="BA621" s="23" t="s">
        <v>12</v>
      </c>
    </row>
    <row r="622" spans="1:53" x14ac:dyDescent="0.25">
      <c r="A622" t="s">
        <v>134</v>
      </c>
      <c r="B622" t="s">
        <v>135</v>
      </c>
      <c r="C622">
        <v>22001855</v>
      </c>
      <c r="D622">
        <v>1204</v>
      </c>
      <c r="E622" s="11">
        <v>44785</v>
      </c>
      <c r="F622" t="s">
        <v>174</v>
      </c>
      <c r="G622">
        <v>2.13</v>
      </c>
      <c r="H622">
        <v>2.13</v>
      </c>
      <c r="I622" t="s">
        <v>56</v>
      </c>
      <c r="O622" t="s">
        <v>57</v>
      </c>
      <c r="Q622" t="s">
        <v>57</v>
      </c>
      <c r="R622" t="s">
        <v>137</v>
      </c>
      <c r="T622" t="s">
        <v>59</v>
      </c>
      <c r="U622" t="s">
        <v>60</v>
      </c>
      <c r="V622" t="s">
        <v>138</v>
      </c>
      <c r="W622" t="s">
        <v>139</v>
      </c>
      <c r="X622">
        <v>1930576</v>
      </c>
      <c r="Y622" s="11">
        <v>44785</v>
      </c>
      <c r="Z622" t="s">
        <v>57</v>
      </c>
      <c r="AA622">
        <v>8</v>
      </c>
      <c r="AB622" t="s">
        <v>57</v>
      </c>
      <c r="AD622" t="s">
        <v>57</v>
      </c>
      <c r="AE622" t="s">
        <v>57</v>
      </c>
      <c r="AF622" t="s">
        <v>57</v>
      </c>
      <c r="AG622">
        <v>1</v>
      </c>
      <c r="AH622" t="s">
        <v>57</v>
      </c>
      <c r="AL622" t="s">
        <v>57</v>
      </c>
      <c r="AM622" s="11">
        <v>44785</v>
      </c>
      <c r="AN622" t="s">
        <v>173</v>
      </c>
      <c r="AO622" t="s">
        <v>65</v>
      </c>
      <c r="AP622">
        <v>1204</v>
      </c>
      <c r="AQ622" t="s">
        <v>66</v>
      </c>
      <c r="AR622">
        <v>256582</v>
      </c>
      <c r="AU622" t="s">
        <v>57</v>
      </c>
      <c r="AV622" t="s">
        <v>68</v>
      </c>
      <c r="AX622" t="s">
        <v>57</v>
      </c>
      <c r="AY622">
        <v>631110</v>
      </c>
      <c r="AZ622">
        <v>1204.63111</v>
      </c>
      <c r="BA622" s="23" t="s">
        <v>12</v>
      </c>
    </row>
    <row r="623" spans="1:53" x14ac:dyDescent="0.25">
      <c r="A623" t="s">
        <v>134</v>
      </c>
      <c r="B623" t="s">
        <v>135</v>
      </c>
      <c r="C623">
        <v>22001855</v>
      </c>
      <c r="D623">
        <v>1204</v>
      </c>
      <c r="E623" s="11">
        <v>44785</v>
      </c>
      <c r="F623" t="s">
        <v>174</v>
      </c>
      <c r="G623">
        <v>32.26</v>
      </c>
      <c r="H623">
        <v>32.26</v>
      </c>
      <c r="I623" t="s">
        <v>56</v>
      </c>
      <c r="O623" t="s">
        <v>57</v>
      </c>
      <c r="Q623" t="s">
        <v>57</v>
      </c>
      <c r="R623" t="s">
        <v>137</v>
      </c>
      <c r="T623" t="s">
        <v>59</v>
      </c>
      <c r="U623" t="s">
        <v>60</v>
      </c>
      <c r="V623" t="s">
        <v>138</v>
      </c>
      <c r="W623" t="s">
        <v>139</v>
      </c>
      <c r="X623">
        <v>1930576</v>
      </c>
      <c r="Y623" s="11">
        <v>44785</v>
      </c>
      <c r="Z623" t="s">
        <v>57</v>
      </c>
      <c r="AA623">
        <v>10</v>
      </c>
      <c r="AB623" t="s">
        <v>57</v>
      </c>
      <c r="AD623" t="s">
        <v>57</v>
      </c>
      <c r="AE623" t="s">
        <v>57</v>
      </c>
      <c r="AF623" t="s">
        <v>57</v>
      </c>
      <c r="AG623">
        <v>6</v>
      </c>
      <c r="AH623" t="s">
        <v>57</v>
      </c>
      <c r="AL623" t="s">
        <v>57</v>
      </c>
      <c r="AM623" s="11">
        <v>44785</v>
      </c>
      <c r="AN623" t="s">
        <v>173</v>
      </c>
      <c r="AO623" t="s">
        <v>65</v>
      </c>
      <c r="AP623">
        <v>1204</v>
      </c>
      <c r="AQ623" t="s">
        <v>66</v>
      </c>
      <c r="AR623">
        <v>91077</v>
      </c>
      <c r="AU623" t="s">
        <v>57</v>
      </c>
      <c r="AV623" t="s">
        <v>68</v>
      </c>
      <c r="AX623" t="s">
        <v>57</v>
      </c>
      <c r="AY623">
        <v>631110</v>
      </c>
      <c r="AZ623">
        <v>1204.63111</v>
      </c>
      <c r="BA623" s="23" t="s">
        <v>12</v>
      </c>
    </row>
    <row r="624" spans="1:53" x14ac:dyDescent="0.25">
      <c r="A624" t="s">
        <v>134</v>
      </c>
      <c r="B624" t="s">
        <v>135</v>
      </c>
      <c r="C624">
        <v>22001856</v>
      </c>
      <c r="D624">
        <v>1204</v>
      </c>
      <c r="E624" s="11">
        <v>44785</v>
      </c>
      <c r="F624" t="s">
        <v>177</v>
      </c>
      <c r="G624">
        <v>9.15</v>
      </c>
      <c r="H624">
        <v>9.15</v>
      </c>
      <c r="I624" t="s">
        <v>56</v>
      </c>
      <c r="O624" t="s">
        <v>57</v>
      </c>
      <c r="Q624" t="s">
        <v>57</v>
      </c>
      <c r="R624" t="s">
        <v>137</v>
      </c>
      <c r="T624" t="s">
        <v>59</v>
      </c>
      <c r="U624" t="s">
        <v>60</v>
      </c>
      <c r="V624" t="s">
        <v>138</v>
      </c>
      <c r="W624" t="s">
        <v>139</v>
      </c>
      <c r="X624">
        <v>1930607</v>
      </c>
      <c r="Y624" s="11">
        <v>44785</v>
      </c>
      <c r="Z624" t="s">
        <v>57</v>
      </c>
      <c r="AA624">
        <v>2</v>
      </c>
      <c r="AB624" t="s">
        <v>57</v>
      </c>
      <c r="AD624" t="s">
        <v>57</v>
      </c>
      <c r="AE624" t="s">
        <v>57</v>
      </c>
      <c r="AF624" t="s">
        <v>57</v>
      </c>
      <c r="AG624">
        <v>16</v>
      </c>
      <c r="AH624" t="s">
        <v>57</v>
      </c>
      <c r="AL624" t="s">
        <v>57</v>
      </c>
      <c r="AM624" s="11">
        <v>44785</v>
      </c>
      <c r="AN624" t="s">
        <v>176</v>
      </c>
      <c r="AO624" t="s">
        <v>65</v>
      </c>
      <c r="AP624">
        <v>1204</v>
      </c>
      <c r="AQ624" t="s">
        <v>66</v>
      </c>
      <c r="AR624">
        <v>265226</v>
      </c>
      <c r="AU624" t="s">
        <v>57</v>
      </c>
      <c r="AV624" t="s">
        <v>68</v>
      </c>
      <c r="AX624" t="s">
        <v>57</v>
      </c>
      <c r="AY624">
        <v>631110</v>
      </c>
      <c r="AZ624">
        <v>1204.63111</v>
      </c>
      <c r="BA624" s="23" t="s">
        <v>12</v>
      </c>
    </row>
    <row r="625" spans="1:53" x14ac:dyDescent="0.25">
      <c r="A625" t="s">
        <v>134</v>
      </c>
      <c r="B625" t="s">
        <v>135</v>
      </c>
      <c r="C625">
        <v>22001865</v>
      </c>
      <c r="D625">
        <v>1204</v>
      </c>
      <c r="E625" s="11">
        <v>44785</v>
      </c>
      <c r="F625" t="s">
        <v>175</v>
      </c>
      <c r="G625">
        <v>0.82</v>
      </c>
      <c r="H625">
        <v>0.82</v>
      </c>
      <c r="I625" t="s">
        <v>56</v>
      </c>
      <c r="O625" t="s">
        <v>57</v>
      </c>
      <c r="Q625" t="s">
        <v>57</v>
      </c>
      <c r="R625" t="s">
        <v>137</v>
      </c>
      <c r="T625" t="s">
        <v>59</v>
      </c>
      <c r="U625" t="s">
        <v>60</v>
      </c>
      <c r="V625" t="s">
        <v>138</v>
      </c>
      <c r="W625" t="s">
        <v>139</v>
      </c>
      <c r="X625">
        <v>1930744</v>
      </c>
      <c r="Y625" s="11">
        <v>44785</v>
      </c>
      <c r="Z625" t="s">
        <v>57</v>
      </c>
      <c r="AA625">
        <v>2</v>
      </c>
      <c r="AB625" t="s">
        <v>57</v>
      </c>
      <c r="AD625" t="s">
        <v>57</v>
      </c>
      <c r="AE625" t="s">
        <v>57</v>
      </c>
      <c r="AF625" t="s">
        <v>57</v>
      </c>
      <c r="AG625">
        <v>10</v>
      </c>
      <c r="AH625" t="s">
        <v>57</v>
      </c>
      <c r="AL625" t="s">
        <v>57</v>
      </c>
      <c r="AM625" s="11">
        <v>44785</v>
      </c>
      <c r="AN625" t="s">
        <v>176</v>
      </c>
      <c r="AO625" t="s">
        <v>65</v>
      </c>
      <c r="AP625">
        <v>1204</v>
      </c>
      <c r="AQ625" t="s">
        <v>66</v>
      </c>
      <c r="AR625">
        <v>265878</v>
      </c>
      <c r="AU625" t="s">
        <v>57</v>
      </c>
      <c r="AV625" t="s">
        <v>68</v>
      </c>
      <c r="AX625" t="s">
        <v>57</v>
      </c>
      <c r="AY625">
        <v>631110</v>
      </c>
      <c r="AZ625">
        <v>1204.63111</v>
      </c>
      <c r="BA625" s="23" t="s">
        <v>12</v>
      </c>
    </row>
    <row r="626" spans="1:53" x14ac:dyDescent="0.25">
      <c r="A626" t="s">
        <v>134</v>
      </c>
      <c r="B626" t="s">
        <v>135</v>
      </c>
      <c r="C626">
        <v>22001865</v>
      </c>
      <c r="D626">
        <v>1204</v>
      </c>
      <c r="E626" s="11">
        <v>44785</v>
      </c>
      <c r="F626" t="s">
        <v>175</v>
      </c>
      <c r="G626">
        <v>0.44</v>
      </c>
      <c r="H626">
        <v>0.44</v>
      </c>
      <c r="I626" t="s">
        <v>56</v>
      </c>
      <c r="O626" t="s">
        <v>57</v>
      </c>
      <c r="Q626" t="s">
        <v>57</v>
      </c>
      <c r="R626" t="s">
        <v>137</v>
      </c>
      <c r="T626" t="s">
        <v>59</v>
      </c>
      <c r="U626" t="s">
        <v>60</v>
      </c>
      <c r="V626" t="s">
        <v>138</v>
      </c>
      <c r="W626" t="s">
        <v>139</v>
      </c>
      <c r="X626">
        <v>1930744</v>
      </c>
      <c r="Y626" s="11">
        <v>44785</v>
      </c>
      <c r="Z626" t="s">
        <v>57</v>
      </c>
      <c r="AA626">
        <v>4</v>
      </c>
      <c r="AB626" t="s">
        <v>57</v>
      </c>
      <c r="AD626" t="s">
        <v>57</v>
      </c>
      <c r="AE626" t="s">
        <v>57</v>
      </c>
      <c r="AF626" t="s">
        <v>57</v>
      </c>
      <c r="AG626">
        <v>4</v>
      </c>
      <c r="AH626" t="s">
        <v>57</v>
      </c>
      <c r="AL626" t="s">
        <v>57</v>
      </c>
      <c r="AM626" s="11">
        <v>44785</v>
      </c>
      <c r="AN626" t="s">
        <v>176</v>
      </c>
      <c r="AO626" t="s">
        <v>65</v>
      </c>
      <c r="AP626">
        <v>1204</v>
      </c>
      <c r="AQ626" t="s">
        <v>66</v>
      </c>
      <c r="AR626">
        <v>90435</v>
      </c>
      <c r="AU626" t="s">
        <v>57</v>
      </c>
      <c r="AV626" t="s">
        <v>68</v>
      </c>
      <c r="AX626" t="s">
        <v>57</v>
      </c>
      <c r="AY626">
        <v>631110</v>
      </c>
      <c r="AZ626">
        <v>1204.63111</v>
      </c>
      <c r="BA626" s="23" t="s">
        <v>12</v>
      </c>
    </row>
    <row r="627" spans="1:53" x14ac:dyDescent="0.25">
      <c r="A627" t="s">
        <v>134</v>
      </c>
      <c r="B627" t="s">
        <v>135</v>
      </c>
      <c r="C627">
        <v>22001865</v>
      </c>
      <c r="D627">
        <v>1204</v>
      </c>
      <c r="E627" s="11">
        <v>44785</v>
      </c>
      <c r="F627" t="s">
        <v>175</v>
      </c>
      <c r="G627">
        <v>0.15</v>
      </c>
      <c r="H627">
        <v>0.15</v>
      </c>
      <c r="I627" t="s">
        <v>56</v>
      </c>
      <c r="O627" t="s">
        <v>57</v>
      </c>
      <c r="Q627" t="s">
        <v>57</v>
      </c>
      <c r="R627" t="s">
        <v>137</v>
      </c>
      <c r="T627" t="s">
        <v>59</v>
      </c>
      <c r="U627" t="s">
        <v>60</v>
      </c>
      <c r="V627" t="s">
        <v>138</v>
      </c>
      <c r="W627" t="s">
        <v>139</v>
      </c>
      <c r="X627">
        <v>1930744</v>
      </c>
      <c r="Y627" s="11">
        <v>44785</v>
      </c>
      <c r="Z627" t="s">
        <v>57</v>
      </c>
      <c r="AA627">
        <v>6</v>
      </c>
      <c r="AB627" t="s">
        <v>57</v>
      </c>
      <c r="AD627" t="s">
        <v>57</v>
      </c>
      <c r="AE627" t="s">
        <v>57</v>
      </c>
      <c r="AF627" t="s">
        <v>57</v>
      </c>
      <c r="AG627">
        <v>2</v>
      </c>
      <c r="AH627" t="s">
        <v>57</v>
      </c>
      <c r="AL627" t="s">
        <v>57</v>
      </c>
      <c r="AM627" s="11">
        <v>44785</v>
      </c>
      <c r="AN627" t="s">
        <v>176</v>
      </c>
      <c r="AO627" t="s">
        <v>65</v>
      </c>
      <c r="AP627">
        <v>1204</v>
      </c>
      <c r="AQ627" t="s">
        <v>66</v>
      </c>
      <c r="AR627">
        <v>264585</v>
      </c>
      <c r="AU627" t="s">
        <v>57</v>
      </c>
      <c r="AV627" t="s">
        <v>68</v>
      </c>
      <c r="AX627" t="s">
        <v>57</v>
      </c>
      <c r="AY627">
        <v>631110</v>
      </c>
      <c r="AZ627">
        <v>1204.63111</v>
      </c>
      <c r="BA627" s="23" t="s">
        <v>12</v>
      </c>
    </row>
    <row r="628" spans="1:53" x14ac:dyDescent="0.25">
      <c r="A628" t="s">
        <v>134</v>
      </c>
      <c r="B628" t="s">
        <v>135</v>
      </c>
      <c r="C628">
        <v>22001865</v>
      </c>
      <c r="D628">
        <v>1204</v>
      </c>
      <c r="E628" s="11">
        <v>44785</v>
      </c>
      <c r="F628" t="s">
        <v>175</v>
      </c>
      <c r="G628">
        <v>1.72</v>
      </c>
      <c r="H628">
        <v>1.72</v>
      </c>
      <c r="I628" t="s">
        <v>56</v>
      </c>
      <c r="O628" t="s">
        <v>57</v>
      </c>
      <c r="Q628" t="s">
        <v>57</v>
      </c>
      <c r="R628" t="s">
        <v>137</v>
      </c>
      <c r="T628" t="s">
        <v>59</v>
      </c>
      <c r="U628" t="s">
        <v>60</v>
      </c>
      <c r="V628" t="s">
        <v>138</v>
      </c>
      <c r="W628" t="s">
        <v>139</v>
      </c>
      <c r="X628">
        <v>1930744</v>
      </c>
      <c r="Y628" s="11">
        <v>44785</v>
      </c>
      <c r="Z628" t="s">
        <v>57</v>
      </c>
      <c r="AA628">
        <v>8</v>
      </c>
      <c r="AB628" t="s">
        <v>57</v>
      </c>
      <c r="AD628" t="s">
        <v>57</v>
      </c>
      <c r="AE628" t="s">
        <v>57</v>
      </c>
      <c r="AF628" t="s">
        <v>57</v>
      </c>
      <c r="AG628">
        <v>11</v>
      </c>
      <c r="AH628" t="s">
        <v>57</v>
      </c>
      <c r="AL628" t="s">
        <v>57</v>
      </c>
      <c r="AM628" s="11">
        <v>44785</v>
      </c>
      <c r="AN628" t="s">
        <v>176</v>
      </c>
      <c r="AO628" t="s">
        <v>65</v>
      </c>
      <c r="AP628">
        <v>1204</v>
      </c>
      <c r="AQ628" t="s">
        <v>66</v>
      </c>
      <c r="AR628">
        <v>89712</v>
      </c>
      <c r="AU628" t="s">
        <v>57</v>
      </c>
      <c r="AV628" t="s">
        <v>68</v>
      </c>
      <c r="AX628" t="s">
        <v>57</v>
      </c>
      <c r="AY628">
        <v>631110</v>
      </c>
      <c r="AZ628">
        <v>1204.63111</v>
      </c>
      <c r="BA628" s="23" t="s">
        <v>12</v>
      </c>
    </row>
    <row r="629" spans="1:53" x14ac:dyDescent="0.25">
      <c r="A629" t="s">
        <v>134</v>
      </c>
      <c r="B629" t="s">
        <v>135</v>
      </c>
      <c r="C629">
        <v>22001865</v>
      </c>
      <c r="D629">
        <v>1204</v>
      </c>
      <c r="E629" s="11">
        <v>44785</v>
      </c>
      <c r="F629" t="s">
        <v>175</v>
      </c>
      <c r="G629">
        <v>7.66</v>
      </c>
      <c r="H629">
        <v>7.66</v>
      </c>
      <c r="I629" t="s">
        <v>56</v>
      </c>
      <c r="O629" t="s">
        <v>57</v>
      </c>
      <c r="Q629" t="s">
        <v>57</v>
      </c>
      <c r="R629" t="s">
        <v>137</v>
      </c>
      <c r="T629" t="s">
        <v>59</v>
      </c>
      <c r="U629" t="s">
        <v>60</v>
      </c>
      <c r="V629" t="s">
        <v>138</v>
      </c>
      <c r="W629" t="s">
        <v>139</v>
      </c>
      <c r="X629">
        <v>1930744</v>
      </c>
      <c r="Y629" s="11">
        <v>44785</v>
      </c>
      <c r="Z629" t="s">
        <v>57</v>
      </c>
      <c r="AA629">
        <v>10</v>
      </c>
      <c r="AB629" t="s">
        <v>57</v>
      </c>
      <c r="AD629" t="s">
        <v>57</v>
      </c>
      <c r="AE629" t="s">
        <v>57</v>
      </c>
      <c r="AF629" t="s">
        <v>57</v>
      </c>
      <c r="AG629">
        <v>21</v>
      </c>
      <c r="AH629" t="s">
        <v>57</v>
      </c>
      <c r="AL629" t="s">
        <v>57</v>
      </c>
      <c r="AM629" s="11">
        <v>44785</v>
      </c>
      <c r="AN629" t="s">
        <v>176</v>
      </c>
      <c r="AO629" t="s">
        <v>65</v>
      </c>
      <c r="AP629">
        <v>1204</v>
      </c>
      <c r="AQ629" t="s">
        <v>66</v>
      </c>
      <c r="AR629">
        <v>91011</v>
      </c>
      <c r="AU629" t="s">
        <v>57</v>
      </c>
      <c r="AV629" t="s">
        <v>68</v>
      </c>
      <c r="AX629" t="s">
        <v>57</v>
      </c>
      <c r="AY629">
        <v>631110</v>
      </c>
      <c r="AZ629">
        <v>1204.63111</v>
      </c>
      <c r="BA629" s="23" t="s">
        <v>12</v>
      </c>
    </row>
    <row r="630" spans="1:53" x14ac:dyDescent="0.25">
      <c r="A630" t="s">
        <v>134</v>
      </c>
      <c r="B630" t="s">
        <v>135</v>
      </c>
      <c r="C630">
        <v>22001865</v>
      </c>
      <c r="D630">
        <v>1204</v>
      </c>
      <c r="E630" s="11">
        <v>44785</v>
      </c>
      <c r="F630" t="s">
        <v>175</v>
      </c>
      <c r="G630">
        <v>1.05</v>
      </c>
      <c r="H630">
        <v>1.05</v>
      </c>
      <c r="I630" t="s">
        <v>56</v>
      </c>
      <c r="O630" t="s">
        <v>57</v>
      </c>
      <c r="Q630" t="s">
        <v>57</v>
      </c>
      <c r="R630" t="s">
        <v>137</v>
      </c>
      <c r="T630" t="s">
        <v>59</v>
      </c>
      <c r="U630" t="s">
        <v>60</v>
      </c>
      <c r="V630" t="s">
        <v>138</v>
      </c>
      <c r="W630" t="s">
        <v>139</v>
      </c>
      <c r="X630">
        <v>1930744</v>
      </c>
      <c r="Y630" s="11">
        <v>44785</v>
      </c>
      <c r="Z630" t="s">
        <v>57</v>
      </c>
      <c r="AA630">
        <v>12</v>
      </c>
      <c r="AB630" t="s">
        <v>57</v>
      </c>
      <c r="AD630" t="s">
        <v>57</v>
      </c>
      <c r="AE630" t="s">
        <v>57</v>
      </c>
      <c r="AF630" t="s">
        <v>57</v>
      </c>
      <c r="AG630">
        <v>7</v>
      </c>
      <c r="AH630" t="s">
        <v>57</v>
      </c>
      <c r="AL630" t="s">
        <v>57</v>
      </c>
      <c r="AM630" s="11">
        <v>44785</v>
      </c>
      <c r="AN630" t="s">
        <v>176</v>
      </c>
      <c r="AO630" t="s">
        <v>65</v>
      </c>
      <c r="AP630">
        <v>1204</v>
      </c>
      <c r="AQ630" t="s">
        <v>66</v>
      </c>
      <c r="AR630">
        <v>144854</v>
      </c>
      <c r="AU630" t="s">
        <v>57</v>
      </c>
      <c r="AV630" t="s">
        <v>68</v>
      </c>
      <c r="AX630" t="s">
        <v>57</v>
      </c>
      <c r="AY630">
        <v>631110</v>
      </c>
      <c r="AZ630">
        <v>1204.63111</v>
      </c>
      <c r="BA630" s="23" t="s">
        <v>12</v>
      </c>
    </row>
    <row r="631" spans="1:53" x14ac:dyDescent="0.25">
      <c r="A631" t="s">
        <v>134</v>
      </c>
      <c r="B631" t="s">
        <v>135</v>
      </c>
      <c r="C631">
        <v>22001867</v>
      </c>
      <c r="D631">
        <v>1204</v>
      </c>
      <c r="E631" s="11">
        <v>44788</v>
      </c>
      <c r="F631" t="s">
        <v>174</v>
      </c>
      <c r="G631">
        <v>11.81</v>
      </c>
      <c r="H631">
        <v>11.81</v>
      </c>
      <c r="I631" t="s">
        <v>56</v>
      </c>
      <c r="O631" t="s">
        <v>57</v>
      </c>
      <c r="Q631" t="s">
        <v>57</v>
      </c>
      <c r="R631" t="s">
        <v>137</v>
      </c>
      <c r="T631" t="s">
        <v>59</v>
      </c>
      <c r="U631" t="s">
        <v>60</v>
      </c>
      <c r="V631" t="s">
        <v>138</v>
      </c>
      <c r="W631" t="s">
        <v>139</v>
      </c>
      <c r="X631">
        <v>1932108</v>
      </c>
      <c r="Y631" s="11">
        <v>44788</v>
      </c>
      <c r="Z631" t="s">
        <v>57</v>
      </c>
      <c r="AA631">
        <v>2</v>
      </c>
      <c r="AB631" t="s">
        <v>57</v>
      </c>
      <c r="AD631" t="s">
        <v>57</v>
      </c>
      <c r="AE631" t="s">
        <v>57</v>
      </c>
      <c r="AF631" t="s">
        <v>57</v>
      </c>
      <c r="AG631">
        <v>2</v>
      </c>
      <c r="AH631" t="s">
        <v>57</v>
      </c>
      <c r="AL631" t="s">
        <v>57</v>
      </c>
      <c r="AM631" s="11">
        <v>44788</v>
      </c>
      <c r="AN631" t="s">
        <v>173</v>
      </c>
      <c r="AO631" t="s">
        <v>65</v>
      </c>
      <c r="AP631">
        <v>1204</v>
      </c>
      <c r="AQ631" t="s">
        <v>66</v>
      </c>
      <c r="AR631">
        <v>88713</v>
      </c>
      <c r="AU631" t="s">
        <v>57</v>
      </c>
      <c r="AV631" t="s">
        <v>68</v>
      </c>
      <c r="AX631" t="s">
        <v>57</v>
      </c>
      <c r="AY631">
        <v>631110</v>
      </c>
      <c r="AZ631">
        <v>1204.63111</v>
      </c>
      <c r="BA631" s="23" t="s">
        <v>12</v>
      </c>
    </row>
    <row r="632" spans="1:53" x14ac:dyDescent="0.25">
      <c r="A632" t="s">
        <v>134</v>
      </c>
      <c r="B632" t="s">
        <v>135</v>
      </c>
      <c r="C632">
        <v>22001867</v>
      </c>
      <c r="D632">
        <v>1204</v>
      </c>
      <c r="E632" s="11">
        <v>44788</v>
      </c>
      <c r="F632" t="s">
        <v>174</v>
      </c>
      <c r="G632">
        <v>2.99</v>
      </c>
      <c r="H632">
        <v>2.99</v>
      </c>
      <c r="I632" t="s">
        <v>56</v>
      </c>
      <c r="O632" t="s">
        <v>57</v>
      </c>
      <c r="Q632" t="s">
        <v>57</v>
      </c>
      <c r="R632" t="s">
        <v>137</v>
      </c>
      <c r="T632" t="s">
        <v>59</v>
      </c>
      <c r="U632" t="s">
        <v>60</v>
      </c>
      <c r="V632" t="s">
        <v>138</v>
      </c>
      <c r="W632" t="s">
        <v>139</v>
      </c>
      <c r="X632">
        <v>1932108</v>
      </c>
      <c r="Y632" s="11">
        <v>44788</v>
      </c>
      <c r="Z632" t="s">
        <v>57</v>
      </c>
      <c r="AA632">
        <v>34</v>
      </c>
      <c r="AB632" t="s">
        <v>57</v>
      </c>
      <c r="AD632" t="s">
        <v>57</v>
      </c>
      <c r="AE632" t="s">
        <v>57</v>
      </c>
      <c r="AF632" t="s">
        <v>57</v>
      </c>
      <c r="AG632">
        <v>1</v>
      </c>
      <c r="AH632" t="s">
        <v>57</v>
      </c>
      <c r="AL632" t="s">
        <v>57</v>
      </c>
      <c r="AM632" s="11">
        <v>44788</v>
      </c>
      <c r="AN632" t="s">
        <v>173</v>
      </c>
      <c r="AO632" t="s">
        <v>65</v>
      </c>
      <c r="AP632">
        <v>1204</v>
      </c>
      <c r="AQ632" t="s">
        <v>66</v>
      </c>
      <c r="AR632">
        <v>219292</v>
      </c>
      <c r="AU632" t="s">
        <v>57</v>
      </c>
      <c r="AV632" t="s">
        <v>68</v>
      </c>
      <c r="AX632" t="s">
        <v>57</v>
      </c>
      <c r="AY632">
        <v>631110</v>
      </c>
      <c r="AZ632">
        <v>1204.63111</v>
      </c>
      <c r="BA632" s="23" t="s">
        <v>12</v>
      </c>
    </row>
    <row r="633" spans="1:53" x14ac:dyDescent="0.25">
      <c r="A633" t="s">
        <v>134</v>
      </c>
      <c r="B633" t="s">
        <v>135</v>
      </c>
      <c r="C633">
        <v>22001867</v>
      </c>
      <c r="D633">
        <v>1204</v>
      </c>
      <c r="E633" s="11">
        <v>44788</v>
      </c>
      <c r="F633" t="s">
        <v>174</v>
      </c>
      <c r="G633">
        <v>3.53</v>
      </c>
      <c r="H633">
        <v>3.53</v>
      </c>
      <c r="I633" t="s">
        <v>56</v>
      </c>
      <c r="O633" t="s">
        <v>57</v>
      </c>
      <c r="Q633" t="s">
        <v>57</v>
      </c>
      <c r="R633" t="s">
        <v>137</v>
      </c>
      <c r="T633" t="s">
        <v>59</v>
      </c>
      <c r="U633" t="s">
        <v>60</v>
      </c>
      <c r="V633" t="s">
        <v>138</v>
      </c>
      <c r="W633" t="s">
        <v>139</v>
      </c>
      <c r="X633">
        <v>1932108</v>
      </c>
      <c r="Y633" s="11">
        <v>44788</v>
      </c>
      <c r="Z633" t="s">
        <v>57</v>
      </c>
      <c r="AA633">
        <v>36</v>
      </c>
      <c r="AB633" t="s">
        <v>57</v>
      </c>
      <c r="AD633" t="s">
        <v>57</v>
      </c>
      <c r="AE633" t="s">
        <v>57</v>
      </c>
      <c r="AF633" t="s">
        <v>57</v>
      </c>
      <c r="AG633">
        <v>1</v>
      </c>
      <c r="AH633" t="s">
        <v>57</v>
      </c>
      <c r="AL633" t="s">
        <v>57</v>
      </c>
      <c r="AM633" s="11">
        <v>44788</v>
      </c>
      <c r="AN633" t="s">
        <v>173</v>
      </c>
      <c r="AO633" t="s">
        <v>65</v>
      </c>
      <c r="AP633">
        <v>1204</v>
      </c>
      <c r="AQ633" t="s">
        <v>66</v>
      </c>
      <c r="AR633">
        <v>230640</v>
      </c>
      <c r="AU633" t="s">
        <v>57</v>
      </c>
      <c r="AV633" t="s">
        <v>68</v>
      </c>
      <c r="AX633" t="s">
        <v>57</v>
      </c>
      <c r="AY633">
        <v>631110</v>
      </c>
      <c r="AZ633">
        <v>1204.63111</v>
      </c>
      <c r="BA633" s="23" t="s">
        <v>12</v>
      </c>
    </row>
    <row r="634" spans="1:53" x14ac:dyDescent="0.25">
      <c r="A634" t="s">
        <v>134</v>
      </c>
      <c r="B634" t="s">
        <v>135</v>
      </c>
      <c r="C634">
        <v>22001867</v>
      </c>
      <c r="D634">
        <v>1204</v>
      </c>
      <c r="E634" s="11">
        <v>44788</v>
      </c>
      <c r="F634" t="s">
        <v>174</v>
      </c>
      <c r="G634">
        <v>3.71</v>
      </c>
      <c r="H634">
        <v>3.71</v>
      </c>
      <c r="I634" t="s">
        <v>56</v>
      </c>
      <c r="O634" t="s">
        <v>57</v>
      </c>
      <c r="Q634" t="s">
        <v>57</v>
      </c>
      <c r="R634" t="s">
        <v>137</v>
      </c>
      <c r="T634" t="s">
        <v>59</v>
      </c>
      <c r="U634" t="s">
        <v>60</v>
      </c>
      <c r="V634" t="s">
        <v>138</v>
      </c>
      <c r="W634" t="s">
        <v>139</v>
      </c>
      <c r="X634">
        <v>1932108</v>
      </c>
      <c r="Y634" s="11">
        <v>44788</v>
      </c>
      <c r="Z634" t="s">
        <v>57</v>
      </c>
      <c r="AA634">
        <v>4</v>
      </c>
      <c r="AB634" t="s">
        <v>57</v>
      </c>
      <c r="AD634" t="s">
        <v>57</v>
      </c>
      <c r="AE634" t="s">
        <v>57</v>
      </c>
      <c r="AF634" t="s">
        <v>57</v>
      </c>
      <c r="AG634">
        <v>1</v>
      </c>
      <c r="AH634" t="s">
        <v>57</v>
      </c>
      <c r="AL634" t="s">
        <v>57</v>
      </c>
      <c r="AM634" s="11">
        <v>44788</v>
      </c>
      <c r="AN634" t="s">
        <v>173</v>
      </c>
      <c r="AO634" t="s">
        <v>65</v>
      </c>
      <c r="AP634">
        <v>1204</v>
      </c>
      <c r="AQ634" t="s">
        <v>66</v>
      </c>
      <c r="AR634">
        <v>166051</v>
      </c>
      <c r="AU634" t="s">
        <v>57</v>
      </c>
      <c r="AV634" t="s">
        <v>68</v>
      </c>
      <c r="AX634" t="s">
        <v>57</v>
      </c>
      <c r="AY634">
        <v>631110</v>
      </c>
      <c r="AZ634">
        <v>1204.63111</v>
      </c>
      <c r="BA634" s="23" t="s">
        <v>12</v>
      </c>
    </row>
    <row r="635" spans="1:53" x14ac:dyDescent="0.25">
      <c r="A635" t="s">
        <v>134</v>
      </c>
      <c r="B635" t="s">
        <v>135</v>
      </c>
      <c r="C635">
        <v>22001867</v>
      </c>
      <c r="D635">
        <v>1204</v>
      </c>
      <c r="E635" s="11">
        <v>44788</v>
      </c>
      <c r="F635" t="s">
        <v>174</v>
      </c>
      <c r="G635">
        <v>0.97</v>
      </c>
      <c r="H635">
        <v>0.97</v>
      </c>
      <c r="I635" t="s">
        <v>56</v>
      </c>
      <c r="O635" t="s">
        <v>57</v>
      </c>
      <c r="Q635" t="s">
        <v>57</v>
      </c>
      <c r="R635" t="s">
        <v>137</v>
      </c>
      <c r="T635" t="s">
        <v>59</v>
      </c>
      <c r="U635" t="s">
        <v>60</v>
      </c>
      <c r="V635" t="s">
        <v>138</v>
      </c>
      <c r="W635" t="s">
        <v>139</v>
      </c>
      <c r="X635">
        <v>1932108</v>
      </c>
      <c r="Y635" s="11">
        <v>44788</v>
      </c>
      <c r="Z635" t="s">
        <v>57</v>
      </c>
      <c r="AA635">
        <v>6</v>
      </c>
      <c r="AB635" t="s">
        <v>57</v>
      </c>
      <c r="AD635" t="s">
        <v>57</v>
      </c>
      <c r="AE635" t="s">
        <v>57</v>
      </c>
      <c r="AF635" t="s">
        <v>57</v>
      </c>
      <c r="AG635">
        <v>2</v>
      </c>
      <c r="AH635" t="s">
        <v>57</v>
      </c>
      <c r="AL635" t="s">
        <v>57</v>
      </c>
      <c r="AM635" s="11">
        <v>44788</v>
      </c>
      <c r="AN635" t="s">
        <v>173</v>
      </c>
      <c r="AO635" t="s">
        <v>65</v>
      </c>
      <c r="AP635">
        <v>1204</v>
      </c>
      <c r="AQ635" t="s">
        <v>66</v>
      </c>
      <c r="AR635">
        <v>228050</v>
      </c>
      <c r="AU635" t="s">
        <v>57</v>
      </c>
      <c r="AV635" t="s">
        <v>68</v>
      </c>
      <c r="AX635" t="s">
        <v>57</v>
      </c>
      <c r="AY635">
        <v>631110</v>
      </c>
      <c r="AZ635">
        <v>1204.63111</v>
      </c>
      <c r="BA635" s="23" t="s">
        <v>12</v>
      </c>
    </row>
    <row r="636" spans="1:53" x14ac:dyDescent="0.25">
      <c r="A636" t="s">
        <v>134</v>
      </c>
      <c r="B636" t="s">
        <v>135</v>
      </c>
      <c r="C636">
        <v>22001867</v>
      </c>
      <c r="D636">
        <v>1204</v>
      </c>
      <c r="E636" s="11">
        <v>44788</v>
      </c>
      <c r="F636" t="s">
        <v>174</v>
      </c>
      <c r="G636">
        <v>7.86</v>
      </c>
      <c r="H636">
        <v>7.86</v>
      </c>
      <c r="I636" t="s">
        <v>56</v>
      </c>
      <c r="O636" t="s">
        <v>57</v>
      </c>
      <c r="Q636" t="s">
        <v>57</v>
      </c>
      <c r="R636" t="s">
        <v>137</v>
      </c>
      <c r="T636" t="s">
        <v>59</v>
      </c>
      <c r="U636" t="s">
        <v>60</v>
      </c>
      <c r="V636" t="s">
        <v>138</v>
      </c>
      <c r="W636" t="s">
        <v>139</v>
      </c>
      <c r="X636">
        <v>1932108</v>
      </c>
      <c r="Y636" s="11">
        <v>44788</v>
      </c>
      <c r="Z636" t="s">
        <v>57</v>
      </c>
      <c r="AA636">
        <v>8</v>
      </c>
      <c r="AB636" t="s">
        <v>57</v>
      </c>
      <c r="AD636" t="s">
        <v>57</v>
      </c>
      <c r="AE636" t="s">
        <v>57</v>
      </c>
      <c r="AF636" t="s">
        <v>57</v>
      </c>
      <c r="AG636">
        <v>2</v>
      </c>
      <c r="AH636" t="s">
        <v>57</v>
      </c>
      <c r="AL636" t="s">
        <v>57</v>
      </c>
      <c r="AM636" s="11">
        <v>44788</v>
      </c>
      <c r="AN636" t="s">
        <v>173</v>
      </c>
      <c r="AO636" t="s">
        <v>65</v>
      </c>
      <c r="AP636">
        <v>1204</v>
      </c>
      <c r="AQ636" t="s">
        <v>66</v>
      </c>
      <c r="AR636">
        <v>220122</v>
      </c>
      <c r="AU636" t="s">
        <v>57</v>
      </c>
      <c r="AV636" t="s">
        <v>68</v>
      </c>
      <c r="AX636" t="s">
        <v>57</v>
      </c>
      <c r="AY636">
        <v>631110</v>
      </c>
      <c r="AZ636">
        <v>1204.63111</v>
      </c>
      <c r="BA636" s="23" t="s">
        <v>12</v>
      </c>
    </row>
    <row r="637" spans="1:53" x14ac:dyDescent="0.25">
      <c r="A637" t="s">
        <v>134</v>
      </c>
      <c r="B637" t="s">
        <v>135</v>
      </c>
      <c r="C637">
        <v>22001867</v>
      </c>
      <c r="D637">
        <v>1204</v>
      </c>
      <c r="E637" s="11">
        <v>44788</v>
      </c>
      <c r="F637" t="s">
        <v>174</v>
      </c>
      <c r="G637">
        <v>1.26</v>
      </c>
      <c r="H637">
        <v>1.26</v>
      </c>
      <c r="I637" t="s">
        <v>56</v>
      </c>
      <c r="O637" t="s">
        <v>57</v>
      </c>
      <c r="Q637" t="s">
        <v>57</v>
      </c>
      <c r="R637" t="s">
        <v>137</v>
      </c>
      <c r="T637" t="s">
        <v>59</v>
      </c>
      <c r="U637" t="s">
        <v>60</v>
      </c>
      <c r="V637" t="s">
        <v>138</v>
      </c>
      <c r="W637" t="s">
        <v>139</v>
      </c>
      <c r="X637">
        <v>1932108</v>
      </c>
      <c r="Y637" s="11">
        <v>44788</v>
      </c>
      <c r="Z637" t="s">
        <v>57</v>
      </c>
      <c r="AA637">
        <v>10</v>
      </c>
      <c r="AB637" t="s">
        <v>57</v>
      </c>
      <c r="AD637" t="s">
        <v>57</v>
      </c>
      <c r="AE637" t="s">
        <v>57</v>
      </c>
      <c r="AF637" t="s">
        <v>57</v>
      </c>
      <c r="AG637">
        <v>2</v>
      </c>
      <c r="AH637" t="s">
        <v>57</v>
      </c>
      <c r="AL637" t="s">
        <v>57</v>
      </c>
      <c r="AM637" s="11">
        <v>44788</v>
      </c>
      <c r="AN637" t="s">
        <v>173</v>
      </c>
      <c r="AO637" t="s">
        <v>65</v>
      </c>
      <c r="AP637">
        <v>1204</v>
      </c>
      <c r="AQ637" t="s">
        <v>66</v>
      </c>
      <c r="AR637">
        <v>220123</v>
      </c>
      <c r="AU637" t="s">
        <v>57</v>
      </c>
      <c r="AV637" t="s">
        <v>68</v>
      </c>
      <c r="AX637" t="s">
        <v>57</v>
      </c>
      <c r="AY637">
        <v>631110</v>
      </c>
      <c r="AZ637">
        <v>1204.63111</v>
      </c>
      <c r="BA637" s="23" t="s">
        <v>12</v>
      </c>
    </row>
    <row r="638" spans="1:53" x14ac:dyDescent="0.25">
      <c r="A638" t="s">
        <v>134</v>
      </c>
      <c r="B638" t="s">
        <v>135</v>
      </c>
      <c r="C638">
        <v>22001867</v>
      </c>
      <c r="D638">
        <v>1204</v>
      </c>
      <c r="E638" s="11">
        <v>44788</v>
      </c>
      <c r="F638" t="s">
        <v>174</v>
      </c>
      <c r="G638">
        <v>5.93</v>
      </c>
      <c r="H638">
        <v>5.93</v>
      </c>
      <c r="I638" t="s">
        <v>56</v>
      </c>
      <c r="O638" t="s">
        <v>57</v>
      </c>
      <c r="Q638" t="s">
        <v>57</v>
      </c>
      <c r="R638" t="s">
        <v>137</v>
      </c>
      <c r="T638" t="s">
        <v>59</v>
      </c>
      <c r="U638" t="s">
        <v>60</v>
      </c>
      <c r="V638" t="s">
        <v>138</v>
      </c>
      <c r="W638" t="s">
        <v>139</v>
      </c>
      <c r="X638">
        <v>1932108</v>
      </c>
      <c r="Y638" s="11">
        <v>44788</v>
      </c>
      <c r="Z638" t="s">
        <v>57</v>
      </c>
      <c r="AA638">
        <v>12</v>
      </c>
      <c r="AB638" t="s">
        <v>57</v>
      </c>
      <c r="AD638" t="s">
        <v>57</v>
      </c>
      <c r="AE638" t="s">
        <v>57</v>
      </c>
      <c r="AF638" t="s">
        <v>57</v>
      </c>
      <c r="AG638">
        <v>12</v>
      </c>
      <c r="AH638" t="s">
        <v>57</v>
      </c>
      <c r="AL638" t="s">
        <v>57</v>
      </c>
      <c r="AM638" s="11">
        <v>44788</v>
      </c>
      <c r="AN638" t="s">
        <v>173</v>
      </c>
      <c r="AO638" t="s">
        <v>65</v>
      </c>
      <c r="AP638">
        <v>1204</v>
      </c>
      <c r="AQ638" t="s">
        <v>66</v>
      </c>
      <c r="AR638">
        <v>121863</v>
      </c>
      <c r="AU638" t="s">
        <v>57</v>
      </c>
      <c r="AV638" t="s">
        <v>68</v>
      </c>
      <c r="AX638" t="s">
        <v>57</v>
      </c>
      <c r="AY638">
        <v>631110</v>
      </c>
      <c r="AZ638">
        <v>1204.63111</v>
      </c>
      <c r="BA638" s="23" t="s">
        <v>12</v>
      </c>
    </row>
    <row r="639" spans="1:53" x14ac:dyDescent="0.25">
      <c r="A639" t="s">
        <v>134</v>
      </c>
      <c r="B639" t="s">
        <v>135</v>
      </c>
      <c r="C639">
        <v>22001867</v>
      </c>
      <c r="D639">
        <v>1204</v>
      </c>
      <c r="E639" s="11">
        <v>44788</v>
      </c>
      <c r="F639" t="s">
        <v>174</v>
      </c>
      <c r="G639">
        <v>0.69</v>
      </c>
      <c r="H639">
        <v>0.69</v>
      </c>
      <c r="I639" t="s">
        <v>56</v>
      </c>
      <c r="O639" t="s">
        <v>57</v>
      </c>
      <c r="Q639" t="s">
        <v>57</v>
      </c>
      <c r="R639" t="s">
        <v>137</v>
      </c>
      <c r="T639" t="s">
        <v>59</v>
      </c>
      <c r="U639" t="s">
        <v>60</v>
      </c>
      <c r="V639" t="s">
        <v>138</v>
      </c>
      <c r="W639" t="s">
        <v>139</v>
      </c>
      <c r="X639">
        <v>1932108</v>
      </c>
      <c r="Y639" s="11">
        <v>44788</v>
      </c>
      <c r="Z639" t="s">
        <v>57</v>
      </c>
      <c r="AA639">
        <v>14</v>
      </c>
      <c r="AB639" t="s">
        <v>57</v>
      </c>
      <c r="AD639" t="s">
        <v>57</v>
      </c>
      <c r="AE639" t="s">
        <v>57</v>
      </c>
      <c r="AF639" t="s">
        <v>57</v>
      </c>
      <c r="AG639">
        <v>1</v>
      </c>
      <c r="AH639" t="s">
        <v>57</v>
      </c>
      <c r="AL639" t="s">
        <v>57</v>
      </c>
      <c r="AM639" s="11">
        <v>44788</v>
      </c>
      <c r="AN639" t="s">
        <v>173</v>
      </c>
      <c r="AO639" t="s">
        <v>65</v>
      </c>
      <c r="AP639">
        <v>1204</v>
      </c>
      <c r="AQ639" t="s">
        <v>66</v>
      </c>
      <c r="AR639">
        <v>112854</v>
      </c>
      <c r="AU639" t="s">
        <v>57</v>
      </c>
      <c r="AV639" t="s">
        <v>68</v>
      </c>
      <c r="AX639" t="s">
        <v>57</v>
      </c>
      <c r="AY639">
        <v>631110</v>
      </c>
      <c r="AZ639">
        <v>1204.63111</v>
      </c>
      <c r="BA639" s="23" t="s">
        <v>12</v>
      </c>
    </row>
    <row r="640" spans="1:53" x14ac:dyDescent="0.25">
      <c r="A640" t="s">
        <v>134</v>
      </c>
      <c r="B640" t="s">
        <v>135</v>
      </c>
      <c r="C640">
        <v>22001867</v>
      </c>
      <c r="D640">
        <v>1204</v>
      </c>
      <c r="E640" s="11">
        <v>44788</v>
      </c>
      <c r="F640" t="s">
        <v>174</v>
      </c>
      <c r="G640">
        <v>4.5199999999999996</v>
      </c>
      <c r="H640">
        <v>4.5199999999999996</v>
      </c>
      <c r="I640" t="s">
        <v>56</v>
      </c>
      <c r="O640" t="s">
        <v>57</v>
      </c>
      <c r="Q640" t="s">
        <v>57</v>
      </c>
      <c r="R640" t="s">
        <v>137</v>
      </c>
      <c r="T640" t="s">
        <v>59</v>
      </c>
      <c r="U640" t="s">
        <v>60</v>
      </c>
      <c r="V640" t="s">
        <v>138</v>
      </c>
      <c r="W640" t="s">
        <v>139</v>
      </c>
      <c r="X640">
        <v>1932108</v>
      </c>
      <c r="Y640" s="11">
        <v>44788</v>
      </c>
      <c r="Z640" t="s">
        <v>57</v>
      </c>
      <c r="AA640">
        <v>16</v>
      </c>
      <c r="AB640" t="s">
        <v>57</v>
      </c>
      <c r="AD640" t="s">
        <v>57</v>
      </c>
      <c r="AE640" t="s">
        <v>57</v>
      </c>
      <c r="AF640" t="s">
        <v>57</v>
      </c>
      <c r="AG640">
        <v>1</v>
      </c>
      <c r="AH640" t="s">
        <v>57</v>
      </c>
      <c r="AL640" t="s">
        <v>57</v>
      </c>
      <c r="AM640" s="11">
        <v>44788</v>
      </c>
      <c r="AN640" t="s">
        <v>173</v>
      </c>
      <c r="AO640" t="s">
        <v>65</v>
      </c>
      <c r="AP640">
        <v>1204</v>
      </c>
      <c r="AQ640" t="s">
        <v>66</v>
      </c>
      <c r="AR640">
        <v>279692</v>
      </c>
      <c r="AU640" t="s">
        <v>57</v>
      </c>
      <c r="AV640" t="s">
        <v>68</v>
      </c>
      <c r="AX640" t="s">
        <v>57</v>
      </c>
      <c r="AY640">
        <v>631110</v>
      </c>
      <c r="AZ640">
        <v>1204.63111</v>
      </c>
      <c r="BA640" s="23" t="s">
        <v>12</v>
      </c>
    </row>
    <row r="641" spans="1:53" x14ac:dyDescent="0.25">
      <c r="A641" t="s">
        <v>134</v>
      </c>
      <c r="B641" t="s">
        <v>135</v>
      </c>
      <c r="C641">
        <v>22001867</v>
      </c>
      <c r="D641">
        <v>1204</v>
      </c>
      <c r="E641" s="11">
        <v>44788</v>
      </c>
      <c r="F641" t="s">
        <v>174</v>
      </c>
      <c r="G641">
        <v>0.99</v>
      </c>
      <c r="H641">
        <v>0.99</v>
      </c>
      <c r="I641" t="s">
        <v>56</v>
      </c>
      <c r="O641" t="s">
        <v>57</v>
      </c>
      <c r="Q641" t="s">
        <v>57</v>
      </c>
      <c r="R641" t="s">
        <v>137</v>
      </c>
      <c r="T641" t="s">
        <v>59</v>
      </c>
      <c r="U641" t="s">
        <v>60</v>
      </c>
      <c r="V641" t="s">
        <v>138</v>
      </c>
      <c r="W641" t="s">
        <v>139</v>
      </c>
      <c r="X641">
        <v>1932108</v>
      </c>
      <c r="Y641" s="11">
        <v>44788</v>
      </c>
      <c r="Z641" t="s">
        <v>57</v>
      </c>
      <c r="AA641">
        <v>18</v>
      </c>
      <c r="AB641" t="s">
        <v>57</v>
      </c>
      <c r="AD641" t="s">
        <v>57</v>
      </c>
      <c r="AE641" t="s">
        <v>57</v>
      </c>
      <c r="AF641" t="s">
        <v>57</v>
      </c>
      <c r="AG641">
        <v>2</v>
      </c>
      <c r="AH641" t="s">
        <v>57</v>
      </c>
      <c r="AL641" t="s">
        <v>57</v>
      </c>
      <c r="AM641" s="11">
        <v>44788</v>
      </c>
      <c r="AN641" t="s">
        <v>173</v>
      </c>
      <c r="AO641" t="s">
        <v>65</v>
      </c>
      <c r="AP641">
        <v>1204</v>
      </c>
      <c r="AQ641" t="s">
        <v>66</v>
      </c>
      <c r="AR641">
        <v>121863</v>
      </c>
      <c r="AU641" t="s">
        <v>57</v>
      </c>
      <c r="AV641" t="s">
        <v>68</v>
      </c>
      <c r="AX641" t="s">
        <v>57</v>
      </c>
      <c r="AY641">
        <v>631110</v>
      </c>
      <c r="AZ641">
        <v>1204.63111</v>
      </c>
      <c r="BA641" s="23" t="s">
        <v>12</v>
      </c>
    </row>
    <row r="642" spans="1:53" x14ac:dyDescent="0.25">
      <c r="A642" t="s">
        <v>134</v>
      </c>
      <c r="B642" t="s">
        <v>135</v>
      </c>
      <c r="C642">
        <v>22001867</v>
      </c>
      <c r="D642">
        <v>1204</v>
      </c>
      <c r="E642" s="11">
        <v>44788</v>
      </c>
      <c r="F642" t="s">
        <v>174</v>
      </c>
      <c r="G642">
        <v>25.7</v>
      </c>
      <c r="H642">
        <v>25.7</v>
      </c>
      <c r="I642" t="s">
        <v>56</v>
      </c>
      <c r="O642" t="s">
        <v>57</v>
      </c>
      <c r="Q642" t="s">
        <v>57</v>
      </c>
      <c r="R642" t="s">
        <v>137</v>
      </c>
      <c r="T642" t="s">
        <v>59</v>
      </c>
      <c r="U642" t="s">
        <v>60</v>
      </c>
      <c r="V642" t="s">
        <v>138</v>
      </c>
      <c r="W642" t="s">
        <v>139</v>
      </c>
      <c r="X642">
        <v>1932108</v>
      </c>
      <c r="Y642" s="11">
        <v>44788</v>
      </c>
      <c r="Z642" t="s">
        <v>57</v>
      </c>
      <c r="AA642">
        <v>20</v>
      </c>
      <c r="AB642" t="s">
        <v>57</v>
      </c>
      <c r="AD642" t="s">
        <v>57</v>
      </c>
      <c r="AE642" t="s">
        <v>57</v>
      </c>
      <c r="AF642" t="s">
        <v>57</v>
      </c>
      <c r="AG642">
        <v>50</v>
      </c>
      <c r="AH642" t="s">
        <v>57</v>
      </c>
      <c r="AL642" t="s">
        <v>57</v>
      </c>
      <c r="AM642" s="11">
        <v>44788</v>
      </c>
      <c r="AN642" t="s">
        <v>173</v>
      </c>
      <c r="AO642" t="s">
        <v>65</v>
      </c>
      <c r="AP642">
        <v>1204</v>
      </c>
      <c r="AQ642" t="s">
        <v>66</v>
      </c>
      <c r="AR642">
        <v>97416</v>
      </c>
      <c r="AU642" t="s">
        <v>57</v>
      </c>
      <c r="AV642" t="s">
        <v>68</v>
      </c>
      <c r="AX642" t="s">
        <v>57</v>
      </c>
      <c r="AY642">
        <v>631110</v>
      </c>
      <c r="AZ642">
        <v>1204.63111</v>
      </c>
      <c r="BA642" s="23" t="s">
        <v>12</v>
      </c>
    </row>
    <row r="643" spans="1:53" x14ac:dyDescent="0.25">
      <c r="A643" t="s">
        <v>134</v>
      </c>
      <c r="B643" t="s">
        <v>135</v>
      </c>
      <c r="C643">
        <v>22001867</v>
      </c>
      <c r="D643">
        <v>1204</v>
      </c>
      <c r="E643" s="11">
        <v>44788</v>
      </c>
      <c r="F643" t="s">
        <v>174</v>
      </c>
      <c r="G643">
        <v>1.69</v>
      </c>
      <c r="H643">
        <v>1.69</v>
      </c>
      <c r="I643" t="s">
        <v>56</v>
      </c>
      <c r="O643" t="s">
        <v>57</v>
      </c>
      <c r="Q643" t="s">
        <v>57</v>
      </c>
      <c r="R643" t="s">
        <v>137</v>
      </c>
      <c r="T643" t="s">
        <v>59</v>
      </c>
      <c r="U643" t="s">
        <v>60</v>
      </c>
      <c r="V643" t="s">
        <v>138</v>
      </c>
      <c r="W643" t="s">
        <v>139</v>
      </c>
      <c r="X643">
        <v>1932108</v>
      </c>
      <c r="Y643" s="11">
        <v>44788</v>
      </c>
      <c r="Z643" t="s">
        <v>57</v>
      </c>
      <c r="AA643">
        <v>22</v>
      </c>
      <c r="AB643" t="s">
        <v>57</v>
      </c>
      <c r="AD643" t="s">
        <v>57</v>
      </c>
      <c r="AE643" t="s">
        <v>57</v>
      </c>
      <c r="AF643" t="s">
        <v>57</v>
      </c>
      <c r="AG643">
        <v>2</v>
      </c>
      <c r="AH643" t="s">
        <v>57</v>
      </c>
      <c r="AL643" t="s">
        <v>57</v>
      </c>
      <c r="AM643" s="11">
        <v>44788</v>
      </c>
      <c r="AN643" t="s">
        <v>173</v>
      </c>
      <c r="AO643" t="s">
        <v>65</v>
      </c>
      <c r="AP643">
        <v>1204</v>
      </c>
      <c r="AQ643" t="s">
        <v>66</v>
      </c>
      <c r="AR643">
        <v>88702</v>
      </c>
      <c r="AU643" t="s">
        <v>57</v>
      </c>
      <c r="AV643" t="s">
        <v>68</v>
      </c>
      <c r="AX643" t="s">
        <v>57</v>
      </c>
      <c r="AY643">
        <v>631110</v>
      </c>
      <c r="AZ643">
        <v>1204.63111</v>
      </c>
      <c r="BA643" s="23" t="s">
        <v>12</v>
      </c>
    </row>
    <row r="644" spans="1:53" x14ac:dyDescent="0.25">
      <c r="A644" t="s">
        <v>134</v>
      </c>
      <c r="B644" t="s">
        <v>135</v>
      </c>
      <c r="C644">
        <v>22001867</v>
      </c>
      <c r="D644">
        <v>1204</v>
      </c>
      <c r="E644" s="11">
        <v>44788</v>
      </c>
      <c r="F644" t="s">
        <v>174</v>
      </c>
      <c r="G644">
        <v>23.25</v>
      </c>
      <c r="H644">
        <v>23.25</v>
      </c>
      <c r="I644" t="s">
        <v>56</v>
      </c>
      <c r="O644" t="s">
        <v>57</v>
      </c>
      <c r="Q644" t="s">
        <v>57</v>
      </c>
      <c r="R644" t="s">
        <v>137</v>
      </c>
      <c r="T644" t="s">
        <v>59</v>
      </c>
      <c r="U644" t="s">
        <v>60</v>
      </c>
      <c r="V644" t="s">
        <v>138</v>
      </c>
      <c r="W644" t="s">
        <v>139</v>
      </c>
      <c r="X644">
        <v>1932108</v>
      </c>
      <c r="Y644" s="11">
        <v>44788</v>
      </c>
      <c r="Z644" t="s">
        <v>57</v>
      </c>
      <c r="AA644">
        <v>24</v>
      </c>
      <c r="AB644" t="s">
        <v>57</v>
      </c>
      <c r="AD644" t="s">
        <v>57</v>
      </c>
      <c r="AE644" t="s">
        <v>57</v>
      </c>
      <c r="AF644" t="s">
        <v>57</v>
      </c>
      <c r="AG644">
        <v>1</v>
      </c>
      <c r="AH644" t="s">
        <v>57</v>
      </c>
      <c r="AL644" t="s">
        <v>57</v>
      </c>
      <c r="AM644" s="11">
        <v>44788</v>
      </c>
      <c r="AN644" t="s">
        <v>173</v>
      </c>
      <c r="AO644" t="s">
        <v>65</v>
      </c>
      <c r="AP644">
        <v>1204</v>
      </c>
      <c r="AQ644" t="s">
        <v>66</v>
      </c>
      <c r="AR644">
        <v>143093</v>
      </c>
      <c r="AU644" t="s">
        <v>57</v>
      </c>
      <c r="AV644" t="s">
        <v>68</v>
      </c>
      <c r="AX644" t="s">
        <v>57</v>
      </c>
      <c r="AY644">
        <v>631110</v>
      </c>
      <c r="AZ644">
        <v>1204.63111</v>
      </c>
      <c r="BA644" s="23" t="s">
        <v>12</v>
      </c>
    </row>
    <row r="645" spans="1:53" x14ac:dyDescent="0.25">
      <c r="A645" t="s">
        <v>134</v>
      </c>
      <c r="B645" t="s">
        <v>135</v>
      </c>
      <c r="C645">
        <v>22001867</v>
      </c>
      <c r="D645">
        <v>1204</v>
      </c>
      <c r="E645" s="11">
        <v>44788</v>
      </c>
      <c r="F645" t="s">
        <v>174</v>
      </c>
      <c r="G645">
        <v>22.07</v>
      </c>
      <c r="H645">
        <v>22.07</v>
      </c>
      <c r="I645" t="s">
        <v>56</v>
      </c>
      <c r="O645" t="s">
        <v>57</v>
      </c>
      <c r="Q645" t="s">
        <v>57</v>
      </c>
      <c r="R645" t="s">
        <v>137</v>
      </c>
      <c r="T645" t="s">
        <v>59</v>
      </c>
      <c r="U645" t="s">
        <v>60</v>
      </c>
      <c r="V645" t="s">
        <v>138</v>
      </c>
      <c r="W645" t="s">
        <v>139</v>
      </c>
      <c r="X645">
        <v>1932108</v>
      </c>
      <c r="Y645" s="11">
        <v>44788</v>
      </c>
      <c r="Z645" t="s">
        <v>57</v>
      </c>
      <c r="AA645">
        <v>26</v>
      </c>
      <c r="AB645" t="s">
        <v>57</v>
      </c>
      <c r="AD645" t="s">
        <v>57</v>
      </c>
      <c r="AE645" t="s">
        <v>57</v>
      </c>
      <c r="AF645" t="s">
        <v>57</v>
      </c>
      <c r="AG645">
        <v>1</v>
      </c>
      <c r="AH645" t="s">
        <v>57</v>
      </c>
      <c r="AL645" t="s">
        <v>57</v>
      </c>
      <c r="AM645" s="11">
        <v>44788</v>
      </c>
      <c r="AN645" t="s">
        <v>173</v>
      </c>
      <c r="AO645" t="s">
        <v>65</v>
      </c>
      <c r="AP645">
        <v>1204</v>
      </c>
      <c r="AQ645" t="s">
        <v>66</v>
      </c>
      <c r="AR645">
        <v>143095</v>
      </c>
      <c r="AU645" t="s">
        <v>57</v>
      </c>
      <c r="AV645" t="s">
        <v>68</v>
      </c>
      <c r="AX645" t="s">
        <v>57</v>
      </c>
      <c r="AY645">
        <v>631110</v>
      </c>
      <c r="AZ645">
        <v>1204.63111</v>
      </c>
      <c r="BA645" s="23" t="s">
        <v>12</v>
      </c>
    </row>
    <row r="646" spans="1:53" x14ac:dyDescent="0.25">
      <c r="A646" t="s">
        <v>134</v>
      </c>
      <c r="B646" t="s">
        <v>135</v>
      </c>
      <c r="C646">
        <v>22001867</v>
      </c>
      <c r="D646">
        <v>1204</v>
      </c>
      <c r="E646" s="11">
        <v>44788</v>
      </c>
      <c r="F646" t="s">
        <v>174</v>
      </c>
      <c r="G646">
        <v>0.16</v>
      </c>
      <c r="H646">
        <v>0.16</v>
      </c>
      <c r="I646" t="s">
        <v>56</v>
      </c>
      <c r="O646" t="s">
        <v>57</v>
      </c>
      <c r="Q646" t="s">
        <v>57</v>
      </c>
      <c r="R646" t="s">
        <v>137</v>
      </c>
      <c r="T646" t="s">
        <v>59</v>
      </c>
      <c r="U646" t="s">
        <v>60</v>
      </c>
      <c r="V646" t="s">
        <v>138</v>
      </c>
      <c r="W646" t="s">
        <v>139</v>
      </c>
      <c r="X646">
        <v>1932108</v>
      </c>
      <c r="Y646" s="11">
        <v>44788</v>
      </c>
      <c r="Z646" t="s">
        <v>57</v>
      </c>
      <c r="AA646">
        <v>28</v>
      </c>
      <c r="AB646" t="s">
        <v>57</v>
      </c>
      <c r="AD646" t="s">
        <v>57</v>
      </c>
      <c r="AE646" t="s">
        <v>57</v>
      </c>
      <c r="AF646" t="s">
        <v>57</v>
      </c>
      <c r="AG646">
        <v>1</v>
      </c>
      <c r="AH646" t="s">
        <v>57</v>
      </c>
      <c r="AL646" t="s">
        <v>57</v>
      </c>
      <c r="AM646" s="11">
        <v>44788</v>
      </c>
      <c r="AN646" t="s">
        <v>173</v>
      </c>
      <c r="AO646" t="s">
        <v>65</v>
      </c>
      <c r="AP646">
        <v>1204</v>
      </c>
      <c r="AQ646" t="s">
        <v>66</v>
      </c>
      <c r="AR646">
        <v>88760</v>
      </c>
      <c r="AU646" t="s">
        <v>57</v>
      </c>
      <c r="AV646" t="s">
        <v>68</v>
      </c>
      <c r="AX646" t="s">
        <v>57</v>
      </c>
      <c r="AY646">
        <v>631110</v>
      </c>
      <c r="AZ646">
        <v>1204.63111</v>
      </c>
      <c r="BA646" s="23" t="s">
        <v>12</v>
      </c>
    </row>
    <row r="647" spans="1:53" x14ac:dyDescent="0.25">
      <c r="A647" t="s">
        <v>134</v>
      </c>
      <c r="B647" t="s">
        <v>135</v>
      </c>
      <c r="C647">
        <v>22001867</v>
      </c>
      <c r="D647">
        <v>1204</v>
      </c>
      <c r="E647" s="11">
        <v>44788</v>
      </c>
      <c r="F647" t="s">
        <v>174</v>
      </c>
      <c r="G647">
        <v>1.0900000000000001</v>
      </c>
      <c r="H647">
        <v>1.0900000000000001</v>
      </c>
      <c r="I647" t="s">
        <v>56</v>
      </c>
      <c r="O647" t="s">
        <v>57</v>
      </c>
      <c r="Q647" t="s">
        <v>57</v>
      </c>
      <c r="R647" t="s">
        <v>137</v>
      </c>
      <c r="T647" t="s">
        <v>59</v>
      </c>
      <c r="U647" t="s">
        <v>60</v>
      </c>
      <c r="V647" t="s">
        <v>138</v>
      </c>
      <c r="W647" t="s">
        <v>139</v>
      </c>
      <c r="X647">
        <v>1932108</v>
      </c>
      <c r="Y647" s="11">
        <v>44788</v>
      </c>
      <c r="Z647" t="s">
        <v>57</v>
      </c>
      <c r="AA647">
        <v>30</v>
      </c>
      <c r="AB647" t="s">
        <v>57</v>
      </c>
      <c r="AD647" t="s">
        <v>57</v>
      </c>
      <c r="AE647" t="s">
        <v>57</v>
      </c>
      <c r="AF647" t="s">
        <v>57</v>
      </c>
      <c r="AG647">
        <v>2</v>
      </c>
      <c r="AH647" t="s">
        <v>57</v>
      </c>
      <c r="AL647" t="s">
        <v>57</v>
      </c>
      <c r="AM647" s="11">
        <v>44788</v>
      </c>
      <c r="AN647" t="s">
        <v>173</v>
      </c>
      <c r="AO647" t="s">
        <v>65</v>
      </c>
      <c r="AP647">
        <v>1204</v>
      </c>
      <c r="AQ647" t="s">
        <v>66</v>
      </c>
      <c r="AR647">
        <v>89777</v>
      </c>
      <c r="AU647" t="s">
        <v>57</v>
      </c>
      <c r="AV647" t="s">
        <v>68</v>
      </c>
      <c r="AX647" t="s">
        <v>57</v>
      </c>
      <c r="AY647">
        <v>631110</v>
      </c>
      <c r="AZ647">
        <v>1204.63111</v>
      </c>
      <c r="BA647" s="23" t="s">
        <v>12</v>
      </c>
    </row>
    <row r="648" spans="1:53" x14ac:dyDescent="0.25">
      <c r="A648" t="s">
        <v>134</v>
      </c>
      <c r="B648" t="s">
        <v>135</v>
      </c>
      <c r="C648">
        <v>22001867</v>
      </c>
      <c r="D648">
        <v>1204</v>
      </c>
      <c r="E648" s="11">
        <v>44788</v>
      </c>
      <c r="F648" t="s">
        <v>174</v>
      </c>
      <c r="G648">
        <v>0.16</v>
      </c>
      <c r="H648">
        <v>0.16</v>
      </c>
      <c r="I648" t="s">
        <v>56</v>
      </c>
      <c r="O648" t="s">
        <v>57</v>
      </c>
      <c r="Q648" t="s">
        <v>57</v>
      </c>
      <c r="R648" t="s">
        <v>137</v>
      </c>
      <c r="T648" t="s">
        <v>59</v>
      </c>
      <c r="U648" t="s">
        <v>60</v>
      </c>
      <c r="V648" t="s">
        <v>138</v>
      </c>
      <c r="W648" t="s">
        <v>139</v>
      </c>
      <c r="X648">
        <v>1932108</v>
      </c>
      <c r="Y648" s="11">
        <v>44788</v>
      </c>
      <c r="Z648" t="s">
        <v>57</v>
      </c>
      <c r="AA648">
        <v>32</v>
      </c>
      <c r="AB648" t="s">
        <v>57</v>
      </c>
      <c r="AD648" t="s">
        <v>57</v>
      </c>
      <c r="AE648" t="s">
        <v>57</v>
      </c>
      <c r="AF648" t="s">
        <v>57</v>
      </c>
      <c r="AG648">
        <v>1</v>
      </c>
      <c r="AH648" t="s">
        <v>57</v>
      </c>
      <c r="AL648" t="s">
        <v>57</v>
      </c>
      <c r="AM648" s="11">
        <v>44788</v>
      </c>
      <c r="AN648" t="s">
        <v>173</v>
      </c>
      <c r="AO648" t="s">
        <v>65</v>
      </c>
      <c r="AP648">
        <v>1204</v>
      </c>
      <c r="AQ648" t="s">
        <v>66</v>
      </c>
      <c r="AR648">
        <v>88760</v>
      </c>
      <c r="AU648" t="s">
        <v>57</v>
      </c>
      <c r="AV648" t="s">
        <v>68</v>
      </c>
      <c r="AX648" t="s">
        <v>57</v>
      </c>
      <c r="AY648">
        <v>631110</v>
      </c>
      <c r="AZ648">
        <v>1204.63111</v>
      </c>
      <c r="BA648" s="23" t="s">
        <v>12</v>
      </c>
    </row>
    <row r="649" spans="1:53" x14ac:dyDescent="0.25">
      <c r="A649" t="s">
        <v>134</v>
      </c>
      <c r="B649" t="s">
        <v>135</v>
      </c>
      <c r="C649">
        <v>22001868</v>
      </c>
      <c r="D649">
        <v>1204</v>
      </c>
      <c r="E649" s="11">
        <v>44788</v>
      </c>
      <c r="F649" t="s">
        <v>172</v>
      </c>
      <c r="G649">
        <v>7.88</v>
      </c>
      <c r="H649">
        <v>7.88</v>
      </c>
      <c r="I649" t="s">
        <v>56</v>
      </c>
      <c r="O649" t="s">
        <v>57</v>
      </c>
      <c r="Q649" t="s">
        <v>57</v>
      </c>
      <c r="R649" t="s">
        <v>137</v>
      </c>
      <c r="T649" t="s">
        <v>59</v>
      </c>
      <c r="U649" t="s">
        <v>60</v>
      </c>
      <c r="V649" t="s">
        <v>138</v>
      </c>
      <c r="W649" t="s">
        <v>139</v>
      </c>
      <c r="X649">
        <v>1932300</v>
      </c>
      <c r="Y649" s="11">
        <v>44788</v>
      </c>
      <c r="Z649" t="s">
        <v>57</v>
      </c>
      <c r="AA649">
        <v>2</v>
      </c>
      <c r="AB649" t="s">
        <v>57</v>
      </c>
      <c r="AD649" t="s">
        <v>57</v>
      </c>
      <c r="AE649" t="s">
        <v>57</v>
      </c>
      <c r="AF649" t="s">
        <v>57</v>
      </c>
      <c r="AG649">
        <v>1</v>
      </c>
      <c r="AH649" t="s">
        <v>57</v>
      </c>
      <c r="AL649" t="s">
        <v>57</v>
      </c>
      <c r="AM649" s="11">
        <v>44788</v>
      </c>
      <c r="AN649" t="s">
        <v>173</v>
      </c>
      <c r="AO649" t="s">
        <v>65</v>
      </c>
      <c r="AP649">
        <v>1204</v>
      </c>
      <c r="AQ649" t="s">
        <v>66</v>
      </c>
      <c r="AR649">
        <v>227112</v>
      </c>
      <c r="AU649" t="s">
        <v>57</v>
      </c>
      <c r="AV649" t="s">
        <v>68</v>
      </c>
      <c r="AX649" t="s">
        <v>57</v>
      </c>
      <c r="AY649">
        <v>631110</v>
      </c>
      <c r="AZ649">
        <v>1204.63111</v>
      </c>
      <c r="BA649" s="23" t="s">
        <v>12</v>
      </c>
    </row>
    <row r="650" spans="1:53" x14ac:dyDescent="0.25">
      <c r="A650" t="s">
        <v>134</v>
      </c>
      <c r="B650" t="s">
        <v>135</v>
      </c>
      <c r="C650">
        <v>22001869</v>
      </c>
      <c r="D650">
        <v>1204</v>
      </c>
      <c r="E650" s="11">
        <v>44788</v>
      </c>
      <c r="F650" t="s">
        <v>159</v>
      </c>
      <c r="G650">
        <v>8.2200000000000006</v>
      </c>
      <c r="H650">
        <v>8.2200000000000006</v>
      </c>
      <c r="I650" t="s">
        <v>56</v>
      </c>
      <c r="O650" t="s">
        <v>57</v>
      </c>
      <c r="Q650" t="s">
        <v>57</v>
      </c>
      <c r="R650" t="s">
        <v>137</v>
      </c>
      <c r="T650" t="s">
        <v>59</v>
      </c>
      <c r="U650" t="s">
        <v>60</v>
      </c>
      <c r="V650" t="s">
        <v>138</v>
      </c>
      <c r="W650" t="s">
        <v>139</v>
      </c>
      <c r="X650">
        <v>1932302</v>
      </c>
      <c r="Y650" s="11">
        <v>44788</v>
      </c>
      <c r="Z650" t="s">
        <v>57</v>
      </c>
      <c r="AA650">
        <v>6</v>
      </c>
      <c r="AB650" t="s">
        <v>57</v>
      </c>
      <c r="AD650" t="s">
        <v>57</v>
      </c>
      <c r="AE650" t="s">
        <v>57</v>
      </c>
      <c r="AF650" t="s">
        <v>57</v>
      </c>
      <c r="AG650">
        <v>12</v>
      </c>
      <c r="AH650" t="s">
        <v>57</v>
      </c>
      <c r="AL650" t="s">
        <v>57</v>
      </c>
      <c r="AM650" s="11">
        <v>44788</v>
      </c>
      <c r="AN650" t="s">
        <v>173</v>
      </c>
      <c r="AO650" t="s">
        <v>65</v>
      </c>
      <c r="AP650">
        <v>1204</v>
      </c>
      <c r="AQ650" t="s">
        <v>66</v>
      </c>
      <c r="AR650">
        <v>88732</v>
      </c>
      <c r="AU650" t="s">
        <v>57</v>
      </c>
      <c r="AV650" t="s">
        <v>68</v>
      </c>
      <c r="AX650" t="s">
        <v>57</v>
      </c>
      <c r="AY650">
        <v>631110</v>
      </c>
      <c r="AZ650">
        <v>1204.63111</v>
      </c>
      <c r="BA650" s="23" t="s">
        <v>12</v>
      </c>
    </row>
    <row r="651" spans="1:53" x14ac:dyDescent="0.25">
      <c r="A651" t="s">
        <v>134</v>
      </c>
      <c r="B651" t="s">
        <v>135</v>
      </c>
      <c r="C651">
        <v>22001869</v>
      </c>
      <c r="D651">
        <v>1204</v>
      </c>
      <c r="E651" s="11">
        <v>44788</v>
      </c>
      <c r="F651" t="s">
        <v>159</v>
      </c>
      <c r="G651">
        <v>7.0000000000000007E-2</v>
      </c>
      <c r="H651">
        <v>7.0000000000000007E-2</v>
      </c>
      <c r="I651" t="s">
        <v>56</v>
      </c>
      <c r="O651" t="s">
        <v>57</v>
      </c>
      <c r="Q651" t="s">
        <v>57</v>
      </c>
      <c r="R651" t="s">
        <v>137</v>
      </c>
      <c r="T651" t="s">
        <v>59</v>
      </c>
      <c r="U651" t="s">
        <v>60</v>
      </c>
      <c r="V651" t="s">
        <v>138</v>
      </c>
      <c r="W651" t="s">
        <v>139</v>
      </c>
      <c r="X651">
        <v>1932302</v>
      </c>
      <c r="Y651" s="11">
        <v>44788</v>
      </c>
      <c r="Z651" t="s">
        <v>57</v>
      </c>
      <c r="AA651">
        <v>2</v>
      </c>
      <c r="AB651" t="s">
        <v>57</v>
      </c>
      <c r="AD651" t="s">
        <v>57</v>
      </c>
      <c r="AE651" t="s">
        <v>57</v>
      </c>
      <c r="AF651" t="s">
        <v>57</v>
      </c>
      <c r="AG651">
        <v>1</v>
      </c>
      <c r="AH651" t="s">
        <v>57</v>
      </c>
      <c r="AL651" t="s">
        <v>57</v>
      </c>
      <c r="AM651" s="11">
        <v>44788</v>
      </c>
      <c r="AN651" t="s">
        <v>173</v>
      </c>
      <c r="AO651" t="s">
        <v>65</v>
      </c>
      <c r="AP651">
        <v>1204</v>
      </c>
      <c r="AQ651" t="s">
        <v>66</v>
      </c>
      <c r="AR651">
        <v>89908</v>
      </c>
      <c r="AU651" t="s">
        <v>57</v>
      </c>
      <c r="AV651" t="s">
        <v>68</v>
      </c>
      <c r="AX651" t="s">
        <v>57</v>
      </c>
      <c r="AY651">
        <v>631110</v>
      </c>
      <c r="AZ651">
        <v>1204.63111</v>
      </c>
      <c r="BA651" s="23" t="s">
        <v>12</v>
      </c>
    </row>
    <row r="652" spans="1:53" x14ac:dyDescent="0.25">
      <c r="A652" t="s">
        <v>134</v>
      </c>
      <c r="B652" t="s">
        <v>135</v>
      </c>
      <c r="C652">
        <v>22001869</v>
      </c>
      <c r="D652">
        <v>1204</v>
      </c>
      <c r="E652" s="11">
        <v>44788</v>
      </c>
      <c r="F652" t="s">
        <v>159</v>
      </c>
      <c r="G652">
        <v>3.83</v>
      </c>
      <c r="H652">
        <v>3.83</v>
      </c>
      <c r="I652" t="s">
        <v>56</v>
      </c>
      <c r="O652" t="s">
        <v>57</v>
      </c>
      <c r="Q652" t="s">
        <v>57</v>
      </c>
      <c r="R652" t="s">
        <v>137</v>
      </c>
      <c r="T652" t="s">
        <v>59</v>
      </c>
      <c r="U652" t="s">
        <v>60</v>
      </c>
      <c r="V652" t="s">
        <v>138</v>
      </c>
      <c r="W652" t="s">
        <v>139</v>
      </c>
      <c r="X652">
        <v>1932302</v>
      </c>
      <c r="Y652" s="11">
        <v>44788</v>
      </c>
      <c r="Z652" t="s">
        <v>57</v>
      </c>
      <c r="AA652">
        <v>4</v>
      </c>
      <c r="AB652" t="s">
        <v>57</v>
      </c>
      <c r="AD652" t="s">
        <v>57</v>
      </c>
      <c r="AE652" t="s">
        <v>57</v>
      </c>
      <c r="AF652" t="s">
        <v>57</v>
      </c>
      <c r="AG652">
        <v>1</v>
      </c>
      <c r="AH652" t="s">
        <v>57</v>
      </c>
      <c r="AL652" t="s">
        <v>57</v>
      </c>
      <c r="AM652" s="11">
        <v>44788</v>
      </c>
      <c r="AN652" t="s">
        <v>173</v>
      </c>
      <c r="AO652" t="s">
        <v>65</v>
      </c>
      <c r="AP652">
        <v>1204</v>
      </c>
      <c r="AQ652" t="s">
        <v>66</v>
      </c>
      <c r="AR652">
        <v>88685</v>
      </c>
      <c r="AU652" t="s">
        <v>57</v>
      </c>
      <c r="AV652" t="s">
        <v>68</v>
      </c>
      <c r="AX652" t="s">
        <v>57</v>
      </c>
      <c r="AY652">
        <v>631110</v>
      </c>
      <c r="AZ652">
        <v>1204.63111</v>
      </c>
      <c r="BA652" s="23" t="s">
        <v>12</v>
      </c>
    </row>
    <row r="653" spans="1:53" x14ac:dyDescent="0.25">
      <c r="A653" t="s">
        <v>134</v>
      </c>
      <c r="B653" t="s">
        <v>135</v>
      </c>
      <c r="C653">
        <v>22001870</v>
      </c>
      <c r="D653">
        <v>1204</v>
      </c>
      <c r="E653" s="11">
        <v>44789</v>
      </c>
      <c r="F653" t="s">
        <v>159</v>
      </c>
      <c r="G653">
        <v>7.0000000000000007E-2</v>
      </c>
      <c r="H653">
        <v>7.0000000000000007E-2</v>
      </c>
      <c r="I653" t="s">
        <v>56</v>
      </c>
      <c r="O653" t="s">
        <v>57</v>
      </c>
      <c r="Q653" t="s">
        <v>57</v>
      </c>
      <c r="R653" t="s">
        <v>137</v>
      </c>
      <c r="T653" t="s">
        <v>59</v>
      </c>
      <c r="U653" t="s">
        <v>60</v>
      </c>
      <c r="V653" t="s">
        <v>138</v>
      </c>
      <c r="W653" t="s">
        <v>139</v>
      </c>
      <c r="X653">
        <v>1933043</v>
      </c>
      <c r="Y653" s="11">
        <v>44789</v>
      </c>
      <c r="Z653" t="s">
        <v>57</v>
      </c>
      <c r="AA653">
        <v>8</v>
      </c>
      <c r="AB653" t="s">
        <v>57</v>
      </c>
      <c r="AD653" t="s">
        <v>57</v>
      </c>
      <c r="AE653" t="s">
        <v>57</v>
      </c>
      <c r="AF653" t="s">
        <v>57</v>
      </c>
      <c r="AG653">
        <v>1</v>
      </c>
      <c r="AH653" t="s">
        <v>57</v>
      </c>
      <c r="AL653" t="s">
        <v>57</v>
      </c>
      <c r="AM653" s="11">
        <v>44789</v>
      </c>
      <c r="AN653" t="s">
        <v>173</v>
      </c>
      <c r="AO653" t="s">
        <v>65</v>
      </c>
      <c r="AP653">
        <v>1204</v>
      </c>
      <c r="AQ653" t="s">
        <v>66</v>
      </c>
      <c r="AR653">
        <v>89908</v>
      </c>
      <c r="AU653" t="s">
        <v>57</v>
      </c>
      <c r="AV653" t="s">
        <v>68</v>
      </c>
      <c r="AX653" t="s">
        <v>57</v>
      </c>
      <c r="AY653">
        <v>631110</v>
      </c>
      <c r="AZ653">
        <v>1204.63111</v>
      </c>
      <c r="BA653" s="23" t="s">
        <v>12</v>
      </c>
    </row>
    <row r="654" spans="1:53" x14ac:dyDescent="0.25">
      <c r="A654" t="s">
        <v>134</v>
      </c>
      <c r="B654" t="s">
        <v>135</v>
      </c>
      <c r="C654">
        <v>22001870</v>
      </c>
      <c r="D654">
        <v>1204</v>
      </c>
      <c r="E654" s="11">
        <v>44789</v>
      </c>
      <c r="F654" t="s">
        <v>159</v>
      </c>
      <c r="G654">
        <v>45.36</v>
      </c>
      <c r="H654">
        <v>45.36</v>
      </c>
      <c r="I654" t="s">
        <v>56</v>
      </c>
      <c r="O654" t="s">
        <v>57</v>
      </c>
      <c r="Q654" t="s">
        <v>57</v>
      </c>
      <c r="R654" t="s">
        <v>137</v>
      </c>
      <c r="T654" t="s">
        <v>59</v>
      </c>
      <c r="U654" t="s">
        <v>60</v>
      </c>
      <c r="V654" t="s">
        <v>138</v>
      </c>
      <c r="W654" t="s">
        <v>139</v>
      </c>
      <c r="X654">
        <v>1933043</v>
      </c>
      <c r="Y654" s="11">
        <v>44789</v>
      </c>
      <c r="Z654" t="s">
        <v>57</v>
      </c>
      <c r="AA654">
        <v>2</v>
      </c>
      <c r="AB654" t="s">
        <v>57</v>
      </c>
      <c r="AD654" t="s">
        <v>57</v>
      </c>
      <c r="AE654" t="s">
        <v>57</v>
      </c>
      <c r="AF654" t="s">
        <v>57</v>
      </c>
      <c r="AG654">
        <v>3</v>
      </c>
      <c r="AH654" t="s">
        <v>57</v>
      </c>
      <c r="AL654" t="s">
        <v>57</v>
      </c>
      <c r="AM654" s="11">
        <v>44789</v>
      </c>
      <c r="AN654" t="s">
        <v>173</v>
      </c>
      <c r="AO654" t="s">
        <v>65</v>
      </c>
      <c r="AP654">
        <v>1204</v>
      </c>
      <c r="AQ654" t="s">
        <v>66</v>
      </c>
      <c r="AR654">
        <v>88717</v>
      </c>
      <c r="AU654" t="s">
        <v>57</v>
      </c>
      <c r="AV654" t="s">
        <v>68</v>
      </c>
      <c r="AX654" t="s">
        <v>57</v>
      </c>
      <c r="AY654">
        <v>631110</v>
      </c>
      <c r="AZ654">
        <v>1204.63111</v>
      </c>
      <c r="BA654" s="23" t="s">
        <v>12</v>
      </c>
    </row>
    <row r="655" spans="1:53" x14ac:dyDescent="0.25">
      <c r="A655" t="s">
        <v>134</v>
      </c>
      <c r="B655" t="s">
        <v>135</v>
      </c>
      <c r="C655">
        <v>22001870</v>
      </c>
      <c r="D655">
        <v>1204</v>
      </c>
      <c r="E655" s="11">
        <v>44789</v>
      </c>
      <c r="F655" t="s">
        <v>159</v>
      </c>
      <c r="G655">
        <v>0.13</v>
      </c>
      <c r="H655">
        <v>0.13</v>
      </c>
      <c r="I655" t="s">
        <v>56</v>
      </c>
      <c r="O655" t="s">
        <v>57</v>
      </c>
      <c r="Q655" t="s">
        <v>57</v>
      </c>
      <c r="R655" t="s">
        <v>137</v>
      </c>
      <c r="T655" t="s">
        <v>59</v>
      </c>
      <c r="U655" t="s">
        <v>60</v>
      </c>
      <c r="V655" t="s">
        <v>138</v>
      </c>
      <c r="W655" t="s">
        <v>139</v>
      </c>
      <c r="X655">
        <v>1933043</v>
      </c>
      <c r="Y655" s="11">
        <v>44789</v>
      </c>
      <c r="Z655" t="s">
        <v>57</v>
      </c>
      <c r="AA655">
        <v>4</v>
      </c>
      <c r="AB655" t="s">
        <v>57</v>
      </c>
      <c r="AD655" t="s">
        <v>57</v>
      </c>
      <c r="AE655" t="s">
        <v>57</v>
      </c>
      <c r="AF655" t="s">
        <v>57</v>
      </c>
      <c r="AG655">
        <v>2</v>
      </c>
      <c r="AH655" t="s">
        <v>57</v>
      </c>
      <c r="AL655" t="s">
        <v>57</v>
      </c>
      <c r="AM655" s="11">
        <v>44789</v>
      </c>
      <c r="AN655" t="s">
        <v>173</v>
      </c>
      <c r="AO655" t="s">
        <v>65</v>
      </c>
      <c r="AP655">
        <v>1204</v>
      </c>
      <c r="AQ655" t="s">
        <v>66</v>
      </c>
      <c r="AR655">
        <v>89908</v>
      </c>
      <c r="AU655" t="s">
        <v>57</v>
      </c>
      <c r="AV655" t="s">
        <v>68</v>
      </c>
      <c r="AX655" t="s">
        <v>57</v>
      </c>
      <c r="AY655">
        <v>631110</v>
      </c>
      <c r="AZ655">
        <v>1204.63111</v>
      </c>
      <c r="BA655" s="23" t="s">
        <v>12</v>
      </c>
    </row>
    <row r="656" spans="1:53" x14ac:dyDescent="0.25">
      <c r="A656" t="s">
        <v>134</v>
      </c>
      <c r="B656" t="s">
        <v>135</v>
      </c>
      <c r="C656">
        <v>22001870</v>
      </c>
      <c r="D656">
        <v>1204</v>
      </c>
      <c r="E656" s="11">
        <v>44789</v>
      </c>
      <c r="F656" t="s">
        <v>159</v>
      </c>
      <c r="G656">
        <v>0.18</v>
      </c>
      <c r="H656">
        <v>0.18</v>
      </c>
      <c r="I656" t="s">
        <v>56</v>
      </c>
      <c r="O656" t="s">
        <v>57</v>
      </c>
      <c r="Q656" t="s">
        <v>57</v>
      </c>
      <c r="R656" t="s">
        <v>137</v>
      </c>
      <c r="T656" t="s">
        <v>59</v>
      </c>
      <c r="U656" t="s">
        <v>60</v>
      </c>
      <c r="V656" t="s">
        <v>138</v>
      </c>
      <c r="W656" t="s">
        <v>139</v>
      </c>
      <c r="X656">
        <v>1933043</v>
      </c>
      <c r="Y656" s="11">
        <v>44789</v>
      </c>
      <c r="Z656" t="s">
        <v>57</v>
      </c>
      <c r="AA656">
        <v>6</v>
      </c>
      <c r="AB656" t="s">
        <v>57</v>
      </c>
      <c r="AD656" t="s">
        <v>57</v>
      </c>
      <c r="AE656" t="s">
        <v>57</v>
      </c>
      <c r="AF656" t="s">
        <v>57</v>
      </c>
      <c r="AG656">
        <v>1</v>
      </c>
      <c r="AH656" t="s">
        <v>57</v>
      </c>
      <c r="AL656" t="s">
        <v>57</v>
      </c>
      <c r="AM656" s="11">
        <v>44789</v>
      </c>
      <c r="AN656" t="s">
        <v>173</v>
      </c>
      <c r="AO656" t="s">
        <v>65</v>
      </c>
      <c r="AP656">
        <v>1204</v>
      </c>
      <c r="AQ656" t="s">
        <v>66</v>
      </c>
      <c r="AR656">
        <v>214210</v>
      </c>
      <c r="AU656" t="s">
        <v>57</v>
      </c>
      <c r="AV656" t="s">
        <v>68</v>
      </c>
      <c r="AX656" t="s">
        <v>57</v>
      </c>
      <c r="AY656">
        <v>631110</v>
      </c>
      <c r="AZ656">
        <v>1204.63111</v>
      </c>
      <c r="BA656" s="23" t="s">
        <v>12</v>
      </c>
    </row>
    <row r="657" spans="1:53" x14ac:dyDescent="0.25">
      <c r="A657" t="s">
        <v>134</v>
      </c>
      <c r="B657" t="s">
        <v>135</v>
      </c>
      <c r="C657">
        <v>22001871</v>
      </c>
      <c r="D657">
        <v>1204</v>
      </c>
      <c r="E657" s="11">
        <v>44789</v>
      </c>
      <c r="F657" t="s">
        <v>174</v>
      </c>
      <c r="G657">
        <v>1.04</v>
      </c>
      <c r="H657">
        <v>1.04</v>
      </c>
      <c r="I657" t="s">
        <v>56</v>
      </c>
      <c r="O657" t="s">
        <v>57</v>
      </c>
      <c r="Q657" t="s">
        <v>57</v>
      </c>
      <c r="R657" t="s">
        <v>137</v>
      </c>
      <c r="T657" t="s">
        <v>59</v>
      </c>
      <c r="U657" t="s">
        <v>60</v>
      </c>
      <c r="V657" t="s">
        <v>138</v>
      </c>
      <c r="W657" t="s">
        <v>139</v>
      </c>
      <c r="X657">
        <v>1933046</v>
      </c>
      <c r="Y657" s="11">
        <v>44789</v>
      </c>
      <c r="Z657" t="s">
        <v>57</v>
      </c>
      <c r="AA657">
        <v>14</v>
      </c>
      <c r="AB657" t="s">
        <v>57</v>
      </c>
      <c r="AD657" t="s">
        <v>57</v>
      </c>
      <c r="AE657" t="s">
        <v>57</v>
      </c>
      <c r="AF657" t="s">
        <v>57</v>
      </c>
      <c r="AG657">
        <v>1</v>
      </c>
      <c r="AH657" t="s">
        <v>57</v>
      </c>
      <c r="AL657" t="s">
        <v>57</v>
      </c>
      <c r="AM657" s="11">
        <v>44789</v>
      </c>
      <c r="AN657" t="s">
        <v>173</v>
      </c>
      <c r="AO657" t="s">
        <v>65</v>
      </c>
      <c r="AP657">
        <v>1204</v>
      </c>
      <c r="AQ657" t="s">
        <v>66</v>
      </c>
      <c r="AR657">
        <v>88592</v>
      </c>
      <c r="AU657" t="s">
        <v>57</v>
      </c>
      <c r="AV657" t="s">
        <v>68</v>
      </c>
      <c r="AX657" t="s">
        <v>57</v>
      </c>
      <c r="AY657">
        <v>631110</v>
      </c>
      <c r="AZ657">
        <v>1204.63111</v>
      </c>
      <c r="BA657" s="23" t="s">
        <v>12</v>
      </c>
    </row>
    <row r="658" spans="1:53" x14ac:dyDescent="0.25">
      <c r="A658" t="s">
        <v>134</v>
      </c>
      <c r="B658" t="s">
        <v>135</v>
      </c>
      <c r="C658">
        <v>22001871</v>
      </c>
      <c r="D658">
        <v>1204</v>
      </c>
      <c r="E658" s="11">
        <v>44789</v>
      </c>
      <c r="F658" t="s">
        <v>174</v>
      </c>
      <c r="G658">
        <v>0.7</v>
      </c>
      <c r="H658">
        <v>0.7</v>
      </c>
      <c r="I658" t="s">
        <v>56</v>
      </c>
      <c r="O658" t="s">
        <v>57</v>
      </c>
      <c r="Q658" t="s">
        <v>57</v>
      </c>
      <c r="R658" t="s">
        <v>137</v>
      </c>
      <c r="T658" t="s">
        <v>59</v>
      </c>
      <c r="U658" t="s">
        <v>60</v>
      </c>
      <c r="V658" t="s">
        <v>138</v>
      </c>
      <c r="W658" t="s">
        <v>139</v>
      </c>
      <c r="X658">
        <v>1933046</v>
      </c>
      <c r="Y658" s="11">
        <v>44789</v>
      </c>
      <c r="Z658" t="s">
        <v>57</v>
      </c>
      <c r="AA658">
        <v>16</v>
      </c>
      <c r="AB658" t="s">
        <v>57</v>
      </c>
      <c r="AD658" t="s">
        <v>57</v>
      </c>
      <c r="AE658" t="s">
        <v>57</v>
      </c>
      <c r="AF658" t="s">
        <v>57</v>
      </c>
      <c r="AG658">
        <v>1</v>
      </c>
      <c r="AH658" t="s">
        <v>57</v>
      </c>
      <c r="AL658" t="s">
        <v>57</v>
      </c>
      <c r="AM658" s="11">
        <v>44789</v>
      </c>
      <c r="AN658" t="s">
        <v>173</v>
      </c>
      <c r="AO658" t="s">
        <v>65</v>
      </c>
      <c r="AP658">
        <v>1204</v>
      </c>
      <c r="AQ658" t="s">
        <v>66</v>
      </c>
      <c r="AR658">
        <v>90167</v>
      </c>
      <c r="AU658" t="s">
        <v>57</v>
      </c>
      <c r="AV658" t="s">
        <v>68</v>
      </c>
      <c r="AX658" t="s">
        <v>57</v>
      </c>
      <c r="AY658">
        <v>631110</v>
      </c>
      <c r="AZ658">
        <v>1204.63111</v>
      </c>
      <c r="BA658" s="23" t="s">
        <v>12</v>
      </c>
    </row>
    <row r="659" spans="1:53" x14ac:dyDescent="0.25">
      <c r="A659" t="s">
        <v>134</v>
      </c>
      <c r="B659" t="s">
        <v>135</v>
      </c>
      <c r="C659">
        <v>22001871</v>
      </c>
      <c r="D659">
        <v>1204</v>
      </c>
      <c r="E659" s="11">
        <v>44789</v>
      </c>
      <c r="F659" t="s">
        <v>174</v>
      </c>
      <c r="G659">
        <v>9.41</v>
      </c>
      <c r="H659">
        <v>9.41</v>
      </c>
      <c r="I659" t="s">
        <v>56</v>
      </c>
      <c r="O659" t="s">
        <v>57</v>
      </c>
      <c r="Q659" t="s">
        <v>57</v>
      </c>
      <c r="R659" t="s">
        <v>137</v>
      </c>
      <c r="T659" t="s">
        <v>59</v>
      </c>
      <c r="U659" t="s">
        <v>60</v>
      </c>
      <c r="V659" t="s">
        <v>138</v>
      </c>
      <c r="W659" t="s">
        <v>139</v>
      </c>
      <c r="X659">
        <v>1933046</v>
      </c>
      <c r="Y659" s="11">
        <v>44789</v>
      </c>
      <c r="Z659" t="s">
        <v>57</v>
      </c>
      <c r="AA659">
        <v>18</v>
      </c>
      <c r="AB659" t="s">
        <v>57</v>
      </c>
      <c r="AD659" t="s">
        <v>57</v>
      </c>
      <c r="AE659" t="s">
        <v>57</v>
      </c>
      <c r="AF659" t="s">
        <v>57</v>
      </c>
      <c r="AG659">
        <v>1</v>
      </c>
      <c r="AH659" t="s">
        <v>57</v>
      </c>
      <c r="AL659" t="s">
        <v>57</v>
      </c>
      <c r="AM659" s="11">
        <v>44789</v>
      </c>
      <c r="AN659" t="s">
        <v>173</v>
      </c>
      <c r="AO659" t="s">
        <v>65</v>
      </c>
      <c r="AP659">
        <v>1204</v>
      </c>
      <c r="AQ659" t="s">
        <v>66</v>
      </c>
      <c r="AR659">
        <v>247533</v>
      </c>
      <c r="AU659" t="s">
        <v>57</v>
      </c>
      <c r="AV659" t="s">
        <v>68</v>
      </c>
      <c r="AX659" t="s">
        <v>57</v>
      </c>
      <c r="AY659">
        <v>631110</v>
      </c>
      <c r="AZ659">
        <v>1204.63111</v>
      </c>
      <c r="BA659" s="23" t="s">
        <v>12</v>
      </c>
    </row>
    <row r="660" spans="1:53" x14ac:dyDescent="0.25">
      <c r="A660" t="s">
        <v>134</v>
      </c>
      <c r="B660" t="s">
        <v>135</v>
      </c>
      <c r="C660">
        <v>22001871</v>
      </c>
      <c r="D660">
        <v>1204</v>
      </c>
      <c r="E660" s="11">
        <v>44789</v>
      </c>
      <c r="F660" t="s">
        <v>174</v>
      </c>
      <c r="G660">
        <v>0.48</v>
      </c>
      <c r="H660">
        <v>0.48</v>
      </c>
      <c r="I660" t="s">
        <v>56</v>
      </c>
      <c r="O660" t="s">
        <v>57</v>
      </c>
      <c r="Q660" t="s">
        <v>57</v>
      </c>
      <c r="R660" t="s">
        <v>137</v>
      </c>
      <c r="T660" t="s">
        <v>59</v>
      </c>
      <c r="U660" t="s">
        <v>60</v>
      </c>
      <c r="V660" t="s">
        <v>138</v>
      </c>
      <c r="W660" t="s">
        <v>139</v>
      </c>
      <c r="X660">
        <v>1933046</v>
      </c>
      <c r="Y660" s="11">
        <v>44789</v>
      </c>
      <c r="Z660" t="s">
        <v>57</v>
      </c>
      <c r="AA660">
        <v>6</v>
      </c>
      <c r="AB660" t="s">
        <v>57</v>
      </c>
      <c r="AD660" t="s">
        <v>57</v>
      </c>
      <c r="AE660" t="s">
        <v>57</v>
      </c>
      <c r="AF660" t="s">
        <v>57</v>
      </c>
      <c r="AG660">
        <v>3</v>
      </c>
      <c r="AH660" t="s">
        <v>57</v>
      </c>
      <c r="AL660" t="s">
        <v>57</v>
      </c>
      <c r="AM660" s="11">
        <v>44789</v>
      </c>
      <c r="AN660" t="s">
        <v>173</v>
      </c>
      <c r="AO660" t="s">
        <v>65</v>
      </c>
      <c r="AP660">
        <v>1204</v>
      </c>
      <c r="AQ660" t="s">
        <v>66</v>
      </c>
      <c r="AR660">
        <v>88760</v>
      </c>
      <c r="AU660" t="s">
        <v>57</v>
      </c>
      <c r="AV660" t="s">
        <v>68</v>
      </c>
      <c r="AX660" t="s">
        <v>57</v>
      </c>
      <c r="AY660">
        <v>631110</v>
      </c>
      <c r="AZ660">
        <v>1204.63111</v>
      </c>
      <c r="BA660" s="23" t="s">
        <v>12</v>
      </c>
    </row>
    <row r="661" spans="1:53" x14ac:dyDescent="0.25">
      <c r="A661" t="s">
        <v>134</v>
      </c>
      <c r="B661" t="s">
        <v>135</v>
      </c>
      <c r="C661">
        <v>22001871</v>
      </c>
      <c r="D661">
        <v>1204</v>
      </c>
      <c r="E661" s="11">
        <v>44789</v>
      </c>
      <c r="F661" t="s">
        <v>174</v>
      </c>
      <c r="G661">
        <v>0.69</v>
      </c>
      <c r="H661">
        <v>0.69</v>
      </c>
      <c r="I661" t="s">
        <v>56</v>
      </c>
      <c r="O661" t="s">
        <v>57</v>
      </c>
      <c r="Q661" t="s">
        <v>57</v>
      </c>
      <c r="R661" t="s">
        <v>137</v>
      </c>
      <c r="T661" t="s">
        <v>59</v>
      </c>
      <c r="U661" t="s">
        <v>60</v>
      </c>
      <c r="V661" t="s">
        <v>138</v>
      </c>
      <c r="W661" t="s">
        <v>139</v>
      </c>
      <c r="X661">
        <v>1933046</v>
      </c>
      <c r="Y661" s="11">
        <v>44789</v>
      </c>
      <c r="Z661" t="s">
        <v>57</v>
      </c>
      <c r="AA661">
        <v>8</v>
      </c>
      <c r="AB661" t="s">
        <v>57</v>
      </c>
      <c r="AD661" t="s">
        <v>57</v>
      </c>
      <c r="AE661" t="s">
        <v>57</v>
      </c>
      <c r="AF661" t="s">
        <v>57</v>
      </c>
      <c r="AG661">
        <v>1</v>
      </c>
      <c r="AH661" t="s">
        <v>57</v>
      </c>
      <c r="AL661" t="s">
        <v>57</v>
      </c>
      <c r="AM661" s="11">
        <v>44789</v>
      </c>
      <c r="AN661" t="s">
        <v>173</v>
      </c>
      <c r="AO661" t="s">
        <v>65</v>
      </c>
      <c r="AP661">
        <v>1204</v>
      </c>
      <c r="AQ661" t="s">
        <v>66</v>
      </c>
      <c r="AR661">
        <v>282149</v>
      </c>
      <c r="AU661" t="s">
        <v>57</v>
      </c>
      <c r="AV661" t="s">
        <v>68</v>
      </c>
      <c r="AX661" t="s">
        <v>57</v>
      </c>
      <c r="AY661">
        <v>631110</v>
      </c>
      <c r="AZ661">
        <v>1204.63111</v>
      </c>
      <c r="BA661" s="23" t="s">
        <v>12</v>
      </c>
    </row>
    <row r="662" spans="1:53" x14ac:dyDescent="0.25">
      <c r="A662" t="s">
        <v>134</v>
      </c>
      <c r="B662" t="s">
        <v>135</v>
      </c>
      <c r="C662">
        <v>22001871</v>
      </c>
      <c r="D662">
        <v>1204</v>
      </c>
      <c r="E662" s="11">
        <v>44789</v>
      </c>
      <c r="F662" t="s">
        <v>174</v>
      </c>
      <c r="G662">
        <v>3.43</v>
      </c>
      <c r="H662">
        <v>3.43</v>
      </c>
      <c r="I662" t="s">
        <v>56</v>
      </c>
      <c r="O662" t="s">
        <v>57</v>
      </c>
      <c r="Q662" t="s">
        <v>57</v>
      </c>
      <c r="R662" t="s">
        <v>137</v>
      </c>
      <c r="T662" t="s">
        <v>59</v>
      </c>
      <c r="U662" t="s">
        <v>60</v>
      </c>
      <c r="V662" t="s">
        <v>138</v>
      </c>
      <c r="W662" t="s">
        <v>139</v>
      </c>
      <c r="X662">
        <v>1933046</v>
      </c>
      <c r="Y662" s="11">
        <v>44789</v>
      </c>
      <c r="Z662" t="s">
        <v>57</v>
      </c>
      <c r="AA662">
        <v>10</v>
      </c>
      <c r="AB662" t="s">
        <v>57</v>
      </c>
      <c r="AD662" t="s">
        <v>57</v>
      </c>
      <c r="AE662" t="s">
        <v>57</v>
      </c>
      <c r="AF662" t="s">
        <v>57</v>
      </c>
      <c r="AG662">
        <v>1</v>
      </c>
      <c r="AH662" t="s">
        <v>57</v>
      </c>
      <c r="AL662" t="s">
        <v>57</v>
      </c>
      <c r="AM662" s="11">
        <v>44789</v>
      </c>
      <c r="AN662" t="s">
        <v>173</v>
      </c>
      <c r="AO662" t="s">
        <v>65</v>
      </c>
      <c r="AP662">
        <v>1204</v>
      </c>
      <c r="AQ662" t="s">
        <v>66</v>
      </c>
      <c r="AR662">
        <v>206793</v>
      </c>
      <c r="AU662" t="s">
        <v>57</v>
      </c>
      <c r="AV662" t="s">
        <v>68</v>
      </c>
      <c r="AX662" t="s">
        <v>57</v>
      </c>
      <c r="AY662">
        <v>631110</v>
      </c>
      <c r="AZ662">
        <v>1204.63111</v>
      </c>
      <c r="BA662" s="23" t="s">
        <v>12</v>
      </c>
    </row>
    <row r="663" spans="1:53" x14ac:dyDescent="0.25">
      <c r="A663" t="s">
        <v>134</v>
      </c>
      <c r="B663" t="s">
        <v>135</v>
      </c>
      <c r="C663">
        <v>22001871</v>
      </c>
      <c r="D663">
        <v>1204</v>
      </c>
      <c r="E663" s="11">
        <v>44789</v>
      </c>
      <c r="F663" t="s">
        <v>174</v>
      </c>
      <c r="G663">
        <v>236.69</v>
      </c>
      <c r="H663">
        <v>236.69</v>
      </c>
      <c r="I663" t="s">
        <v>56</v>
      </c>
      <c r="O663" t="s">
        <v>57</v>
      </c>
      <c r="Q663" t="s">
        <v>57</v>
      </c>
      <c r="R663" t="s">
        <v>137</v>
      </c>
      <c r="T663" t="s">
        <v>59</v>
      </c>
      <c r="U663" t="s">
        <v>60</v>
      </c>
      <c r="V663" t="s">
        <v>138</v>
      </c>
      <c r="W663" t="s">
        <v>139</v>
      </c>
      <c r="X663">
        <v>1933046</v>
      </c>
      <c r="Y663" s="11">
        <v>44789</v>
      </c>
      <c r="Z663" t="s">
        <v>57</v>
      </c>
      <c r="AA663">
        <v>12</v>
      </c>
      <c r="AB663" t="s">
        <v>57</v>
      </c>
      <c r="AD663" t="s">
        <v>57</v>
      </c>
      <c r="AE663" t="s">
        <v>57</v>
      </c>
      <c r="AF663" t="s">
        <v>57</v>
      </c>
      <c r="AG663">
        <v>2</v>
      </c>
      <c r="AH663" t="s">
        <v>57</v>
      </c>
      <c r="AL663" t="s">
        <v>57</v>
      </c>
      <c r="AM663" s="11">
        <v>44789</v>
      </c>
      <c r="AN663" t="s">
        <v>173</v>
      </c>
      <c r="AO663" t="s">
        <v>65</v>
      </c>
      <c r="AP663">
        <v>1204</v>
      </c>
      <c r="AQ663" t="s">
        <v>66</v>
      </c>
      <c r="AR663">
        <v>272313</v>
      </c>
      <c r="AU663" t="s">
        <v>57</v>
      </c>
      <c r="AV663" t="s">
        <v>68</v>
      </c>
      <c r="AX663" t="s">
        <v>57</v>
      </c>
      <c r="AY663">
        <v>631110</v>
      </c>
      <c r="AZ663">
        <v>1204.63111</v>
      </c>
      <c r="BA663" s="23" t="s">
        <v>12</v>
      </c>
    </row>
    <row r="664" spans="1:53" x14ac:dyDescent="0.25">
      <c r="A664" t="s">
        <v>134</v>
      </c>
      <c r="B664" t="s">
        <v>135</v>
      </c>
      <c r="C664">
        <v>22001871</v>
      </c>
      <c r="D664">
        <v>1204</v>
      </c>
      <c r="E664" s="11">
        <v>44789</v>
      </c>
      <c r="F664" t="s">
        <v>174</v>
      </c>
      <c r="G664">
        <v>34.22</v>
      </c>
      <c r="H664">
        <v>34.22</v>
      </c>
      <c r="I664" t="s">
        <v>56</v>
      </c>
      <c r="O664" t="s">
        <v>57</v>
      </c>
      <c r="Q664" t="s">
        <v>57</v>
      </c>
      <c r="R664" t="s">
        <v>137</v>
      </c>
      <c r="T664" t="s">
        <v>59</v>
      </c>
      <c r="U664" t="s">
        <v>60</v>
      </c>
      <c r="V664" t="s">
        <v>138</v>
      </c>
      <c r="W664" t="s">
        <v>139</v>
      </c>
      <c r="X664">
        <v>1933046</v>
      </c>
      <c r="Y664" s="11">
        <v>44789</v>
      </c>
      <c r="Z664" t="s">
        <v>57</v>
      </c>
      <c r="AA664">
        <v>2</v>
      </c>
      <c r="AB664" t="s">
        <v>57</v>
      </c>
      <c r="AD664" t="s">
        <v>57</v>
      </c>
      <c r="AE664" t="s">
        <v>57</v>
      </c>
      <c r="AF664" t="s">
        <v>57</v>
      </c>
      <c r="AG664">
        <v>1</v>
      </c>
      <c r="AH664" t="s">
        <v>57</v>
      </c>
      <c r="AL664" t="s">
        <v>57</v>
      </c>
      <c r="AM664" s="11">
        <v>44789</v>
      </c>
      <c r="AN664" t="s">
        <v>173</v>
      </c>
      <c r="AO664" t="s">
        <v>65</v>
      </c>
      <c r="AP664">
        <v>1204</v>
      </c>
      <c r="AQ664" t="s">
        <v>66</v>
      </c>
      <c r="AR664">
        <v>88758</v>
      </c>
      <c r="AU664" t="s">
        <v>57</v>
      </c>
      <c r="AV664" t="s">
        <v>68</v>
      </c>
      <c r="AX664" t="s">
        <v>57</v>
      </c>
      <c r="AY664">
        <v>631110</v>
      </c>
      <c r="AZ664">
        <v>1204.63111</v>
      </c>
      <c r="BA664" s="23" t="s">
        <v>12</v>
      </c>
    </row>
    <row r="665" spans="1:53" x14ac:dyDescent="0.25">
      <c r="A665" t="s">
        <v>134</v>
      </c>
      <c r="B665" t="s">
        <v>135</v>
      </c>
      <c r="C665">
        <v>22001871</v>
      </c>
      <c r="D665">
        <v>1204</v>
      </c>
      <c r="E665" s="11">
        <v>44789</v>
      </c>
      <c r="F665" t="s">
        <v>174</v>
      </c>
      <c r="G665">
        <v>7.06</v>
      </c>
      <c r="H665">
        <v>7.06</v>
      </c>
      <c r="I665" t="s">
        <v>56</v>
      </c>
      <c r="O665" t="s">
        <v>57</v>
      </c>
      <c r="Q665" t="s">
        <v>57</v>
      </c>
      <c r="R665" t="s">
        <v>137</v>
      </c>
      <c r="T665" t="s">
        <v>59</v>
      </c>
      <c r="U665" t="s">
        <v>60</v>
      </c>
      <c r="V665" t="s">
        <v>138</v>
      </c>
      <c r="W665" t="s">
        <v>139</v>
      </c>
      <c r="X665">
        <v>1933046</v>
      </c>
      <c r="Y665" s="11">
        <v>44789</v>
      </c>
      <c r="Z665" t="s">
        <v>57</v>
      </c>
      <c r="AA665">
        <v>4</v>
      </c>
      <c r="AB665" t="s">
        <v>57</v>
      </c>
      <c r="AD665" t="s">
        <v>57</v>
      </c>
      <c r="AE665" t="s">
        <v>57</v>
      </c>
      <c r="AF665" t="s">
        <v>57</v>
      </c>
      <c r="AG665">
        <v>2</v>
      </c>
      <c r="AH665" t="s">
        <v>57</v>
      </c>
      <c r="AL665" t="s">
        <v>57</v>
      </c>
      <c r="AM665" s="11">
        <v>44789</v>
      </c>
      <c r="AN665" t="s">
        <v>173</v>
      </c>
      <c r="AO665" t="s">
        <v>65</v>
      </c>
      <c r="AP665">
        <v>1204</v>
      </c>
      <c r="AQ665" t="s">
        <v>66</v>
      </c>
      <c r="AR665">
        <v>230640</v>
      </c>
      <c r="AU665" t="s">
        <v>57</v>
      </c>
      <c r="AV665" t="s">
        <v>68</v>
      </c>
      <c r="AX665" t="s">
        <v>57</v>
      </c>
      <c r="AY665">
        <v>631110</v>
      </c>
      <c r="AZ665">
        <v>1204.63111</v>
      </c>
      <c r="BA665" s="23" t="s">
        <v>12</v>
      </c>
    </row>
    <row r="666" spans="1:53" x14ac:dyDescent="0.25">
      <c r="A666" t="s">
        <v>134</v>
      </c>
      <c r="B666" t="s">
        <v>135</v>
      </c>
      <c r="C666">
        <v>22001873</v>
      </c>
      <c r="D666">
        <v>1204</v>
      </c>
      <c r="E666" s="11">
        <v>44789</v>
      </c>
      <c r="F666" t="s">
        <v>172</v>
      </c>
      <c r="G666">
        <v>8.06</v>
      </c>
      <c r="H666">
        <v>8.06</v>
      </c>
      <c r="I666" t="s">
        <v>56</v>
      </c>
      <c r="O666" t="s">
        <v>57</v>
      </c>
      <c r="Q666" t="s">
        <v>57</v>
      </c>
      <c r="R666" t="s">
        <v>137</v>
      </c>
      <c r="T666" t="s">
        <v>59</v>
      </c>
      <c r="U666" t="s">
        <v>60</v>
      </c>
      <c r="V666" t="s">
        <v>138</v>
      </c>
      <c r="W666" t="s">
        <v>139</v>
      </c>
      <c r="X666">
        <v>1933167</v>
      </c>
      <c r="Y666" s="11">
        <v>44789</v>
      </c>
      <c r="Z666" t="s">
        <v>57</v>
      </c>
      <c r="AA666">
        <v>2</v>
      </c>
      <c r="AB666" t="s">
        <v>57</v>
      </c>
      <c r="AD666" t="s">
        <v>57</v>
      </c>
      <c r="AE666" t="s">
        <v>57</v>
      </c>
      <c r="AF666" t="s">
        <v>57</v>
      </c>
      <c r="AG666">
        <v>1</v>
      </c>
      <c r="AH666" t="s">
        <v>57</v>
      </c>
      <c r="AL666" t="s">
        <v>57</v>
      </c>
      <c r="AM666" s="11">
        <v>44789</v>
      </c>
      <c r="AN666" t="s">
        <v>173</v>
      </c>
      <c r="AO666" t="s">
        <v>65</v>
      </c>
      <c r="AP666">
        <v>1204</v>
      </c>
      <c r="AQ666" t="s">
        <v>66</v>
      </c>
      <c r="AR666">
        <v>279991</v>
      </c>
      <c r="AU666" t="s">
        <v>57</v>
      </c>
      <c r="AV666" t="s">
        <v>68</v>
      </c>
      <c r="AX666" t="s">
        <v>57</v>
      </c>
      <c r="AY666">
        <v>631110</v>
      </c>
      <c r="AZ666">
        <v>1204.63111</v>
      </c>
      <c r="BA666" s="23" t="s">
        <v>12</v>
      </c>
    </row>
    <row r="667" spans="1:53" x14ac:dyDescent="0.25">
      <c r="A667" t="s">
        <v>134</v>
      </c>
      <c r="B667" t="s">
        <v>135</v>
      </c>
      <c r="C667">
        <v>22001874</v>
      </c>
      <c r="D667">
        <v>1204</v>
      </c>
      <c r="E667" s="11">
        <v>44789</v>
      </c>
      <c r="F667" t="s">
        <v>135</v>
      </c>
      <c r="G667">
        <v>0.82</v>
      </c>
      <c r="H667">
        <v>0.82</v>
      </c>
      <c r="I667" t="s">
        <v>56</v>
      </c>
      <c r="O667" t="s">
        <v>57</v>
      </c>
      <c r="Q667" t="s">
        <v>57</v>
      </c>
      <c r="R667" t="s">
        <v>137</v>
      </c>
      <c r="T667" t="s">
        <v>59</v>
      </c>
      <c r="U667" t="s">
        <v>60</v>
      </c>
      <c r="V667" t="s">
        <v>138</v>
      </c>
      <c r="W667" t="s">
        <v>139</v>
      </c>
      <c r="X667">
        <v>1933168</v>
      </c>
      <c r="Y667" s="11">
        <v>44789</v>
      </c>
      <c r="Z667" t="s">
        <v>57</v>
      </c>
      <c r="AA667">
        <v>2</v>
      </c>
      <c r="AB667" t="s">
        <v>57</v>
      </c>
      <c r="AD667" t="s">
        <v>57</v>
      </c>
      <c r="AE667" t="s">
        <v>57</v>
      </c>
      <c r="AF667" t="s">
        <v>57</v>
      </c>
      <c r="AG667">
        <v>10</v>
      </c>
      <c r="AH667" t="s">
        <v>57</v>
      </c>
      <c r="AL667" t="s">
        <v>57</v>
      </c>
      <c r="AM667" s="11">
        <v>44789</v>
      </c>
      <c r="AN667" t="s">
        <v>176</v>
      </c>
      <c r="AO667" t="s">
        <v>65</v>
      </c>
      <c r="AP667">
        <v>1204</v>
      </c>
      <c r="AQ667" t="s">
        <v>66</v>
      </c>
      <c r="AR667">
        <v>265878</v>
      </c>
      <c r="AU667" t="s">
        <v>57</v>
      </c>
      <c r="AV667" t="s">
        <v>68</v>
      </c>
      <c r="AX667" t="s">
        <v>57</v>
      </c>
      <c r="AY667">
        <v>631110</v>
      </c>
      <c r="AZ667">
        <v>1204.63111</v>
      </c>
      <c r="BA667" s="23" t="s">
        <v>12</v>
      </c>
    </row>
    <row r="668" spans="1:53" x14ac:dyDescent="0.25">
      <c r="A668" t="s">
        <v>134</v>
      </c>
      <c r="B668" t="s">
        <v>135</v>
      </c>
      <c r="C668">
        <v>22001874</v>
      </c>
      <c r="D668">
        <v>1204</v>
      </c>
      <c r="E668" s="11">
        <v>44789</v>
      </c>
      <c r="F668" t="s">
        <v>135</v>
      </c>
      <c r="G668">
        <v>2.46</v>
      </c>
      <c r="H668">
        <v>2.46</v>
      </c>
      <c r="I668" t="s">
        <v>56</v>
      </c>
      <c r="O668" t="s">
        <v>57</v>
      </c>
      <c r="Q668" t="s">
        <v>57</v>
      </c>
      <c r="R668" t="s">
        <v>137</v>
      </c>
      <c r="T668" t="s">
        <v>59</v>
      </c>
      <c r="U668" t="s">
        <v>60</v>
      </c>
      <c r="V668" t="s">
        <v>138</v>
      </c>
      <c r="W668" t="s">
        <v>139</v>
      </c>
      <c r="X668">
        <v>1933168</v>
      </c>
      <c r="Y668" s="11">
        <v>44789</v>
      </c>
      <c r="Z668" t="s">
        <v>57</v>
      </c>
      <c r="AA668">
        <v>4</v>
      </c>
      <c r="AB668" t="s">
        <v>57</v>
      </c>
      <c r="AD668" t="s">
        <v>57</v>
      </c>
      <c r="AE668" t="s">
        <v>57</v>
      </c>
      <c r="AF668" t="s">
        <v>57</v>
      </c>
      <c r="AG668">
        <v>22</v>
      </c>
      <c r="AH668" t="s">
        <v>57</v>
      </c>
      <c r="AL668" t="s">
        <v>57</v>
      </c>
      <c r="AM668" s="11">
        <v>44789</v>
      </c>
      <c r="AN668" t="s">
        <v>176</v>
      </c>
      <c r="AO668" t="s">
        <v>65</v>
      </c>
      <c r="AP668">
        <v>1204</v>
      </c>
      <c r="AQ668" t="s">
        <v>66</v>
      </c>
      <c r="AR668">
        <v>265267</v>
      </c>
      <c r="AU668" t="s">
        <v>57</v>
      </c>
      <c r="AV668" t="s">
        <v>68</v>
      </c>
      <c r="AX668" t="s">
        <v>57</v>
      </c>
      <c r="AY668">
        <v>631110</v>
      </c>
      <c r="AZ668">
        <v>1204.63111</v>
      </c>
      <c r="BA668" s="23" t="s">
        <v>12</v>
      </c>
    </row>
    <row r="669" spans="1:53" x14ac:dyDescent="0.25">
      <c r="A669" t="s">
        <v>134</v>
      </c>
      <c r="B669" t="s">
        <v>135</v>
      </c>
      <c r="C669">
        <v>22001874</v>
      </c>
      <c r="D669">
        <v>1204</v>
      </c>
      <c r="E669" s="11">
        <v>44789</v>
      </c>
      <c r="F669" t="s">
        <v>135</v>
      </c>
      <c r="G669">
        <v>6.26</v>
      </c>
      <c r="H669">
        <v>6.26</v>
      </c>
      <c r="I669" t="s">
        <v>56</v>
      </c>
      <c r="O669" t="s">
        <v>57</v>
      </c>
      <c r="Q669" t="s">
        <v>57</v>
      </c>
      <c r="R669" t="s">
        <v>137</v>
      </c>
      <c r="T669" t="s">
        <v>59</v>
      </c>
      <c r="U669" t="s">
        <v>60</v>
      </c>
      <c r="V669" t="s">
        <v>138</v>
      </c>
      <c r="W669" t="s">
        <v>139</v>
      </c>
      <c r="X669">
        <v>1933168</v>
      </c>
      <c r="Y669" s="11">
        <v>44789</v>
      </c>
      <c r="Z669" t="s">
        <v>57</v>
      </c>
      <c r="AA669">
        <v>6</v>
      </c>
      <c r="AB669" t="s">
        <v>57</v>
      </c>
      <c r="AD669" t="s">
        <v>57</v>
      </c>
      <c r="AE669" t="s">
        <v>57</v>
      </c>
      <c r="AF669" t="s">
        <v>57</v>
      </c>
      <c r="AG669">
        <v>58</v>
      </c>
      <c r="AH669" t="s">
        <v>57</v>
      </c>
      <c r="AL669" t="s">
        <v>57</v>
      </c>
      <c r="AM669" s="11">
        <v>44789</v>
      </c>
      <c r="AN669" t="s">
        <v>176</v>
      </c>
      <c r="AO669" t="s">
        <v>65</v>
      </c>
      <c r="AP669">
        <v>1204</v>
      </c>
      <c r="AQ669" t="s">
        <v>66</v>
      </c>
      <c r="AR669">
        <v>265267</v>
      </c>
      <c r="AU669" t="s">
        <v>57</v>
      </c>
      <c r="AV669" t="s">
        <v>68</v>
      </c>
      <c r="AX669" t="s">
        <v>57</v>
      </c>
      <c r="AY669">
        <v>631110</v>
      </c>
      <c r="AZ669">
        <v>1204.63111</v>
      </c>
      <c r="BA669" s="23" t="s">
        <v>12</v>
      </c>
    </row>
    <row r="670" spans="1:53" x14ac:dyDescent="0.25">
      <c r="A670" t="s">
        <v>134</v>
      </c>
      <c r="B670" t="s">
        <v>135</v>
      </c>
      <c r="C670">
        <v>22001874</v>
      </c>
      <c r="D670">
        <v>1204</v>
      </c>
      <c r="E670" s="11">
        <v>44789</v>
      </c>
      <c r="F670" t="s">
        <v>135</v>
      </c>
      <c r="G670">
        <v>0.33</v>
      </c>
      <c r="H670">
        <v>0.33</v>
      </c>
      <c r="I670" t="s">
        <v>56</v>
      </c>
      <c r="O670" t="s">
        <v>57</v>
      </c>
      <c r="Q670" t="s">
        <v>57</v>
      </c>
      <c r="R670" t="s">
        <v>137</v>
      </c>
      <c r="T670" t="s">
        <v>59</v>
      </c>
      <c r="U670" t="s">
        <v>60</v>
      </c>
      <c r="V670" t="s">
        <v>138</v>
      </c>
      <c r="W670" t="s">
        <v>139</v>
      </c>
      <c r="X670">
        <v>1933168</v>
      </c>
      <c r="Y670" s="11">
        <v>44789</v>
      </c>
      <c r="Z670" t="s">
        <v>57</v>
      </c>
      <c r="AA670">
        <v>8</v>
      </c>
      <c r="AB670" t="s">
        <v>57</v>
      </c>
      <c r="AD670" t="s">
        <v>57</v>
      </c>
      <c r="AE670" t="s">
        <v>57</v>
      </c>
      <c r="AF670" t="s">
        <v>57</v>
      </c>
      <c r="AG670">
        <v>3</v>
      </c>
      <c r="AH670" t="s">
        <v>57</v>
      </c>
      <c r="AL670" t="s">
        <v>57</v>
      </c>
      <c r="AM670" s="11">
        <v>44789</v>
      </c>
      <c r="AN670" t="s">
        <v>176</v>
      </c>
      <c r="AO670" t="s">
        <v>65</v>
      </c>
      <c r="AP670">
        <v>1204</v>
      </c>
      <c r="AQ670" t="s">
        <v>66</v>
      </c>
      <c r="AR670">
        <v>90435</v>
      </c>
      <c r="AU670" t="s">
        <v>57</v>
      </c>
      <c r="AV670" t="s">
        <v>68</v>
      </c>
      <c r="AX670" t="s">
        <v>57</v>
      </c>
      <c r="AY670">
        <v>631110</v>
      </c>
      <c r="AZ670">
        <v>1204.63111</v>
      </c>
      <c r="BA670" s="23" t="s">
        <v>12</v>
      </c>
    </row>
    <row r="671" spans="1:53" x14ac:dyDescent="0.25">
      <c r="A671" t="s">
        <v>134</v>
      </c>
      <c r="B671" t="s">
        <v>135</v>
      </c>
      <c r="C671">
        <v>22001874</v>
      </c>
      <c r="D671">
        <v>1204</v>
      </c>
      <c r="E671" s="11">
        <v>44789</v>
      </c>
      <c r="F671" t="s">
        <v>135</v>
      </c>
      <c r="G671">
        <v>0.23</v>
      </c>
      <c r="H671">
        <v>0.23</v>
      </c>
      <c r="I671" t="s">
        <v>56</v>
      </c>
      <c r="O671" t="s">
        <v>57</v>
      </c>
      <c r="Q671" t="s">
        <v>57</v>
      </c>
      <c r="R671" t="s">
        <v>137</v>
      </c>
      <c r="T671" t="s">
        <v>59</v>
      </c>
      <c r="U671" t="s">
        <v>60</v>
      </c>
      <c r="V671" t="s">
        <v>138</v>
      </c>
      <c r="W671" t="s">
        <v>139</v>
      </c>
      <c r="X671">
        <v>1933168</v>
      </c>
      <c r="Y671" s="11">
        <v>44789</v>
      </c>
      <c r="Z671" t="s">
        <v>57</v>
      </c>
      <c r="AA671">
        <v>10</v>
      </c>
      <c r="AB671" t="s">
        <v>57</v>
      </c>
      <c r="AD671" t="s">
        <v>57</v>
      </c>
      <c r="AE671" t="s">
        <v>57</v>
      </c>
      <c r="AF671" t="s">
        <v>57</v>
      </c>
      <c r="AG671">
        <v>3</v>
      </c>
      <c r="AH671" t="s">
        <v>57</v>
      </c>
      <c r="AL671" t="s">
        <v>57</v>
      </c>
      <c r="AM671" s="11">
        <v>44789</v>
      </c>
      <c r="AN671" t="s">
        <v>176</v>
      </c>
      <c r="AO671" t="s">
        <v>65</v>
      </c>
      <c r="AP671">
        <v>1204</v>
      </c>
      <c r="AQ671" t="s">
        <v>66</v>
      </c>
      <c r="AR671">
        <v>264585</v>
      </c>
      <c r="AU671" t="s">
        <v>57</v>
      </c>
      <c r="AV671" t="s">
        <v>68</v>
      </c>
      <c r="AX671" t="s">
        <v>57</v>
      </c>
      <c r="AY671">
        <v>631110</v>
      </c>
      <c r="AZ671">
        <v>1204.63111</v>
      </c>
      <c r="BA671" s="23" t="s">
        <v>12</v>
      </c>
    </row>
    <row r="672" spans="1:53" x14ac:dyDescent="0.25">
      <c r="A672" t="s">
        <v>134</v>
      </c>
      <c r="B672" t="s">
        <v>135</v>
      </c>
      <c r="C672">
        <v>22001874</v>
      </c>
      <c r="D672">
        <v>1204</v>
      </c>
      <c r="E672" s="11">
        <v>44789</v>
      </c>
      <c r="F672" t="s">
        <v>135</v>
      </c>
      <c r="G672">
        <v>10.77</v>
      </c>
      <c r="H672">
        <v>10.77</v>
      </c>
      <c r="I672" t="s">
        <v>56</v>
      </c>
      <c r="O672" t="s">
        <v>57</v>
      </c>
      <c r="Q672" t="s">
        <v>57</v>
      </c>
      <c r="R672" t="s">
        <v>137</v>
      </c>
      <c r="T672" t="s">
        <v>59</v>
      </c>
      <c r="U672" t="s">
        <v>60</v>
      </c>
      <c r="V672" t="s">
        <v>138</v>
      </c>
      <c r="W672" t="s">
        <v>139</v>
      </c>
      <c r="X672">
        <v>1933168</v>
      </c>
      <c r="Y672" s="11">
        <v>44789</v>
      </c>
      <c r="Z672" t="s">
        <v>57</v>
      </c>
      <c r="AA672">
        <v>12</v>
      </c>
      <c r="AB672" t="s">
        <v>57</v>
      </c>
      <c r="AD672" t="s">
        <v>57</v>
      </c>
      <c r="AE672" t="s">
        <v>57</v>
      </c>
      <c r="AF672" t="s">
        <v>57</v>
      </c>
      <c r="AG672">
        <v>70</v>
      </c>
      <c r="AH672" t="s">
        <v>57</v>
      </c>
      <c r="AL672" t="s">
        <v>57</v>
      </c>
      <c r="AM672" s="11">
        <v>44789</v>
      </c>
      <c r="AN672" t="s">
        <v>176</v>
      </c>
      <c r="AO672" t="s">
        <v>65</v>
      </c>
      <c r="AP672">
        <v>1204</v>
      </c>
      <c r="AQ672" t="s">
        <v>66</v>
      </c>
      <c r="AR672">
        <v>147840</v>
      </c>
      <c r="AU672" t="s">
        <v>57</v>
      </c>
      <c r="AV672" t="s">
        <v>68</v>
      </c>
      <c r="AX672" t="s">
        <v>57</v>
      </c>
      <c r="AY672">
        <v>631110</v>
      </c>
      <c r="AZ672">
        <v>1204.63111</v>
      </c>
      <c r="BA672" s="23" t="s">
        <v>12</v>
      </c>
    </row>
    <row r="673" spans="1:53" x14ac:dyDescent="0.25">
      <c r="A673" t="s">
        <v>134</v>
      </c>
      <c r="B673" t="s">
        <v>135</v>
      </c>
      <c r="C673">
        <v>22001874</v>
      </c>
      <c r="D673">
        <v>1204</v>
      </c>
      <c r="E673" s="11">
        <v>44789</v>
      </c>
      <c r="F673" t="s">
        <v>135</v>
      </c>
      <c r="G673">
        <v>1.08</v>
      </c>
      <c r="H673">
        <v>1.08</v>
      </c>
      <c r="I673" t="s">
        <v>56</v>
      </c>
      <c r="O673" t="s">
        <v>57</v>
      </c>
      <c r="Q673" t="s">
        <v>57</v>
      </c>
      <c r="R673" t="s">
        <v>137</v>
      </c>
      <c r="T673" t="s">
        <v>59</v>
      </c>
      <c r="U673" t="s">
        <v>60</v>
      </c>
      <c r="V673" t="s">
        <v>138</v>
      </c>
      <c r="W673" t="s">
        <v>139</v>
      </c>
      <c r="X673">
        <v>1933168</v>
      </c>
      <c r="Y673" s="11">
        <v>44789</v>
      </c>
      <c r="Z673" t="s">
        <v>57</v>
      </c>
      <c r="AA673">
        <v>14</v>
      </c>
      <c r="AB673" t="s">
        <v>57</v>
      </c>
      <c r="AD673" t="s">
        <v>57</v>
      </c>
      <c r="AE673" t="s">
        <v>57</v>
      </c>
      <c r="AF673" t="s">
        <v>57</v>
      </c>
      <c r="AG673">
        <v>7</v>
      </c>
      <c r="AH673" t="s">
        <v>57</v>
      </c>
      <c r="AL673" t="s">
        <v>57</v>
      </c>
      <c r="AM673" s="11">
        <v>44789</v>
      </c>
      <c r="AN673" t="s">
        <v>176</v>
      </c>
      <c r="AO673" t="s">
        <v>65</v>
      </c>
      <c r="AP673">
        <v>1204</v>
      </c>
      <c r="AQ673" t="s">
        <v>66</v>
      </c>
      <c r="AR673">
        <v>89712</v>
      </c>
      <c r="AU673" t="s">
        <v>57</v>
      </c>
      <c r="AV673" t="s">
        <v>68</v>
      </c>
      <c r="AX673" t="s">
        <v>57</v>
      </c>
      <c r="AY673">
        <v>631110</v>
      </c>
      <c r="AZ673">
        <v>1204.63111</v>
      </c>
      <c r="BA673" s="23" t="s">
        <v>12</v>
      </c>
    </row>
    <row r="674" spans="1:53" x14ac:dyDescent="0.25">
      <c r="A674" t="s">
        <v>134</v>
      </c>
      <c r="B674" t="s">
        <v>135</v>
      </c>
      <c r="C674">
        <v>22001874</v>
      </c>
      <c r="D674">
        <v>1204</v>
      </c>
      <c r="E674" s="11">
        <v>44789</v>
      </c>
      <c r="F674" t="s">
        <v>135</v>
      </c>
      <c r="G674">
        <v>1.41</v>
      </c>
      <c r="H674">
        <v>1.41</v>
      </c>
      <c r="I674" t="s">
        <v>56</v>
      </c>
      <c r="O674" t="s">
        <v>57</v>
      </c>
      <c r="Q674" t="s">
        <v>57</v>
      </c>
      <c r="R674" t="s">
        <v>137</v>
      </c>
      <c r="T674" t="s">
        <v>59</v>
      </c>
      <c r="U674" t="s">
        <v>60</v>
      </c>
      <c r="V674" t="s">
        <v>138</v>
      </c>
      <c r="W674" t="s">
        <v>139</v>
      </c>
      <c r="X674">
        <v>1933168</v>
      </c>
      <c r="Y674" s="11">
        <v>44789</v>
      </c>
      <c r="Z674" t="s">
        <v>57</v>
      </c>
      <c r="AA674">
        <v>16</v>
      </c>
      <c r="AB674" t="s">
        <v>57</v>
      </c>
      <c r="AD674" t="s">
        <v>57</v>
      </c>
      <c r="AE674" t="s">
        <v>57</v>
      </c>
      <c r="AF674" t="s">
        <v>57</v>
      </c>
      <c r="AG674">
        <v>9</v>
      </c>
      <c r="AH674" t="s">
        <v>57</v>
      </c>
      <c r="AL674" t="s">
        <v>57</v>
      </c>
      <c r="AM674" s="11">
        <v>44789</v>
      </c>
      <c r="AN674" t="s">
        <v>176</v>
      </c>
      <c r="AO674" t="s">
        <v>65</v>
      </c>
      <c r="AP674">
        <v>1204</v>
      </c>
      <c r="AQ674" t="s">
        <v>66</v>
      </c>
      <c r="AR674">
        <v>89712</v>
      </c>
      <c r="AU674" t="s">
        <v>57</v>
      </c>
      <c r="AV674" t="s">
        <v>68</v>
      </c>
      <c r="AX674" t="s">
        <v>57</v>
      </c>
      <c r="AY674">
        <v>631110</v>
      </c>
      <c r="AZ674">
        <v>1204.63111</v>
      </c>
      <c r="BA674" s="23" t="s">
        <v>12</v>
      </c>
    </row>
    <row r="675" spans="1:53" x14ac:dyDescent="0.25">
      <c r="A675" t="s">
        <v>134</v>
      </c>
      <c r="B675" t="s">
        <v>135</v>
      </c>
      <c r="C675">
        <v>22001874</v>
      </c>
      <c r="D675">
        <v>1204</v>
      </c>
      <c r="E675" s="11">
        <v>44789</v>
      </c>
      <c r="F675" t="s">
        <v>135</v>
      </c>
      <c r="G675">
        <v>11.31</v>
      </c>
      <c r="H675">
        <v>11.31</v>
      </c>
      <c r="I675" t="s">
        <v>56</v>
      </c>
      <c r="O675" t="s">
        <v>57</v>
      </c>
      <c r="Q675" t="s">
        <v>57</v>
      </c>
      <c r="R675" t="s">
        <v>137</v>
      </c>
      <c r="T675" t="s">
        <v>59</v>
      </c>
      <c r="U675" t="s">
        <v>60</v>
      </c>
      <c r="V675" t="s">
        <v>138</v>
      </c>
      <c r="W675" t="s">
        <v>139</v>
      </c>
      <c r="X675">
        <v>1933168</v>
      </c>
      <c r="Y675" s="11">
        <v>44789</v>
      </c>
      <c r="Z675" t="s">
        <v>57</v>
      </c>
      <c r="AA675">
        <v>18</v>
      </c>
      <c r="AB675" t="s">
        <v>57</v>
      </c>
      <c r="AD675" t="s">
        <v>57</v>
      </c>
      <c r="AE675" t="s">
        <v>57</v>
      </c>
      <c r="AF675" t="s">
        <v>57</v>
      </c>
      <c r="AG675">
        <v>31</v>
      </c>
      <c r="AH675" t="s">
        <v>57</v>
      </c>
      <c r="AL675" t="s">
        <v>57</v>
      </c>
      <c r="AM675" s="11">
        <v>44789</v>
      </c>
      <c r="AN675" t="s">
        <v>176</v>
      </c>
      <c r="AO675" t="s">
        <v>65</v>
      </c>
      <c r="AP675">
        <v>1204</v>
      </c>
      <c r="AQ675" t="s">
        <v>66</v>
      </c>
      <c r="AR675">
        <v>91011</v>
      </c>
      <c r="AU675" t="s">
        <v>57</v>
      </c>
      <c r="AV675" t="s">
        <v>68</v>
      </c>
      <c r="AX675" t="s">
        <v>57</v>
      </c>
      <c r="AY675">
        <v>631110</v>
      </c>
      <c r="AZ675">
        <v>1204.63111</v>
      </c>
      <c r="BA675" s="23" t="s">
        <v>12</v>
      </c>
    </row>
    <row r="676" spans="1:53" x14ac:dyDescent="0.25">
      <c r="A676" t="s">
        <v>134</v>
      </c>
      <c r="B676" t="s">
        <v>135</v>
      </c>
      <c r="C676">
        <v>22001874</v>
      </c>
      <c r="D676">
        <v>1204</v>
      </c>
      <c r="E676" s="11">
        <v>44789</v>
      </c>
      <c r="F676" t="s">
        <v>135</v>
      </c>
      <c r="G676">
        <v>1.35</v>
      </c>
      <c r="H676">
        <v>1.35</v>
      </c>
      <c r="I676" t="s">
        <v>56</v>
      </c>
      <c r="O676" t="s">
        <v>57</v>
      </c>
      <c r="Q676" t="s">
        <v>57</v>
      </c>
      <c r="R676" t="s">
        <v>137</v>
      </c>
      <c r="T676" t="s">
        <v>59</v>
      </c>
      <c r="U676" t="s">
        <v>60</v>
      </c>
      <c r="V676" t="s">
        <v>138</v>
      </c>
      <c r="W676" t="s">
        <v>139</v>
      </c>
      <c r="X676">
        <v>1933168</v>
      </c>
      <c r="Y676" s="11">
        <v>44789</v>
      </c>
      <c r="Z676" t="s">
        <v>57</v>
      </c>
      <c r="AA676">
        <v>20</v>
      </c>
      <c r="AB676" t="s">
        <v>57</v>
      </c>
      <c r="AD676" t="s">
        <v>57</v>
      </c>
      <c r="AE676" t="s">
        <v>57</v>
      </c>
      <c r="AF676" t="s">
        <v>57</v>
      </c>
      <c r="AG676">
        <v>9</v>
      </c>
      <c r="AH676" t="s">
        <v>57</v>
      </c>
      <c r="AL676" t="s">
        <v>57</v>
      </c>
      <c r="AM676" s="11">
        <v>44789</v>
      </c>
      <c r="AN676" t="s">
        <v>176</v>
      </c>
      <c r="AO676" t="s">
        <v>65</v>
      </c>
      <c r="AP676">
        <v>1204</v>
      </c>
      <c r="AQ676" t="s">
        <v>66</v>
      </c>
      <c r="AR676">
        <v>144854</v>
      </c>
      <c r="AU676" t="s">
        <v>57</v>
      </c>
      <c r="AV676" t="s">
        <v>68</v>
      </c>
      <c r="AX676" t="s">
        <v>57</v>
      </c>
      <c r="AY676">
        <v>631110</v>
      </c>
      <c r="AZ676">
        <v>1204.63111</v>
      </c>
      <c r="BA676" s="23" t="s">
        <v>12</v>
      </c>
    </row>
    <row r="677" spans="1:53" x14ac:dyDescent="0.25">
      <c r="A677" t="s">
        <v>134</v>
      </c>
      <c r="B677" t="s">
        <v>135</v>
      </c>
      <c r="C677">
        <v>22001875</v>
      </c>
      <c r="D677">
        <v>1204</v>
      </c>
      <c r="E677" s="11">
        <v>44791</v>
      </c>
      <c r="F677" t="s">
        <v>177</v>
      </c>
      <c r="G677">
        <v>13.73</v>
      </c>
      <c r="H677">
        <v>13.73</v>
      </c>
      <c r="I677" t="s">
        <v>56</v>
      </c>
      <c r="O677" t="s">
        <v>57</v>
      </c>
      <c r="Q677" t="s">
        <v>57</v>
      </c>
      <c r="R677" t="s">
        <v>137</v>
      </c>
      <c r="T677" t="s">
        <v>59</v>
      </c>
      <c r="U677" t="s">
        <v>60</v>
      </c>
      <c r="V677" t="s">
        <v>138</v>
      </c>
      <c r="W677" t="s">
        <v>139</v>
      </c>
      <c r="X677">
        <v>1933175</v>
      </c>
      <c r="Y677" s="11">
        <v>44791</v>
      </c>
      <c r="Z677" t="s">
        <v>57</v>
      </c>
      <c r="AA677">
        <v>2</v>
      </c>
      <c r="AB677" t="s">
        <v>57</v>
      </c>
      <c r="AD677" t="s">
        <v>57</v>
      </c>
      <c r="AE677" t="s">
        <v>57</v>
      </c>
      <c r="AF677" t="s">
        <v>57</v>
      </c>
      <c r="AG677">
        <v>24</v>
      </c>
      <c r="AH677" t="s">
        <v>57</v>
      </c>
      <c r="AL677" t="s">
        <v>57</v>
      </c>
      <c r="AM677" s="11">
        <v>44791</v>
      </c>
      <c r="AN677" t="s">
        <v>176</v>
      </c>
      <c r="AO677" t="s">
        <v>65</v>
      </c>
      <c r="AP677">
        <v>1204</v>
      </c>
      <c r="AQ677" t="s">
        <v>66</v>
      </c>
      <c r="AR677">
        <v>265226</v>
      </c>
      <c r="AU677" t="s">
        <v>57</v>
      </c>
      <c r="AV677" t="s">
        <v>68</v>
      </c>
      <c r="AX677" t="s">
        <v>57</v>
      </c>
      <c r="AY677">
        <v>631110</v>
      </c>
      <c r="AZ677">
        <v>1204.63111</v>
      </c>
      <c r="BA677" s="23" t="s">
        <v>12</v>
      </c>
    </row>
    <row r="678" spans="1:53" x14ac:dyDescent="0.25">
      <c r="A678" t="s">
        <v>134</v>
      </c>
      <c r="B678" t="s">
        <v>135</v>
      </c>
      <c r="C678">
        <v>22001877</v>
      </c>
      <c r="D678">
        <v>1204</v>
      </c>
      <c r="E678" s="11">
        <v>44791</v>
      </c>
      <c r="F678" t="s">
        <v>174</v>
      </c>
      <c r="G678">
        <v>13.49</v>
      </c>
      <c r="H678">
        <v>13.49</v>
      </c>
      <c r="I678" t="s">
        <v>56</v>
      </c>
      <c r="O678" t="s">
        <v>57</v>
      </c>
      <c r="Q678" t="s">
        <v>57</v>
      </c>
      <c r="R678" t="s">
        <v>137</v>
      </c>
      <c r="T678" t="s">
        <v>59</v>
      </c>
      <c r="U678" t="s">
        <v>60</v>
      </c>
      <c r="V678" t="s">
        <v>138</v>
      </c>
      <c r="W678" t="s">
        <v>139</v>
      </c>
      <c r="X678">
        <v>1933535</v>
      </c>
      <c r="Y678" s="11">
        <v>44791</v>
      </c>
      <c r="Z678" t="s">
        <v>57</v>
      </c>
      <c r="AA678">
        <v>16</v>
      </c>
      <c r="AB678" t="s">
        <v>57</v>
      </c>
      <c r="AD678" t="s">
        <v>57</v>
      </c>
      <c r="AE678" t="s">
        <v>57</v>
      </c>
      <c r="AF678" t="s">
        <v>57</v>
      </c>
      <c r="AG678">
        <v>1</v>
      </c>
      <c r="AH678" t="s">
        <v>57</v>
      </c>
      <c r="AL678" t="s">
        <v>57</v>
      </c>
      <c r="AM678" s="11">
        <v>44791</v>
      </c>
      <c r="AN678" t="s">
        <v>173</v>
      </c>
      <c r="AO678" t="s">
        <v>65</v>
      </c>
      <c r="AP678">
        <v>1204</v>
      </c>
      <c r="AQ678" t="s">
        <v>66</v>
      </c>
      <c r="AR678">
        <v>96020</v>
      </c>
      <c r="AU678" t="s">
        <v>57</v>
      </c>
      <c r="AV678" t="s">
        <v>68</v>
      </c>
      <c r="AX678" t="s">
        <v>57</v>
      </c>
      <c r="AY678">
        <v>631110</v>
      </c>
      <c r="AZ678">
        <v>1204.63111</v>
      </c>
      <c r="BA678" s="23" t="s">
        <v>12</v>
      </c>
    </row>
    <row r="679" spans="1:53" x14ac:dyDescent="0.25">
      <c r="A679" t="s">
        <v>134</v>
      </c>
      <c r="B679" t="s">
        <v>135</v>
      </c>
      <c r="C679">
        <v>22001877</v>
      </c>
      <c r="D679">
        <v>1204</v>
      </c>
      <c r="E679" s="11">
        <v>44791</v>
      </c>
      <c r="F679" t="s">
        <v>174</v>
      </c>
      <c r="G679">
        <v>14.36</v>
      </c>
      <c r="H679">
        <v>14.36</v>
      </c>
      <c r="I679" t="s">
        <v>56</v>
      </c>
      <c r="O679" t="s">
        <v>57</v>
      </c>
      <c r="Q679" t="s">
        <v>57</v>
      </c>
      <c r="R679" t="s">
        <v>137</v>
      </c>
      <c r="T679" t="s">
        <v>59</v>
      </c>
      <c r="U679" t="s">
        <v>60</v>
      </c>
      <c r="V679" t="s">
        <v>138</v>
      </c>
      <c r="W679" t="s">
        <v>139</v>
      </c>
      <c r="X679">
        <v>1933535</v>
      </c>
      <c r="Y679" s="11">
        <v>44791</v>
      </c>
      <c r="Z679" t="s">
        <v>57</v>
      </c>
      <c r="AA679">
        <v>18</v>
      </c>
      <c r="AB679" t="s">
        <v>57</v>
      </c>
      <c r="AD679" t="s">
        <v>57</v>
      </c>
      <c r="AE679" t="s">
        <v>57</v>
      </c>
      <c r="AF679" t="s">
        <v>57</v>
      </c>
      <c r="AG679">
        <v>1</v>
      </c>
      <c r="AH679" t="s">
        <v>57</v>
      </c>
      <c r="AL679" t="s">
        <v>57</v>
      </c>
      <c r="AM679" s="11">
        <v>44791</v>
      </c>
      <c r="AN679" t="s">
        <v>173</v>
      </c>
      <c r="AO679" t="s">
        <v>65</v>
      </c>
      <c r="AP679">
        <v>1204</v>
      </c>
      <c r="AQ679" t="s">
        <v>66</v>
      </c>
      <c r="AR679">
        <v>96021</v>
      </c>
      <c r="AU679" t="s">
        <v>57</v>
      </c>
      <c r="AV679" t="s">
        <v>68</v>
      </c>
      <c r="AX679" t="s">
        <v>57</v>
      </c>
      <c r="AY679">
        <v>631110</v>
      </c>
      <c r="AZ679">
        <v>1204.63111</v>
      </c>
      <c r="BA679" s="23" t="s">
        <v>12</v>
      </c>
    </row>
    <row r="680" spans="1:53" x14ac:dyDescent="0.25">
      <c r="A680" t="s">
        <v>134</v>
      </c>
      <c r="B680" t="s">
        <v>135</v>
      </c>
      <c r="C680">
        <v>22001877</v>
      </c>
      <c r="D680">
        <v>1204</v>
      </c>
      <c r="E680" s="11">
        <v>44791</v>
      </c>
      <c r="F680" t="s">
        <v>174</v>
      </c>
      <c r="G680">
        <v>14.36</v>
      </c>
      <c r="H680">
        <v>14.36</v>
      </c>
      <c r="I680" t="s">
        <v>56</v>
      </c>
      <c r="O680" t="s">
        <v>57</v>
      </c>
      <c r="Q680" t="s">
        <v>57</v>
      </c>
      <c r="R680" t="s">
        <v>137</v>
      </c>
      <c r="T680" t="s">
        <v>59</v>
      </c>
      <c r="U680" t="s">
        <v>60</v>
      </c>
      <c r="V680" t="s">
        <v>138</v>
      </c>
      <c r="W680" t="s">
        <v>139</v>
      </c>
      <c r="X680">
        <v>1933535</v>
      </c>
      <c r="Y680" s="11">
        <v>44791</v>
      </c>
      <c r="Z680" t="s">
        <v>57</v>
      </c>
      <c r="AA680">
        <v>20</v>
      </c>
      <c r="AB680" t="s">
        <v>57</v>
      </c>
      <c r="AD680" t="s">
        <v>57</v>
      </c>
      <c r="AE680" t="s">
        <v>57</v>
      </c>
      <c r="AF680" t="s">
        <v>57</v>
      </c>
      <c r="AG680">
        <v>1</v>
      </c>
      <c r="AH680" t="s">
        <v>57</v>
      </c>
      <c r="AL680" t="s">
        <v>57</v>
      </c>
      <c r="AM680" s="11">
        <v>44791</v>
      </c>
      <c r="AN680" t="s">
        <v>173</v>
      </c>
      <c r="AO680" t="s">
        <v>65</v>
      </c>
      <c r="AP680">
        <v>1204</v>
      </c>
      <c r="AQ680" t="s">
        <v>66</v>
      </c>
      <c r="AR680">
        <v>96021</v>
      </c>
      <c r="AU680" t="s">
        <v>57</v>
      </c>
      <c r="AV680" t="s">
        <v>68</v>
      </c>
      <c r="AX680" t="s">
        <v>57</v>
      </c>
      <c r="AY680">
        <v>631110</v>
      </c>
      <c r="AZ680">
        <v>1204.63111</v>
      </c>
      <c r="BA680" s="23" t="s">
        <v>12</v>
      </c>
    </row>
    <row r="681" spans="1:53" x14ac:dyDescent="0.25">
      <c r="A681" t="s">
        <v>134</v>
      </c>
      <c r="B681" t="s">
        <v>135</v>
      </c>
      <c r="C681">
        <v>22001877</v>
      </c>
      <c r="D681">
        <v>1204</v>
      </c>
      <c r="E681" s="11">
        <v>44791</v>
      </c>
      <c r="F681" t="s">
        <v>174</v>
      </c>
      <c r="G681">
        <v>499.24</v>
      </c>
      <c r="H681">
        <v>499.24</v>
      </c>
      <c r="I681" t="s">
        <v>56</v>
      </c>
      <c r="O681" t="s">
        <v>57</v>
      </c>
      <c r="Q681" t="s">
        <v>57</v>
      </c>
      <c r="R681" t="s">
        <v>137</v>
      </c>
      <c r="T681" t="s">
        <v>59</v>
      </c>
      <c r="U681" t="s">
        <v>60</v>
      </c>
      <c r="V681" t="s">
        <v>138</v>
      </c>
      <c r="W681" t="s">
        <v>139</v>
      </c>
      <c r="X681">
        <v>1933535</v>
      </c>
      <c r="Y681" s="11">
        <v>44791</v>
      </c>
      <c r="Z681" t="s">
        <v>57</v>
      </c>
      <c r="AA681">
        <v>22</v>
      </c>
      <c r="AB681" t="s">
        <v>57</v>
      </c>
      <c r="AD681" t="s">
        <v>57</v>
      </c>
      <c r="AE681" t="s">
        <v>57</v>
      </c>
      <c r="AF681" t="s">
        <v>57</v>
      </c>
      <c r="AG681">
        <v>2</v>
      </c>
      <c r="AH681" t="s">
        <v>57</v>
      </c>
      <c r="AL681" t="s">
        <v>57</v>
      </c>
      <c r="AM681" s="11">
        <v>44791</v>
      </c>
      <c r="AN681" t="s">
        <v>173</v>
      </c>
      <c r="AO681" t="s">
        <v>65</v>
      </c>
      <c r="AP681">
        <v>1204</v>
      </c>
      <c r="AQ681" t="s">
        <v>66</v>
      </c>
      <c r="AR681">
        <v>220348</v>
      </c>
      <c r="AU681" t="s">
        <v>57</v>
      </c>
      <c r="AV681" t="s">
        <v>68</v>
      </c>
      <c r="AX681" t="s">
        <v>57</v>
      </c>
      <c r="AY681">
        <v>631110</v>
      </c>
      <c r="AZ681">
        <v>1204.63111</v>
      </c>
      <c r="BA681" s="23" t="s">
        <v>12</v>
      </c>
    </row>
    <row r="682" spans="1:53" x14ac:dyDescent="0.25">
      <c r="A682" t="s">
        <v>134</v>
      </c>
      <c r="B682" t="s">
        <v>135</v>
      </c>
      <c r="C682">
        <v>22001877</v>
      </c>
      <c r="D682">
        <v>1204</v>
      </c>
      <c r="E682" s="11">
        <v>44791</v>
      </c>
      <c r="F682" t="s">
        <v>174</v>
      </c>
      <c r="G682">
        <v>0.13</v>
      </c>
      <c r="H682">
        <v>0.13</v>
      </c>
      <c r="I682" t="s">
        <v>56</v>
      </c>
      <c r="O682" t="s">
        <v>57</v>
      </c>
      <c r="Q682" t="s">
        <v>57</v>
      </c>
      <c r="R682" t="s">
        <v>137</v>
      </c>
      <c r="T682" t="s">
        <v>59</v>
      </c>
      <c r="U682" t="s">
        <v>60</v>
      </c>
      <c r="V682" t="s">
        <v>138</v>
      </c>
      <c r="W682" t="s">
        <v>139</v>
      </c>
      <c r="X682">
        <v>1933535</v>
      </c>
      <c r="Y682" s="11">
        <v>44791</v>
      </c>
      <c r="Z682" t="s">
        <v>57</v>
      </c>
      <c r="AA682">
        <v>2</v>
      </c>
      <c r="AB682" t="s">
        <v>57</v>
      </c>
      <c r="AD682" t="s">
        <v>57</v>
      </c>
      <c r="AE682" t="s">
        <v>57</v>
      </c>
      <c r="AF682" t="s">
        <v>57</v>
      </c>
      <c r="AG682">
        <v>1</v>
      </c>
      <c r="AH682" t="s">
        <v>57</v>
      </c>
      <c r="AL682" t="s">
        <v>57</v>
      </c>
      <c r="AM682" s="11">
        <v>44791</v>
      </c>
      <c r="AN682" t="s">
        <v>173</v>
      </c>
      <c r="AO682" t="s">
        <v>65</v>
      </c>
      <c r="AP682">
        <v>1204</v>
      </c>
      <c r="AQ682" t="s">
        <v>66</v>
      </c>
      <c r="AR682">
        <v>212697</v>
      </c>
      <c r="AU682" t="s">
        <v>57</v>
      </c>
      <c r="AV682" t="s">
        <v>68</v>
      </c>
      <c r="AX682" t="s">
        <v>57</v>
      </c>
      <c r="AY682">
        <v>631110</v>
      </c>
      <c r="AZ682">
        <v>1204.63111</v>
      </c>
      <c r="BA682" s="23" t="s">
        <v>12</v>
      </c>
    </row>
    <row r="683" spans="1:53" x14ac:dyDescent="0.25">
      <c r="A683" t="s">
        <v>134</v>
      </c>
      <c r="B683" t="s">
        <v>135</v>
      </c>
      <c r="C683">
        <v>22001877</v>
      </c>
      <c r="D683">
        <v>1204</v>
      </c>
      <c r="E683" s="11">
        <v>44791</v>
      </c>
      <c r="F683" t="s">
        <v>174</v>
      </c>
      <c r="G683">
        <v>40.28</v>
      </c>
      <c r="H683">
        <v>40.28</v>
      </c>
      <c r="I683" t="s">
        <v>56</v>
      </c>
      <c r="O683" t="s">
        <v>57</v>
      </c>
      <c r="Q683" t="s">
        <v>57</v>
      </c>
      <c r="R683" t="s">
        <v>137</v>
      </c>
      <c r="T683" t="s">
        <v>59</v>
      </c>
      <c r="U683" t="s">
        <v>60</v>
      </c>
      <c r="V683" t="s">
        <v>138</v>
      </c>
      <c r="W683" t="s">
        <v>139</v>
      </c>
      <c r="X683">
        <v>1933535</v>
      </c>
      <c r="Y683" s="11">
        <v>44791</v>
      </c>
      <c r="Z683" t="s">
        <v>57</v>
      </c>
      <c r="AA683">
        <v>4</v>
      </c>
      <c r="AB683" t="s">
        <v>57</v>
      </c>
      <c r="AD683" t="s">
        <v>57</v>
      </c>
      <c r="AE683" t="s">
        <v>57</v>
      </c>
      <c r="AF683" t="s">
        <v>57</v>
      </c>
      <c r="AG683">
        <v>1</v>
      </c>
      <c r="AH683" t="s">
        <v>57</v>
      </c>
      <c r="AL683" t="s">
        <v>57</v>
      </c>
      <c r="AM683" s="11">
        <v>44791</v>
      </c>
      <c r="AN683" t="s">
        <v>173</v>
      </c>
      <c r="AO683" t="s">
        <v>65</v>
      </c>
      <c r="AP683">
        <v>1204</v>
      </c>
      <c r="AQ683" t="s">
        <v>66</v>
      </c>
      <c r="AR683">
        <v>213927</v>
      </c>
      <c r="AU683" t="s">
        <v>57</v>
      </c>
      <c r="AV683" t="s">
        <v>68</v>
      </c>
      <c r="AX683" t="s">
        <v>57</v>
      </c>
      <c r="AY683">
        <v>631110</v>
      </c>
      <c r="AZ683">
        <v>1204.63111</v>
      </c>
      <c r="BA683" s="23" t="s">
        <v>12</v>
      </c>
    </row>
    <row r="684" spans="1:53" x14ac:dyDescent="0.25">
      <c r="A684" t="s">
        <v>134</v>
      </c>
      <c r="B684" t="s">
        <v>135</v>
      </c>
      <c r="C684">
        <v>22001877</v>
      </c>
      <c r="D684">
        <v>1204</v>
      </c>
      <c r="E684" s="11">
        <v>44791</v>
      </c>
      <c r="F684" t="s">
        <v>174</v>
      </c>
      <c r="G684">
        <v>44.28</v>
      </c>
      <c r="H684">
        <v>44.28</v>
      </c>
      <c r="I684" t="s">
        <v>56</v>
      </c>
      <c r="O684" t="s">
        <v>57</v>
      </c>
      <c r="Q684" t="s">
        <v>57</v>
      </c>
      <c r="R684" t="s">
        <v>137</v>
      </c>
      <c r="T684" t="s">
        <v>59</v>
      </c>
      <c r="U684" t="s">
        <v>60</v>
      </c>
      <c r="V684" t="s">
        <v>138</v>
      </c>
      <c r="W684" t="s">
        <v>139</v>
      </c>
      <c r="X684">
        <v>1933535</v>
      </c>
      <c r="Y684" s="11">
        <v>44791</v>
      </c>
      <c r="Z684" t="s">
        <v>57</v>
      </c>
      <c r="AA684">
        <v>6</v>
      </c>
      <c r="AB684" t="s">
        <v>57</v>
      </c>
      <c r="AD684" t="s">
        <v>57</v>
      </c>
      <c r="AE684" t="s">
        <v>57</v>
      </c>
      <c r="AF684" t="s">
        <v>57</v>
      </c>
      <c r="AG684">
        <v>1</v>
      </c>
      <c r="AH684" t="s">
        <v>57</v>
      </c>
      <c r="AL684" t="s">
        <v>57</v>
      </c>
      <c r="AM684" s="11">
        <v>44791</v>
      </c>
      <c r="AN684" t="s">
        <v>173</v>
      </c>
      <c r="AO684" t="s">
        <v>65</v>
      </c>
      <c r="AP684">
        <v>1204</v>
      </c>
      <c r="AQ684" t="s">
        <v>66</v>
      </c>
      <c r="AR684">
        <v>90236</v>
      </c>
      <c r="AU684" t="s">
        <v>57</v>
      </c>
      <c r="AV684" t="s">
        <v>68</v>
      </c>
      <c r="AX684" t="s">
        <v>57</v>
      </c>
      <c r="AY684">
        <v>631110</v>
      </c>
      <c r="AZ684">
        <v>1204.63111</v>
      </c>
      <c r="BA684" s="23" t="s">
        <v>12</v>
      </c>
    </row>
    <row r="685" spans="1:53" x14ac:dyDescent="0.25">
      <c r="A685" t="s">
        <v>134</v>
      </c>
      <c r="B685" t="s">
        <v>135</v>
      </c>
      <c r="C685">
        <v>22001877</v>
      </c>
      <c r="D685">
        <v>1204</v>
      </c>
      <c r="E685" s="11">
        <v>44791</v>
      </c>
      <c r="F685" t="s">
        <v>174</v>
      </c>
      <c r="G685">
        <v>1.18</v>
      </c>
      <c r="H685">
        <v>1.18</v>
      </c>
      <c r="I685" t="s">
        <v>56</v>
      </c>
      <c r="O685" t="s">
        <v>57</v>
      </c>
      <c r="Q685" t="s">
        <v>57</v>
      </c>
      <c r="R685" t="s">
        <v>137</v>
      </c>
      <c r="T685" t="s">
        <v>59</v>
      </c>
      <c r="U685" t="s">
        <v>60</v>
      </c>
      <c r="V685" t="s">
        <v>138</v>
      </c>
      <c r="W685" t="s">
        <v>139</v>
      </c>
      <c r="X685">
        <v>1933535</v>
      </c>
      <c r="Y685" s="11">
        <v>44791</v>
      </c>
      <c r="Z685" t="s">
        <v>57</v>
      </c>
      <c r="AA685">
        <v>8</v>
      </c>
      <c r="AB685" t="s">
        <v>57</v>
      </c>
      <c r="AD685" t="s">
        <v>57</v>
      </c>
      <c r="AE685" t="s">
        <v>57</v>
      </c>
      <c r="AF685" t="s">
        <v>57</v>
      </c>
      <c r="AG685">
        <v>1</v>
      </c>
      <c r="AH685" t="s">
        <v>57</v>
      </c>
      <c r="AL685" t="s">
        <v>57</v>
      </c>
      <c r="AM685" s="11">
        <v>44791</v>
      </c>
      <c r="AN685" t="s">
        <v>173</v>
      </c>
      <c r="AO685" t="s">
        <v>65</v>
      </c>
      <c r="AP685">
        <v>1204</v>
      </c>
      <c r="AQ685" t="s">
        <v>66</v>
      </c>
      <c r="AR685">
        <v>187381</v>
      </c>
      <c r="AU685" t="s">
        <v>57</v>
      </c>
      <c r="AV685" t="s">
        <v>68</v>
      </c>
      <c r="AX685" t="s">
        <v>57</v>
      </c>
      <c r="AY685">
        <v>631110</v>
      </c>
      <c r="AZ685">
        <v>1204.63111</v>
      </c>
      <c r="BA685" s="23" t="s">
        <v>12</v>
      </c>
    </row>
    <row r="686" spans="1:53" x14ac:dyDescent="0.25">
      <c r="A686" t="s">
        <v>134</v>
      </c>
      <c r="B686" t="s">
        <v>135</v>
      </c>
      <c r="C686">
        <v>22001877</v>
      </c>
      <c r="D686">
        <v>1204</v>
      </c>
      <c r="E686" s="11">
        <v>44791</v>
      </c>
      <c r="F686" t="s">
        <v>174</v>
      </c>
      <c r="G686">
        <v>1.21</v>
      </c>
      <c r="H686">
        <v>1.21</v>
      </c>
      <c r="I686" t="s">
        <v>56</v>
      </c>
      <c r="O686" t="s">
        <v>57</v>
      </c>
      <c r="Q686" t="s">
        <v>57</v>
      </c>
      <c r="R686" t="s">
        <v>137</v>
      </c>
      <c r="T686" t="s">
        <v>59</v>
      </c>
      <c r="U686" t="s">
        <v>60</v>
      </c>
      <c r="V686" t="s">
        <v>138</v>
      </c>
      <c r="W686" t="s">
        <v>139</v>
      </c>
      <c r="X686">
        <v>1933535</v>
      </c>
      <c r="Y686" s="11">
        <v>44791</v>
      </c>
      <c r="Z686" t="s">
        <v>57</v>
      </c>
      <c r="AA686">
        <v>14</v>
      </c>
      <c r="AB686" t="s">
        <v>57</v>
      </c>
      <c r="AD686" t="s">
        <v>57</v>
      </c>
      <c r="AE686" t="s">
        <v>57</v>
      </c>
      <c r="AF686" t="s">
        <v>57</v>
      </c>
      <c r="AG686">
        <v>1</v>
      </c>
      <c r="AH686" t="s">
        <v>57</v>
      </c>
      <c r="AL686" t="s">
        <v>57</v>
      </c>
      <c r="AM686" s="11">
        <v>44791</v>
      </c>
      <c r="AN686" t="s">
        <v>173</v>
      </c>
      <c r="AO686" t="s">
        <v>65</v>
      </c>
      <c r="AP686">
        <v>1204</v>
      </c>
      <c r="AQ686" t="s">
        <v>66</v>
      </c>
      <c r="AR686">
        <v>234414</v>
      </c>
      <c r="AU686" t="s">
        <v>57</v>
      </c>
      <c r="AV686" t="s">
        <v>68</v>
      </c>
      <c r="AX686" t="s">
        <v>57</v>
      </c>
      <c r="AY686">
        <v>631110</v>
      </c>
      <c r="AZ686">
        <v>1204.63111</v>
      </c>
      <c r="BA686" s="23" t="s">
        <v>12</v>
      </c>
    </row>
    <row r="687" spans="1:53" x14ac:dyDescent="0.25">
      <c r="A687" t="s">
        <v>134</v>
      </c>
      <c r="B687" t="s">
        <v>135</v>
      </c>
      <c r="C687">
        <v>22001877</v>
      </c>
      <c r="D687">
        <v>1204</v>
      </c>
      <c r="E687" s="11">
        <v>44791</v>
      </c>
      <c r="F687" t="s">
        <v>174</v>
      </c>
      <c r="G687">
        <v>0.69</v>
      </c>
      <c r="H687">
        <v>0.69</v>
      </c>
      <c r="I687" t="s">
        <v>56</v>
      </c>
      <c r="O687" t="s">
        <v>57</v>
      </c>
      <c r="Q687" t="s">
        <v>57</v>
      </c>
      <c r="R687" t="s">
        <v>137</v>
      </c>
      <c r="T687" t="s">
        <v>59</v>
      </c>
      <c r="U687" t="s">
        <v>60</v>
      </c>
      <c r="V687" t="s">
        <v>138</v>
      </c>
      <c r="W687" t="s">
        <v>139</v>
      </c>
      <c r="X687">
        <v>1933535</v>
      </c>
      <c r="Y687" s="11">
        <v>44791</v>
      </c>
      <c r="Z687" t="s">
        <v>57</v>
      </c>
      <c r="AA687">
        <v>10</v>
      </c>
      <c r="AB687" t="s">
        <v>57</v>
      </c>
      <c r="AD687" t="s">
        <v>57</v>
      </c>
      <c r="AE687" t="s">
        <v>57</v>
      </c>
      <c r="AF687" t="s">
        <v>57</v>
      </c>
      <c r="AG687">
        <v>1</v>
      </c>
      <c r="AH687" t="s">
        <v>57</v>
      </c>
      <c r="AL687" t="s">
        <v>57</v>
      </c>
      <c r="AM687" s="11">
        <v>44791</v>
      </c>
      <c r="AN687" t="s">
        <v>173</v>
      </c>
      <c r="AO687" t="s">
        <v>65</v>
      </c>
      <c r="AP687">
        <v>1204</v>
      </c>
      <c r="AQ687" t="s">
        <v>66</v>
      </c>
      <c r="AR687">
        <v>282149</v>
      </c>
      <c r="AU687" t="s">
        <v>57</v>
      </c>
      <c r="AV687" t="s">
        <v>68</v>
      </c>
      <c r="AX687" t="s">
        <v>57</v>
      </c>
      <c r="AY687">
        <v>631110</v>
      </c>
      <c r="AZ687">
        <v>1204.63111</v>
      </c>
      <c r="BA687" s="23" t="s">
        <v>12</v>
      </c>
    </row>
    <row r="688" spans="1:53" x14ac:dyDescent="0.25">
      <c r="A688" t="s">
        <v>134</v>
      </c>
      <c r="B688" t="s">
        <v>135</v>
      </c>
      <c r="C688">
        <v>22001877</v>
      </c>
      <c r="D688">
        <v>1204</v>
      </c>
      <c r="E688" s="11">
        <v>44791</v>
      </c>
      <c r="F688" t="s">
        <v>174</v>
      </c>
      <c r="G688">
        <v>7.31</v>
      </c>
      <c r="H688">
        <v>7.31</v>
      </c>
      <c r="I688" t="s">
        <v>56</v>
      </c>
      <c r="O688" t="s">
        <v>57</v>
      </c>
      <c r="Q688" t="s">
        <v>57</v>
      </c>
      <c r="R688" t="s">
        <v>137</v>
      </c>
      <c r="T688" t="s">
        <v>59</v>
      </c>
      <c r="U688" t="s">
        <v>60</v>
      </c>
      <c r="V688" t="s">
        <v>138</v>
      </c>
      <c r="W688" t="s">
        <v>139</v>
      </c>
      <c r="X688">
        <v>1933535</v>
      </c>
      <c r="Y688" s="11">
        <v>44791</v>
      </c>
      <c r="Z688" t="s">
        <v>57</v>
      </c>
      <c r="AA688">
        <v>12</v>
      </c>
      <c r="AB688" t="s">
        <v>57</v>
      </c>
      <c r="AD688" t="s">
        <v>57</v>
      </c>
      <c r="AE688" t="s">
        <v>57</v>
      </c>
      <c r="AF688" t="s">
        <v>57</v>
      </c>
      <c r="AG688">
        <v>1</v>
      </c>
      <c r="AH688" t="s">
        <v>57</v>
      </c>
      <c r="AL688" t="s">
        <v>57</v>
      </c>
      <c r="AM688" s="11">
        <v>44791</v>
      </c>
      <c r="AN688" t="s">
        <v>173</v>
      </c>
      <c r="AO688" t="s">
        <v>65</v>
      </c>
      <c r="AP688">
        <v>1204</v>
      </c>
      <c r="AQ688" t="s">
        <v>66</v>
      </c>
      <c r="AR688">
        <v>212621</v>
      </c>
      <c r="AU688" t="s">
        <v>57</v>
      </c>
      <c r="AV688" t="s">
        <v>68</v>
      </c>
      <c r="AX688" t="s">
        <v>57</v>
      </c>
      <c r="AY688">
        <v>631110</v>
      </c>
      <c r="AZ688">
        <v>1204.63111</v>
      </c>
      <c r="BA688" s="23" t="s">
        <v>12</v>
      </c>
    </row>
    <row r="689" spans="1:53" x14ac:dyDescent="0.25">
      <c r="A689" t="s">
        <v>134</v>
      </c>
      <c r="B689" t="s">
        <v>135</v>
      </c>
      <c r="C689">
        <v>22001878</v>
      </c>
      <c r="D689">
        <v>1204</v>
      </c>
      <c r="E689" s="11">
        <v>44791</v>
      </c>
      <c r="F689" t="s">
        <v>159</v>
      </c>
      <c r="G689">
        <v>6.11</v>
      </c>
      <c r="H689">
        <v>6.11</v>
      </c>
      <c r="I689" t="s">
        <v>56</v>
      </c>
      <c r="O689" t="s">
        <v>57</v>
      </c>
      <c r="Q689" t="s">
        <v>57</v>
      </c>
      <c r="R689" t="s">
        <v>137</v>
      </c>
      <c r="T689" t="s">
        <v>59</v>
      </c>
      <c r="U689" t="s">
        <v>60</v>
      </c>
      <c r="V689" t="s">
        <v>138</v>
      </c>
      <c r="W689" t="s">
        <v>139</v>
      </c>
      <c r="X689">
        <v>1933535</v>
      </c>
      <c r="Y689" s="11">
        <v>44791</v>
      </c>
      <c r="Z689" t="s">
        <v>57</v>
      </c>
      <c r="AA689">
        <v>2</v>
      </c>
      <c r="AB689" t="s">
        <v>57</v>
      </c>
      <c r="AD689" t="s">
        <v>57</v>
      </c>
      <c r="AE689" t="s">
        <v>57</v>
      </c>
      <c r="AF689" t="s">
        <v>57</v>
      </c>
      <c r="AG689">
        <v>1</v>
      </c>
      <c r="AH689" t="s">
        <v>57</v>
      </c>
      <c r="AL689" t="s">
        <v>57</v>
      </c>
      <c r="AM689" s="11">
        <v>44791</v>
      </c>
      <c r="AN689" t="s">
        <v>173</v>
      </c>
      <c r="AO689" t="s">
        <v>65</v>
      </c>
      <c r="AP689">
        <v>1204</v>
      </c>
      <c r="AQ689" t="s">
        <v>66</v>
      </c>
      <c r="AR689">
        <v>90051</v>
      </c>
      <c r="AU689" t="s">
        <v>57</v>
      </c>
      <c r="AV689" t="s">
        <v>68</v>
      </c>
      <c r="AX689" t="s">
        <v>57</v>
      </c>
      <c r="AY689">
        <v>631110</v>
      </c>
      <c r="AZ689">
        <v>1204.63111</v>
      </c>
      <c r="BA689" s="23" t="s">
        <v>12</v>
      </c>
    </row>
    <row r="690" spans="1:53" x14ac:dyDescent="0.25">
      <c r="A690" t="s">
        <v>134</v>
      </c>
      <c r="B690" t="s">
        <v>135</v>
      </c>
      <c r="C690">
        <v>22001879</v>
      </c>
      <c r="D690">
        <v>1204</v>
      </c>
      <c r="E690" s="11">
        <v>44791</v>
      </c>
      <c r="F690" t="s">
        <v>172</v>
      </c>
      <c r="G690">
        <v>8.06</v>
      </c>
      <c r="H690">
        <v>8.06</v>
      </c>
      <c r="I690" t="s">
        <v>56</v>
      </c>
      <c r="O690" t="s">
        <v>57</v>
      </c>
      <c r="Q690" t="s">
        <v>57</v>
      </c>
      <c r="R690" t="s">
        <v>137</v>
      </c>
      <c r="T690" t="s">
        <v>59</v>
      </c>
      <c r="U690" t="s">
        <v>60</v>
      </c>
      <c r="V690" t="s">
        <v>138</v>
      </c>
      <c r="W690" t="s">
        <v>139</v>
      </c>
      <c r="X690">
        <v>1933535</v>
      </c>
      <c r="Y690" s="11">
        <v>44791</v>
      </c>
      <c r="Z690" t="s">
        <v>57</v>
      </c>
      <c r="AA690">
        <v>6</v>
      </c>
      <c r="AB690" t="s">
        <v>57</v>
      </c>
      <c r="AD690" t="s">
        <v>57</v>
      </c>
      <c r="AE690" t="s">
        <v>57</v>
      </c>
      <c r="AF690" t="s">
        <v>57</v>
      </c>
      <c r="AG690">
        <v>1</v>
      </c>
      <c r="AH690" t="s">
        <v>57</v>
      </c>
      <c r="AL690" t="s">
        <v>57</v>
      </c>
      <c r="AM690" s="11">
        <v>44791</v>
      </c>
      <c r="AN690" t="s">
        <v>173</v>
      </c>
      <c r="AO690" t="s">
        <v>65</v>
      </c>
      <c r="AP690">
        <v>1204</v>
      </c>
      <c r="AQ690" t="s">
        <v>66</v>
      </c>
      <c r="AR690">
        <v>279991</v>
      </c>
      <c r="AU690" t="s">
        <v>57</v>
      </c>
      <c r="AV690" t="s">
        <v>68</v>
      </c>
      <c r="AX690" t="s">
        <v>57</v>
      </c>
      <c r="AY690">
        <v>631110</v>
      </c>
      <c r="AZ690">
        <v>1204.63111</v>
      </c>
      <c r="BA690" s="23" t="s">
        <v>12</v>
      </c>
    </row>
    <row r="691" spans="1:53" x14ac:dyDescent="0.25">
      <c r="A691" t="s">
        <v>134</v>
      </c>
      <c r="B691" t="s">
        <v>135</v>
      </c>
      <c r="C691">
        <v>22001879</v>
      </c>
      <c r="D691">
        <v>1204</v>
      </c>
      <c r="E691" s="11">
        <v>44791</v>
      </c>
      <c r="F691" t="s">
        <v>172</v>
      </c>
      <c r="G691">
        <v>8.06</v>
      </c>
      <c r="H691">
        <v>8.06</v>
      </c>
      <c r="I691" t="s">
        <v>56</v>
      </c>
      <c r="O691" t="s">
        <v>57</v>
      </c>
      <c r="Q691" t="s">
        <v>57</v>
      </c>
      <c r="R691" t="s">
        <v>137</v>
      </c>
      <c r="T691" t="s">
        <v>59</v>
      </c>
      <c r="U691" t="s">
        <v>60</v>
      </c>
      <c r="V691" t="s">
        <v>138</v>
      </c>
      <c r="W691" t="s">
        <v>139</v>
      </c>
      <c r="X691">
        <v>1933535</v>
      </c>
      <c r="Y691" s="11">
        <v>44791</v>
      </c>
      <c r="Z691" t="s">
        <v>57</v>
      </c>
      <c r="AA691">
        <v>2</v>
      </c>
      <c r="AB691" t="s">
        <v>57</v>
      </c>
      <c r="AD691" t="s">
        <v>57</v>
      </c>
      <c r="AE691" t="s">
        <v>57</v>
      </c>
      <c r="AF691" t="s">
        <v>57</v>
      </c>
      <c r="AG691">
        <v>1</v>
      </c>
      <c r="AH691" t="s">
        <v>57</v>
      </c>
      <c r="AL691" t="s">
        <v>57</v>
      </c>
      <c r="AM691" s="11">
        <v>44791</v>
      </c>
      <c r="AN691" t="s">
        <v>173</v>
      </c>
      <c r="AO691" t="s">
        <v>65</v>
      </c>
      <c r="AP691">
        <v>1204</v>
      </c>
      <c r="AQ691" t="s">
        <v>66</v>
      </c>
      <c r="AR691">
        <v>279991</v>
      </c>
      <c r="AU691" t="s">
        <v>57</v>
      </c>
      <c r="AV691" t="s">
        <v>68</v>
      </c>
      <c r="AX691" t="s">
        <v>57</v>
      </c>
      <c r="AY691">
        <v>631110</v>
      </c>
      <c r="AZ691">
        <v>1204.63111</v>
      </c>
      <c r="BA691" s="23" t="s">
        <v>12</v>
      </c>
    </row>
    <row r="692" spans="1:53" x14ac:dyDescent="0.25">
      <c r="A692" t="s">
        <v>134</v>
      </c>
      <c r="B692" t="s">
        <v>135</v>
      </c>
      <c r="C692">
        <v>22001879</v>
      </c>
      <c r="D692">
        <v>1204</v>
      </c>
      <c r="E692" s="11">
        <v>44791</v>
      </c>
      <c r="F692" t="s">
        <v>172</v>
      </c>
      <c r="G692">
        <v>23.64</v>
      </c>
      <c r="H692">
        <v>23.64</v>
      </c>
      <c r="I692" t="s">
        <v>56</v>
      </c>
      <c r="O692" t="s">
        <v>57</v>
      </c>
      <c r="Q692" t="s">
        <v>57</v>
      </c>
      <c r="R692" t="s">
        <v>137</v>
      </c>
      <c r="T692" t="s">
        <v>59</v>
      </c>
      <c r="U692" t="s">
        <v>60</v>
      </c>
      <c r="V692" t="s">
        <v>138</v>
      </c>
      <c r="W692" t="s">
        <v>139</v>
      </c>
      <c r="X692">
        <v>1933535</v>
      </c>
      <c r="Y692" s="11">
        <v>44791</v>
      </c>
      <c r="Z692" t="s">
        <v>57</v>
      </c>
      <c r="AA692">
        <v>4</v>
      </c>
      <c r="AB692" t="s">
        <v>57</v>
      </c>
      <c r="AD692" t="s">
        <v>57</v>
      </c>
      <c r="AE692" t="s">
        <v>57</v>
      </c>
      <c r="AF692" t="s">
        <v>57</v>
      </c>
      <c r="AG692">
        <v>3</v>
      </c>
      <c r="AH692" t="s">
        <v>57</v>
      </c>
      <c r="AL692" t="s">
        <v>57</v>
      </c>
      <c r="AM692" s="11">
        <v>44791</v>
      </c>
      <c r="AN692" t="s">
        <v>173</v>
      </c>
      <c r="AO692" t="s">
        <v>65</v>
      </c>
      <c r="AP692">
        <v>1204</v>
      </c>
      <c r="AQ692" t="s">
        <v>66</v>
      </c>
      <c r="AR692">
        <v>227112</v>
      </c>
      <c r="AU692" t="s">
        <v>57</v>
      </c>
      <c r="AV692" t="s">
        <v>68</v>
      </c>
      <c r="AX692" t="s">
        <v>57</v>
      </c>
      <c r="AY692">
        <v>631110</v>
      </c>
      <c r="AZ692">
        <v>1204.63111</v>
      </c>
      <c r="BA692" s="23" t="s">
        <v>12</v>
      </c>
    </row>
    <row r="693" spans="1:53" x14ac:dyDescent="0.25">
      <c r="A693" t="s">
        <v>134</v>
      </c>
      <c r="B693" t="s">
        <v>135</v>
      </c>
      <c r="C693">
        <v>22001880</v>
      </c>
      <c r="D693">
        <v>1204</v>
      </c>
      <c r="E693" s="11">
        <v>44791</v>
      </c>
      <c r="F693" t="s">
        <v>135</v>
      </c>
      <c r="G693">
        <v>0.31</v>
      </c>
      <c r="H693">
        <v>0.31</v>
      </c>
      <c r="I693" t="s">
        <v>56</v>
      </c>
      <c r="O693" t="s">
        <v>57</v>
      </c>
      <c r="Q693" t="s">
        <v>57</v>
      </c>
      <c r="R693" t="s">
        <v>137</v>
      </c>
      <c r="T693" t="s">
        <v>59</v>
      </c>
      <c r="U693" t="s">
        <v>60</v>
      </c>
      <c r="V693" t="s">
        <v>138</v>
      </c>
      <c r="W693" t="s">
        <v>139</v>
      </c>
      <c r="X693">
        <v>1933542</v>
      </c>
      <c r="Y693" s="11">
        <v>44791</v>
      </c>
      <c r="Z693" t="s">
        <v>57</v>
      </c>
      <c r="AA693">
        <v>10</v>
      </c>
      <c r="AB693" t="s">
        <v>57</v>
      </c>
      <c r="AD693" t="s">
        <v>57</v>
      </c>
      <c r="AE693" t="s">
        <v>57</v>
      </c>
      <c r="AF693" t="s">
        <v>57</v>
      </c>
      <c r="AG693">
        <v>2</v>
      </c>
      <c r="AH693" t="s">
        <v>57</v>
      </c>
      <c r="AL693" t="s">
        <v>57</v>
      </c>
      <c r="AM693" s="11">
        <v>44791</v>
      </c>
      <c r="AN693" t="s">
        <v>176</v>
      </c>
      <c r="AO693" t="s">
        <v>65</v>
      </c>
      <c r="AP693">
        <v>1204</v>
      </c>
      <c r="AQ693" t="s">
        <v>66</v>
      </c>
      <c r="AR693">
        <v>89712</v>
      </c>
      <c r="AU693" t="s">
        <v>57</v>
      </c>
      <c r="AV693" t="s">
        <v>68</v>
      </c>
      <c r="AX693" t="s">
        <v>57</v>
      </c>
      <c r="AY693">
        <v>631110</v>
      </c>
      <c r="AZ693">
        <v>1204.63111</v>
      </c>
      <c r="BA693" s="23" t="s">
        <v>12</v>
      </c>
    </row>
    <row r="694" spans="1:53" x14ac:dyDescent="0.25">
      <c r="A694" t="s">
        <v>134</v>
      </c>
      <c r="B694" t="s">
        <v>135</v>
      </c>
      <c r="C694">
        <v>22001880</v>
      </c>
      <c r="D694">
        <v>1204</v>
      </c>
      <c r="E694" s="11">
        <v>44791</v>
      </c>
      <c r="F694" t="s">
        <v>135</v>
      </c>
      <c r="G694">
        <v>5.1100000000000003</v>
      </c>
      <c r="H694">
        <v>5.1100000000000003</v>
      </c>
      <c r="I694" t="s">
        <v>56</v>
      </c>
      <c r="O694" t="s">
        <v>57</v>
      </c>
      <c r="Q694" t="s">
        <v>57</v>
      </c>
      <c r="R694" t="s">
        <v>137</v>
      </c>
      <c r="T694" t="s">
        <v>59</v>
      </c>
      <c r="U694" t="s">
        <v>60</v>
      </c>
      <c r="V694" t="s">
        <v>138</v>
      </c>
      <c r="W694" t="s">
        <v>139</v>
      </c>
      <c r="X694">
        <v>1933542</v>
      </c>
      <c r="Y694" s="11">
        <v>44791</v>
      </c>
      <c r="Z694" t="s">
        <v>57</v>
      </c>
      <c r="AA694">
        <v>12</v>
      </c>
      <c r="AB694" t="s">
        <v>57</v>
      </c>
      <c r="AD694" t="s">
        <v>57</v>
      </c>
      <c r="AE694" t="s">
        <v>57</v>
      </c>
      <c r="AF694" t="s">
        <v>57</v>
      </c>
      <c r="AG694">
        <v>14</v>
      </c>
      <c r="AH694" t="s">
        <v>57</v>
      </c>
      <c r="AL694" t="s">
        <v>57</v>
      </c>
      <c r="AM694" s="11">
        <v>44791</v>
      </c>
      <c r="AN694" t="s">
        <v>176</v>
      </c>
      <c r="AO694" t="s">
        <v>65</v>
      </c>
      <c r="AP694">
        <v>1204</v>
      </c>
      <c r="AQ694" t="s">
        <v>66</v>
      </c>
      <c r="AR694">
        <v>91011</v>
      </c>
      <c r="AU694" t="s">
        <v>57</v>
      </c>
      <c r="AV694" t="s">
        <v>68</v>
      </c>
      <c r="AX694" t="s">
        <v>57</v>
      </c>
      <c r="AY694">
        <v>631110</v>
      </c>
      <c r="AZ694">
        <v>1204.63111</v>
      </c>
      <c r="BA694" s="23" t="s">
        <v>12</v>
      </c>
    </row>
    <row r="695" spans="1:53" x14ac:dyDescent="0.25">
      <c r="A695" t="s">
        <v>134</v>
      </c>
      <c r="B695" t="s">
        <v>135</v>
      </c>
      <c r="C695">
        <v>22001880</v>
      </c>
      <c r="D695">
        <v>1204</v>
      </c>
      <c r="E695" s="11">
        <v>44791</v>
      </c>
      <c r="F695" t="s">
        <v>135</v>
      </c>
      <c r="G695">
        <v>0.6</v>
      </c>
      <c r="H695">
        <v>0.6</v>
      </c>
      <c r="I695" t="s">
        <v>56</v>
      </c>
      <c r="O695" t="s">
        <v>57</v>
      </c>
      <c r="Q695" t="s">
        <v>57</v>
      </c>
      <c r="R695" t="s">
        <v>137</v>
      </c>
      <c r="T695" t="s">
        <v>59</v>
      </c>
      <c r="U695" t="s">
        <v>60</v>
      </c>
      <c r="V695" t="s">
        <v>138</v>
      </c>
      <c r="W695" t="s">
        <v>139</v>
      </c>
      <c r="X695">
        <v>1933542</v>
      </c>
      <c r="Y695" s="11">
        <v>44791</v>
      </c>
      <c r="Z695" t="s">
        <v>57</v>
      </c>
      <c r="AA695">
        <v>14</v>
      </c>
      <c r="AB695" t="s">
        <v>57</v>
      </c>
      <c r="AD695" t="s">
        <v>57</v>
      </c>
      <c r="AE695" t="s">
        <v>57</v>
      </c>
      <c r="AF695" t="s">
        <v>57</v>
      </c>
      <c r="AG695">
        <v>4</v>
      </c>
      <c r="AH695" t="s">
        <v>57</v>
      </c>
      <c r="AL695" t="s">
        <v>57</v>
      </c>
      <c r="AM695" s="11">
        <v>44791</v>
      </c>
      <c r="AN695" t="s">
        <v>176</v>
      </c>
      <c r="AO695" t="s">
        <v>65</v>
      </c>
      <c r="AP695">
        <v>1204</v>
      </c>
      <c r="AQ695" t="s">
        <v>66</v>
      </c>
      <c r="AR695">
        <v>144854</v>
      </c>
      <c r="AU695" t="s">
        <v>57</v>
      </c>
      <c r="AV695" t="s">
        <v>68</v>
      </c>
      <c r="AX695" t="s">
        <v>57</v>
      </c>
      <c r="AY695">
        <v>631110</v>
      </c>
      <c r="AZ695">
        <v>1204.63111</v>
      </c>
      <c r="BA695" s="23" t="s">
        <v>12</v>
      </c>
    </row>
    <row r="696" spans="1:53" x14ac:dyDescent="0.25">
      <c r="A696" t="s">
        <v>134</v>
      </c>
      <c r="B696" t="s">
        <v>135</v>
      </c>
      <c r="C696">
        <v>22001880</v>
      </c>
      <c r="D696">
        <v>1204</v>
      </c>
      <c r="E696" s="11">
        <v>44791</v>
      </c>
      <c r="F696" t="s">
        <v>135</v>
      </c>
      <c r="G696">
        <v>0.08</v>
      </c>
      <c r="H696">
        <v>0.08</v>
      </c>
      <c r="I696" t="s">
        <v>56</v>
      </c>
      <c r="O696" t="s">
        <v>57</v>
      </c>
      <c r="Q696" t="s">
        <v>57</v>
      </c>
      <c r="R696" t="s">
        <v>137</v>
      </c>
      <c r="T696" t="s">
        <v>59</v>
      </c>
      <c r="U696" t="s">
        <v>60</v>
      </c>
      <c r="V696" t="s">
        <v>138</v>
      </c>
      <c r="W696" t="s">
        <v>139</v>
      </c>
      <c r="X696">
        <v>1933542</v>
      </c>
      <c r="Y696" s="11">
        <v>44791</v>
      </c>
      <c r="Z696" t="s">
        <v>57</v>
      </c>
      <c r="AA696">
        <v>2</v>
      </c>
      <c r="AB696" t="s">
        <v>57</v>
      </c>
      <c r="AD696" t="s">
        <v>57</v>
      </c>
      <c r="AE696" t="s">
        <v>57</v>
      </c>
      <c r="AF696" t="s">
        <v>57</v>
      </c>
      <c r="AG696">
        <v>1</v>
      </c>
      <c r="AH696" t="s">
        <v>57</v>
      </c>
      <c r="AL696" t="s">
        <v>57</v>
      </c>
      <c r="AM696" s="11">
        <v>44791</v>
      </c>
      <c r="AN696" t="s">
        <v>176</v>
      </c>
      <c r="AO696" t="s">
        <v>65</v>
      </c>
      <c r="AP696">
        <v>1204</v>
      </c>
      <c r="AQ696" t="s">
        <v>66</v>
      </c>
      <c r="AR696">
        <v>91479</v>
      </c>
      <c r="AU696" t="s">
        <v>57</v>
      </c>
      <c r="AV696" t="s">
        <v>68</v>
      </c>
      <c r="AX696" t="s">
        <v>57</v>
      </c>
      <c r="AY696">
        <v>631110</v>
      </c>
      <c r="AZ696">
        <v>1204.63111</v>
      </c>
      <c r="BA696" s="23" t="s">
        <v>12</v>
      </c>
    </row>
    <row r="697" spans="1:53" x14ac:dyDescent="0.25">
      <c r="A697" t="s">
        <v>134</v>
      </c>
      <c r="B697" t="s">
        <v>135</v>
      </c>
      <c r="C697">
        <v>22001880</v>
      </c>
      <c r="D697">
        <v>1204</v>
      </c>
      <c r="E697" s="11">
        <v>44791</v>
      </c>
      <c r="F697" t="s">
        <v>135</v>
      </c>
      <c r="G697">
        <v>3.24</v>
      </c>
      <c r="H697">
        <v>3.24</v>
      </c>
      <c r="I697" t="s">
        <v>56</v>
      </c>
      <c r="O697" t="s">
        <v>57</v>
      </c>
      <c r="Q697" t="s">
        <v>57</v>
      </c>
      <c r="R697" t="s">
        <v>137</v>
      </c>
      <c r="T697" t="s">
        <v>59</v>
      </c>
      <c r="U697" t="s">
        <v>60</v>
      </c>
      <c r="V697" t="s">
        <v>138</v>
      </c>
      <c r="W697" t="s">
        <v>139</v>
      </c>
      <c r="X697">
        <v>1933542</v>
      </c>
      <c r="Y697" s="11">
        <v>44791</v>
      </c>
      <c r="Z697" t="s">
        <v>57</v>
      </c>
      <c r="AA697">
        <v>4</v>
      </c>
      <c r="AB697" t="s">
        <v>57</v>
      </c>
      <c r="AD697" t="s">
        <v>57</v>
      </c>
      <c r="AE697" t="s">
        <v>57</v>
      </c>
      <c r="AF697" t="s">
        <v>57</v>
      </c>
      <c r="AG697">
        <v>30</v>
      </c>
      <c r="AH697" t="s">
        <v>57</v>
      </c>
      <c r="AL697" t="s">
        <v>57</v>
      </c>
      <c r="AM697" s="11">
        <v>44791</v>
      </c>
      <c r="AN697" t="s">
        <v>176</v>
      </c>
      <c r="AO697" t="s">
        <v>65</v>
      </c>
      <c r="AP697">
        <v>1204</v>
      </c>
      <c r="AQ697" t="s">
        <v>66</v>
      </c>
      <c r="AR697">
        <v>265267</v>
      </c>
      <c r="AU697" t="s">
        <v>57</v>
      </c>
      <c r="AV697" t="s">
        <v>68</v>
      </c>
      <c r="AX697" t="s">
        <v>57</v>
      </c>
      <c r="AY697">
        <v>631110</v>
      </c>
      <c r="AZ697">
        <v>1204.63111</v>
      </c>
      <c r="BA697" s="23" t="s">
        <v>12</v>
      </c>
    </row>
    <row r="698" spans="1:53" x14ac:dyDescent="0.25">
      <c r="A698" t="s">
        <v>134</v>
      </c>
      <c r="B698" t="s">
        <v>135</v>
      </c>
      <c r="C698">
        <v>22001880</v>
      </c>
      <c r="D698">
        <v>1204</v>
      </c>
      <c r="E698" s="11">
        <v>44791</v>
      </c>
      <c r="F698" t="s">
        <v>135</v>
      </c>
      <c r="G698">
        <v>0.77</v>
      </c>
      <c r="H698">
        <v>0.77</v>
      </c>
      <c r="I698" t="s">
        <v>56</v>
      </c>
      <c r="O698" t="s">
        <v>57</v>
      </c>
      <c r="Q698" t="s">
        <v>57</v>
      </c>
      <c r="R698" t="s">
        <v>137</v>
      </c>
      <c r="T698" t="s">
        <v>59</v>
      </c>
      <c r="U698" t="s">
        <v>60</v>
      </c>
      <c r="V698" t="s">
        <v>138</v>
      </c>
      <c r="W698" t="s">
        <v>139</v>
      </c>
      <c r="X698">
        <v>1933542</v>
      </c>
      <c r="Y698" s="11">
        <v>44791</v>
      </c>
      <c r="Z698" t="s">
        <v>57</v>
      </c>
      <c r="AA698">
        <v>6</v>
      </c>
      <c r="AB698" t="s">
        <v>57</v>
      </c>
      <c r="AD698" t="s">
        <v>57</v>
      </c>
      <c r="AE698" t="s">
        <v>57</v>
      </c>
      <c r="AF698" t="s">
        <v>57</v>
      </c>
      <c r="AG698">
        <v>7</v>
      </c>
      <c r="AH698" t="s">
        <v>57</v>
      </c>
      <c r="AL698" t="s">
        <v>57</v>
      </c>
      <c r="AM698" s="11">
        <v>44791</v>
      </c>
      <c r="AN698" t="s">
        <v>176</v>
      </c>
      <c r="AO698" t="s">
        <v>65</v>
      </c>
      <c r="AP698">
        <v>1204</v>
      </c>
      <c r="AQ698" t="s">
        <v>66</v>
      </c>
      <c r="AR698">
        <v>90435</v>
      </c>
      <c r="AU698" t="s">
        <v>57</v>
      </c>
      <c r="AV698" t="s">
        <v>68</v>
      </c>
      <c r="AX698" t="s">
        <v>57</v>
      </c>
      <c r="AY698">
        <v>631110</v>
      </c>
      <c r="AZ698">
        <v>1204.63111</v>
      </c>
      <c r="BA698" s="23" t="s">
        <v>12</v>
      </c>
    </row>
    <row r="699" spans="1:53" x14ac:dyDescent="0.25">
      <c r="A699" t="s">
        <v>134</v>
      </c>
      <c r="B699" t="s">
        <v>135</v>
      </c>
      <c r="C699">
        <v>22001880</v>
      </c>
      <c r="D699">
        <v>1204</v>
      </c>
      <c r="E699" s="11">
        <v>44791</v>
      </c>
      <c r="F699" t="s">
        <v>135</v>
      </c>
      <c r="G699">
        <v>3.08</v>
      </c>
      <c r="H699">
        <v>3.08</v>
      </c>
      <c r="I699" t="s">
        <v>56</v>
      </c>
      <c r="O699" t="s">
        <v>57</v>
      </c>
      <c r="Q699" t="s">
        <v>57</v>
      </c>
      <c r="R699" t="s">
        <v>137</v>
      </c>
      <c r="T699" t="s">
        <v>59</v>
      </c>
      <c r="U699" t="s">
        <v>60</v>
      </c>
      <c r="V699" t="s">
        <v>138</v>
      </c>
      <c r="W699" t="s">
        <v>139</v>
      </c>
      <c r="X699">
        <v>1933542</v>
      </c>
      <c r="Y699" s="11">
        <v>44791</v>
      </c>
      <c r="Z699" t="s">
        <v>57</v>
      </c>
      <c r="AA699">
        <v>8</v>
      </c>
      <c r="AB699" t="s">
        <v>57</v>
      </c>
      <c r="AD699" t="s">
        <v>57</v>
      </c>
      <c r="AE699" t="s">
        <v>57</v>
      </c>
      <c r="AF699" t="s">
        <v>57</v>
      </c>
      <c r="AG699">
        <v>20</v>
      </c>
      <c r="AH699" t="s">
        <v>57</v>
      </c>
      <c r="AL699" t="s">
        <v>57</v>
      </c>
      <c r="AM699" s="11">
        <v>44791</v>
      </c>
      <c r="AN699" t="s">
        <v>176</v>
      </c>
      <c r="AO699" t="s">
        <v>65</v>
      </c>
      <c r="AP699">
        <v>1204</v>
      </c>
      <c r="AQ699" t="s">
        <v>66</v>
      </c>
      <c r="AR699">
        <v>147840</v>
      </c>
      <c r="AU699" t="s">
        <v>57</v>
      </c>
      <c r="AV699" t="s">
        <v>68</v>
      </c>
      <c r="AX699" t="s">
        <v>57</v>
      </c>
      <c r="AY699">
        <v>631110</v>
      </c>
      <c r="AZ699">
        <v>1204.63111</v>
      </c>
      <c r="BA699" s="23" t="s">
        <v>12</v>
      </c>
    </row>
    <row r="700" spans="1:53" x14ac:dyDescent="0.25">
      <c r="A700" t="s">
        <v>134</v>
      </c>
      <c r="B700" t="s">
        <v>135</v>
      </c>
      <c r="C700">
        <v>22001888</v>
      </c>
      <c r="D700">
        <v>1204</v>
      </c>
      <c r="E700" s="11">
        <v>44792</v>
      </c>
      <c r="F700" t="s">
        <v>172</v>
      </c>
      <c r="G700">
        <v>8.06</v>
      </c>
      <c r="H700">
        <v>8.06</v>
      </c>
      <c r="I700" t="s">
        <v>56</v>
      </c>
      <c r="O700" t="s">
        <v>57</v>
      </c>
      <c r="Q700" t="s">
        <v>57</v>
      </c>
      <c r="R700" t="s">
        <v>137</v>
      </c>
      <c r="T700" t="s">
        <v>59</v>
      </c>
      <c r="U700" t="s">
        <v>60</v>
      </c>
      <c r="V700" t="s">
        <v>138</v>
      </c>
      <c r="W700" t="s">
        <v>139</v>
      </c>
      <c r="X700">
        <v>1934035</v>
      </c>
      <c r="Y700" s="11">
        <v>44792</v>
      </c>
      <c r="Z700" t="s">
        <v>57</v>
      </c>
      <c r="AA700">
        <v>2</v>
      </c>
      <c r="AB700" t="s">
        <v>57</v>
      </c>
      <c r="AD700" t="s">
        <v>57</v>
      </c>
      <c r="AE700" t="s">
        <v>57</v>
      </c>
      <c r="AF700" t="s">
        <v>57</v>
      </c>
      <c r="AG700">
        <v>1</v>
      </c>
      <c r="AH700" t="s">
        <v>57</v>
      </c>
      <c r="AL700" t="s">
        <v>57</v>
      </c>
      <c r="AM700" s="11">
        <v>44792</v>
      </c>
      <c r="AN700" t="s">
        <v>173</v>
      </c>
      <c r="AO700" t="s">
        <v>65</v>
      </c>
      <c r="AP700">
        <v>1204</v>
      </c>
      <c r="AQ700" t="s">
        <v>66</v>
      </c>
      <c r="AR700">
        <v>279991</v>
      </c>
      <c r="AU700" t="s">
        <v>57</v>
      </c>
      <c r="AV700" t="s">
        <v>68</v>
      </c>
      <c r="AX700" t="s">
        <v>57</v>
      </c>
      <c r="AY700">
        <v>631110</v>
      </c>
      <c r="AZ700">
        <v>1204.63111</v>
      </c>
      <c r="BA700" s="23" t="s">
        <v>12</v>
      </c>
    </row>
    <row r="701" spans="1:53" x14ac:dyDescent="0.25">
      <c r="A701" t="s">
        <v>134</v>
      </c>
      <c r="B701" t="s">
        <v>135</v>
      </c>
      <c r="C701">
        <v>22001891</v>
      </c>
      <c r="D701">
        <v>1204</v>
      </c>
      <c r="E701" s="11">
        <v>44792</v>
      </c>
      <c r="F701" t="s">
        <v>174</v>
      </c>
      <c r="G701">
        <v>2.4700000000000002</v>
      </c>
      <c r="H701">
        <v>2.4700000000000002</v>
      </c>
      <c r="I701" t="s">
        <v>56</v>
      </c>
      <c r="O701" t="s">
        <v>57</v>
      </c>
      <c r="Q701" t="s">
        <v>57</v>
      </c>
      <c r="R701" t="s">
        <v>137</v>
      </c>
      <c r="T701" t="s">
        <v>59</v>
      </c>
      <c r="U701" t="s">
        <v>60</v>
      </c>
      <c r="V701" t="s">
        <v>138</v>
      </c>
      <c r="W701" t="s">
        <v>139</v>
      </c>
      <c r="X701">
        <v>1934076</v>
      </c>
      <c r="Y701" s="11">
        <v>44792</v>
      </c>
      <c r="Z701" t="s">
        <v>57</v>
      </c>
      <c r="AA701">
        <v>2</v>
      </c>
      <c r="AB701" t="s">
        <v>57</v>
      </c>
      <c r="AD701" t="s">
        <v>57</v>
      </c>
      <c r="AE701" t="s">
        <v>57</v>
      </c>
      <c r="AF701" t="s">
        <v>57</v>
      </c>
      <c r="AG701">
        <v>1</v>
      </c>
      <c r="AH701" t="s">
        <v>57</v>
      </c>
      <c r="AL701" t="s">
        <v>57</v>
      </c>
      <c r="AM701" s="11">
        <v>44792</v>
      </c>
      <c r="AN701" t="s">
        <v>173</v>
      </c>
      <c r="AO701" t="s">
        <v>65</v>
      </c>
      <c r="AP701">
        <v>1204</v>
      </c>
      <c r="AQ701" t="s">
        <v>66</v>
      </c>
      <c r="AR701">
        <v>152910</v>
      </c>
      <c r="AU701" t="s">
        <v>57</v>
      </c>
      <c r="AV701" t="s">
        <v>68</v>
      </c>
      <c r="AX701" t="s">
        <v>57</v>
      </c>
      <c r="AY701">
        <v>631110</v>
      </c>
      <c r="AZ701">
        <v>1204.63111</v>
      </c>
      <c r="BA701" s="23" t="s">
        <v>12</v>
      </c>
    </row>
    <row r="702" spans="1:53" x14ac:dyDescent="0.25">
      <c r="A702" t="s">
        <v>134</v>
      </c>
      <c r="B702" t="s">
        <v>135</v>
      </c>
      <c r="C702">
        <v>22001891</v>
      </c>
      <c r="D702">
        <v>1204</v>
      </c>
      <c r="E702" s="11">
        <v>44792</v>
      </c>
      <c r="F702" t="s">
        <v>174</v>
      </c>
      <c r="G702">
        <v>1.18</v>
      </c>
      <c r="H702">
        <v>1.18</v>
      </c>
      <c r="I702" t="s">
        <v>56</v>
      </c>
      <c r="O702" t="s">
        <v>57</v>
      </c>
      <c r="Q702" t="s">
        <v>57</v>
      </c>
      <c r="R702" t="s">
        <v>137</v>
      </c>
      <c r="T702" t="s">
        <v>59</v>
      </c>
      <c r="U702" t="s">
        <v>60</v>
      </c>
      <c r="V702" t="s">
        <v>138</v>
      </c>
      <c r="W702" t="s">
        <v>139</v>
      </c>
      <c r="X702">
        <v>1934076</v>
      </c>
      <c r="Y702" s="11">
        <v>44792</v>
      </c>
      <c r="Z702" t="s">
        <v>57</v>
      </c>
      <c r="AA702">
        <v>4</v>
      </c>
      <c r="AB702" t="s">
        <v>57</v>
      </c>
      <c r="AD702" t="s">
        <v>57</v>
      </c>
      <c r="AE702" t="s">
        <v>57</v>
      </c>
      <c r="AF702" t="s">
        <v>57</v>
      </c>
      <c r="AG702">
        <v>1</v>
      </c>
      <c r="AH702" t="s">
        <v>57</v>
      </c>
      <c r="AL702" t="s">
        <v>57</v>
      </c>
      <c r="AM702" s="11">
        <v>44792</v>
      </c>
      <c r="AN702" t="s">
        <v>173</v>
      </c>
      <c r="AO702" t="s">
        <v>65</v>
      </c>
      <c r="AP702">
        <v>1204</v>
      </c>
      <c r="AQ702" t="s">
        <v>66</v>
      </c>
      <c r="AR702">
        <v>217204</v>
      </c>
      <c r="AU702" t="s">
        <v>57</v>
      </c>
      <c r="AV702" t="s">
        <v>68</v>
      </c>
      <c r="AX702" t="s">
        <v>57</v>
      </c>
      <c r="AY702">
        <v>631110</v>
      </c>
      <c r="AZ702">
        <v>1204.63111</v>
      </c>
      <c r="BA702" s="23" t="s">
        <v>12</v>
      </c>
    </row>
    <row r="703" spans="1:53" x14ac:dyDescent="0.25">
      <c r="A703" t="s">
        <v>134</v>
      </c>
      <c r="B703" t="s">
        <v>135</v>
      </c>
      <c r="C703">
        <v>22001891</v>
      </c>
      <c r="D703">
        <v>1204</v>
      </c>
      <c r="E703" s="11">
        <v>44792</v>
      </c>
      <c r="F703" t="s">
        <v>174</v>
      </c>
      <c r="G703">
        <v>7.66</v>
      </c>
      <c r="H703">
        <v>7.66</v>
      </c>
      <c r="I703" t="s">
        <v>56</v>
      </c>
      <c r="O703" t="s">
        <v>57</v>
      </c>
      <c r="Q703" t="s">
        <v>57</v>
      </c>
      <c r="R703" t="s">
        <v>137</v>
      </c>
      <c r="T703" t="s">
        <v>59</v>
      </c>
      <c r="U703" t="s">
        <v>60</v>
      </c>
      <c r="V703" t="s">
        <v>138</v>
      </c>
      <c r="W703" t="s">
        <v>139</v>
      </c>
      <c r="X703">
        <v>1934076</v>
      </c>
      <c r="Y703" s="11">
        <v>44792</v>
      </c>
      <c r="Z703" t="s">
        <v>57</v>
      </c>
      <c r="AA703">
        <v>6</v>
      </c>
      <c r="AB703" t="s">
        <v>57</v>
      </c>
      <c r="AD703" t="s">
        <v>57</v>
      </c>
      <c r="AE703" t="s">
        <v>57</v>
      </c>
      <c r="AF703" t="s">
        <v>57</v>
      </c>
      <c r="AG703">
        <v>2</v>
      </c>
      <c r="AH703" t="s">
        <v>57</v>
      </c>
      <c r="AL703" t="s">
        <v>57</v>
      </c>
      <c r="AM703" s="11">
        <v>44792</v>
      </c>
      <c r="AN703" t="s">
        <v>173</v>
      </c>
      <c r="AO703" t="s">
        <v>65</v>
      </c>
      <c r="AP703">
        <v>1204</v>
      </c>
      <c r="AQ703" t="s">
        <v>66</v>
      </c>
      <c r="AR703">
        <v>267401</v>
      </c>
      <c r="AU703" t="s">
        <v>57</v>
      </c>
      <c r="AV703" t="s">
        <v>68</v>
      </c>
      <c r="AX703" t="s">
        <v>57</v>
      </c>
      <c r="AY703">
        <v>631110</v>
      </c>
      <c r="AZ703">
        <v>1204.63111</v>
      </c>
      <c r="BA703" s="23" t="s">
        <v>12</v>
      </c>
    </row>
    <row r="704" spans="1:53" x14ac:dyDescent="0.25">
      <c r="A704" t="s">
        <v>134</v>
      </c>
      <c r="B704" t="s">
        <v>135</v>
      </c>
      <c r="C704">
        <v>22001891</v>
      </c>
      <c r="D704">
        <v>1204</v>
      </c>
      <c r="E704" s="11">
        <v>44792</v>
      </c>
      <c r="F704" t="s">
        <v>174</v>
      </c>
      <c r="G704">
        <v>2.4700000000000002</v>
      </c>
      <c r="H704">
        <v>2.4700000000000002</v>
      </c>
      <c r="I704" t="s">
        <v>56</v>
      </c>
      <c r="O704" t="s">
        <v>57</v>
      </c>
      <c r="Q704" t="s">
        <v>57</v>
      </c>
      <c r="R704" t="s">
        <v>137</v>
      </c>
      <c r="T704" t="s">
        <v>59</v>
      </c>
      <c r="U704" t="s">
        <v>60</v>
      </c>
      <c r="V704" t="s">
        <v>138</v>
      </c>
      <c r="W704" t="s">
        <v>139</v>
      </c>
      <c r="X704">
        <v>1934076</v>
      </c>
      <c r="Y704" s="11">
        <v>44792</v>
      </c>
      <c r="Z704" t="s">
        <v>57</v>
      </c>
      <c r="AA704">
        <v>8</v>
      </c>
      <c r="AB704" t="s">
        <v>57</v>
      </c>
      <c r="AD704" t="s">
        <v>57</v>
      </c>
      <c r="AE704" t="s">
        <v>57</v>
      </c>
      <c r="AF704" t="s">
        <v>57</v>
      </c>
      <c r="AG704">
        <v>5</v>
      </c>
      <c r="AH704" t="s">
        <v>57</v>
      </c>
      <c r="AL704" t="s">
        <v>57</v>
      </c>
      <c r="AM704" s="11">
        <v>44792</v>
      </c>
      <c r="AN704" t="s">
        <v>173</v>
      </c>
      <c r="AO704" t="s">
        <v>65</v>
      </c>
      <c r="AP704">
        <v>1204</v>
      </c>
      <c r="AQ704" t="s">
        <v>66</v>
      </c>
      <c r="AR704">
        <v>121863</v>
      </c>
      <c r="AU704" t="s">
        <v>57</v>
      </c>
      <c r="AV704" t="s">
        <v>68</v>
      </c>
      <c r="AX704" t="s">
        <v>57</v>
      </c>
      <c r="AY704">
        <v>631110</v>
      </c>
      <c r="AZ704">
        <v>1204.63111</v>
      </c>
      <c r="BA704" s="23" t="s">
        <v>12</v>
      </c>
    </row>
    <row r="705" spans="1:53" x14ac:dyDescent="0.25">
      <c r="A705" t="s">
        <v>134</v>
      </c>
      <c r="B705" t="s">
        <v>135</v>
      </c>
      <c r="C705">
        <v>22001891</v>
      </c>
      <c r="D705">
        <v>1204</v>
      </c>
      <c r="E705" s="11">
        <v>44792</v>
      </c>
      <c r="F705" t="s">
        <v>174</v>
      </c>
      <c r="G705">
        <v>38.69</v>
      </c>
      <c r="H705">
        <v>38.69</v>
      </c>
      <c r="I705" t="s">
        <v>56</v>
      </c>
      <c r="O705" t="s">
        <v>57</v>
      </c>
      <c r="Q705" t="s">
        <v>57</v>
      </c>
      <c r="R705" t="s">
        <v>137</v>
      </c>
      <c r="T705" t="s">
        <v>59</v>
      </c>
      <c r="U705" t="s">
        <v>60</v>
      </c>
      <c r="V705" t="s">
        <v>138</v>
      </c>
      <c r="W705" t="s">
        <v>139</v>
      </c>
      <c r="X705">
        <v>1934076</v>
      </c>
      <c r="Y705" s="11">
        <v>44792</v>
      </c>
      <c r="Z705" t="s">
        <v>57</v>
      </c>
      <c r="AA705">
        <v>10</v>
      </c>
      <c r="AB705" t="s">
        <v>57</v>
      </c>
      <c r="AD705" t="s">
        <v>57</v>
      </c>
      <c r="AE705" t="s">
        <v>57</v>
      </c>
      <c r="AF705" t="s">
        <v>57</v>
      </c>
      <c r="AG705">
        <v>5</v>
      </c>
      <c r="AH705" t="s">
        <v>57</v>
      </c>
      <c r="AL705" t="s">
        <v>57</v>
      </c>
      <c r="AM705" s="11">
        <v>44792</v>
      </c>
      <c r="AN705" t="s">
        <v>173</v>
      </c>
      <c r="AO705" t="s">
        <v>65</v>
      </c>
      <c r="AP705">
        <v>1204</v>
      </c>
      <c r="AQ705" t="s">
        <v>66</v>
      </c>
      <c r="AR705">
        <v>281047</v>
      </c>
      <c r="AU705" t="s">
        <v>57</v>
      </c>
      <c r="AV705" t="s">
        <v>68</v>
      </c>
      <c r="AX705" t="s">
        <v>57</v>
      </c>
      <c r="AY705">
        <v>631110</v>
      </c>
      <c r="AZ705">
        <v>1204.63111</v>
      </c>
      <c r="BA705" s="23" t="s">
        <v>12</v>
      </c>
    </row>
    <row r="706" spans="1:53" x14ac:dyDescent="0.25">
      <c r="A706" t="s">
        <v>134</v>
      </c>
      <c r="B706" t="s">
        <v>135</v>
      </c>
      <c r="C706">
        <v>22001891</v>
      </c>
      <c r="D706">
        <v>1204</v>
      </c>
      <c r="E706" s="11">
        <v>44792</v>
      </c>
      <c r="F706" t="s">
        <v>174</v>
      </c>
      <c r="G706">
        <v>0.49</v>
      </c>
      <c r="H706">
        <v>0.49</v>
      </c>
      <c r="I706" t="s">
        <v>56</v>
      </c>
      <c r="O706" t="s">
        <v>57</v>
      </c>
      <c r="Q706" t="s">
        <v>57</v>
      </c>
      <c r="R706" t="s">
        <v>137</v>
      </c>
      <c r="T706" t="s">
        <v>59</v>
      </c>
      <c r="U706" t="s">
        <v>60</v>
      </c>
      <c r="V706" t="s">
        <v>138</v>
      </c>
      <c r="W706" t="s">
        <v>139</v>
      </c>
      <c r="X706">
        <v>1934076</v>
      </c>
      <c r="Y706" s="11">
        <v>44792</v>
      </c>
      <c r="Z706" t="s">
        <v>57</v>
      </c>
      <c r="AA706">
        <v>12</v>
      </c>
      <c r="AB706" t="s">
        <v>57</v>
      </c>
      <c r="AD706" t="s">
        <v>57</v>
      </c>
      <c r="AE706" t="s">
        <v>57</v>
      </c>
      <c r="AF706" t="s">
        <v>57</v>
      </c>
      <c r="AG706">
        <v>1</v>
      </c>
      <c r="AH706" t="s">
        <v>57</v>
      </c>
      <c r="AL706" t="s">
        <v>57</v>
      </c>
      <c r="AM706" s="11">
        <v>44792</v>
      </c>
      <c r="AN706" t="s">
        <v>173</v>
      </c>
      <c r="AO706" t="s">
        <v>65</v>
      </c>
      <c r="AP706">
        <v>1204</v>
      </c>
      <c r="AQ706" t="s">
        <v>66</v>
      </c>
      <c r="AR706">
        <v>90122</v>
      </c>
      <c r="AU706" t="s">
        <v>57</v>
      </c>
      <c r="AV706" t="s">
        <v>68</v>
      </c>
      <c r="AX706" t="s">
        <v>57</v>
      </c>
      <c r="AY706">
        <v>631110</v>
      </c>
      <c r="AZ706">
        <v>1204.63111</v>
      </c>
      <c r="BA706" s="23" t="s">
        <v>12</v>
      </c>
    </row>
    <row r="707" spans="1:53" x14ac:dyDescent="0.25">
      <c r="A707" t="s">
        <v>134</v>
      </c>
      <c r="B707" t="s">
        <v>135</v>
      </c>
      <c r="C707">
        <v>22001891</v>
      </c>
      <c r="D707">
        <v>1204</v>
      </c>
      <c r="E707" s="11">
        <v>44792</v>
      </c>
      <c r="F707" t="s">
        <v>174</v>
      </c>
      <c r="G707">
        <v>10.77</v>
      </c>
      <c r="H707">
        <v>10.77</v>
      </c>
      <c r="I707" t="s">
        <v>56</v>
      </c>
      <c r="O707" t="s">
        <v>57</v>
      </c>
      <c r="Q707" t="s">
        <v>57</v>
      </c>
      <c r="R707" t="s">
        <v>137</v>
      </c>
      <c r="T707" t="s">
        <v>59</v>
      </c>
      <c r="U707" t="s">
        <v>60</v>
      </c>
      <c r="V707" t="s">
        <v>138</v>
      </c>
      <c r="W707" t="s">
        <v>139</v>
      </c>
      <c r="X707">
        <v>1934076</v>
      </c>
      <c r="Y707" s="11">
        <v>44792</v>
      </c>
      <c r="Z707" t="s">
        <v>57</v>
      </c>
      <c r="AA707">
        <v>14</v>
      </c>
      <c r="AB707" t="s">
        <v>57</v>
      </c>
      <c r="AD707" t="s">
        <v>57</v>
      </c>
      <c r="AE707" t="s">
        <v>57</v>
      </c>
      <c r="AF707" t="s">
        <v>57</v>
      </c>
      <c r="AG707">
        <v>1</v>
      </c>
      <c r="AH707" t="s">
        <v>57</v>
      </c>
      <c r="AL707" t="s">
        <v>57</v>
      </c>
      <c r="AM707" s="11">
        <v>44792</v>
      </c>
      <c r="AN707" t="s">
        <v>173</v>
      </c>
      <c r="AO707" t="s">
        <v>65</v>
      </c>
      <c r="AP707">
        <v>1204</v>
      </c>
      <c r="AQ707" t="s">
        <v>66</v>
      </c>
      <c r="AR707">
        <v>221864</v>
      </c>
      <c r="AU707" t="s">
        <v>57</v>
      </c>
      <c r="AV707" t="s">
        <v>68</v>
      </c>
      <c r="AX707" t="s">
        <v>57</v>
      </c>
      <c r="AY707">
        <v>631110</v>
      </c>
      <c r="AZ707">
        <v>1204.63111</v>
      </c>
      <c r="BA707" s="23" t="s">
        <v>12</v>
      </c>
    </row>
    <row r="708" spans="1:53" x14ac:dyDescent="0.25">
      <c r="A708" t="s">
        <v>134</v>
      </c>
      <c r="B708" t="s">
        <v>135</v>
      </c>
      <c r="C708">
        <v>22001892</v>
      </c>
      <c r="D708">
        <v>1204</v>
      </c>
      <c r="E708" s="11">
        <v>44792</v>
      </c>
      <c r="F708" t="s">
        <v>159</v>
      </c>
      <c r="G708">
        <v>30.24</v>
      </c>
      <c r="H708">
        <v>30.24</v>
      </c>
      <c r="I708" t="s">
        <v>56</v>
      </c>
      <c r="O708" t="s">
        <v>57</v>
      </c>
      <c r="Q708" t="s">
        <v>57</v>
      </c>
      <c r="R708" t="s">
        <v>137</v>
      </c>
      <c r="T708" t="s">
        <v>59</v>
      </c>
      <c r="U708" t="s">
        <v>60</v>
      </c>
      <c r="V708" t="s">
        <v>138</v>
      </c>
      <c r="W708" t="s">
        <v>139</v>
      </c>
      <c r="X708">
        <v>1934078</v>
      </c>
      <c r="Y708" s="11">
        <v>44792</v>
      </c>
      <c r="Z708" t="s">
        <v>57</v>
      </c>
      <c r="AA708">
        <v>2</v>
      </c>
      <c r="AB708" t="s">
        <v>57</v>
      </c>
      <c r="AD708" t="s">
        <v>57</v>
      </c>
      <c r="AE708" t="s">
        <v>57</v>
      </c>
      <c r="AF708" t="s">
        <v>57</v>
      </c>
      <c r="AG708">
        <v>2</v>
      </c>
      <c r="AH708" t="s">
        <v>57</v>
      </c>
      <c r="AL708" t="s">
        <v>57</v>
      </c>
      <c r="AM708" s="11">
        <v>44792</v>
      </c>
      <c r="AN708" t="s">
        <v>173</v>
      </c>
      <c r="AO708" t="s">
        <v>65</v>
      </c>
      <c r="AP708">
        <v>1204</v>
      </c>
      <c r="AQ708" t="s">
        <v>66</v>
      </c>
      <c r="AR708">
        <v>88717</v>
      </c>
      <c r="AU708" t="s">
        <v>57</v>
      </c>
      <c r="AV708" t="s">
        <v>68</v>
      </c>
      <c r="AX708" t="s">
        <v>57</v>
      </c>
      <c r="AY708">
        <v>631110</v>
      </c>
      <c r="AZ708">
        <v>1204.63111</v>
      </c>
      <c r="BA708" s="23" t="s">
        <v>12</v>
      </c>
    </row>
    <row r="709" spans="1:53" x14ac:dyDescent="0.25">
      <c r="A709" t="s">
        <v>134</v>
      </c>
      <c r="B709" t="s">
        <v>135</v>
      </c>
      <c r="C709">
        <v>22001893</v>
      </c>
      <c r="D709">
        <v>1204</v>
      </c>
      <c r="E709" s="11">
        <v>44792</v>
      </c>
      <c r="F709" t="s">
        <v>175</v>
      </c>
      <c r="G709">
        <v>0.63</v>
      </c>
      <c r="H709">
        <v>0.63</v>
      </c>
      <c r="I709" t="s">
        <v>56</v>
      </c>
      <c r="O709" t="s">
        <v>57</v>
      </c>
      <c r="Q709" t="s">
        <v>57</v>
      </c>
      <c r="R709" t="s">
        <v>137</v>
      </c>
      <c r="T709" t="s">
        <v>59</v>
      </c>
      <c r="U709" t="s">
        <v>60</v>
      </c>
      <c r="V709" t="s">
        <v>138</v>
      </c>
      <c r="W709" t="s">
        <v>139</v>
      </c>
      <c r="X709">
        <v>1934081</v>
      </c>
      <c r="Y709" s="11">
        <v>44792</v>
      </c>
      <c r="Z709" t="s">
        <v>57</v>
      </c>
      <c r="AA709">
        <v>12</v>
      </c>
      <c r="AB709" t="s">
        <v>57</v>
      </c>
      <c r="AD709" t="s">
        <v>57</v>
      </c>
      <c r="AE709" t="s">
        <v>57</v>
      </c>
      <c r="AF709" t="s">
        <v>57</v>
      </c>
      <c r="AG709">
        <v>4</v>
      </c>
      <c r="AH709" t="s">
        <v>57</v>
      </c>
      <c r="AL709" t="s">
        <v>57</v>
      </c>
      <c r="AM709" s="11">
        <v>44792</v>
      </c>
      <c r="AN709" t="s">
        <v>176</v>
      </c>
      <c r="AO709" t="s">
        <v>65</v>
      </c>
      <c r="AP709">
        <v>1204</v>
      </c>
      <c r="AQ709" t="s">
        <v>66</v>
      </c>
      <c r="AR709">
        <v>89712</v>
      </c>
      <c r="AU709" t="s">
        <v>57</v>
      </c>
      <c r="AV709" t="s">
        <v>68</v>
      </c>
      <c r="AX709" t="s">
        <v>57</v>
      </c>
      <c r="AY709">
        <v>631110</v>
      </c>
      <c r="AZ709">
        <v>1204.63111</v>
      </c>
      <c r="BA709" s="23" t="s">
        <v>12</v>
      </c>
    </row>
    <row r="710" spans="1:53" x14ac:dyDescent="0.25">
      <c r="A710" t="s">
        <v>134</v>
      </c>
      <c r="B710" t="s">
        <v>135</v>
      </c>
      <c r="C710">
        <v>22001893</v>
      </c>
      <c r="D710">
        <v>1204</v>
      </c>
      <c r="E710" s="11">
        <v>44792</v>
      </c>
      <c r="F710" t="s">
        <v>175</v>
      </c>
      <c r="G710">
        <v>10.220000000000001</v>
      </c>
      <c r="H710">
        <v>10.220000000000001</v>
      </c>
      <c r="I710" t="s">
        <v>56</v>
      </c>
      <c r="O710" t="s">
        <v>57</v>
      </c>
      <c r="Q710" t="s">
        <v>57</v>
      </c>
      <c r="R710" t="s">
        <v>137</v>
      </c>
      <c r="T710" t="s">
        <v>59</v>
      </c>
      <c r="U710" t="s">
        <v>60</v>
      </c>
      <c r="V710" t="s">
        <v>138</v>
      </c>
      <c r="W710" t="s">
        <v>139</v>
      </c>
      <c r="X710">
        <v>1934081</v>
      </c>
      <c r="Y710" s="11">
        <v>44792</v>
      </c>
      <c r="Z710" t="s">
        <v>57</v>
      </c>
      <c r="AA710">
        <v>14</v>
      </c>
      <c r="AB710" t="s">
        <v>57</v>
      </c>
      <c r="AD710" t="s">
        <v>57</v>
      </c>
      <c r="AE710" t="s">
        <v>57</v>
      </c>
      <c r="AF710" t="s">
        <v>57</v>
      </c>
      <c r="AG710">
        <v>28</v>
      </c>
      <c r="AH710" t="s">
        <v>57</v>
      </c>
      <c r="AL710" t="s">
        <v>57</v>
      </c>
      <c r="AM710" s="11">
        <v>44792</v>
      </c>
      <c r="AN710" t="s">
        <v>176</v>
      </c>
      <c r="AO710" t="s">
        <v>65</v>
      </c>
      <c r="AP710">
        <v>1204</v>
      </c>
      <c r="AQ710" t="s">
        <v>66</v>
      </c>
      <c r="AR710">
        <v>91011</v>
      </c>
      <c r="AU710" t="s">
        <v>57</v>
      </c>
      <c r="AV710" t="s">
        <v>68</v>
      </c>
      <c r="AX710" t="s">
        <v>57</v>
      </c>
      <c r="AY710">
        <v>631110</v>
      </c>
      <c r="AZ710">
        <v>1204.63111</v>
      </c>
      <c r="BA710" s="23" t="s">
        <v>12</v>
      </c>
    </row>
    <row r="711" spans="1:53" x14ac:dyDescent="0.25">
      <c r="A711" t="s">
        <v>134</v>
      </c>
      <c r="B711" t="s">
        <v>135</v>
      </c>
      <c r="C711">
        <v>22001893</v>
      </c>
      <c r="D711">
        <v>1204</v>
      </c>
      <c r="E711" s="11">
        <v>44792</v>
      </c>
      <c r="F711" t="s">
        <v>175</v>
      </c>
      <c r="G711">
        <v>1.05</v>
      </c>
      <c r="H711">
        <v>1.05</v>
      </c>
      <c r="I711" t="s">
        <v>56</v>
      </c>
      <c r="O711" t="s">
        <v>57</v>
      </c>
      <c r="Q711" t="s">
        <v>57</v>
      </c>
      <c r="R711" t="s">
        <v>137</v>
      </c>
      <c r="T711" t="s">
        <v>59</v>
      </c>
      <c r="U711" t="s">
        <v>60</v>
      </c>
      <c r="V711" t="s">
        <v>138</v>
      </c>
      <c r="W711" t="s">
        <v>139</v>
      </c>
      <c r="X711">
        <v>1934081</v>
      </c>
      <c r="Y711" s="11">
        <v>44792</v>
      </c>
      <c r="Z711" t="s">
        <v>57</v>
      </c>
      <c r="AA711">
        <v>16</v>
      </c>
      <c r="AB711" t="s">
        <v>57</v>
      </c>
      <c r="AD711" t="s">
        <v>57</v>
      </c>
      <c r="AE711" t="s">
        <v>57</v>
      </c>
      <c r="AF711" t="s">
        <v>57</v>
      </c>
      <c r="AG711">
        <v>7</v>
      </c>
      <c r="AH711" t="s">
        <v>57</v>
      </c>
      <c r="AL711" t="s">
        <v>57</v>
      </c>
      <c r="AM711" s="11">
        <v>44792</v>
      </c>
      <c r="AN711" t="s">
        <v>176</v>
      </c>
      <c r="AO711" t="s">
        <v>65</v>
      </c>
      <c r="AP711">
        <v>1204</v>
      </c>
      <c r="AQ711" t="s">
        <v>66</v>
      </c>
      <c r="AR711">
        <v>144854</v>
      </c>
      <c r="AU711" t="s">
        <v>57</v>
      </c>
      <c r="AV711" t="s">
        <v>68</v>
      </c>
      <c r="AX711" t="s">
        <v>57</v>
      </c>
      <c r="AY711">
        <v>631110</v>
      </c>
      <c r="AZ711">
        <v>1204.63111</v>
      </c>
      <c r="BA711" s="23" t="s">
        <v>12</v>
      </c>
    </row>
    <row r="712" spans="1:53" x14ac:dyDescent="0.25">
      <c r="A712" t="s">
        <v>134</v>
      </c>
      <c r="B712" t="s">
        <v>135</v>
      </c>
      <c r="C712">
        <v>22001893</v>
      </c>
      <c r="D712">
        <v>1204</v>
      </c>
      <c r="E712" s="11">
        <v>44792</v>
      </c>
      <c r="F712" t="s">
        <v>175</v>
      </c>
      <c r="G712">
        <v>0.82</v>
      </c>
      <c r="H712">
        <v>0.82</v>
      </c>
      <c r="I712" t="s">
        <v>56</v>
      </c>
      <c r="O712" t="s">
        <v>57</v>
      </c>
      <c r="Q712" t="s">
        <v>57</v>
      </c>
      <c r="R712" t="s">
        <v>137</v>
      </c>
      <c r="T712" t="s">
        <v>59</v>
      </c>
      <c r="U712" t="s">
        <v>60</v>
      </c>
      <c r="V712" t="s">
        <v>138</v>
      </c>
      <c r="W712" t="s">
        <v>139</v>
      </c>
      <c r="X712">
        <v>1934081</v>
      </c>
      <c r="Y712" s="11">
        <v>44792</v>
      </c>
      <c r="Z712" t="s">
        <v>57</v>
      </c>
      <c r="AA712">
        <v>2</v>
      </c>
      <c r="AB712" t="s">
        <v>57</v>
      </c>
      <c r="AD712" t="s">
        <v>57</v>
      </c>
      <c r="AE712" t="s">
        <v>57</v>
      </c>
      <c r="AF712" t="s">
        <v>57</v>
      </c>
      <c r="AG712">
        <v>10</v>
      </c>
      <c r="AH712" t="s">
        <v>57</v>
      </c>
      <c r="AL712" t="s">
        <v>57</v>
      </c>
      <c r="AM712" s="11">
        <v>44792</v>
      </c>
      <c r="AN712" t="s">
        <v>176</v>
      </c>
      <c r="AO712" t="s">
        <v>65</v>
      </c>
      <c r="AP712">
        <v>1204</v>
      </c>
      <c r="AQ712" t="s">
        <v>66</v>
      </c>
      <c r="AR712">
        <v>265878</v>
      </c>
      <c r="AU712" t="s">
        <v>57</v>
      </c>
      <c r="AV712" t="s">
        <v>68</v>
      </c>
      <c r="AX712" t="s">
        <v>57</v>
      </c>
      <c r="AY712">
        <v>631110</v>
      </c>
      <c r="AZ712">
        <v>1204.63111</v>
      </c>
      <c r="BA712" s="23" t="s">
        <v>12</v>
      </c>
    </row>
    <row r="713" spans="1:53" x14ac:dyDescent="0.25">
      <c r="A713" t="s">
        <v>134</v>
      </c>
      <c r="B713" t="s">
        <v>135</v>
      </c>
      <c r="C713">
        <v>22001893</v>
      </c>
      <c r="D713">
        <v>1204</v>
      </c>
      <c r="E713" s="11">
        <v>44792</v>
      </c>
      <c r="F713" t="s">
        <v>175</v>
      </c>
      <c r="G713">
        <v>0.08</v>
      </c>
      <c r="H713">
        <v>0.08</v>
      </c>
      <c r="I713" t="s">
        <v>56</v>
      </c>
      <c r="O713" t="s">
        <v>57</v>
      </c>
      <c r="Q713" t="s">
        <v>57</v>
      </c>
      <c r="R713" t="s">
        <v>137</v>
      </c>
      <c r="T713" t="s">
        <v>59</v>
      </c>
      <c r="U713" t="s">
        <v>60</v>
      </c>
      <c r="V713" t="s">
        <v>138</v>
      </c>
      <c r="W713" t="s">
        <v>139</v>
      </c>
      <c r="X713">
        <v>1934081</v>
      </c>
      <c r="Y713" s="11">
        <v>44792</v>
      </c>
      <c r="Z713" t="s">
        <v>57</v>
      </c>
      <c r="AA713">
        <v>4</v>
      </c>
      <c r="AB713" t="s">
        <v>57</v>
      </c>
      <c r="AD713" t="s">
        <v>57</v>
      </c>
      <c r="AE713" t="s">
        <v>57</v>
      </c>
      <c r="AF713" t="s">
        <v>57</v>
      </c>
      <c r="AG713">
        <v>1</v>
      </c>
      <c r="AH713" t="s">
        <v>57</v>
      </c>
      <c r="AL713" t="s">
        <v>57</v>
      </c>
      <c r="AM713" s="11">
        <v>44792</v>
      </c>
      <c r="AN713" t="s">
        <v>176</v>
      </c>
      <c r="AO713" t="s">
        <v>65</v>
      </c>
      <c r="AP713">
        <v>1204</v>
      </c>
      <c r="AQ713" t="s">
        <v>66</v>
      </c>
      <c r="AR713">
        <v>91479</v>
      </c>
      <c r="AU713" t="s">
        <v>57</v>
      </c>
      <c r="AV713" t="s">
        <v>68</v>
      </c>
      <c r="AX713" t="s">
        <v>57</v>
      </c>
      <c r="AY713">
        <v>631110</v>
      </c>
      <c r="AZ713">
        <v>1204.63111</v>
      </c>
      <c r="BA713" s="23" t="s">
        <v>12</v>
      </c>
    </row>
    <row r="714" spans="1:53" x14ac:dyDescent="0.25">
      <c r="A714" t="s">
        <v>134</v>
      </c>
      <c r="B714" t="s">
        <v>135</v>
      </c>
      <c r="C714">
        <v>22001893</v>
      </c>
      <c r="D714">
        <v>1204</v>
      </c>
      <c r="E714" s="11">
        <v>44792</v>
      </c>
      <c r="F714" t="s">
        <v>175</v>
      </c>
      <c r="G714">
        <v>6.47</v>
      </c>
      <c r="H714">
        <v>6.47</v>
      </c>
      <c r="I714" t="s">
        <v>56</v>
      </c>
      <c r="O714" t="s">
        <v>57</v>
      </c>
      <c r="Q714" t="s">
        <v>57</v>
      </c>
      <c r="R714" t="s">
        <v>137</v>
      </c>
      <c r="T714" t="s">
        <v>59</v>
      </c>
      <c r="U714" t="s">
        <v>60</v>
      </c>
      <c r="V714" t="s">
        <v>138</v>
      </c>
      <c r="W714" t="s">
        <v>139</v>
      </c>
      <c r="X714">
        <v>1934081</v>
      </c>
      <c r="Y714" s="11">
        <v>44792</v>
      </c>
      <c r="Z714" t="s">
        <v>57</v>
      </c>
      <c r="AA714">
        <v>6</v>
      </c>
      <c r="AB714" t="s">
        <v>57</v>
      </c>
      <c r="AD714" t="s">
        <v>57</v>
      </c>
      <c r="AE714" t="s">
        <v>57</v>
      </c>
      <c r="AF714" t="s">
        <v>57</v>
      </c>
      <c r="AG714">
        <v>60</v>
      </c>
      <c r="AH714" t="s">
        <v>57</v>
      </c>
      <c r="AL714" t="s">
        <v>57</v>
      </c>
      <c r="AM714" s="11">
        <v>44792</v>
      </c>
      <c r="AN714" t="s">
        <v>176</v>
      </c>
      <c r="AO714" t="s">
        <v>65</v>
      </c>
      <c r="AP714">
        <v>1204</v>
      </c>
      <c r="AQ714" t="s">
        <v>66</v>
      </c>
      <c r="AR714">
        <v>265267</v>
      </c>
      <c r="AU714" t="s">
        <v>57</v>
      </c>
      <c r="AV714" t="s">
        <v>68</v>
      </c>
      <c r="AX714" t="s">
        <v>57</v>
      </c>
      <c r="AY714">
        <v>631110</v>
      </c>
      <c r="AZ714">
        <v>1204.63111</v>
      </c>
      <c r="BA714" s="23" t="s">
        <v>12</v>
      </c>
    </row>
    <row r="715" spans="1:53" x14ac:dyDescent="0.25">
      <c r="A715" t="s">
        <v>134</v>
      </c>
      <c r="B715" t="s">
        <v>135</v>
      </c>
      <c r="C715">
        <v>22001893</v>
      </c>
      <c r="D715">
        <v>1204</v>
      </c>
      <c r="E715" s="11">
        <v>44792</v>
      </c>
      <c r="F715" t="s">
        <v>175</v>
      </c>
      <c r="G715">
        <v>0.08</v>
      </c>
      <c r="H715">
        <v>0.08</v>
      </c>
      <c r="I715" t="s">
        <v>56</v>
      </c>
      <c r="O715" t="s">
        <v>57</v>
      </c>
      <c r="Q715" t="s">
        <v>57</v>
      </c>
      <c r="R715" t="s">
        <v>137</v>
      </c>
      <c r="T715" t="s">
        <v>59</v>
      </c>
      <c r="U715" t="s">
        <v>60</v>
      </c>
      <c r="V715" t="s">
        <v>138</v>
      </c>
      <c r="W715" t="s">
        <v>139</v>
      </c>
      <c r="X715">
        <v>1934081</v>
      </c>
      <c r="Y715" s="11">
        <v>44792</v>
      </c>
      <c r="Z715" t="s">
        <v>57</v>
      </c>
      <c r="AA715">
        <v>8</v>
      </c>
      <c r="AB715" t="s">
        <v>57</v>
      </c>
      <c r="AD715" t="s">
        <v>57</v>
      </c>
      <c r="AE715" t="s">
        <v>57</v>
      </c>
      <c r="AF715" t="s">
        <v>57</v>
      </c>
      <c r="AG715">
        <v>1</v>
      </c>
      <c r="AH715" t="s">
        <v>57</v>
      </c>
      <c r="AL715" t="s">
        <v>57</v>
      </c>
      <c r="AM715" s="11">
        <v>44792</v>
      </c>
      <c r="AN715" t="s">
        <v>176</v>
      </c>
      <c r="AO715" t="s">
        <v>65</v>
      </c>
      <c r="AP715">
        <v>1204</v>
      </c>
      <c r="AQ715" t="s">
        <v>66</v>
      </c>
      <c r="AR715">
        <v>264585</v>
      </c>
      <c r="AU715" t="s">
        <v>57</v>
      </c>
      <c r="AV715" t="s">
        <v>68</v>
      </c>
      <c r="AX715" t="s">
        <v>57</v>
      </c>
      <c r="AY715">
        <v>631110</v>
      </c>
      <c r="AZ715">
        <v>1204.63111</v>
      </c>
      <c r="BA715" s="23" t="s">
        <v>12</v>
      </c>
    </row>
    <row r="716" spans="1:53" x14ac:dyDescent="0.25">
      <c r="A716" t="s">
        <v>134</v>
      </c>
      <c r="B716" t="s">
        <v>135</v>
      </c>
      <c r="C716">
        <v>22001893</v>
      </c>
      <c r="D716">
        <v>1204</v>
      </c>
      <c r="E716" s="11">
        <v>44792</v>
      </c>
      <c r="F716" t="s">
        <v>175</v>
      </c>
      <c r="G716">
        <v>4.62</v>
      </c>
      <c r="H716">
        <v>4.62</v>
      </c>
      <c r="I716" t="s">
        <v>56</v>
      </c>
      <c r="O716" t="s">
        <v>57</v>
      </c>
      <c r="Q716" t="s">
        <v>57</v>
      </c>
      <c r="R716" t="s">
        <v>137</v>
      </c>
      <c r="T716" t="s">
        <v>59</v>
      </c>
      <c r="U716" t="s">
        <v>60</v>
      </c>
      <c r="V716" t="s">
        <v>138</v>
      </c>
      <c r="W716" t="s">
        <v>139</v>
      </c>
      <c r="X716">
        <v>1934081</v>
      </c>
      <c r="Y716" s="11">
        <v>44792</v>
      </c>
      <c r="Z716" t="s">
        <v>57</v>
      </c>
      <c r="AA716">
        <v>10</v>
      </c>
      <c r="AB716" t="s">
        <v>57</v>
      </c>
      <c r="AD716" t="s">
        <v>57</v>
      </c>
      <c r="AE716" t="s">
        <v>57</v>
      </c>
      <c r="AF716" t="s">
        <v>57</v>
      </c>
      <c r="AG716">
        <v>30</v>
      </c>
      <c r="AH716" t="s">
        <v>57</v>
      </c>
      <c r="AL716" t="s">
        <v>57</v>
      </c>
      <c r="AM716" s="11">
        <v>44792</v>
      </c>
      <c r="AN716" t="s">
        <v>176</v>
      </c>
      <c r="AO716" t="s">
        <v>65</v>
      </c>
      <c r="AP716">
        <v>1204</v>
      </c>
      <c r="AQ716" t="s">
        <v>66</v>
      </c>
      <c r="AR716">
        <v>147840</v>
      </c>
      <c r="AU716" t="s">
        <v>57</v>
      </c>
      <c r="AV716" t="s">
        <v>68</v>
      </c>
      <c r="AX716" t="s">
        <v>57</v>
      </c>
      <c r="AY716">
        <v>631110</v>
      </c>
      <c r="AZ716">
        <v>1204.63111</v>
      </c>
      <c r="BA716" s="23" t="s">
        <v>12</v>
      </c>
    </row>
    <row r="717" spans="1:53" x14ac:dyDescent="0.25">
      <c r="A717" t="s">
        <v>134</v>
      </c>
      <c r="B717" t="s">
        <v>135</v>
      </c>
      <c r="C717">
        <v>22001894</v>
      </c>
      <c r="D717">
        <v>1204</v>
      </c>
      <c r="E717" s="11">
        <v>44795</v>
      </c>
      <c r="F717" t="s">
        <v>172</v>
      </c>
      <c r="G717">
        <v>45.93</v>
      </c>
      <c r="H717">
        <v>45.93</v>
      </c>
      <c r="I717" t="s">
        <v>56</v>
      </c>
      <c r="O717" t="s">
        <v>57</v>
      </c>
      <c r="Q717" t="s">
        <v>57</v>
      </c>
      <c r="R717" t="s">
        <v>137</v>
      </c>
      <c r="T717" t="s">
        <v>59</v>
      </c>
      <c r="U717" t="s">
        <v>60</v>
      </c>
      <c r="V717" t="s">
        <v>138</v>
      </c>
      <c r="W717" t="s">
        <v>139</v>
      </c>
      <c r="X717">
        <v>1934181</v>
      </c>
      <c r="Y717" s="11">
        <v>44795</v>
      </c>
      <c r="Z717" t="s">
        <v>57</v>
      </c>
      <c r="AA717">
        <v>4</v>
      </c>
      <c r="AB717" t="s">
        <v>57</v>
      </c>
      <c r="AD717" t="s">
        <v>57</v>
      </c>
      <c r="AE717" t="s">
        <v>57</v>
      </c>
      <c r="AF717" t="s">
        <v>57</v>
      </c>
      <c r="AG717">
        <v>30</v>
      </c>
      <c r="AH717" t="s">
        <v>57</v>
      </c>
      <c r="AL717" t="s">
        <v>57</v>
      </c>
      <c r="AM717" s="11">
        <v>44795</v>
      </c>
      <c r="AN717" t="s">
        <v>173</v>
      </c>
      <c r="AO717" t="s">
        <v>65</v>
      </c>
      <c r="AP717">
        <v>1204</v>
      </c>
      <c r="AQ717" t="s">
        <v>66</v>
      </c>
      <c r="AR717">
        <v>149525</v>
      </c>
      <c r="AU717" t="s">
        <v>57</v>
      </c>
      <c r="AV717" t="s">
        <v>68</v>
      </c>
      <c r="AX717" t="s">
        <v>57</v>
      </c>
      <c r="AY717">
        <v>631110</v>
      </c>
      <c r="AZ717">
        <v>1204.63111</v>
      </c>
      <c r="BA717" s="23" t="s">
        <v>12</v>
      </c>
    </row>
    <row r="718" spans="1:53" x14ac:dyDescent="0.25">
      <c r="A718" t="s">
        <v>134</v>
      </c>
      <c r="B718" t="s">
        <v>135</v>
      </c>
      <c r="C718">
        <v>22001894</v>
      </c>
      <c r="D718">
        <v>1204</v>
      </c>
      <c r="E718" s="11">
        <v>44795</v>
      </c>
      <c r="F718" t="s">
        <v>172</v>
      </c>
      <c r="G718">
        <v>8.06</v>
      </c>
      <c r="H718">
        <v>8.06</v>
      </c>
      <c r="I718" t="s">
        <v>56</v>
      </c>
      <c r="O718" t="s">
        <v>57</v>
      </c>
      <c r="Q718" t="s">
        <v>57</v>
      </c>
      <c r="R718" t="s">
        <v>137</v>
      </c>
      <c r="T718" t="s">
        <v>59</v>
      </c>
      <c r="U718" t="s">
        <v>60</v>
      </c>
      <c r="V718" t="s">
        <v>138</v>
      </c>
      <c r="W718" t="s">
        <v>139</v>
      </c>
      <c r="X718">
        <v>1934181</v>
      </c>
      <c r="Y718" s="11">
        <v>44795</v>
      </c>
      <c r="Z718" t="s">
        <v>57</v>
      </c>
      <c r="AA718">
        <v>2</v>
      </c>
      <c r="AB718" t="s">
        <v>57</v>
      </c>
      <c r="AD718" t="s">
        <v>57</v>
      </c>
      <c r="AE718" t="s">
        <v>57</v>
      </c>
      <c r="AF718" t="s">
        <v>57</v>
      </c>
      <c r="AG718">
        <v>1</v>
      </c>
      <c r="AH718" t="s">
        <v>57</v>
      </c>
      <c r="AL718" t="s">
        <v>57</v>
      </c>
      <c r="AM718" s="11">
        <v>44795</v>
      </c>
      <c r="AN718" t="s">
        <v>173</v>
      </c>
      <c r="AO718" t="s">
        <v>65</v>
      </c>
      <c r="AP718">
        <v>1204</v>
      </c>
      <c r="AQ718" t="s">
        <v>66</v>
      </c>
      <c r="AR718">
        <v>279991</v>
      </c>
      <c r="AU718" t="s">
        <v>57</v>
      </c>
      <c r="AV718" t="s">
        <v>68</v>
      </c>
      <c r="AX718" t="s">
        <v>57</v>
      </c>
      <c r="AY718">
        <v>631110</v>
      </c>
      <c r="AZ718">
        <v>1204.63111</v>
      </c>
      <c r="BA718" s="23" t="s">
        <v>12</v>
      </c>
    </row>
    <row r="719" spans="1:53" x14ac:dyDescent="0.25">
      <c r="A719" t="s">
        <v>134</v>
      </c>
      <c r="B719" t="s">
        <v>135</v>
      </c>
      <c r="C719">
        <v>22002261</v>
      </c>
      <c r="D719">
        <v>1205</v>
      </c>
      <c r="E719" s="11">
        <v>44774</v>
      </c>
      <c r="F719" t="s">
        <v>174</v>
      </c>
      <c r="G719">
        <v>1.37</v>
      </c>
      <c r="H719">
        <v>1.37</v>
      </c>
      <c r="I719" t="s">
        <v>56</v>
      </c>
      <c r="O719" t="s">
        <v>57</v>
      </c>
      <c r="Q719" t="s">
        <v>57</v>
      </c>
      <c r="R719" t="s">
        <v>137</v>
      </c>
      <c r="T719" t="s">
        <v>59</v>
      </c>
      <c r="U719" t="s">
        <v>60</v>
      </c>
      <c r="V719" t="s">
        <v>138</v>
      </c>
      <c r="W719" t="s">
        <v>139</v>
      </c>
      <c r="X719">
        <v>1925596</v>
      </c>
      <c r="Y719" s="11">
        <v>44774</v>
      </c>
      <c r="Z719" t="s">
        <v>57</v>
      </c>
      <c r="AA719">
        <v>2</v>
      </c>
      <c r="AB719" t="s">
        <v>57</v>
      </c>
      <c r="AD719" t="s">
        <v>57</v>
      </c>
      <c r="AE719" t="s">
        <v>57</v>
      </c>
      <c r="AF719" t="s">
        <v>57</v>
      </c>
      <c r="AG719">
        <v>1</v>
      </c>
      <c r="AH719" t="s">
        <v>57</v>
      </c>
      <c r="AL719" t="s">
        <v>57</v>
      </c>
      <c r="AM719" s="11">
        <v>44774</v>
      </c>
      <c r="AN719" t="s">
        <v>178</v>
      </c>
      <c r="AO719" t="s">
        <v>65</v>
      </c>
      <c r="AP719">
        <v>1205</v>
      </c>
      <c r="AQ719" t="s">
        <v>66</v>
      </c>
      <c r="AR719">
        <v>90197</v>
      </c>
      <c r="AU719" t="s">
        <v>57</v>
      </c>
      <c r="AV719" t="s">
        <v>68</v>
      </c>
      <c r="AX719" t="s">
        <v>57</v>
      </c>
      <c r="AY719">
        <v>631110</v>
      </c>
      <c r="AZ719">
        <v>1205.63111</v>
      </c>
      <c r="BA719" s="23" t="s">
        <v>13</v>
      </c>
    </row>
    <row r="720" spans="1:53" x14ac:dyDescent="0.25">
      <c r="A720" t="s">
        <v>134</v>
      </c>
      <c r="B720" t="s">
        <v>135</v>
      </c>
      <c r="C720">
        <v>22002261</v>
      </c>
      <c r="D720">
        <v>1205</v>
      </c>
      <c r="E720" s="11">
        <v>44774</v>
      </c>
      <c r="F720" t="s">
        <v>174</v>
      </c>
      <c r="G720">
        <v>2.1800000000000002</v>
      </c>
      <c r="H720">
        <v>2.1800000000000002</v>
      </c>
      <c r="I720" t="s">
        <v>56</v>
      </c>
      <c r="O720" t="s">
        <v>57</v>
      </c>
      <c r="Q720" t="s">
        <v>57</v>
      </c>
      <c r="R720" t="s">
        <v>137</v>
      </c>
      <c r="T720" t="s">
        <v>59</v>
      </c>
      <c r="U720" t="s">
        <v>60</v>
      </c>
      <c r="V720" t="s">
        <v>138</v>
      </c>
      <c r="W720" t="s">
        <v>139</v>
      </c>
      <c r="X720">
        <v>1925596</v>
      </c>
      <c r="Y720" s="11">
        <v>44774</v>
      </c>
      <c r="Z720" t="s">
        <v>57</v>
      </c>
      <c r="AA720">
        <v>4</v>
      </c>
      <c r="AB720" t="s">
        <v>57</v>
      </c>
      <c r="AD720" t="s">
        <v>57</v>
      </c>
      <c r="AE720" t="s">
        <v>57</v>
      </c>
      <c r="AF720" t="s">
        <v>57</v>
      </c>
      <c r="AG720">
        <v>2</v>
      </c>
      <c r="AH720" t="s">
        <v>57</v>
      </c>
      <c r="AL720" t="s">
        <v>57</v>
      </c>
      <c r="AM720" s="11">
        <v>44774</v>
      </c>
      <c r="AN720" t="s">
        <v>178</v>
      </c>
      <c r="AO720" t="s">
        <v>65</v>
      </c>
      <c r="AP720">
        <v>1205</v>
      </c>
      <c r="AQ720" t="s">
        <v>66</v>
      </c>
      <c r="AR720">
        <v>92298</v>
      </c>
      <c r="AU720" t="s">
        <v>57</v>
      </c>
      <c r="AV720" t="s">
        <v>68</v>
      </c>
      <c r="AX720" t="s">
        <v>57</v>
      </c>
      <c r="AY720">
        <v>631110</v>
      </c>
      <c r="AZ720">
        <v>1205.63111</v>
      </c>
      <c r="BA720" s="23" t="s">
        <v>13</v>
      </c>
    </row>
    <row r="721" spans="1:53" x14ac:dyDescent="0.25">
      <c r="A721" t="s">
        <v>134</v>
      </c>
      <c r="B721" t="s">
        <v>135</v>
      </c>
      <c r="C721">
        <v>22002261</v>
      </c>
      <c r="D721">
        <v>1205</v>
      </c>
      <c r="E721" s="11">
        <v>44774</v>
      </c>
      <c r="F721" t="s">
        <v>174</v>
      </c>
      <c r="G721">
        <v>0.04</v>
      </c>
      <c r="H721">
        <v>0.04</v>
      </c>
      <c r="I721" t="s">
        <v>56</v>
      </c>
      <c r="O721" t="s">
        <v>57</v>
      </c>
      <c r="Q721" t="s">
        <v>57</v>
      </c>
      <c r="R721" t="s">
        <v>137</v>
      </c>
      <c r="T721" t="s">
        <v>59</v>
      </c>
      <c r="U721" t="s">
        <v>60</v>
      </c>
      <c r="V721" t="s">
        <v>138</v>
      </c>
      <c r="W721" t="s">
        <v>139</v>
      </c>
      <c r="X721">
        <v>1925596</v>
      </c>
      <c r="Y721" s="11">
        <v>44774</v>
      </c>
      <c r="Z721" t="s">
        <v>57</v>
      </c>
      <c r="AA721">
        <v>6</v>
      </c>
      <c r="AB721" t="s">
        <v>57</v>
      </c>
      <c r="AD721" t="s">
        <v>57</v>
      </c>
      <c r="AE721" t="s">
        <v>57</v>
      </c>
      <c r="AF721" t="s">
        <v>57</v>
      </c>
      <c r="AG721">
        <v>1</v>
      </c>
      <c r="AH721" t="s">
        <v>57</v>
      </c>
      <c r="AL721" t="s">
        <v>57</v>
      </c>
      <c r="AM721" s="11">
        <v>44774</v>
      </c>
      <c r="AN721" t="s">
        <v>178</v>
      </c>
      <c r="AO721" t="s">
        <v>65</v>
      </c>
      <c r="AP721">
        <v>1205</v>
      </c>
      <c r="AQ721" t="s">
        <v>66</v>
      </c>
      <c r="AR721">
        <v>90039</v>
      </c>
      <c r="AU721" t="s">
        <v>57</v>
      </c>
      <c r="AV721" t="s">
        <v>68</v>
      </c>
      <c r="AX721" t="s">
        <v>57</v>
      </c>
      <c r="AY721">
        <v>631110</v>
      </c>
      <c r="AZ721">
        <v>1205.63111</v>
      </c>
      <c r="BA721" s="23" t="s">
        <v>13</v>
      </c>
    </row>
    <row r="722" spans="1:53" x14ac:dyDescent="0.25">
      <c r="A722" t="s">
        <v>134</v>
      </c>
      <c r="B722" t="s">
        <v>135</v>
      </c>
      <c r="C722">
        <v>22002261</v>
      </c>
      <c r="D722">
        <v>1205</v>
      </c>
      <c r="E722" s="11">
        <v>44774</v>
      </c>
      <c r="F722" t="s">
        <v>174</v>
      </c>
      <c r="G722">
        <v>7.0000000000000007E-2</v>
      </c>
      <c r="H722">
        <v>7.0000000000000007E-2</v>
      </c>
      <c r="I722" t="s">
        <v>56</v>
      </c>
      <c r="O722" t="s">
        <v>57</v>
      </c>
      <c r="Q722" t="s">
        <v>57</v>
      </c>
      <c r="R722" t="s">
        <v>137</v>
      </c>
      <c r="T722" t="s">
        <v>59</v>
      </c>
      <c r="U722" t="s">
        <v>60</v>
      </c>
      <c r="V722" t="s">
        <v>138</v>
      </c>
      <c r="W722" t="s">
        <v>139</v>
      </c>
      <c r="X722">
        <v>1925596</v>
      </c>
      <c r="Y722" s="11">
        <v>44774</v>
      </c>
      <c r="Z722" t="s">
        <v>57</v>
      </c>
      <c r="AA722">
        <v>8</v>
      </c>
      <c r="AB722" t="s">
        <v>57</v>
      </c>
      <c r="AD722" t="s">
        <v>57</v>
      </c>
      <c r="AE722" t="s">
        <v>57</v>
      </c>
      <c r="AF722" t="s">
        <v>57</v>
      </c>
      <c r="AG722">
        <v>1</v>
      </c>
      <c r="AH722" t="s">
        <v>57</v>
      </c>
      <c r="AL722" t="s">
        <v>57</v>
      </c>
      <c r="AM722" s="11">
        <v>44774</v>
      </c>
      <c r="AN722" t="s">
        <v>178</v>
      </c>
      <c r="AO722" t="s">
        <v>65</v>
      </c>
      <c r="AP722">
        <v>1205</v>
      </c>
      <c r="AQ722" t="s">
        <v>66</v>
      </c>
      <c r="AR722">
        <v>88522</v>
      </c>
      <c r="AU722" t="s">
        <v>57</v>
      </c>
      <c r="AV722" t="s">
        <v>68</v>
      </c>
      <c r="AX722" t="s">
        <v>57</v>
      </c>
      <c r="AY722">
        <v>631110</v>
      </c>
      <c r="AZ722">
        <v>1205.63111</v>
      </c>
      <c r="BA722" s="23" t="s">
        <v>13</v>
      </c>
    </row>
    <row r="723" spans="1:53" x14ac:dyDescent="0.25">
      <c r="A723" t="s">
        <v>134</v>
      </c>
      <c r="B723" t="s">
        <v>135</v>
      </c>
      <c r="C723">
        <v>22002261</v>
      </c>
      <c r="D723">
        <v>1205</v>
      </c>
      <c r="E723" s="11">
        <v>44774</v>
      </c>
      <c r="F723" t="s">
        <v>174</v>
      </c>
      <c r="G723">
        <v>0.54</v>
      </c>
      <c r="H723">
        <v>0.54</v>
      </c>
      <c r="I723" t="s">
        <v>56</v>
      </c>
      <c r="O723" t="s">
        <v>57</v>
      </c>
      <c r="Q723" t="s">
        <v>57</v>
      </c>
      <c r="R723" t="s">
        <v>137</v>
      </c>
      <c r="T723" t="s">
        <v>59</v>
      </c>
      <c r="U723" t="s">
        <v>60</v>
      </c>
      <c r="V723" t="s">
        <v>138</v>
      </c>
      <c r="W723" t="s">
        <v>139</v>
      </c>
      <c r="X723">
        <v>1925596</v>
      </c>
      <c r="Y723" s="11">
        <v>44774</v>
      </c>
      <c r="Z723" t="s">
        <v>57</v>
      </c>
      <c r="AA723">
        <v>10</v>
      </c>
      <c r="AB723" t="s">
        <v>57</v>
      </c>
      <c r="AD723" t="s">
        <v>57</v>
      </c>
      <c r="AE723" t="s">
        <v>57</v>
      </c>
      <c r="AF723" t="s">
        <v>57</v>
      </c>
      <c r="AG723">
        <v>1</v>
      </c>
      <c r="AH723" t="s">
        <v>57</v>
      </c>
      <c r="AL723" t="s">
        <v>57</v>
      </c>
      <c r="AM723" s="11">
        <v>44774</v>
      </c>
      <c r="AN723" t="s">
        <v>178</v>
      </c>
      <c r="AO723" t="s">
        <v>65</v>
      </c>
      <c r="AP723">
        <v>1205</v>
      </c>
      <c r="AQ723" t="s">
        <v>66</v>
      </c>
      <c r="AR723">
        <v>89777</v>
      </c>
      <c r="AU723" t="s">
        <v>57</v>
      </c>
      <c r="AV723" t="s">
        <v>68</v>
      </c>
      <c r="AX723" t="s">
        <v>57</v>
      </c>
      <c r="AY723">
        <v>631110</v>
      </c>
      <c r="AZ723">
        <v>1205.63111</v>
      </c>
      <c r="BA723" s="23" t="s">
        <v>13</v>
      </c>
    </row>
    <row r="724" spans="1:53" x14ac:dyDescent="0.25">
      <c r="A724" t="s">
        <v>134</v>
      </c>
      <c r="B724" t="s">
        <v>135</v>
      </c>
      <c r="C724">
        <v>22002261</v>
      </c>
      <c r="D724">
        <v>1205</v>
      </c>
      <c r="E724" s="11">
        <v>44774</v>
      </c>
      <c r="F724" t="s">
        <v>174</v>
      </c>
      <c r="G724">
        <v>7.0000000000000007E-2</v>
      </c>
      <c r="H724">
        <v>7.0000000000000007E-2</v>
      </c>
      <c r="I724" t="s">
        <v>56</v>
      </c>
      <c r="O724" t="s">
        <v>57</v>
      </c>
      <c r="Q724" t="s">
        <v>57</v>
      </c>
      <c r="R724" t="s">
        <v>137</v>
      </c>
      <c r="T724" t="s">
        <v>59</v>
      </c>
      <c r="U724" t="s">
        <v>60</v>
      </c>
      <c r="V724" t="s">
        <v>138</v>
      </c>
      <c r="W724" t="s">
        <v>139</v>
      </c>
      <c r="X724">
        <v>1925596</v>
      </c>
      <c r="Y724" s="11">
        <v>44774</v>
      </c>
      <c r="Z724" t="s">
        <v>57</v>
      </c>
      <c r="AA724">
        <v>12</v>
      </c>
      <c r="AB724" t="s">
        <v>57</v>
      </c>
      <c r="AD724" t="s">
        <v>57</v>
      </c>
      <c r="AE724" t="s">
        <v>57</v>
      </c>
      <c r="AF724" t="s">
        <v>57</v>
      </c>
      <c r="AG724">
        <v>1</v>
      </c>
      <c r="AH724" t="s">
        <v>57</v>
      </c>
      <c r="AL724" t="s">
        <v>57</v>
      </c>
      <c r="AM724" s="11">
        <v>44774</v>
      </c>
      <c r="AN724" t="s">
        <v>178</v>
      </c>
      <c r="AO724" t="s">
        <v>65</v>
      </c>
      <c r="AP724">
        <v>1205</v>
      </c>
      <c r="AQ724" t="s">
        <v>66</v>
      </c>
      <c r="AR724">
        <v>90182</v>
      </c>
      <c r="AU724" t="s">
        <v>57</v>
      </c>
      <c r="AV724" t="s">
        <v>68</v>
      </c>
      <c r="AX724" t="s">
        <v>57</v>
      </c>
      <c r="AY724">
        <v>631110</v>
      </c>
      <c r="AZ724">
        <v>1205.63111</v>
      </c>
      <c r="BA724" s="23" t="s">
        <v>13</v>
      </c>
    </row>
    <row r="725" spans="1:53" x14ac:dyDescent="0.25">
      <c r="A725" t="s">
        <v>134</v>
      </c>
      <c r="B725" t="s">
        <v>135</v>
      </c>
      <c r="C725">
        <v>22002261</v>
      </c>
      <c r="D725">
        <v>1205</v>
      </c>
      <c r="E725" s="11">
        <v>44774</v>
      </c>
      <c r="F725" t="s">
        <v>174</v>
      </c>
      <c r="G725">
        <v>0.21</v>
      </c>
      <c r="H725">
        <v>0.21</v>
      </c>
      <c r="I725" t="s">
        <v>56</v>
      </c>
      <c r="O725" t="s">
        <v>57</v>
      </c>
      <c r="Q725" t="s">
        <v>57</v>
      </c>
      <c r="R725" t="s">
        <v>137</v>
      </c>
      <c r="T725" t="s">
        <v>59</v>
      </c>
      <c r="U725" t="s">
        <v>60</v>
      </c>
      <c r="V725" t="s">
        <v>138</v>
      </c>
      <c r="W725" t="s">
        <v>139</v>
      </c>
      <c r="X725">
        <v>1925596</v>
      </c>
      <c r="Y725" s="11">
        <v>44774</v>
      </c>
      <c r="Z725" t="s">
        <v>57</v>
      </c>
      <c r="AA725">
        <v>14</v>
      </c>
      <c r="AB725" t="s">
        <v>57</v>
      </c>
      <c r="AD725" t="s">
        <v>57</v>
      </c>
      <c r="AE725" t="s">
        <v>57</v>
      </c>
      <c r="AF725" t="s">
        <v>57</v>
      </c>
      <c r="AG725">
        <v>1</v>
      </c>
      <c r="AH725" t="s">
        <v>57</v>
      </c>
      <c r="AL725" t="s">
        <v>57</v>
      </c>
      <c r="AM725" s="11">
        <v>44774</v>
      </c>
      <c r="AN725" t="s">
        <v>178</v>
      </c>
      <c r="AO725" t="s">
        <v>65</v>
      </c>
      <c r="AP725">
        <v>1205</v>
      </c>
      <c r="AQ725" t="s">
        <v>66</v>
      </c>
      <c r="AR725">
        <v>88778</v>
      </c>
      <c r="AU725" t="s">
        <v>57</v>
      </c>
      <c r="AV725" t="s">
        <v>68</v>
      </c>
      <c r="AX725" t="s">
        <v>57</v>
      </c>
      <c r="AY725">
        <v>631110</v>
      </c>
      <c r="AZ725">
        <v>1205.63111</v>
      </c>
      <c r="BA725" s="23" t="s">
        <v>13</v>
      </c>
    </row>
    <row r="726" spans="1:53" x14ac:dyDescent="0.25">
      <c r="A726" t="s">
        <v>134</v>
      </c>
      <c r="B726" t="s">
        <v>135</v>
      </c>
      <c r="C726">
        <v>22002261</v>
      </c>
      <c r="D726">
        <v>1205</v>
      </c>
      <c r="E726" s="11">
        <v>44774</v>
      </c>
      <c r="F726" t="s">
        <v>174</v>
      </c>
      <c r="G726">
        <v>1.04</v>
      </c>
      <c r="H726">
        <v>1.04</v>
      </c>
      <c r="I726" t="s">
        <v>56</v>
      </c>
      <c r="O726" t="s">
        <v>57</v>
      </c>
      <c r="Q726" t="s">
        <v>57</v>
      </c>
      <c r="R726" t="s">
        <v>137</v>
      </c>
      <c r="T726" t="s">
        <v>59</v>
      </c>
      <c r="U726" t="s">
        <v>60</v>
      </c>
      <c r="V726" t="s">
        <v>138</v>
      </c>
      <c r="W726" t="s">
        <v>139</v>
      </c>
      <c r="X726">
        <v>1925596</v>
      </c>
      <c r="Y726" s="11">
        <v>44774</v>
      </c>
      <c r="Z726" t="s">
        <v>57</v>
      </c>
      <c r="AA726">
        <v>16</v>
      </c>
      <c r="AB726" t="s">
        <v>57</v>
      </c>
      <c r="AD726" t="s">
        <v>57</v>
      </c>
      <c r="AE726" t="s">
        <v>57</v>
      </c>
      <c r="AF726" t="s">
        <v>57</v>
      </c>
      <c r="AG726">
        <v>1</v>
      </c>
      <c r="AH726" t="s">
        <v>57</v>
      </c>
      <c r="AL726" t="s">
        <v>57</v>
      </c>
      <c r="AM726" s="11">
        <v>44774</v>
      </c>
      <c r="AN726" t="s">
        <v>178</v>
      </c>
      <c r="AO726" t="s">
        <v>65</v>
      </c>
      <c r="AP726">
        <v>1205</v>
      </c>
      <c r="AQ726" t="s">
        <v>66</v>
      </c>
      <c r="AR726">
        <v>88720</v>
      </c>
      <c r="AU726" t="s">
        <v>57</v>
      </c>
      <c r="AV726" t="s">
        <v>68</v>
      </c>
      <c r="AX726" t="s">
        <v>57</v>
      </c>
      <c r="AY726">
        <v>631110</v>
      </c>
      <c r="AZ726">
        <v>1205.63111</v>
      </c>
      <c r="BA726" s="23" t="s">
        <v>13</v>
      </c>
    </row>
    <row r="727" spans="1:53" x14ac:dyDescent="0.25">
      <c r="A727" t="s">
        <v>134</v>
      </c>
      <c r="B727" t="s">
        <v>135</v>
      </c>
      <c r="C727">
        <v>22002261</v>
      </c>
      <c r="D727">
        <v>1205</v>
      </c>
      <c r="E727" s="11">
        <v>44774</v>
      </c>
      <c r="F727" t="s">
        <v>174</v>
      </c>
      <c r="G727">
        <v>1.0900000000000001</v>
      </c>
      <c r="H727">
        <v>1.0900000000000001</v>
      </c>
      <c r="I727" t="s">
        <v>56</v>
      </c>
      <c r="O727" t="s">
        <v>57</v>
      </c>
      <c r="Q727" t="s">
        <v>57</v>
      </c>
      <c r="R727" t="s">
        <v>137</v>
      </c>
      <c r="T727" t="s">
        <v>59</v>
      </c>
      <c r="U727" t="s">
        <v>60</v>
      </c>
      <c r="V727" t="s">
        <v>138</v>
      </c>
      <c r="W727" t="s">
        <v>139</v>
      </c>
      <c r="X727">
        <v>1925596</v>
      </c>
      <c r="Y727" s="11">
        <v>44774</v>
      </c>
      <c r="Z727" t="s">
        <v>57</v>
      </c>
      <c r="AA727">
        <v>18</v>
      </c>
      <c r="AB727" t="s">
        <v>57</v>
      </c>
      <c r="AD727" t="s">
        <v>57</v>
      </c>
      <c r="AE727" t="s">
        <v>57</v>
      </c>
      <c r="AF727" t="s">
        <v>57</v>
      </c>
      <c r="AG727">
        <v>1</v>
      </c>
      <c r="AH727" t="s">
        <v>57</v>
      </c>
      <c r="AL727" t="s">
        <v>57</v>
      </c>
      <c r="AM727" s="11">
        <v>44774</v>
      </c>
      <c r="AN727" t="s">
        <v>178</v>
      </c>
      <c r="AO727" t="s">
        <v>65</v>
      </c>
      <c r="AP727">
        <v>1205</v>
      </c>
      <c r="AQ727" t="s">
        <v>66</v>
      </c>
      <c r="AR727">
        <v>92298</v>
      </c>
      <c r="AU727" t="s">
        <v>57</v>
      </c>
      <c r="AV727" t="s">
        <v>68</v>
      </c>
      <c r="AX727" t="s">
        <v>57</v>
      </c>
      <c r="AY727">
        <v>631110</v>
      </c>
      <c r="AZ727">
        <v>1205.63111</v>
      </c>
      <c r="BA727" s="23" t="s">
        <v>13</v>
      </c>
    </row>
    <row r="728" spans="1:53" x14ac:dyDescent="0.25">
      <c r="A728" t="s">
        <v>134</v>
      </c>
      <c r="B728" t="s">
        <v>135</v>
      </c>
      <c r="C728">
        <v>22002262</v>
      </c>
      <c r="D728">
        <v>1205</v>
      </c>
      <c r="E728" s="11">
        <v>44774</v>
      </c>
      <c r="F728" t="s">
        <v>174</v>
      </c>
      <c r="G728">
        <v>2.92</v>
      </c>
      <c r="H728">
        <v>2.92</v>
      </c>
      <c r="I728" t="s">
        <v>56</v>
      </c>
      <c r="O728" t="s">
        <v>57</v>
      </c>
      <c r="Q728" t="s">
        <v>57</v>
      </c>
      <c r="R728" t="s">
        <v>137</v>
      </c>
      <c r="T728" t="s">
        <v>59</v>
      </c>
      <c r="U728" t="s">
        <v>60</v>
      </c>
      <c r="V728" t="s">
        <v>138</v>
      </c>
      <c r="W728" t="s">
        <v>139</v>
      </c>
      <c r="X728">
        <v>1925596</v>
      </c>
      <c r="Y728" s="11">
        <v>44774</v>
      </c>
      <c r="Z728" t="s">
        <v>57</v>
      </c>
      <c r="AA728">
        <v>2</v>
      </c>
      <c r="AB728" t="s">
        <v>57</v>
      </c>
      <c r="AD728" t="s">
        <v>57</v>
      </c>
      <c r="AE728" t="s">
        <v>57</v>
      </c>
      <c r="AF728" t="s">
        <v>57</v>
      </c>
      <c r="AG728">
        <v>3</v>
      </c>
      <c r="AH728" t="s">
        <v>57</v>
      </c>
      <c r="AL728" t="s">
        <v>57</v>
      </c>
      <c r="AM728" s="11">
        <v>44774</v>
      </c>
      <c r="AN728" t="s">
        <v>178</v>
      </c>
      <c r="AO728" t="s">
        <v>65</v>
      </c>
      <c r="AP728">
        <v>1205</v>
      </c>
      <c r="AQ728" t="s">
        <v>66</v>
      </c>
      <c r="AR728">
        <v>89486</v>
      </c>
      <c r="AU728" t="s">
        <v>57</v>
      </c>
      <c r="AV728" t="s">
        <v>68</v>
      </c>
      <c r="AX728" t="s">
        <v>57</v>
      </c>
      <c r="AY728">
        <v>631110</v>
      </c>
      <c r="AZ728">
        <v>1205.63111</v>
      </c>
      <c r="BA728" s="23" t="s">
        <v>13</v>
      </c>
    </row>
    <row r="729" spans="1:53" x14ac:dyDescent="0.25">
      <c r="A729" t="s">
        <v>134</v>
      </c>
      <c r="B729" t="s">
        <v>135</v>
      </c>
      <c r="C729">
        <v>22002262</v>
      </c>
      <c r="D729">
        <v>1205</v>
      </c>
      <c r="E729" s="11">
        <v>44774</v>
      </c>
      <c r="F729" t="s">
        <v>174</v>
      </c>
      <c r="G729">
        <v>1.68</v>
      </c>
      <c r="H729">
        <v>1.68</v>
      </c>
      <c r="I729" t="s">
        <v>56</v>
      </c>
      <c r="O729" t="s">
        <v>57</v>
      </c>
      <c r="Q729" t="s">
        <v>57</v>
      </c>
      <c r="R729" t="s">
        <v>137</v>
      </c>
      <c r="T729" t="s">
        <v>59</v>
      </c>
      <c r="U729" t="s">
        <v>60</v>
      </c>
      <c r="V729" t="s">
        <v>138</v>
      </c>
      <c r="W729" t="s">
        <v>139</v>
      </c>
      <c r="X729">
        <v>1925596</v>
      </c>
      <c r="Y729" s="11">
        <v>44774</v>
      </c>
      <c r="Z729" t="s">
        <v>57</v>
      </c>
      <c r="AA729">
        <v>4</v>
      </c>
      <c r="AB729" t="s">
        <v>57</v>
      </c>
      <c r="AD729" t="s">
        <v>57</v>
      </c>
      <c r="AE729" t="s">
        <v>57</v>
      </c>
      <c r="AF729" t="s">
        <v>57</v>
      </c>
      <c r="AG729">
        <v>2</v>
      </c>
      <c r="AH729" t="s">
        <v>57</v>
      </c>
      <c r="AL729" t="s">
        <v>57</v>
      </c>
      <c r="AM729" s="11">
        <v>44774</v>
      </c>
      <c r="AN729" t="s">
        <v>178</v>
      </c>
      <c r="AO729" t="s">
        <v>65</v>
      </c>
      <c r="AP729">
        <v>1205</v>
      </c>
      <c r="AQ729" t="s">
        <v>66</v>
      </c>
      <c r="AR729">
        <v>88704</v>
      </c>
      <c r="AU729" t="s">
        <v>57</v>
      </c>
      <c r="AV729" t="s">
        <v>68</v>
      </c>
      <c r="AX729" t="s">
        <v>57</v>
      </c>
      <c r="AY729">
        <v>631110</v>
      </c>
      <c r="AZ729">
        <v>1205.63111</v>
      </c>
      <c r="BA729" s="23" t="s">
        <v>13</v>
      </c>
    </row>
    <row r="730" spans="1:53" x14ac:dyDescent="0.25">
      <c r="A730" t="s">
        <v>134</v>
      </c>
      <c r="B730" t="s">
        <v>135</v>
      </c>
      <c r="C730">
        <v>22002262</v>
      </c>
      <c r="D730">
        <v>1205</v>
      </c>
      <c r="E730" s="11">
        <v>44774</v>
      </c>
      <c r="F730" t="s">
        <v>174</v>
      </c>
      <c r="G730">
        <v>2.61</v>
      </c>
      <c r="H730">
        <v>2.61</v>
      </c>
      <c r="I730" t="s">
        <v>56</v>
      </c>
      <c r="O730" t="s">
        <v>57</v>
      </c>
      <c r="Q730" t="s">
        <v>57</v>
      </c>
      <c r="R730" t="s">
        <v>137</v>
      </c>
      <c r="T730" t="s">
        <v>59</v>
      </c>
      <c r="U730" t="s">
        <v>60</v>
      </c>
      <c r="V730" t="s">
        <v>138</v>
      </c>
      <c r="W730" t="s">
        <v>139</v>
      </c>
      <c r="X730">
        <v>1925596</v>
      </c>
      <c r="Y730" s="11">
        <v>44774</v>
      </c>
      <c r="Z730" t="s">
        <v>57</v>
      </c>
      <c r="AA730">
        <v>6</v>
      </c>
      <c r="AB730" t="s">
        <v>57</v>
      </c>
      <c r="AD730" t="s">
        <v>57</v>
      </c>
      <c r="AE730" t="s">
        <v>57</v>
      </c>
      <c r="AF730" t="s">
        <v>57</v>
      </c>
      <c r="AG730">
        <v>3</v>
      </c>
      <c r="AH730" t="s">
        <v>57</v>
      </c>
      <c r="AL730" t="s">
        <v>57</v>
      </c>
      <c r="AM730" s="11">
        <v>44774</v>
      </c>
      <c r="AN730" t="s">
        <v>178</v>
      </c>
      <c r="AO730" t="s">
        <v>65</v>
      </c>
      <c r="AP730">
        <v>1205</v>
      </c>
      <c r="AQ730" t="s">
        <v>66</v>
      </c>
      <c r="AR730">
        <v>88703</v>
      </c>
      <c r="AU730" t="s">
        <v>57</v>
      </c>
      <c r="AV730" t="s">
        <v>68</v>
      </c>
      <c r="AX730" t="s">
        <v>57</v>
      </c>
      <c r="AY730">
        <v>631110</v>
      </c>
      <c r="AZ730">
        <v>1205.63111</v>
      </c>
      <c r="BA730" s="23" t="s">
        <v>13</v>
      </c>
    </row>
    <row r="731" spans="1:53" x14ac:dyDescent="0.25">
      <c r="A731" t="s">
        <v>134</v>
      </c>
      <c r="B731" t="s">
        <v>135</v>
      </c>
      <c r="C731">
        <v>22002262</v>
      </c>
      <c r="D731">
        <v>1205</v>
      </c>
      <c r="E731" s="11">
        <v>44774</v>
      </c>
      <c r="F731" t="s">
        <v>174</v>
      </c>
      <c r="G731">
        <v>4.1500000000000004</v>
      </c>
      <c r="H731">
        <v>4.1500000000000004</v>
      </c>
      <c r="I731" t="s">
        <v>56</v>
      </c>
      <c r="O731" t="s">
        <v>57</v>
      </c>
      <c r="Q731" t="s">
        <v>57</v>
      </c>
      <c r="R731" t="s">
        <v>137</v>
      </c>
      <c r="T731" t="s">
        <v>59</v>
      </c>
      <c r="U731" t="s">
        <v>60</v>
      </c>
      <c r="V731" t="s">
        <v>138</v>
      </c>
      <c r="W731" t="s">
        <v>139</v>
      </c>
      <c r="X731">
        <v>1925596</v>
      </c>
      <c r="Y731" s="11">
        <v>44774</v>
      </c>
      <c r="Z731" t="s">
        <v>57</v>
      </c>
      <c r="AA731">
        <v>8</v>
      </c>
      <c r="AB731" t="s">
        <v>57</v>
      </c>
      <c r="AD731" t="s">
        <v>57</v>
      </c>
      <c r="AE731" t="s">
        <v>57</v>
      </c>
      <c r="AF731" t="s">
        <v>57</v>
      </c>
      <c r="AG731">
        <v>1</v>
      </c>
      <c r="AH731" t="s">
        <v>57</v>
      </c>
      <c r="AL731" t="s">
        <v>57</v>
      </c>
      <c r="AM731" s="11">
        <v>44774</v>
      </c>
      <c r="AN731" t="s">
        <v>178</v>
      </c>
      <c r="AO731" t="s">
        <v>65</v>
      </c>
      <c r="AP731">
        <v>1205</v>
      </c>
      <c r="AQ731" t="s">
        <v>66</v>
      </c>
      <c r="AR731">
        <v>213471</v>
      </c>
      <c r="AU731" t="s">
        <v>57</v>
      </c>
      <c r="AV731" t="s">
        <v>68</v>
      </c>
      <c r="AX731" t="s">
        <v>57</v>
      </c>
      <c r="AY731">
        <v>631110</v>
      </c>
      <c r="AZ731">
        <v>1205.63111</v>
      </c>
      <c r="BA731" s="23" t="s">
        <v>13</v>
      </c>
    </row>
    <row r="732" spans="1:53" x14ac:dyDescent="0.25">
      <c r="A732" t="s">
        <v>134</v>
      </c>
      <c r="B732" t="s">
        <v>135</v>
      </c>
      <c r="C732">
        <v>22002262</v>
      </c>
      <c r="D732">
        <v>1205</v>
      </c>
      <c r="E732" s="11">
        <v>44774</v>
      </c>
      <c r="F732" t="s">
        <v>174</v>
      </c>
      <c r="G732">
        <v>0.35</v>
      </c>
      <c r="H732">
        <v>0.35</v>
      </c>
      <c r="I732" t="s">
        <v>56</v>
      </c>
      <c r="O732" t="s">
        <v>57</v>
      </c>
      <c r="Q732" t="s">
        <v>57</v>
      </c>
      <c r="R732" t="s">
        <v>137</v>
      </c>
      <c r="T732" t="s">
        <v>59</v>
      </c>
      <c r="U732" t="s">
        <v>60</v>
      </c>
      <c r="V732" t="s">
        <v>138</v>
      </c>
      <c r="W732" t="s">
        <v>139</v>
      </c>
      <c r="X732">
        <v>1925596</v>
      </c>
      <c r="Y732" s="11">
        <v>44774</v>
      </c>
      <c r="Z732" t="s">
        <v>57</v>
      </c>
      <c r="AA732">
        <v>10</v>
      </c>
      <c r="AB732" t="s">
        <v>57</v>
      </c>
      <c r="AD732" t="s">
        <v>57</v>
      </c>
      <c r="AE732" t="s">
        <v>57</v>
      </c>
      <c r="AF732" t="s">
        <v>57</v>
      </c>
      <c r="AG732">
        <v>3</v>
      </c>
      <c r="AH732" t="s">
        <v>57</v>
      </c>
      <c r="AL732" t="s">
        <v>57</v>
      </c>
      <c r="AM732" s="11">
        <v>44774</v>
      </c>
      <c r="AN732" t="s">
        <v>178</v>
      </c>
      <c r="AO732" t="s">
        <v>65</v>
      </c>
      <c r="AP732">
        <v>1205</v>
      </c>
      <c r="AQ732" t="s">
        <v>66</v>
      </c>
      <c r="AR732">
        <v>226150</v>
      </c>
      <c r="AU732" t="s">
        <v>57</v>
      </c>
      <c r="AV732" t="s">
        <v>68</v>
      </c>
      <c r="AX732" t="s">
        <v>57</v>
      </c>
      <c r="AY732">
        <v>631110</v>
      </c>
      <c r="AZ732">
        <v>1205.63111</v>
      </c>
      <c r="BA732" s="23" t="s">
        <v>13</v>
      </c>
    </row>
    <row r="733" spans="1:53" x14ac:dyDescent="0.25">
      <c r="A733" t="s">
        <v>134</v>
      </c>
      <c r="B733" t="s">
        <v>135</v>
      </c>
      <c r="C733">
        <v>22002262</v>
      </c>
      <c r="D733">
        <v>1205</v>
      </c>
      <c r="E733" s="11">
        <v>44774</v>
      </c>
      <c r="F733" t="s">
        <v>174</v>
      </c>
      <c r="G733">
        <v>1.0900000000000001</v>
      </c>
      <c r="H733">
        <v>1.0900000000000001</v>
      </c>
      <c r="I733" t="s">
        <v>56</v>
      </c>
      <c r="O733" t="s">
        <v>57</v>
      </c>
      <c r="Q733" t="s">
        <v>57</v>
      </c>
      <c r="R733" t="s">
        <v>137</v>
      </c>
      <c r="T733" t="s">
        <v>59</v>
      </c>
      <c r="U733" t="s">
        <v>60</v>
      </c>
      <c r="V733" t="s">
        <v>138</v>
      </c>
      <c r="W733" t="s">
        <v>139</v>
      </c>
      <c r="X733">
        <v>1925596</v>
      </c>
      <c r="Y733" s="11">
        <v>44774</v>
      </c>
      <c r="Z733" t="s">
        <v>57</v>
      </c>
      <c r="AA733">
        <v>12</v>
      </c>
      <c r="AB733" t="s">
        <v>57</v>
      </c>
      <c r="AD733" t="s">
        <v>57</v>
      </c>
      <c r="AE733" t="s">
        <v>57</v>
      </c>
      <c r="AF733" t="s">
        <v>57</v>
      </c>
      <c r="AG733">
        <v>2</v>
      </c>
      <c r="AH733" t="s">
        <v>57</v>
      </c>
      <c r="AL733" t="s">
        <v>57</v>
      </c>
      <c r="AM733" s="11">
        <v>44774</v>
      </c>
      <c r="AN733" t="s">
        <v>178</v>
      </c>
      <c r="AO733" t="s">
        <v>65</v>
      </c>
      <c r="AP733">
        <v>1205</v>
      </c>
      <c r="AQ733" t="s">
        <v>66</v>
      </c>
      <c r="AR733">
        <v>89777</v>
      </c>
      <c r="AU733" t="s">
        <v>57</v>
      </c>
      <c r="AV733" t="s">
        <v>68</v>
      </c>
      <c r="AX733" t="s">
        <v>57</v>
      </c>
      <c r="AY733">
        <v>631110</v>
      </c>
      <c r="AZ733">
        <v>1205.63111</v>
      </c>
      <c r="BA733" s="23" t="s">
        <v>13</v>
      </c>
    </row>
    <row r="734" spans="1:53" x14ac:dyDescent="0.25">
      <c r="A734" t="s">
        <v>134</v>
      </c>
      <c r="B734" t="s">
        <v>135</v>
      </c>
      <c r="C734">
        <v>22002262</v>
      </c>
      <c r="D734">
        <v>1205</v>
      </c>
      <c r="E734" s="11">
        <v>44774</v>
      </c>
      <c r="F734" t="s">
        <v>174</v>
      </c>
      <c r="G734">
        <v>0.32</v>
      </c>
      <c r="H734">
        <v>0.32</v>
      </c>
      <c r="I734" t="s">
        <v>56</v>
      </c>
      <c r="O734" t="s">
        <v>57</v>
      </c>
      <c r="Q734" t="s">
        <v>57</v>
      </c>
      <c r="R734" t="s">
        <v>137</v>
      </c>
      <c r="T734" t="s">
        <v>59</v>
      </c>
      <c r="U734" t="s">
        <v>60</v>
      </c>
      <c r="V734" t="s">
        <v>138</v>
      </c>
      <c r="W734" t="s">
        <v>139</v>
      </c>
      <c r="X734">
        <v>1925596</v>
      </c>
      <c r="Y734" s="11">
        <v>44774</v>
      </c>
      <c r="Z734" t="s">
        <v>57</v>
      </c>
      <c r="AA734">
        <v>14</v>
      </c>
      <c r="AB734" t="s">
        <v>57</v>
      </c>
      <c r="AD734" t="s">
        <v>57</v>
      </c>
      <c r="AE734" t="s">
        <v>57</v>
      </c>
      <c r="AF734" t="s">
        <v>57</v>
      </c>
      <c r="AG734">
        <v>2</v>
      </c>
      <c r="AH734" t="s">
        <v>57</v>
      </c>
      <c r="AL734" t="s">
        <v>57</v>
      </c>
      <c r="AM734" s="11">
        <v>44774</v>
      </c>
      <c r="AN734" t="s">
        <v>178</v>
      </c>
      <c r="AO734" t="s">
        <v>65</v>
      </c>
      <c r="AP734">
        <v>1205</v>
      </c>
      <c r="AQ734" t="s">
        <v>66</v>
      </c>
      <c r="AR734">
        <v>88760</v>
      </c>
      <c r="AU734" t="s">
        <v>57</v>
      </c>
      <c r="AV734" t="s">
        <v>68</v>
      </c>
      <c r="AX734" t="s">
        <v>57</v>
      </c>
      <c r="AY734">
        <v>631110</v>
      </c>
      <c r="AZ734">
        <v>1205.63111</v>
      </c>
      <c r="BA734" s="23" t="s">
        <v>13</v>
      </c>
    </row>
    <row r="735" spans="1:53" x14ac:dyDescent="0.25">
      <c r="A735" t="s">
        <v>134</v>
      </c>
      <c r="B735" t="s">
        <v>135</v>
      </c>
      <c r="C735">
        <v>22002262</v>
      </c>
      <c r="D735">
        <v>1205</v>
      </c>
      <c r="E735" s="11">
        <v>44774</v>
      </c>
      <c r="F735" t="s">
        <v>174</v>
      </c>
      <c r="G735">
        <v>1.03</v>
      </c>
      <c r="H735">
        <v>1.03</v>
      </c>
      <c r="I735" t="s">
        <v>56</v>
      </c>
      <c r="O735" t="s">
        <v>57</v>
      </c>
      <c r="Q735" t="s">
        <v>57</v>
      </c>
      <c r="R735" t="s">
        <v>137</v>
      </c>
      <c r="T735" t="s">
        <v>59</v>
      </c>
      <c r="U735" t="s">
        <v>60</v>
      </c>
      <c r="V735" t="s">
        <v>138</v>
      </c>
      <c r="W735" t="s">
        <v>139</v>
      </c>
      <c r="X735">
        <v>1925596</v>
      </c>
      <c r="Y735" s="11">
        <v>44774</v>
      </c>
      <c r="Z735" t="s">
        <v>57</v>
      </c>
      <c r="AA735">
        <v>16</v>
      </c>
      <c r="AB735" t="s">
        <v>57</v>
      </c>
      <c r="AD735" t="s">
        <v>57</v>
      </c>
      <c r="AE735" t="s">
        <v>57</v>
      </c>
      <c r="AF735" t="s">
        <v>57</v>
      </c>
      <c r="AG735">
        <v>1</v>
      </c>
      <c r="AH735" t="s">
        <v>57</v>
      </c>
      <c r="AL735" t="s">
        <v>57</v>
      </c>
      <c r="AM735" s="11">
        <v>44774</v>
      </c>
      <c r="AN735" t="s">
        <v>178</v>
      </c>
      <c r="AO735" t="s">
        <v>65</v>
      </c>
      <c r="AP735">
        <v>1205</v>
      </c>
      <c r="AQ735" t="s">
        <v>66</v>
      </c>
      <c r="AR735">
        <v>88592</v>
      </c>
      <c r="AU735" t="s">
        <v>57</v>
      </c>
      <c r="AV735" t="s">
        <v>68</v>
      </c>
      <c r="AX735" t="s">
        <v>57</v>
      </c>
      <c r="AY735">
        <v>631110</v>
      </c>
      <c r="AZ735">
        <v>1205.63111</v>
      </c>
      <c r="BA735" s="23" t="s">
        <v>13</v>
      </c>
    </row>
    <row r="736" spans="1:53" x14ac:dyDescent="0.25">
      <c r="A736" t="s">
        <v>134</v>
      </c>
      <c r="B736" t="s">
        <v>135</v>
      </c>
      <c r="C736">
        <v>22002262</v>
      </c>
      <c r="D736">
        <v>1205</v>
      </c>
      <c r="E736" s="11">
        <v>44774</v>
      </c>
      <c r="F736" t="s">
        <v>174</v>
      </c>
      <c r="G736">
        <v>0.04</v>
      </c>
      <c r="H736">
        <v>0.04</v>
      </c>
      <c r="I736" t="s">
        <v>56</v>
      </c>
      <c r="O736" t="s">
        <v>57</v>
      </c>
      <c r="Q736" t="s">
        <v>57</v>
      </c>
      <c r="R736" t="s">
        <v>137</v>
      </c>
      <c r="T736" t="s">
        <v>59</v>
      </c>
      <c r="U736" t="s">
        <v>60</v>
      </c>
      <c r="V736" t="s">
        <v>138</v>
      </c>
      <c r="W736" t="s">
        <v>139</v>
      </c>
      <c r="X736">
        <v>1925596</v>
      </c>
      <c r="Y736" s="11">
        <v>44774</v>
      </c>
      <c r="Z736" t="s">
        <v>57</v>
      </c>
      <c r="AA736">
        <v>18</v>
      </c>
      <c r="AB736" t="s">
        <v>57</v>
      </c>
      <c r="AD736" t="s">
        <v>57</v>
      </c>
      <c r="AE736" t="s">
        <v>57</v>
      </c>
      <c r="AF736" t="s">
        <v>57</v>
      </c>
      <c r="AG736">
        <v>1</v>
      </c>
      <c r="AH736" t="s">
        <v>57</v>
      </c>
      <c r="AL736" t="s">
        <v>57</v>
      </c>
      <c r="AM736" s="11">
        <v>44774</v>
      </c>
      <c r="AN736" t="s">
        <v>178</v>
      </c>
      <c r="AO736" t="s">
        <v>65</v>
      </c>
      <c r="AP736">
        <v>1205</v>
      </c>
      <c r="AQ736" t="s">
        <v>66</v>
      </c>
      <c r="AR736">
        <v>90039</v>
      </c>
      <c r="AU736" t="s">
        <v>57</v>
      </c>
      <c r="AV736" t="s">
        <v>68</v>
      </c>
      <c r="AX736" t="s">
        <v>57</v>
      </c>
      <c r="AY736">
        <v>631110</v>
      </c>
      <c r="AZ736">
        <v>1205.63111</v>
      </c>
      <c r="BA736" s="23" t="s">
        <v>13</v>
      </c>
    </row>
    <row r="737" spans="1:53" x14ac:dyDescent="0.25">
      <c r="A737" t="s">
        <v>134</v>
      </c>
      <c r="B737" t="s">
        <v>135</v>
      </c>
      <c r="C737">
        <v>22002262</v>
      </c>
      <c r="D737">
        <v>1205</v>
      </c>
      <c r="E737" s="11">
        <v>44774</v>
      </c>
      <c r="F737" t="s">
        <v>174</v>
      </c>
      <c r="G737">
        <v>21.24</v>
      </c>
      <c r="H737">
        <v>21.24</v>
      </c>
      <c r="I737" t="s">
        <v>56</v>
      </c>
      <c r="O737" t="s">
        <v>57</v>
      </c>
      <c r="Q737" t="s">
        <v>57</v>
      </c>
      <c r="R737" t="s">
        <v>137</v>
      </c>
      <c r="T737" t="s">
        <v>59</v>
      </c>
      <c r="U737" t="s">
        <v>60</v>
      </c>
      <c r="V737" t="s">
        <v>138</v>
      </c>
      <c r="W737" t="s">
        <v>139</v>
      </c>
      <c r="X737">
        <v>1925596</v>
      </c>
      <c r="Y737" s="11">
        <v>44774</v>
      </c>
      <c r="Z737" t="s">
        <v>57</v>
      </c>
      <c r="AA737">
        <v>20</v>
      </c>
      <c r="AB737" t="s">
        <v>57</v>
      </c>
      <c r="AD737" t="s">
        <v>57</v>
      </c>
      <c r="AE737" t="s">
        <v>57</v>
      </c>
      <c r="AF737" t="s">
        <v>57</v>
      </c>
      <c r="AG737">
        <v>1</v>
      </c>
      <c r="AH737" t="s">
        <v>57</v>
      </c>
      <c r="AL737" t="s">
        <v>57</v>
      </c>
      <c r="AM737" s="11">
        <v>44774</v>
      </c>
      <c r="AN737" t="s">
        <v>178</v>
      </c>
      <c r="AO737" t="s">
        <v>65</v>
      </c>
      <c r="AP737">
        <v>1205</v>
      </c>
      <c r="AQ737" t="s">
        <v>66</v>
      </c>
      <c r="AR737">
        <v>258398</v>
      </c>
      <c r="AU737" t="s">
        <v>57</v>
      </c>
      <c r="AV737" t="s">
        <v>68</v>
      </c>
      <c r="AX737" t="s">
        <v>57</v>
      </c>
      <c r="AY737">
        <v>631110</v>
      </c>
      <c r="AZ737">
        <v>1205.63111</v>
      </c>
      <c r="BA737" s="23" t="s">
        <v>13</v>
      </c>
    </row>
    <row r="738" spans="1:53" x14ac:dyDescent="0.25">
      <c r="A738" t="s">
        <v>134</v>
      </c>
      <c r="B738" t="s">
        <v>135</v>
      </c>
      <c r="C738">
        <v>22002262</v>
      </c>
      <c r="D738">
        <v>1205</v>
      </c>
      <c r="E738" s="11">
        <v>44774</v>
      </c>
      <c r="F738" t="s">
        <v>174</v>
      </c>
      <c r="G738">
        <v>0.05</v>
      </c>
      <c r="H738">
        <v>0.05</v>
      </c>
      <c r="I738" t="s">
        <v>56</v>
      </c>
      <c r="O738" t="s">
        <v>57</v>
      </c>
      <c r="Q738" t="s">
        <v>57</v>
      </c>
      <c r="R738" t="s">
        <v>137</v>
      </c>
      <c r="T738" t="s">
        <v>59</v>
      </c>
      <c r="U738" t="s">
        <v>60</v>
      </c>
      <c r="V738" t="s">
        <v>138</v>
      </c>
      <c r="W738" t="s">
        <v>139</v>
      </c>
      <c r="X738">
        <v>1925596</v>
      </c>
      <c r="Y738" s="11">
        <v>44774</v>
      </c>
      <c r="Z738" t="s">
        <v>57</v>
      </c>
      <c r="AA738">
        <v>22</v>
      </c>
      <c r="AB738" t="s">
        <v>57</v>
      </c>
      <c r="AD738" t="s">
        <v>57</v>
      </c>
      <c r="AE738" t="s">
        <v>57</v>
      </c>
      <c r="AF738" t="s">
        <v>57</v>
      </c>
      <c r="AG738">
        <v>1</v>
      </c>
      <c r="AH738" t="s">
        <v>57</v>
      </c>
      <c r="AL738" t="s">
        <v>57</v>
      </c>
      <c r="AM738" s="11">
        <v>44774</v>
      </c>
      <c r="AN738" t="s">
        <v>178</v>
      </c>
      <c r="AO738" t="s">
        <v>65</v>
      </c>
      <c r="AP738">
        <v>1205</v>
      </c>
      <c r="AQ738" t="s">
        <v>66</v>
      </c>
      <c r="AR738">
        <v>90041</v>
      </c>
      <c r="AU738" t="s">
        <v>57</v>
      </c>
      <c r="AV738" t="s">
        <v>68</v>
      </c>
      <c r="AX738" t="s">
        <v>57</v>
      </c>
      <c r="AY738">
        <v>631110</v>
      </c>
      <c r="AZ738">
        <v>1205.63111</v>
      </c>
      <c r="BA738" s="23" t="s">
        <v>13</v>
      </c>
    </row>
    <row r="739" spans="1:53" x14ac:dyDescent="0.25">
      <c r="A739" t="s">
        <v>134</v>
      </c>
      <c r="B739" t="s">
        <v>135</v>
      </c>
      <c r="C739">
        <v>22002263</v>
      </c>
      <c r="D739">
        <v>1205</v>
      </c>
      <c r="E739" s="11">
        <v>44774</v>
      </c>
      <c r="F739" t="s">
        <v>172</v>
      </c>
      <c r="G739">
        <v>23.83</v>
      </c>
      <c r="H739">
        <v>23.83</v>
      </c>
      <c r="I739" t="s">
        <v>56</v>
      </c>
      <c r="O739" t="s">
        <v>57</v>
      </c>
      <c r="Q739" t="s">
        <v>57</v>
      </c>
      <c r="R739" t="s">
        <v>137</v>
      </c>
      <c r="T739" t="s">
        <v>59</v>
      </c>
      <c r="U739" t="s">
        <v>60</v>
      </c>
      <c r="V739" t="s">
        <v>138</v>
      </c>
      <c r="W739" t="s">
        <v>139</v>
      </c>
      <c r="X739">
        <v>1925596</v>
      </c>
      <c r="Y739" s="11">
        <v>44774</v>
      </c>
      <c r="Z739" t="s">
        <v>57</v>
      </c>
      <c r="AA739">
        <v>2</v>
      </c>
      <c r="AB739" t="s">
        <v>57</v>
      </c>
      <c r="AD739" t="s">
        <v>57</v>
      </c>
      <c r="AE739" t="s">
        <v>57</v>
      </c>
      <c r="AF739" t="s">
        <v>57</v>
      </c>
      <c r="AG739">
        <v>3</v>
      </c>
      <c r="AH739" t="s">
        <v>57</v>
      </c>
      <c r="AL739" t="s">
        <v>57</v>
      </c>
      <c r="AM739" s="11">
        <v>44774</v>
      </c>
      <c r="AN739" t="s">
        <v>178</v>
      </c>
      <c r="AO739" t="s">
        <v>65</v>
      </c>
      <c r="AP739">
        <v>1205</v>
      </c>
      <c r="AQ739" t="s">
        <v>66</v>
      </c>
      <c r="AR739">
        <v>227112</v>
      </c>
      <c r="AU739" t="s">
        <v>57</v>
      </c>
      <c r="AV739" t="s">
        <v>68</v>
      </c>
      <c r="AX739" t="s">
        <v>57</v>
      </c>
      <c r="AY739">
        <v>631110</v>
      </c>
      <c r="AZ739">
        <v>1205.63111</v>
      </c>
      <c r="BA739" s="23" t="s">
        <v>13</v>
      </c>
    </row>
    <row r="740" spans="1:53" x14ac:dyDescent="0.25">
      <c r="A740" t="s">
        <v>134</v>
      </c>
      <c r="B740" t="s">
        <v>135</v>
      </c>
      <c r="C740">
        <v>22002263</v>
      </c>
      <c r="D740">
        <v>1205</v>
      </c>
      <c r="E740" s="11">
        <v>44774</v>
      </c>
      <c r="F740" t="s">
        <v>172</v>
      </c>
      <c r="G740">
        <v>8.06</v>
      </c>
      <c r="H740">
        <v>8.06</v>
      </c>
      <c r="I740" t="s">
        <v>56</v>
      </c>
      <c r="O740" t="s">
        <v>57</v>
      </c>
      <c r="Q740" t="s">
        <v>57</v>
      </c>
      <c r="R740" t="s">
        <v>137</v>
      </c>
      <c r="T740" t="s">
        <v>59</v>
      </c>
      <c r="U740" t="s">
        <v>60</v>
      </c>
      <c r="V740" t="s">
        <v>138</v>
      </c>
      <c r="W740" t="s">
        <v>139</v>
      </c>
      <c r="X740">
        <v>1925596</v>
      </c>
      <c r="Y740" s="11">
        <v>44774</v>
      </c>
      <c r="Z740" t="s">
        <v>57</v>
      </c>
      <c r="AA740">
        <v>4</v>
      </c>
      <c r="AB740" t="s">
        <v>57</v>
      </c>
      <c r="AD740" t="s">
        <v>57</v>
      </c>
      <c r="AE740" t="s">
        <v>57</v>
      </c>
      <c r="AF740" t="s">
        <v>57</v>
      </c>
      <c r="AG740">
        <v>1</v>
      </c>
      <c r="AH740" t="s">
        <v>57</v>
      </c>
      <c r="AL740" t="s">
        <v>57</v>
      </c>
      <c r="AM740" s="11">
        <v>44774</v>
      </c>
      <c r="AN740" t="s">
        <v>178</v>
      </c>
      <c r="AO740" t="s">
        <v>65</v>
      </c>
      <c r="AP740">
        <v>1205</v>
      </c>
      <c r="AQ740" t="s">
        <v>66</v>
      </c>
      <c r="AR740">
        <v>279991</v>
      </c>
      <c r="AU740" t="s">
        <v>57</v>
      </c>
      <c r="AV740" t="s">
        <v>68</v>
      </c>
      <c r="AX740" t="s">
        <v>57</v>
      </c>
      <c r="AY740">
        <v>631110</v>
      </c>
      <c r="AZ740">
        <v>1205.63111</v>
      </c>
      <c r="BA740" s="23" t="s">
        <v>13</v>
      </c>
    </row>
    <row r="741" spans="1:53" x14ac:dyDescent="0.25">
      <c r="A741" t="s">
        <v>134</v>
      </c>
      <c r="B741" t="s">
        <v>135</v>
      </c>
      <c r="C741">
        <v>22002264</v>
      </c>
      <c r="D741">
        <v>1205</v>
      </c>
      <c r="E741" s="11">
        <v>44774</v>
      </c>
      <c r="F741" t="s">
        <v>179</v>
      </c>
      <c r="G741">
        <v>0.73</v>
      </c>
      <c r="H741">
        <v>0.73</v>
      </c>
      <c r="I741" t="s">
        <v>56</v>
      </c>
      <c r="O741" t="s">
        <v>57</v>
      </c>
      <c r="Q741" t="s">
        <v>57</v>
      </c>
      <c r="R741" t="s">
        <v>137</v>
      </c>
      <c r="T741" t="s">
        <v>59</v>
      </c>
      <c r="U741" t="s">
        <v>60</v>
      </c>
      <c r="V741" t="s">
        <v>138</v>
      </c>
      <c r="W741" t="s">
        <v>139</v>
      </c>
      <c r="X741">
        <v>1925601</v>
      </c>
      <c r="Y741" s="11">
        <v>44774</v>
      </c>
      <c r="Z741" t="s">
        <v>57</v>
      </c>
      <c r="AA741">
        <v>18</v>
      </c>
      <c r="AB741" t="s">
        <v>57</v>
      </c>
      <c r="AD741" t="s">
        <v>57</v>
      </c>
      <c r="AE741" t="s">
        <v>57</v>
      </c>
      <c r="AF741" t="s">
        <v>57</v>
      </c>
      <c r="AG741">
        <v>6</v>
      </c>
      <c r="AH741" t="s">
        <v>57</v>
      </c>
      <c r="AL741" t="s">
        <v>57</v>
      </c>
      <c r="AM741" s="11">
        <v>44774</v>
      </c>
      <c r="AN741" t="s">
        <v>180</v>
      </c>
      <c r="AO741" t="s">
        <v>65</v>
      </c>
      <c r="AP741">
        <v>1205</v>
      </c>
      <c r="AQ741" t="s">
        <v>66</v>
      </c>
      <c r="AR741">
        <v>88639</v>
      </c>
      <c r="AU741" t="s">
        <v>57</v>
      </c>
      <c r="AV741" t="s">
        <v>68</v>
      </c>
      <c r="AX741" t="s">
        <v>57</v>
      </c>
      <c r="AY741">
        <v>631110</v>
      </c>
      <c r="AZ741">
        <v>1205.63111</v>
      </c>
      <c r="BA741" s="23" t="s">
        <v>13</v>
      </c>
    </row>
    <row r="742" spans="1:53" x14ac:dyDescent="0.25">
      <c r="A742" t="s">
        <v>134</v>
      </c>
      <c r="B742" t="s">
        <v>135</v>
      </c>
      <c r="C742">
        <v>22002264</v>
      </c>
      <c r="D742">
        <v>1205</v>
      </c>
      <c r="E742" s="11">
        <v>44774</v>
      </c>
      <c r="F742" t="s">
        <v>179</v>
      </c>
      <c r="G742">
        <v>1.84</v>
      </c>
      <c r="H742">
        <v>1.84</v>
      </c>
      <c r="I742" t="s">
        <v>56</v>
      </c>
      <c r="O742" t="s">
        <v>57</v>
      </c>
      <c r="Q742" t="s">
        <v>57</v>
      </c>
      <c r="R742" t="s">
        <v>137</v>
      </c>
      <c r="T742" t="s">
        <v>59</v>
      </c>
      <c r="U742" t="s">
        <v>60</v>
      </c>
      <c r="V742" t="s">
        <v>138</v>
      </c>
      <c r="W742" t="s">
        <v>139</v>
      </c>
      <c r="X742">
        <v>1925601</v>
      </c>
      <c r="Y742" s="11">
        <v>44774</v>
      </c>
      <c r="Z742" t="s">
        <v>57</v>
      </c>
      <c r="AA742">
        <v>20</v>
      </c>
      <c r="AB742" t="s">
        <v>57</v>
      </c>
      <c r="AD742" t="s">
        <v>57</v>
      </c>
      <c r="AE742" t="s">
        <v>57</v>
      </c>
      <c r="AF742" t="s">
        <v>57</v>
      </c>
      <c r="AG742">
        <v>12</v>
      </c>
      <c r="AH742" t="s">
        <v>57</v>
      </c>
      <c r="AL742" t="s">
        <v>57</v>
      </c>
      <c r="AM742" s="11">
        <v>44774</v>
      </c>
      <c r="AN742" t="s">
        <v>180</v>
      </c>
      <c r="AO742" t="s">
        <v>65</v>
      </c>
      <c r="AP742">
        <v>1205</v>
      </c>
      <c r="AQ742" t="s">
        <v>66</v>
      </c>
      <c r="AR742">
        <v>89715</v>
      </c>
      <c r="AU742" t="s">
        <v>57</v>
      </c>
      <c r="AV742" t="s">
        <v>68</v>
      </c>
      <c r="AX742" t="s">
        <v>57</v>
      </c>
      <c r="AY742">
        <v>631110</v>
      </c>
      <c r="AZ742">
        <v>1205.63111</v>
      </c>
      <c r="BA742" s="23" t="s">
        <v>13</v>
      </c>
    </row>
    <row r="743" spans="1:53" x14ac:dyDescent="0.25">
      <c r="A743" t="s">
        <v>134</v>
      </c>
      <c r="B743" t="s">
        <v>135</v>
      </c>
      <c r="C743">
        <v>22002264</v>
      </c>
      <c r="D743">
        <v>1205</v>
      </c>
      <c r="E743" s="11">
        <v>44774</v>
      </c>
      <c r="F743" t="s">
        <v>179</v>
      </c>
      <c r="G743">
        <v>1.01</v>
      </c>
      <c r="H743">
        <v>1.01</v>
      </c>
      <c r="I743" t="s">
        <v>56</v>
      </c>
      <c r="O743" t="s">
        <v>57</v>
      </c>
      <c r="Q743" t="s">
        <v>57</v>
      </c>
      <c r="R743" t="s">
        <v>137</v>
      </c>
      <c r="T743" t="s">
        <v>59</v>
      </c>
      <c r="U743" t="s">
        <v>60</v>
      </c>
      <c r="V743" t="s">
        <v>138</v>
      </c>
      <c r="W743" t="s">
        <v>139</v>
      </c>
      <c r="X743">
        <v>1925601</v>
      </c>
      <c r="Y743" s="11">
        <v>44774</v>
      </c>
      <c r="Z743" t="s">
        <v>57</v>
      </c>
      <c r="AA743">
        <v>22</v>
      </c>
      <c r="AB743" t="s">
        <v>57</v>
      </c>
      <c r="AD743" t="s">
        <v>57</v>
      </c>
      <c r="AE743" t="s">
        <v>57</v>
      </c>
      <c r="AF743" t="s">
        <v>57</v>
      </c>
      <c r="AG743">
        <v>4</v>
      </c>
      <c r="AH743" t="s">
        <v>57</v>
      </c>
      <c r="AL743" t="s">
        <v>57</v>
      </c>
      <c r="AM743" s="11">
        <v>44774</v>
      </c>
      <c r="AN743" t="s">
        <v>180</v>
      </c>
      <c r="AO743" t="s">
        <v>65</v>
      </c>
      <c r="AP743">
        <v>1205</v>
      </c>
      <c r="AQ743" t="s">
        <v>66</v>
      </c>
      <c r="AR743">
        <v>265536</v>
      </c>
      <c r="AU743" t="s">
        <v>57</v>
      </c>
      <c r="AV743" t="s">
        <v>68</v>
      </c>
      <c r="AX743" t="s">
        <v>57</v>
      </c>
      <c r="AY743">
        <v>631110</v>
      </c>
      <c r="AZ743">
        <v>1205.63111</v>
      </c>
      <c r="BA743" s="23" t="s">
        <v>13</v>
      </c>
    </row>
    <row r="744" spans="1:53" x14ac:dyDescent="0.25">
      <c r="A744" t="s">
        <v>134</v>
      </c>
      <c r="B744" t="s">
        <v>135</v>
      </c>
      <c r="C744">
        <v>22002264</v>
      </c>
      <c r="D744">
        <v>1205</v>
      </c>
      <c r="E744" s="11">
        <v>44774</v>
      </c>
      <c r="F744" t="s">
        <v>179</v>
      </c>
      <c r="G744">
        <v>0.21</v>
      </c>
      <c r="H744">
        <v>0.21</v>
      </c>
      <c r="I744" t="s">
        <v>56</v>
      </c>
      <c r="O744" t="s">
        <v>57</v>
      </c>
      <c r="Q744" t="s">
        <v>57</v>
      </c>
      <c r="R744" t="s">
        <v>137</v>
      </c>
      <c r="T744" t="s">
        <v>59</v>
      </c>
      <c r="U744" t="s">
        <v>60</v>
      </c>
      <c r="V744" t="s">
        <v>138</v>
      </c>
      <c r="W744" t="s">
        <v>139</v>
      </c>
      <c r="X744">
        <v>1925601</v>
      </c>
      <c r="Y744" s="11">
        <v>44774</v>
      </c>
      <c r="Z744" t="s">
        <v>57</v>
      </c>
      <c r="AA744">
        <v>24</v>
      </c>
      <c r="AB744" t="s">
        <v>57</v>
      </c>
      <c r="AD744" t="s">
        <v>57</v>
      </c>
      <c r="AE744" t="s">
        <v>57</v>
      </c>
      <c r="AF744" t="s">
        <v>57</v>
      </c>
      <c r="AG744">
        <v>1</v>
      </c>
      <c r="AH744" t="s">
        <v>57</v>
      </c>
      <c r="AL744" t="s">
        <v>57</v>
      </c>
      <c r="AM744" s="11">
        <v>44774</v>
      </c>
      <c r="AN744" t="s">
        <v>180</v>
      </c>
      <c r="AO744" t="s">
        <v>65</v>
      </c>
      <c r="AP744">
        <v>1205</v>
      </c>
      <c r="AQ744" t="s">
        <v>66</v>
      </c>
      <c r="AR744">
        <v>89727</v>
      </c>
      <c r="AU744" t="s">
        <v>57</v>
      </c>
      <c r="AV744" t="s">
        <v>68</v>
      </c>
      <c r="AX744" t="s">
        <v>57</v>
      </c>
      <c r="AY744">
        <v>631110</v>
      </c>
      <c r="AZ744">
        <v>1205.63111</v>
      </c>
      <c r="BA744" s="23" t="s">
        <v>13</v>
      </c>
    </row>
    <row r="745" spans="1:53" x14ac:dyDescent="0.25">
      <c r="A745" t="s">
        <v>134</v>
      </c>
      <c r="B745" t="s">
        <v>135</v>
      </c>
      <c r="C745">
        <v>22002264</v>
      </c>
      <c r="D745">
        <v>1205</v>
      </c>
      <c r="E745" s="11">
        <v>44774</v>
      </c>
      <c r="F745" t="s">
        <v>179</v>
      </c>
      <c r="G745">
        <v>1.71</v>
      </c>
      <c r="H745">
        <v>1.71</v>
      </c>
      <c r="I745" t="s">
        <v>56</v>
      </c>
      <c r="O745" t="s">
        <v>57</v>
      </c>
      <c r="Q745" t="s">
        <v>57</v>
      </c>
      <c r="R745" t="s">
        <v>137</v>
      </c>
      <c r="T745" t="s">
        <v>59</v>
      </c>
      <c r="U745" t="s">
        <v>60</v>
      </c>
      <c r="V745" t="s">
        <v>138</v>
      </c>
      <c r="W745" t="s">
        <v>139</v>
      </c>
      <c r="X745">
        <v>1925601</v>
      </c>
      <c r="Y745" s="11">
        <v>44774</v>
      </c>
      <c r="Z745" t="s">
        <v>57</v>
      </c>
      <c r="AA745">
        <v>26</v>
      </c>
      <c r="AB745" t="s">
        <v>57</v>
      </c>
      <c r="AD745" t="s">
        <v>57</v>
      </c>
      <c r="AE745" t="s">
        <v>57</v>
      </c>
      <c r="AF745" t="s">
        <v>57</v>
      </c>
      <c r="AG745">
        <v>11</v>
      </c>
      <c r="AH745" t="s">
        <v>57</v>
      </c>
      <c r="AL745" t="s">
        <v>57</v>
      </c>
      <c r="AM745" s="11">
        <v>44774</v>
      </c>
      <c r="AN745" t="s">
        <v>180</v>
      </c>
      <c r="AO745" t="s">
        <v>65</v>
      </c>
      <c r="AP745">
        <v>1205</v>
      </c>
      <c r="AQ745" t="s">
        <v>66</v>
      </c>
      <c r="AR745">
        <v>89712</v>
      </c>
      <c r="AU745" t="s">
        <v>57</v>
      </c>
      <c r="AV745" t="s">
        <v>68</v>
      </c>
      <c r="AX745" t="s">
        <v>57</v>
      </c>
      <c r="AY745">
        <v>631110</v>
      </c>
      <c r="AZ745">
        <v>1205.63111</v>
      </c>
      <c r="BA745" s="23" t="s">
        <v>13</v>
      </c>
    </row>
    <row r="746" spans="1:53" x14ac:dyDescent="0.25">
      <c r="A746" t="s">
        <v>134</v>
      </c>
      <c r="B746" t="s">
        <v>135</v>
      </c>
      <c r="C746">
        <v>22002264</v>
      </c>
      <c r="D746">
        <v>1205</v>
      </c>
      <c r="E746" s="11">
        <v>44774</v>
      </c>
      <c r="F746" t="s">
        <v>179</v>
      </c>
      <c r="G746">
        <v>0.31</v>
      </c>
      <c r="H746">
        <v>0.31</v>
      </c>
      <c r="I746" t="s">
        <v>56</v>
      </c>
      <c r="O746" t="s">
        <v>57</v>
      </c>
      <c r="Q746" t="s">
        <v>57</v>
      </c>
      <c r="R746" t="s">
        <v>137</v>
      </c>
      <c r="T746" t="s">
        <v>59</v>
      </c>
      <c r="U746" t="s">
        <v>60</v>
      </c>
      <c r="V746" t="s">
        <v>138</v>
      </c>
      <c r="W746" t="s">
        <v>139</v>
      </c>
      <c r="X746">
        <v>1925601</v>
      </c>
      <c r="Y746" s="11">
        <v>44774</v>
      </c>
      <c r="Z746" t="s">
        <v>57</v>
      </c>
      <c r="AA746">
        <v>28</v>
      </c>
      <c r="AB746" t="s">
        <v>57</v>
      </c>
      <c r="AD746" t="s">
        <v>57</v>
      </c>
      <c r="AE746" t="s">
        <v>57</v>
      </c>
      <c r="AF746" t="s">
        <v>57</v>
      </c>
      <c r="AG746">
        <v>2</v>
      </c>
      <c r="AH746" t="s">
        <v>57</v>
      </c>
      <c r="AL746" t="s">
        <v>57</v>
      </c>
      <c r="AM746" s="11">
        <v>44774</v>
      </c>
      <c r="AN746" t="s">
        <v>180</v>
      </c>
      <c r="AO746" t="s">
        <v>65</v>
      </c>
      <c r="AP746">
        <v>1205</v>
      </c>
      <c r="AQ746" t="s">
        <v>66</v>
      </c>
      <c r="AR746">
        <v>265528</v>
      </c>
      <c r="AU746" t="s">
        <v>57</v>
      </c>
      <c r="AV746" t="s">
        <v>68</v>
      </c>
      <c r="AX746" t="s">
        <v>57</v>
      </c>
      <c r="AY746">
        <v>631110</v>
      </c>
      <c r="AZ746">
        <v>1205.63111</v>
      </c>
      <c r="BA746" s="23" t="s">
        <v>13</v>
      </c>
    </row>
    <row r="747" spans="1:53" x14ac:dyDescent="0.25">
      <c r="A747" t="s">
        <v>134</v>
      </c>
      <c r="B747" t="s">
        <v>135</v>
      </c>
      <c r="C747">
        <v>22002264</v>
      </c>
      <c r="D747">
        <v>1205</v>
      </c>
      <c r="E747" s="11">
        <v>44774</v>
      </c>
      <c r="F747" t="s">
        <v>179</v>
      </c>
      <c r="G747">
        <v>1.8</v>
      </c>
      <c r="H747">
        <v>1.8</v>
      </c>
      <c r="I747" t="s">
        <v>56</v>
      </c>
      <c r="O747" t="s">
        <v>57</v>
      </c>
      <c r="Q747" t="s">
        <v>57</v>
      </c>
      <c r="R747" t="s">
        <v>137</v>
      </c>
      <c r="T747" t="s">
        <v>59</v>
      </c>
      <c r="U747" t="s">
        <v>60</v>
      </c>
      <c r="V747" t="s">
        <v>138</v>
      </c>
      <c r="W747" t="s">
        <v>139</v>
      </c>
      <c r="X747">
        <v>1925601</v>
      </c>
      <c r="Y747" s="11">
        <v>44774</v>
      </c>
      <c r="Z747" t="s">
        <v>57</v>
      </c>
      <c r="AA747">
        <v>2</v>
      </c>
      <c r="AB747" t="s">
        <v>57</v>
      </c>
      <c r="AD747" t="s">
        <v>57</v>
      </c>
      <c r="AE747" t="s">
        <v>57</v>
      </c>
      <c r="AF747" t="s">
        <v>57</v>
      </c>
      <c r="AG747">
        <v>15</v>
      </c>
      <c r="AH747" t="s">
        <v>57</v>
      </c>
      <c r="AL747" t="s">
        <v>57</v>
      </c>
      <c r="AM747" s="11">
        <v>44774</v>
      </c>
      <c r="AN747" t="s">
        <v>180</v>
      </c>
      <c r="AO747" t="s">
        <v>65</v>
      </c>
      <c r="AP747">
        <v>1205</v>
      </c>
      <c r="AQ747" t="s">
        <v>66</v>
      </c>
      <c r="AR747">
        <v>267860</v>
      </c>
      <c r="AU747" t="s">
        <v>57</v>
      </c>
      <c r="AV747" t="s">
        <v>68</v>
      </c>
      <c r="AX747" t="s">
        <v>57</v>
      </c>
      <c r="AY747">
        <v>631110</v>
      </c>
      <c r="AZ747">
        <v>1205.63111</v>
      </c>
      <c r="BA747" s="23" t="s">
        <v>13</v>
      </c>
    </row>
    <row r="748" spans="1:53" x14ac:dyDescent="0.25">
      <c r="A748" t="s">
        <v>134</v>
      </c>
      <c r="B748" t="s">
        <v>135</v>
      </c>
      <c r="C748">
        <v>22002264</v>
      </c>
      <c r="D748">
        <v>1205</v>
      </c>
      <c r="E748" s="11">
        <v>44774</v>
      </c>
      <c r="F748" t="s">
        <v>179</v>
      </c>
      <c r="G748">
        <v>2.2000000000000002</v>
      </c>
      <c r="H748">
        <v>2.2000000000000002</v>
      </c>
      <c r="I748" t="s">
        <v>56</v>
      </c>
      <c r="O748" t="s">
        <v>57</v>
      </c>
      <c r="Q748" t="s">
        <v>57</v>
      </c>
      <c r="R748" t="s">
        <v>137</v>
      </c>
      <c r="T748" t="s">
        <v>59</v>
      </c>
      <c r="U748" t="s">
        <v>60</v>
      </c>
      <c r="V748" t="s">
        <v>138</v>
      </c>
      <c r="W748" t="s">
        <v>139</v>
      </c>
      <c r="X748">
        <v>1925601</v>
      </c>
      <c r="Y748" s="11">
        <v>44774</v>
      </c>
      <c r="Z748" t="s">
        <v>57</v>
      </c>
      <c r="AA748">
        <v>4</v>
      </c>
      <c r="AB748" t="s">
        <v>57</v>
      </c>
      <c r="AD748" t="s">
        <v>57</v>
      </c>
      <c r="AE748" t="s">
        <v>57</v>
      </c>
      <c r="AF748" t="s">
        <v>57</v>
      </c>
      <c r="AG748">
        <v>29</v>
      </c>
      <c r="AH748" t="s">
        <v>57</v>
      </c>
      <c r="AL748" t="s">
        <v>57</v>
      </c>
      <c r="AM748" s="11">
        <v>44774</v>
      </c>
      <c r="AN748" t="s">
        <v>180</v>
      </c>
      <c r="AO748" t="s">
        <v>65</v>
      </c>
      <c r="AP748">
        <v>1205</v>
      </c>
      <c r="AQ748" t="s">
        <v>66</v>
      </c>
      <c r="AR748">
        <v>91479</v>
      </c>
      <c r="AU748" t="s">
        <v>57</v>
      </c>
      <c r="AV748" t="s">
        <v>68</v>
      </c>
      <c r="AX748" t="s">
        <v>57</v>
      </c>
      <c r="AY748">
        <v>631110</v>
      </c>
      <c r="AZ748">
        <v>1205.63111</v>
      </c>
      <c r="BA748" s="23" t="s">
        <v>13</v>
      </c>
    </row>
    <row r="749" spans="1:53" x14ac:dyDescent="0.25">
      <c r="A749" t="s">
        <v>134</v>
      </c>
      <c r="B749" t="s">
        <v>135</v>
      </c>
      <c r="C749">
        <v>22002264</v>
      </c>
      <c r="D749">
        <v>1205</v>
      </c>
      <c r="E749" s="11">
        <v>44774</v>
      </c>
      <c r="F749" t="s">
        <v>179</v>
      </c>
      <c r="G749">
        <v>0.83</v>
      </c>
      <c r="H749">
        <v>0.83</v>
      </c>
      <c r="I749" t="s">
        <v>56</v>
      </c>
      <c r="O749" t="s">
        <v>57</v>
      </c>
      <c r="Q749" t="s">
        <v>57</v>
      </c>
      <c r="R749" t="s">
        <v>137</v>
      </c>
      <c r="T749" t="s">
        <v>59</v>
      </c>
      <c r="U749" t="s">
        <v>60</v>
      </c>
      <c r="V749" t="s">
        <v>138</v>
      </c>
      <c r="W749" t="s">
        <v>139</v>
      </c>
      <c r="X749">
        <v>1925601</v>
      </c>
      <c r="Y749" s="11">
        <v>44774</v>
      </c>
      <c r="Z749" t="s">
        <v>57</v>
      </c>
      <c r="AA749">
        <v>6</v>
      </c>
      <c r="AB749" t="s">
        <v>57</v>
      </c>
      <c r="AD749" t="s">
        <v>57</v>
      </c>
      <c r="AE749" t="s">
        <v>57</v>
      </c>
      <c r="AF749" t="s">
        <v>57</v>
      </c>
      <c r="AG749">
        <v>11</v>
      </c>
      <c r="AH749" t="s">
        <v>57</v>
      </c>
      <c r="AL749" t="s">
        <v>57</v>
      </c>
      <c r="AM749" s="11">
        <v>44774</v>
      </c>
      <c r="AN749" t="s">
        <v>180</v>
      </c>
      <c r="AO749" t="s">
        <v>65</v>
      </c>
      <c r="AP749">
        <v>1205</v>
      </c>
      <c r="AQ749" t="s">
        <v>66</v>
      </c>
      <c r="AR749">
        <v>271795</v>
      </c>
      <c r="AU749" t="s">
        <v>57</v>
      </c>
      <c r="AV749" t="s">
        <v>68</v>
      </c>
      <c r="AX749" t="s">
        <v>57</v>
      </c>
      <c r="AY749">
        <v>631110</v>
      </c>
      <c r="AZ749">
        <v>1205.63111</v>
      </c>
      <c r="BA749" s="23" t="s">
        <v>13</v>
      </c>
    </row>
    <row r="750" spans="1:53" x14ac:dyDescent="0.25">
      <c r="A750" t="s">
        <v>134</v>
      </c>
      <c r="B750" t="s">
        <v>135</v>
      </c>
      <c r="C750">
        <v>22002264</v>
      </c>
      <c r="D750">
        <v>1205</v>
      </c>
      <c r="E750" s="11">
        <v>44774</v>
      </c>
      <c r="F750" t="s">
        <v>179</v>
      </c>
      <c r="G750">
        <v>4.99</v>
      </c>
      <c r="H750">
        <v>4.99</v>
      </c>
      <c r="I750" t="s">
        <v>56</v>
      </c>
      <c r="O750" t="s">
        <v>57</v>
      </c>
      <c r="Q750" t="s">
        <v>57</v>
      </c>
      <c r="R750" t="s">
        <v>137</v>
      </c>
      <c r="T750" t="s">
        <v>59</v>
      </c>
      <c r="U750" t="s">
        <v>60</v>
      </c>
      <c r="V750" t="s">
        <v>138</v>
      </c>
      <c r="W750" t="s">
        <v>139</v>
      </c>
      <c r="X750">
        <v>1925601</v>
      </c>
      <c r="Y750" s="11">
        <v>44774</v>
      </c>
      <c r="Z750" t="s">
        <v>57</v>
      </c>
      <c r="AA750">
        <v>8</v>
      </c>
      <c r="AB750" t="s">
        <v>57</v>
      </c>
      <c r="AD750" t="s">
        <v>57</v>
      </c>
      <c r="AE750" t="s">
        <v>57</v>
      </c>
      <c r="AF750" t="s">
        <v>57</v>
      </c>
      <c r="AG750">
        <v>46</v>
      </c>
      <c r="AH750" t="s">
        <v>57</v>
      </c>
      <c r="AL750" t="s">
        <v>57</v>
      </c>
      <c r="AM750" s="11">
        <v>44774</v>
      </c>
      <c r="AN750" t="s">
        <v>180</v>
      </c>
      <c r="AO750" t="s">
        <v>65</v>
      </c>
      <c r="AP750">
        <v>1205</v>
      </c>
      <c r="AQ750" t="s">
        <v>66</v>
      </c>
      <c r="AR750">
        <v>265267</v>
      </c>
      <c r="AU750" t="s">
        <v>57</v>
      </c>
      <c r="AV750" t="s">
        <v>68</v>
      </c>
      <c r="AX750" t="s">
        <v>57</v>
      </c>
      <c r="AY750">
        <v>631110</v>
      </c>
      <c r="AZ750">
        <v>1205.63111</v>
      </c>
      <c r="BA750" s="23" t="s">
        <v>13</v>
      </c>
    </row>
    <row r="751" spans="1:53" x14ac:dyDescent="0.25">
      <c r="A751" t="s">
        <v>134</v>
      </c>
      <c r="B751" t="s">
        <v>135</v>
      </c>
      <c r="C751">
        <v>22002264</v>
      </c>
      <c r="D751">
        <v>1205</v>
      </c>
      <c r="E751" s="11">
        <v>44774</v>
      </c>
      <c r="F751" t="s">
        <v>179</v>
      </c>
      <c r="G751">
        <v>1.98</v>
      </c>
      <c r="H751">
        <v>1.98</v>
      </c>
      <c r="I751" t="s">
        <v>56</v>
      </c>
      <c r="O751" t="s">
        <v>57</v>
      </c>
      <c r="Q751" t="s">
        <v>57</v>
      </c>
      <c r="R751" t="s">
        <v>137</v>
      </c>
      <c r="T751" t="s">
        <v>59</v>
      </c>
      <c r="U751" t="s">
        <v>60</v>
      </c>
      <c r="V751" t="s">
        <v>138</v>
      </c>
      <c r="W751" t="s">
        <v>139</v>
      </c>
      <c r="X751">
        <v>1925601</v>
      </c>
      <c r="Y751" s="11">
        <v>44774</v>
      </c>
      <c r="Z751" t="s">
        <v>57</v>
      </c>
      <c r="AA751">
        <v>10</v>
      </c>
      <c r="AB751" t="s">
        <v>57</v>
      </c>
      <c r="AD751" t="s">
        <v>57</v>
      </c>
      <c r="AE751" t="s">
        <v>57</v>
      </c>
      <c r="AF751" t="s">
        <v>57</v>
      </c>
      <c r="AG751">
        <v>18</v>
      </c>
      <c r="AH751" t="s">
        <v>57</v>
      </c>
      <c r="AL751" t="s">
        <v>57</v>
      </c>
      <c r="AM751" s="11">
        <v>44774</v>
      </c>
      <c r="AN751" t="s">
        <v>180</v>
      </c>
      <c r="AO751" t="s">
        <v>65</v>
      </c>
      <c r="AP751">
        <v>1205</v>
      </c>
      <c r="AQ751" t="s">
        <v>66</v>
      </c>
      <c r="AR751">
        <v>90435</v>
      </c>
      <c r="AU751" t="s">
        <v>57</v>
      </c>
      <c r="AV751" t="s">
        <v>68</v>
      </c>
      <c r="AX751" t="s">
        <v>57</v>
      </c>
      <c r="AY751">
        <v>631110</v>
      </c>
      <c r="AZ751">
        <v>1205.63111</v>
      </c>
      <c r="BA751" s="23" t="s">
        <v>13</v>
      </c>
    </row>
    <row r="752" spans="1:53" x14ac:dyDescent="0.25">
      <c r="A752" t="s">
        <v>134</v>
      </c>
      <c r="B752" t="s">
        <v>135</v>
      </c>
      <c r="C752">
        <v>22002264</v>
      </c>
      <c r="D752">
        <v>1205</v>
      </c>
      <c r="E752" s="11">
        <v>44774</v>
      </c>
      <c r="F752" t="s">
        <v>179</v>
      </c>
      <c r="G752">
        <v>0.25</v>
      </c>
      <c r="H752">
        <v>0.25</v>
      </c>
      <c r="I752" t="s">
        <v>56</v>
      </c>
      <c r="O752" t="s">
        <v>57</v>
      </c>
      <c r="Q752" t="s">
        <v>57</v>
      </c>
      <c r="R752" t="s">
        <v>137</v>
      </c>
      <c r="T752" t="s">
        <v>59</v>
      </c>
      <c r="U752" t="s">
        <v>60</v>
      </c>
      <c r="V752" t="s">
        <v>138</v>
      </c>
      <c r="W752" t="s">
        <v>139</v>
      </c>
      <c r="X752">
        <v>1925601</v>
      </c>
      <c r="Y752" s="11">
        <v>44774</v>
      </c>
      <c r="Z752" t="s">
        <v>57</v>
      </c>
      <c r="AA752">
        <v>12</v>
      </c>
      <c r="AB752" t="s">
        <v>57</v>
      </c>
      <c r="AD752" t="s">
        <v>57</v>
      </c>
      <c r="AE752" t="s">
        <v>57</v>
      </c>
      <c r="AF752" t="s">
        <v>57</v>
      </c>
      <c r="AG752">
        <v>2</v>
      </c>
      <c r="AH752" t="s">
        <v>57</v>
      </c>
      <c r="AL752" t="s">
        <v>57</v>
      </c>
      <c r="AM752" s="11">
        <v>44774</v>
      </c>
      <c r="AN752" t="s">
        <v>180</v>
      </c>
      <c r="AO752" t="s">
        <v>65</v>
      </c>
      <c r="AP752">
        <v>1205</v>
      </c>
      <c r="AQ752" t="s">
        <v>66</v>
      </c>
      <c r="AR752">
        <v>265216</v>
      </c>
      <c r="AU752" t="s">
        <v>57</v>
      </c>
      <c r="AV752" t="s">
        <v>68</v>
      </c>
      <c r="AX752" t="s">
        <v>57</v>
      </c>
      <c r="AY752">
        <v>631110</v>
      </c>
      <c r="AZ752">
        <v>1205.63111</v>
      </c>
      <c r="BA752" s="23" t="s">
        <v>13</v>
      </c>
    </row>
    <row r="753" spans="1:53" x14ac:dyDescent="0.25">
      <c r="A753" t="s">
        <v>134</v>
      </c>
      <c r="B753" t="s">
        <v>135</v>
      </c>
      <c r="C753">
        <v>22002264</v>
      </c>
      <c r="D753">
        <v>1205</v>
      </c>
      <c r="E753" s="11">
        <v>44774</v>
      </c>
      <c r="F753" t="s">
        <v>179</v>
      </c>
      <c r="G753">
        <v>1.7</v>
      </c>
      <c r="H753">
        <v>1.7</v>
      </c>
      <c r="I753" t="s">
        <v>56</v>
      </c>
      <c r="O753" t="s">
        <v>57</v>
      </c>
      <c r="Q753" t="s">
        <v>57</v>
      </c>
      <c r="R753" t="s">
        <v>137</v>
      </c>
      <c r="T753" t="s">
        <v>59</v>
      </c>
      <c r="U753" t="s">
        <v>60</v>
      </c>
      <c r="V753" t="s">
        <v>138</v>
      </c>
      <c r="W753" t="s">
        <v>139</v>
      </c>
      <c r="X753">
        <v>1925601</v>
      </c>
      <c r="Y753" s="11">
        <v>44774</v>
      </c>
      <c r="Z753" t="s">
        <v>57</v>
      </c>
      <c r="AA753">
        <v>14</v>
      </c>
      <c r="AB753" t="s">
        <v>57</v>
      </c>
      <c r="AD753" t="s">
        <v>57</v>
      </c>
      <c r="AE753" t="s">
        <v>57</v>
      </c>
      <c r="AF753" t="s">
        <v>57</v>
      </c>
      <c r="AG753">
        <v>14</v>
      </c>
      <c r="AH753" t="s">
        <v>57</v>
      </c>
      <c r="AL753" t="s">
        <v>57</v>
      </c>
      <c r="AM753" s="11">
        <v>44774</v>
      </c>
      <c r="AN753" t="s">
        <v>180</v>
      </c>
      <c r="AO753" t="s">
        <v>65</v>
      </c>
      <c r="AP753">
        <v>1205</v>
      </c>
      <c r="AQ753" t="s">
        <v>66</v>
      </c>
      <c r="AR753">
        <v>267735</v>
      </c>
      <c r="AU753" t="s">
        <v>57</v>
      </c>
      <c r="AV753" t="s">
        <v>68</v>
      </c>
      <c r="AX753" t="s">
        <v>57</v>
      </c>
      <c r="AY753">
        <v>631110</v>
      </c>
      <c r="AZ753">
        <v>1205.63111</v>
      </c>
      <c r="BA753" s="23" t="s">
        <v>13</v>
      </c>
    </row>
    <row r="754" spans="1:53" x14ac:dyDescent="0.25">
      <c r="A754" t="s">
        <v>134</v>
      </c>
      <c r="B754" t="s">
        <v>135</v>
      </c>
      <c r="C754">
        <v>22002264</v>
      </c>
      <c r="D754">
        <v>1205</v>
      </c>
      <c r="E754" s="11">
        <v>44774</v>
      </c>
      <c r="F754" t="s">
        <v>179</v>
      </c>
      <c r="G754">
        <v>0.08</v>
      </c>
      <c r="H754">
        <v>0.08</v>
      </c>
      <c r="I754" t="s">
        <v>56</v>
      </c>
      <c r="O754" t="s">
        <v>57</v>
      </c>
      <c r="Q754" t="s">
        <v>57</v>
      </c>
      <c r="R754" t="s">
        <v>137</v>
      </c>
      <c r="T754" t="s">
        <v>59</v>
      </c>
      <c r="U754" t="s">
        <v>60</v>
      </c>
      <c r="V754" t="s">
        <v>138</v>
      </c>
      <c r="W754" t="s">
        <v>139</v>
      </c>
      <c r="X754">
        <v>1925601</v>
      </c>
      <c r="Y754" s="11">
        <v>44774</v>
      </c>
      <c r="Z754" t="s">
        <v>57</v>
      </c>
      <c r="AA754">
        <v>16</v>
      </c>
      <c r="AB754" t="s">
        <v>57</v>
      </c>
      <c r="AD754" t="s">
        <v>57</v>
      </c>
      <c r="AE754" t="s">
        <v>57</v>
      </c>
      <c r="AF754" t="s">
        <v>57</v>
      </c>
      <c r="AG754">
        <v>1</v>
      </c>
      <c r="AH754" t="s">
        <v>57</v>
      </c>
      <c r="AL754" t="s">
        <v>57</v>
      </c>
      <c r="AM754" s="11">
        <v>44774</v>
      </c>
      <c r="AN754" t="s">
        <v>180</v>
      </c>
      <c r="AO754" t="s">
        <v>65</v>
      </c>
      <c r="AP754">
        <v>1205</v>
      </c>
      <c r="AQ754" t="s">
        <v>66</v>
      </c>
      <c r="AR754">
        <v>267129</v>
      </c>
      <c r="AU754" t="s">
        <v>57</v>
      </c>
      <c r="AV754" t="s">
        <v>68</v>
      </c>
      <c r="AX754" t="s">
        <v>57</v>
      </c>
      <c r="AY754">
        <v>631110</v>
      </c>
      <c r="AZ754">
        <v>1205.63111</v>
      </c>
      <c r="BA754" s="23" t="s">
        <v>13</v>
      </c>
    </row>
    <row r="755" spans="1:53" x14ac:dyDescent="0.25">
      <c r="A755" t="s">
        <v>134</v>
      </c>
      <c r="B755" t="s">
        <v>135</v>
      </c>
      <c r="C755">
        <v>22002265</v>
      </c>
      <c r="D755">
        <v>1205</v>
      </c>
      <c r="E755" s="11">
        <v>44775</v>
      </c>
      <c r="F755" t="s">
        <v>174</v>
      </c>
      <c r="G755">
        <v>7.91</v>
      </c>
      <c r="H755">
        <v>7.91</v>
      </c>
      <c r="I755" t="s">
        <v>56</v>
      </c>
      <c r="O755" t="s">
        <v>57</v>
      </c>
      <c r="Q755" t="s">
        <v>57</v>
      </c>
      <c r="R755" t="s">
        <v>137</v>
      </c>
      <c r="T755" t="s">
        <v>59</v>
      </c>
      <c r="U755" t="s">
        <v>60</v>
      </c>
      <c r="V755" t="s">
        <v>138</v>
      </c>
      <c r="W755" t="s">
        <v>139</v>
      </c>
      <c r="X755">
        <v>1926568</v>
      </c>
      <c r="Y755" s="11">
        <v>44775</v>
      </c>
      <c r="Z755" t="s">
        <v>57</v>
      </c>
      <c r="AA755">
        <v>6</v>
      </c>
      <c r="AB755" t="s">
        <v>57</v>
      </c>
      <c r="AD755" t="s">
        <v>57</v>
      </c>
      <c r="AE755" t="s">
        <v>57</v>
      </c>
      <c r="AF755" t="s">
        <v>57</v>
      </c>
      <c r="AG755">
        <v>2</v>
      </c>
      <c r="AH755" t="s">
        <v>57</v>
      </c>
      <c r="AL755" t="s">
        <v>57</v>
      </c>
      <c r="AM755" s="11">
        <v>44775</v>
      </c>
      <c r="AN755" t="s">
        <v>178</v>
      </c>
      <c r="AO755" t="s">
        <v>65</v>
      </c>
      <c r="AP755">
        <v>1205</v>
      </c>
      <c r="AQ755" t="s">
        <v>66</v>
      </c>
      <c r="AR755">
        <v>220122</v>
      </c>
      <c r="AU755" t="s">
        <v>57</v>
      </c>
      <c r="AV755" t="s">
        <v>68</v>
      </c>
      <c r="AX755" t="s">
        <v>57</v>
      </c>
      <c r="AY755">
        <v>631110</v>
      </c>
      <c r="AZ755">
        <v>1205.63111</v>
      </c>
      <c r="BA755" s="23" t="s">
        <v>13</v>
      </c>
    </row>
    <row r="756" spans="1:53" x14ac:dyDescent="0.25">
      <c r="A756" t="s">
        <v>134</v>
      </c>
      <c r="B756" t="s">
        <v>135</v>
      </c>
      <c r="C756">
        <v>22002265</v>
      </c>
      <c r="D756">
        <v>1205</v>
      </c>
      <c r="E756" s="11">
        <v>44775</v>
      </c>
      <c r="F756" t="s">
        <v>174</v>
      </c>
      <c r="G756">
        <v>0.49</v>
      </c>
      <c r="H756">
        <v>0.49</v>
      </c>
      <c r="I756" t="s">
        <v>56</v>
      </c>
      <c r="O756" t="s">
        <v>57</v>
      </c>
      <c r="Q756" t="s">
        <v>57</v>
      </c>
      <c r="R756" t="s">
        <v>137</v>
      </c>
      <c r="T756" t="s">
        <v>59</v>
      </c>
      <c r="U756" t="s">
        <v>60</v>
      </c>
      <c r="V756" t="s">
        <v>138</v>
      </c>
      <c r="W756" t="s">
        <v>139</v>
      </c>
      <c r="X756">
        <v>1926568</v>
      </c>
      <c r="Y756" s="11">
        <v>44775</v>
      </c>
      <c r="Z756" t="s">
        <v>57</v>
      </c>
      <c r="AA756">
        <v>8</v>
      </c>
      <c r="AB756" t="s">
        <v>57</v>
      </c>
      <c r="AD756" t="s">
        <v>57</v>
      </c>
      <c r="AE756" t="s">
        <v>57</v>
      </c>
      <c r="AF756" t="s">
        <v>57</v>
      </c>
      <c r="AG756">
        <v>1</v>
      </c>
      <c r="AH756" t="s">
        <v>57</v>
      </c>
      <c r="AL756" t="s">
        <v>57</v>
      </c>
      <c r="AM756" s="11">
        <v>44775</v>
      </c>
      <c r="AN756" t="s">
        <v>178</v>
      </c>
      <c r="AO756" t="s">
        <v>65</v>
      </c>
      <c r="AP756">
        <v>1205</v>
      </c>
      <c r="AQ756" t="s">
        <v>66</v>
      </c>
      <c r="AR756">
        <v>228050</v>
      </c>
      <c r="AU756" t="s">
        <v>57</v>
      </c>
      <c r="AV756" t="s">
        <v>68</v>
      </c>
      <c r="AX756" t="s">
        <v>57</v>
      </c>
      <c r="AY756">
        <v>631110</v>
      </c>
      <c r="AZ756">
        <v>1205.63111</v>
      </c>
      <c r="BA756" s="23" t="s">
        <v>13</v>
      </c>
    </row>
    <row r="757" spans="1:53" x14ac:dyDescent="0.25">
      <c r="A757" t="s">
        <v>134</v>
      </c>
      <c r="B757" t="s">
        <v>135</v>
      </c>
      <c r="C757">
        <v>22002265</v>
      </c>
      <c r="D757">
        <v>1205</v>
      </c>
      <c r="E757" s="11">
        <v>44775</v>
      </c>
      <c r="F757" t="s">
        <v>174</v>
      </c>
      <c r="G757">
        <v>0.63</v>
      </c>
      <c r="H757">
        <v>0.63</v>
      </c>
      <c r="I757" t="s">
        <v>56</v>
      </c>
      <c r="O757" t="s">
        <v>57</v>
      </c>
      <c r="Q757" t="s">
        <v>57</v>
      </c>
      <c r="R757" t="s">
        <v>137</v>
      </c>
      <c r="T757" t="s">
        <v>59</v>
      </c>
      <c r="U757" t="s">
        <v>60</v>
      </c>
      <c r="V757" t="s">
        <v>138</v>
      </c>
      <c r="W757" t="s">
        <v>139</v>
      </c>
      <c r="X757">
        <v>1926568</v>
      </c>
      <c r="Y757" s="11">
        <v>44775</v>
      </c>
      <c r="Z757" t="s">
        <v>57</v>
      </c>
      <c r="AA757">
        <v>10</v>
      </c>
      <c r="AB757" t="s">
        <v>57</v>
      </c>
      <c r="AD757" t="s">
        <v>57</v>
      </c>
      <c r="AE757" t="s">
        <v>57</v>
      </c>
      <c r="AF757" t="s">
        <v>57</v>
      </c>
      <c r="AG757">
        <v>1</v>
      </c>
      <c r="AH757" t="s">
        <v>57</v>
      </c>
      <c r="AL757" t="s">
        <v>57</v>
      </c>
      <c r="AM757" s="11">
        <v>44775</v>
      </c>
      <c r="AN757" t="s">
        <v>178</v>
      </c>
      <c r="AO757" t="s">
        <v>65</v>
      </c>
      <c r="AP757">
        <v>1205</v>
      </c>
      <c r="AQ757" t="s">
        <v>66</v>
      </c>
      <c r="AR757">
        <v>220123</v>
      </c>
      <c r="AU757" t="s">
        <v>57</v>
      </c>
      <c r="AV757" t="s">
        <v>68</v>
      </c>
      <c r="AX757" t="s">
        <v>57</v>
      </c>
      <c r="AY757">
        <v>631110</v>
      </c>
      <c r="AZ757">
        <v>1205.63111</v>
      </c>
      <c r="BA757" s="23" t="s">
        <v>13</v>
      </c>
    </row>
    <row r="758" spans="1:53" x14ac:dyDescent="0.25">
      <c r="A758" t="s">
        <v>134</v>
      </c>
      <c r="B758" t="s">
        <v>135</v>
      </c>
      <c r="C758">
        <v>22002265</v>
      </c>
      <c r="D758">
        <v>1205</v>
      </c>
      <c r="E758" s="11">
        <v>44775</v>
      </c>
      <c r="F758" t="s">
        <v>174</v>
      </c>
      <c r="G758">
        <v>0.04</v>
      </c>
      <c r="H758">
        <v>0.04</v>
      </c>
      <c r="I758" t="s">
        <v>56</v>
      </c>
      <c r="O758" t="s">
        <v>57</v>
      </c>
      <c r="Q758" t="s">
        <v>57</v>
      </c>
      <c r="R758" t="s">
        <v>137</v>
      </c>
      <c r="T758" t="s">
        <v>59</v>
      </c>
      <c r="U758" t="s">
        <v>60</v>
      </c>
      <c r="V758" t="s">
        <v>138</v>
      </c>
      <c r="W758" t="s">
        <v>139</v>
      </c>
      <c r="X758">
        <v>1926568</v>
      </c>
      <c r="Y758" s="11">
        <v>44775</v>
      </c>
      <c r="Z758" t="s">
        <v>57</v>
      </c>
      <c r="AA758">
        <v>12</v>
      </c>
      <c r="AB758" t="s">
        <v>57</v>
      </c>
      <c r="AD758" t="s">
        <v>57</v>
      </c>
      <c r="AE758" t="s">
        <v>57</v>
      </c>
      <c r="AF758" t="s">
        <v>57</v>
      </c>
      <c r="AG758">
        <v>1</v>
      </c>
      <c r="AH758" t="s">
        <v>57</v>
      </c>
      <c r="AL758" t="s">
        <v>57</v>
      </c>
      <c r="AM758" s="11">
        <v>44775</v>
      </c>
      <c r="AN758" t="s">
        <v>178</v>
      </c>
      <c r="AO758" t="s">
        <v>65</v>
      </c>
      <c r="AP758">
        <v>1205</v>
      </c>
      <c r="AQ758" t="s">
        <v>66</v>
      </c>
      <c r="AR758">
        <v>90039</v>
      </c>
      <c r="AU758" t="s">
        <v>57</v>
      </c>
      <c r="AV758" t="s">
        <v>68</v>
      </c>
      <c r="AX758" t="s">
        <v>57</v>
      </c>
      <c r="AY758">
        <v>631110</v>
      </c>
      <c r="AZ758">
        <v>1205.63111</v>
      </c>
      <c r="BA758" s="23" t="s">
        <v>13</v>
      </c>
    </row>
    <row r="759" spans="1:53" x14ac:dyDescent="0.25">
      <c r="A759" t="s">
        <v>134</v>
      </c>
      <c r="B759" t="s">
        <v>135</v>
      </c>
      <c r="C759">
        <v>22002265</v>
      </c>
      <c r="D759">
        <v>1205</v>
      </c>
      <c r="E759" s="11">
        <v>44775</v>
      </c>
      <c r="F759" t="s">
        <v>174</v>
      </c>
      <c r="G759">
        <v>0.16</v>
      </c>
      <c r="H759">
        <v>0.16</v>
      </c>
      <c r="I759" t="s">
        <v>56</v>
      </c>
      <c r="O759" t="s">
        <v>57</v>
      </c>
      <c r="Q759" t="s">
        <v>57</v>
      </c>
      <c r="R759" t="s">
        <v>137</v>
      </c>
      <c r="T759" t="s">
        <v>59</v>
      </c>
      <c r="U759" t="s">
        <v>60</v>
      </c>
      <c r="V759" t="s">
        <v>138</v>
      </c>
      <c r="W759" t="s">
        <v>139</v>
      </c>
      <c r="X759">
        <v>1926568</v>
      </c>
      <c r="Y759" s="11">
        <v>44775</v>
      </c>
      <c r="Z759" t="s">
        <v>57</v>
      </c>
      <c r="AA759">
        <v>14</v>
      </c>
      <c r="AB759" t="s">
        <v>57</v>
      </c>
      <c r="AD759" t="s">
        <v>57</v>
      </c>
      <c r="AE759" t="s">
        <v>57</v>
      </c>
      <c r="AF759" t="s">
        <v>57</v>
      </c>
      <c r="AG759">
        <v>1</v>
      </c>
      <c r="AH759" t="s">
        <v>57</v>
      </c>
      <c r="AL759" t="s">
        <v>57</v>
      </c>
      <c r="AM759" s="11">
        <v>44775</v>
      </c>
      <c r="AN759" t="s">
        <v>178</v>
      </c>
      <c r="AO759" t="s">
        <v>65</v>
      </c>
      <c r="AP759">
        <v>1205</v>
      </c>
      <c r="AQ759" t="s">
        <v>66</v>
      </c>
      <c r="AR759">
        <v>88760</v>
      </c>
      <c r="AU759" t="s">
        <v>57</v>
      </c>
      <c r="AV759" t="s">
        <v>68</v>
      </c>
      <c r="AX759" t="s">
        <v>57</v>
      </c>
      <c r="AY759">
        <v>631110</v>
      </c>
      <c r="AZ759">
        <v>1205.63111</v>
      </c>
      <c r="BA759" s="23" t="s">
        <v>13</v>
      </c>
    </row>
    <row r="760" spans="1:53" x14ac:dyDescent="0.25">
      <c r="A760" t="s">
        <v>134</v>
      </c>
      <c r="B760" t="s">
        <v>135</v>
      </c>
      <c r="C760">
        <v>22002265</v>
      </c>
      <c r="D760">
        <v>1205</v>
      </c>
      <c r="E760" s="11">
        <v>44775</v>
      </c>
      <c r="F760" t="s">
        <v>174</v>
      </c>
      <c r="G760">
        <v>51.2</v>
      </c>
      <c r="H760">
        <v>51.2</v>
      </c>
      <c r="I760" t="s">
        <v>56</v>
      </c>
      <c r="O760" t="s">
        <v>57</v>
      </c>
      <c r="Q760" t="s">
        <v>57</v>
      </c>
      <c r="R760" t="s">
        <v>137</v>
      </c>
      <c r="T760" t="s">
        <v>59</v>
      </c>
      <c r="U760" t="s">
        <v>60</v>
      </c>
      <c r="V760" t="s">
        <v>138</v>
      </c>
      <c r="W760" t="s">
        <v>139</v>
      </c>
      <c r="X760">
        <v>1926568</v>
      </c>
      <c r="Y760" s="11">
        <v>44775</v>
      </c>
      <c r="Z760" t="s">
        <v>57</v>
      </c>
      <c r="AA760">
        <v>16</v>
      </c>
      <c r="AB760" t="s">
        <v>57</v>
      </c>
      <c r="AD760" t="s">
        <v>57</v>
      </c>
      <c r="AE760" t="s">
        <v>57</v>
      </c>
      <c r="AF760" t="s">
        <v>57</v>
      </c>
      <c r="AG760">
        <v>1</v>
      </c>
      <c r="AH760" t="s">
        <v>57</v>
      </c>
      <c r="AL760" t="s">
        <v>57</v>
      </c>
      <c r="AM760" s="11">
        <v>44775</v>
      </c>
      <c r="AN760" t="s">
        <v>178</v>
      </c>
      <c r="AO760" t="s">
        <v>65</v>
      </c>
      <c r="AP760">
        <v>1205</v>
      </c>
      <c r="AQ760" t="s">
        <v>66</v>
      </c>
      <c r="AR760">
        <v>130047</v>
      </c>
      <c r="AU760" t="s">
        <v>57</v>
      </c>
      <c r="AV760" t="s">
        <v>68</v>
      </c>
      <c r="AX760" t="s">
        <v>57</v>
      </c>
      <c r="AY760">
        <v>631110</v>
      </c>
      <c r="AZ760">
        <v>1205.63111</v>
      </c>
      <c r="BA760" s="23" t="s">
        <v>13</v>
      </c>
    </row>
    <row r="761" spans="1:53" x14ac:dyDescent="0.25">
      <c r="A761" t="s">
        <v>134</v>
      </c>
      <c r="B761" t="s">
        <v>135</v>
      </c>
      <c r="C761">
        <v>22002265</v>
      </c>
      <c r="D761">
        <v>1205</v>
      </c>
      <c r="E761" s="11">
        <v>44775</v>
      </c>
      <c r="F761" t="s">
        <v>174</v>
      </c>
      <c r="G761">
        <v>21.17</v>
      </c>
      <c r="H761">
        <v>21.17</v>
      </c>
      <c r="I761" t="s">
        <v>56</v>
      </c>
      <c r="O761" t="s">
        <v>57</v>
      </c>
      <c r="Q761" t="s">
        <v>57</v>
      </c>
      <c r="R761" t="s">
        <v>137</v>
      </c>
      <c r="T761" t="s">
        <v>59</v>
      </c>
      <c r="U761" t="s">
        <v>60</v>
      </c>
      <c r="V761" t="s">
        <v>138</v>
      </c>
      <c r="W761" t="s">
        <v>139</v>
      </c>
      <c r="X761">
        <v>1926568</v>
      </c>
      <c r="Y761" s="11">
        <v>44775</v>
      </c>
      <c r="Z761" t="s">
        <v>57</v>
      </c>
      <c r="AA761">
        <v>18</v>
      </c>
      <c r="AB761" t="s">
        <v>57</v>
      </c>
      <c r="AD761" t="s">
        <v>57</v>
      </c>
      <c r="AE761" t="s">
        <v>57</v>
      </c>
      <c r="AF761" t="s">
        <v>57</v>
      </c>
      <c r="AG761">
        <v>1</v>
      </c>
      <c r="AH761" t="s">
        <v>57</v>
      </c>
      <c r="AL761" t="s">
        <v>57</v>
      </c>
      <c r="AM761" s="11">
        <v>44775</v>
      </c>
      <c r="AN761" t="s">
        <v>178</v>
      </c>
      <c r="AO761" t="s">
        <v>65</v>
      </c>
      <c r="AP761">
        <v>1205</v>
      </c>
      <c r="AQ761" t="s">
        <v>66</v>
      </c>
      <c r="AR761">
        <v>208951</v>
      </c>
      <c r="AU761" t="s">
        <v>57</v>
      </c>
      <c r="AV761" t="s">
        <v>68</v>
      </c>
      <c r="AX761" t="s">
        <v>57</v>
      </c>
      <c r="AY761">
        <v>631110</v>
      </c>
      <c r="AZ761">
        <v>1205.63111</v>
      </c>
      <c r="BA761" s="23" t="s">
        <v>13</v>
      </c>
    </row>
    <row r="762" spans="1:53" x14ac:dyDescent="0.25">
      <c r="A762" t="s">
        <v>134</v>
      </c>
      <c r="B762" t="s">
        <v>135</v>
      </c>
      <c r="C762">
        <v>22002265</v>
      </c>
      <c r="D762">
        <v>1205</v>
      </c>
      <c r="E762" s="11">
        <v>44775</v>
      </c>
      <c r="F762" t="s">
        <v>174</v>
      </c>
      <c r="G762">
        <v>0.05</v>
      </c>
      <c r="H762">
        <v>0.05</v>
      </c>
      <c r="I762" t="s">
        <v>56</v>
      </c>
      <c r="O762" t="s">
        <v>57</v>
      </c>
      <c r="Q762" t="s">
        <v>57</v>
      </c>
      <c r="R762" t="s">
        <v>137</v>
      </c>
      <c r="T762" t="s">
        <v>59</v>
      </c>
      <c r="U762" t="s">
        <v>60</v>
      </c>
      <c r="V762" t="s">
        <v>138</v>
      </c>
      <c r="W762" t="s">
        <v>139</v>
      </c>
      <c r="X762">
        <v>1926568</v>
      </c>
      <c r="Y762" s="11">
        <v>44775</v>
      </c>
      <c r="Z762" t="s">
        <v>57</v>
      </c>
      <c r="AA762">
        <v>20</v>
      </c>
      <c r="AB762" t="s">
        <v>57</v>
      </c>
      <c r="AD762" t="s">
        <v>57</v>
      </c>
      <c r="AE762" t="s">
        <v>57</v>
      </c>
      <c r="AF762" t="s">
        <v>57</v>
      </c>
      <c r="AG762">
        <v>1</v>
      </c>
      <c r="AH762" t="s">
        <v>57</v>
      </c>
      <c r="AL762" t="s">
        <v>57</v>
      </c>
      <c r="AM762" s="11">
        <v>44775</v>
      </c>
      <c r="AN762" t="s">
        <v>178</v>
      </c>
      <c r="AO762" t="s">
        <v>65</v>
      </c>
      <c r="AP762">
        <v>1205</v>
      </c>
      <c r="AQ762" t="s">
        <v>66</v>
      </c>
      <c r="AR762">
        <v>90043</v>
      </c>
      <c r="AU762" t="s">
        <v>57</v>
      </c>
      <c r="AV762" t="s">
        <v>68</v>
      </c>
      <c r="AX762" t="s">
        <v>57</v>
      </c>
      <c r="AY762">
        <v>631110</v>
      </c>
      <c r="AZ762">
        <v>1205.63111</v>
      </c>
      <c r="BA762" s="23" t="s">
        <v>13</v>
      </c>
    </row>
    <row r="763" spans="1:53" x14ac:dyDescent="0.25">
      <c r="A763" t="s">
        <v>134</v>
      </c>
      <c r="B763" t="s">
        <v>135</v>
      </c>
      <c r="C763">
        <v>22002265</v>
      </c>
      <c r="D763">
        <v>1205</v>
      </c>
      <c r="E763" s="11">
        <v>44775</v>
      </c>
      <c r="F763" t="s">
        <v>174</v>
      </c>
      <c r="G763">
        <v>90.43</v>
      </c>
      <c r="H763">
        <v>90.43</v>
      </c>
      <c r="I763" t="s">
        <v>56</v>
      </c>
      <c r="O763" t="s">
        <v>57</v>
      </c>
      <c r="Q763" t="s">
        <v>57</v>
      </c>
      <c r="R763" t="s">
        <v>137</v>
      </c>
      <c r="T763" t="s">
        <v>59</v>
      </c>
      <c r="U763" t="s">
        <v>60</v>
      </c>
      <c r="V763" t="s">
        <v>138</v>
      </c>
      <c r="W763" t="s">
        <v>139</v>
      </c>
      <c r="X763">
        <v>1926568</v>
      </c>
      <c r="Y763" s="11">
        <v>44775</v>
      </c>
      <c r="Z763" t="s">
        <v>57</v>
      </c>
      <c r="AA763">
        <v>22</v>
      </c>
      <c r="AB763" t="s">
        <v>57</v>
      </c>
      <c r="AD763" t="s">
        <v>57</v>
      </c>
      <c r="AE763" t="s">
        <v>57</v>
      </c>
      <c r="AF763" t="s">
        <v>57</v>
      </c>
      <c r="AG763">
        <v>1</v>
      </c>
      <c r="AH763" t="s">
        <v>57</v>
      </c>
      <c r="AL763" t="s">
        <v>57</v>
      </c>
      <c r="AM763" s="11">
        <v>44775</v>
      </c>
      <c r="AN763" t="s">
        <v>178</v>
      </c>
      <c r="AO763" t="s">
        <v>65</v>
      </c>
      <c r="AP763">
        <v>1205</v>
      </c>
      <c r="AQ763" t="s">
        <v>66</v>
      </c>
      <c r="AR763">
        <v>174262</v>
      </c>
      <c r="AU763" t="s">
        <v>57</v>
      </c>
      <c r="AV763" t="s">
        <v>68</v>
      </c>
      <c r="AX763" t="s">
        <v>57</v>
      </c>
      <c r="AY763">
        <v>631110</v>
      </c>
      <c r="AZ763">
        <v>1205.63111</v>
      </c>
      <c r="BA763" s="23" t="s">
        <v>13</v>
      </c>
    </row>
    <row r="764" spans="1:53" x14ac:dyDescent="0.25">
      <c r="A764" t="s">
        <v>134</v>
      </c>
      <c r="B764" t="s">
        <v>135</v>
      </c>
      <c r="C764">
        <v>22002265</v>
      </c>
      <c r="D764">
        <v>1205</v>
      </c>
      <c r="E764" s="11">
        <v>44775</v>
      </c>
      <c r="F764" t="s">
        <v>174</v>
      </c>
      <c r="G764">
        <v>7.13</v>
      </c>
      <c r="H764">
        <v>7.13</v>
      </c>
      <c r="I764" t="s">
        <v>56</v>
      </c>
      <c r="O764" t="s">
        <v>57</v>
      </c>
      <c r="Q764" t="s">
        <v>57</v>
      </c>
      <c r="R764" t="s">
        <v>137</v>
      </c>
      <c r="T764" t="s">
        <v>59</v>
      </c>
      <c r="U764" t="s">
        <v>60</v>
      </c>
      <c r="V764" t="s">
        <v>138</v>
      </c>
      <c r="W764" t="s">
        <v>139</v>
      </c>
      <c r="X764">
        <v>1926568</v>
      </c>
      <c r="Y764" s="11">
        <v>44775</v>
      </c>
      <c r="Z764" t="s">
        <v>57</v>
      </c>
      <c r="AA764">
        <v>24</v>
      </c>
      <c r="AB764" t="s">
        <v>57</v>
      </c>
      <c r="AD764" t="s">
        <v>57</v>
      </c>
      <c r="AE764" t="s">
        <v>57</v>
      </c>
      <c r="AF764" t="s">
        <v>57</v>
      </c>
      <c r="AG764">
        <v>1</v>
      </c>
      <c r="AH764" t="s">
        <v>57</v>
      </c>
      <c r="AL764" t="s">
        <v>57</v>
      </c>
      <c r="AM764" s="11">
        <v>44775</v>
      </c>
      <c r="AN764" t="s">
        <v>178</v>
      </c>
      <c r="AO764" t="s">
        <v>65</v>
      </c>
      <c r="AP764">
        <v>1205</v>
      </c>
      <c r="AQ764" t="s">
        <v>66</v>
      </c>
      <c r="AR764">
        <v>90178</v>
      </c>
      <c r="AU764" t="s">
        <v>57</v>
      </c>
      <c r="AV764" t="s">
        <v>68</v>
      </c>
      <c r="AX764" t="s">
        <v>57</v>
      </c>
      <c r="AY764">
        <v>631110</v>
      </c>
      <c r="AZ764">
        <v>1205.63111</v>
      </c>
      <c r="BA764" s="23" t="s">
        <v>13</v>
      </c>
    </row>
    <row r="765" spans="1:53" x14ac:dyDescent="0.25">
      <c r="A765" t="s">
        <v>134</v>
      </c>
      <c r="B765" t="s">
        <v>135</v>
      </c>
      <c r="C765">
        <v>22002265</v>
      </c>
      <c r="D765">
        <v>1205</v>
      </c>
      <c r="E765" s="11">
        <v>44775</v>
      </c>
      <c r="F765" t="s">
        <v>174</v>
      </c>
      <c r="G765">
        <v>124.5</v>
      </c>
      <c r="H765">
        <v>124.5</v>
      </c>
      <c r="I765" t="s">
        <v>56</v>
      </c>
      <c r="O765" t="s">
        <v>57</v>
      </c>
      <c r="Q765" t="s">
        <v>57</v>
      </c>
      <c r="R765" t="s">
        <v>137</v>
      </c>
      <c r="T765" t="s">
        <v>59</v>
      </c>
      <c r="U765" t="s">
        <v>60</v>
      </c>
      <c r="V765" t="s">
        <v>138</v>
      </c>
      <c r="W765" t="s">
        <v>139</v>
      </c>
      <c r="X765">
        <v>1926568</v>
      </c>
      <c r="Y765" s="11">
        <v>44775</v>
      </c>
      <c r="Z765" t="s">
        <v>57</v>
      </c>
      <c r="AA765">
        <v>26</v>
      </c>
      <c r="AB765" t="s">
        <v>57</v>
      </c>
      <c r="AD765" t="s">
        <v>57</v>
      </c>
      <c r="AE765" t="s">
        <v>57</v>
      </c>
      <c r="AF765" t="s">
        <v>57</v>
      </c>
      <c r="AG765">
        <v>4</v>
      </c>
      <c r="AH765" t="s">
        <v>57</v>
      </c>
      <c r="AL765" t="s">
        <v>57</v>
      </c>
      <c r="AM765" s="11">
        <v>44775</v>
      </c>
      <c r="AN765" t="s">
        <v>178</v>
      </c>
      <c r="AO765" t="s">
        <v>65</v>
      </c>
      <c r="AP765">
        <v>1205</v>
      </c>
      <c r="AQ765" t="s">
        <v>66</v>
      </c>
      <c r="AR765">
        <v>227906</v>
      </c>
      <c r="AU765" t="s">
        <v>57</v>
      </c>
      <c r="AV765" t="s">
        <v>68</v>
      </c>
      <c r="AX765" t="s">
        <v>57</v>
      </c>
      <c r="AY765">
        <v>631110</v>
      </c>
      <c r="AZ765">
        <v>1205.63111</v>
      </c>
      <c r="BA765" s="23" t="s">
        <v>13</v>
      </c>
    </row>
    <row r="766" spans="1:53" x14ac:dyDescent="0.25">
      <c r="A766" t="s">
        <v>134</v>
      </c>
      <c r="B766" t="s">
        <v>135</v>
      </c>
      <c r="C766">
        <v>22002265</v>
      </c>
      <c r="D766">
        <v>1205</v>
      </c>
      <c r="E766" s="11">
        <v>44775</v>
      </c>
      <c r="F766" t="s">
        <v>174</v>
      </c>
      <c r="G766">
        <v>0.12</v>
      </c>
      <c r="H766">
        <v>0.12</v>
      </c>
      <c r="I766" t="s">
        <v>56</v>
      </c>
      <c r="O766" t="s">
        <v>57</v>
      </c>
      <c r="Q766" t="s">
        <v>57</v>
      </c>
      <c r="R766" t="s">
        <v>137</v>
      </c>
      <c r="T766" t="s">
        <v>59</v>
      </c>
      <c r="U766" t="s">
        <v>60</v>
      </c>
      <c r="V766" t="s">
        <v>138</v>
      </c>
      <c r="W766" t="s">
        <v>139</v>
      </c>
      <c r="X766">
        <v>1926568</v>
      </c>
      <c r="Y766" s="11">
        <v>44775</v>
      </c>
      <c r="Z766" t="s">
        <v>57</v>
      </c>
      <c r="AA766">
        <v>2</v>
      </c>
      <c r="AB766" t="s">
        <v>57</v>
      </c>
      <c r="AD766" t="s">
        <v>57</v>
      </c>
      <c r="AE766" t="s">
        <v>57</v>
      </c>
      <c r="AF766" t="s">
        <v>57</v>
      </c>
      <c r="AG766">
        <v>1</v>
      </c>
      <c r="AH766" t="s">
        <v>57</v>
      </c>
      <c r="AL766" t="s">
        <v>57</v>
      </c>
      <c r="AM766" s="11">
        <v>44775</v>
      </c>
      <c r="AN766" t="s">
        <v>178</v>
      </c>
      <c r="AO766" t="s">
        <v>65</v>
      </c>
      <c r="AP766">
        <v>1205</v>
      </c>
      <c r="AQ766" t="s">
        <v>66</v>
      </c>
      <c r="AR766">
        <v>226150</v>
      </c>
      <c r="AU766" t="s">
        <v>57</v>
      </c>
      <c r="AV766" t="s">
        <v>68</v>
      </c>
      <c r="AX766" t="s">
        <v>57</v>
      </c>
      <c r="AY766">
        <v>631110</v>
      </c>
      <c r="AZ766">
        <v>1205.63111</v>
      </c>
      <c r="BA766" s="23" t="s">
        <v>13</v>
      </c>
    </row>
    <row r="767" spans="1:53" x14ac:dyDescent="0.25">
      <c r="A767" t="s">
        <v>134</v>
      </c>
      <c r="B767" t="s">
        <v>135</v>
      </c>
      <c r="C767">
        <v>22002265</v>
      </c>
      <c r="D767">
        <v>1205</v>
      </c>
      <c r="E767" s="11">
        <v>44775</v>
      </c>
      <c r="F767" t="s">
        <v>174</v>
      </c>
      <c r="G767">
        <v>0.98</v>
      </c>
      <c r="H767">
        <v>0.98</v>
      </c>
      <c r="I767" t="s">
        <v>56</v>
      </c>
      <c r="O767" t="s">
        <v>57</v>
      </c>
      <c r="Q767" t="s">
        <v>57</v>
      </c>
      <c r="R767" t="s">
        <v>137</v>
      </c>
      <c r="T767" t="s">
        <v>59</v>
      </c>
      <c r="U767" t="s">
        <v>60</v>
      </c>
      <c r="V767" t="s">
        <v>138</v>
      </c>
      <c r="W767" t="s">
        <v>139</v>
      </c>
      <c r="X767">
        <v>1926568</v>
      </c>
      <c r="Y767" s="11">
        <v>44775</v>
      </c>
      <c r="Z767" t="s">
        <v>57</v>
      </c>
      <c r="AA767">
        <v>4</v>
      </c>
      <c r="AB767" t="s">
        <v>57</v>
      </c>
      <c r="AD767" t="s">
        <v>57</v>
      </c>
      <c r="AE767" t="s">
        <v>57</v>
      </c>
      <c r="AF767" t="s">
        <v>57</v>
      </c>
      <c r="AG767">
        <v>2</v>
      </c>
      <c r="AH767" t="s">
        <v>57</v>
      </c>
      <c r="AL767" t="s">
        <v>57</v>
      </c>
      <c r="AM767" s="11">
        <v>44775</v>
      </c>
      <c r="AN767" t="s">
        <v>178</v>
      </c>
      <c r="AO767" t="s">
        <v>65</v>
      </c>
      <c r="AP767">
        <v>1205</v>
      </c>
      <c r="AQ767" t="s">
        <v>66</v>
      </c>
      <c r="AR767">
        <v>121863</v>
      </c>
      <c r="AU767" t="s">
        <v>57</v>
      </c>
      <c r="AV767" t="s">
        <v>68</v>
      </c>
      <c r="AX767" t="s">
        <v>57</v>
      </c>
      <c r="AY767">
        <v>631110</v>
      </c>
      <c r="AZ767">
        <v>1205.63111</v>
      </c>
      <c r="BA767" s="23" t="s">
        <v>13</v>
      </c>
    </row>
    <row r="768" spans="1:53" x14ac:dyDescent="0.25">
      <c r="A768" t="s">
        <v>134</v>
      </c>
      <c r="B768" t="s">
        <v>135</v>
      </c>
      <c r="C768">
        <v>22002267</v>
      </c>
      <c r="D768">
        <v>1205</v>
      </c>
      <c r="E768" s="11">
        <v>44775</v>
      </c>
      <c r="F768" t="s">
        <v>179</v>
      </c>
      <c r="G768">
        <v>0.15</v>
      </c>
      <c r="H768">
        <v>0.15</v>
      </c>
      <c r="I768" t="s">
        <v>56</v>
      </c>
      <c r="O768" t="s">
        <v>57</v>
      </c>
      <c r="Q768" t="s">
        <v>57</v>
      </c>
      <c r="R768" t="s">
        <v>137</v>
      </c>
      <c r="T768" t="s">
        <v>59</v>
      </c>
      <c r="U768" t="s">
        <v>60</v>
      </c>
      <c r="V768" t="s">
        <v>138</v>
      </c>
      <c r="W768" t="s">
        <v>139</v>
      </c>
      <c r="X768">
        <v>1926658</v>
      </c>
      <c r="Y768" s="11">
        <v>44775</v>
      </c>
      <c r="Z768" t="s">
        <v>57</v>
      </c>
      <c r="AA768">
        <v>2</v>
      </c>
      <c r="AB768" t="s">
        <v>57</v>
      </c>
      <c r="AD768" t="s">
        <v>57</v>
      </c>
      <c r="AE768" t="s">
        <v>57</v>
      </c>
      <c r="AF768" t="s">
        <v>57</v>
      </c>
      <c r="AG768">
        <v>2</v>
      </c>
      <c r="AH768" t="s">
        <v>57</v>
      </c>
      <c r="AL768" t="s">
        <v>57</v>
      </c>
      <c r="AM768" s="11">
        <v>44775</v>
      </c>
      <c r="AN768" t="s">
        <v>180</v>
      </c>
      <c r="AO768" t="s">
        <v>65</v>
      </c>
      <c r="AP768">
        <v>1205</v>
      </c>
      <c r="AQ768" t="s">
        <v>66</v>
      </c>
      <c r="AR768">
        <v>92908</v>
      </c>
      <c r="AU768" t="s">
        <v>57</v>
      </c>
      <c r="AV768" t="s">
        <v>68</v>
      </c>
      <c r="AX768" t="s">
        <v>57</v>
      </c>
      <c r="AY768">
        <v>631110</v>
      </c>
      <c r="AZ768">
        <v>1205.63111</v>
      </c>
      <c r="BA768" s="23" t="s">
        <v>13</v>
      </c>
    </row>
    <row r="769" spans="1:53" x14ac:dyDescent="0.25">
      <c r="A769" t="s">
        <v>134</v>
      </c>
      <c r="B769" t="s">
        <v>135</v>
      </c>
      <c r="C769">
        <v>22002267</v>
      </c>
      <c r="D769">
        <v>1205</v>
      </c>
      <c r="E769" s="11">
        <v>44775</v>
      </c>
      <c r="F769" t="s">
        <v>179</v>
      </c>
      <c r="G769">
        <v>1.2</v>
      </c>
      <c r="H769">
        <v>1.2</v>
      </c>
      <c r="I769" t="s">
        <v>56</v>
      </c>
      <c r="O769" t="s">
        <v>57</v>
      </c>
      <c r="Q769" t="s">
        <v>57</v>
      </c>
      <c r="R769" t="s">
        <v>137</v>
      </c>
      <c r="T769" t="s">
        <v>59</v>
      </c>
      <c r="U769" t="s">
        <v>60</v>
      </c>
      <c r="V769" t="s">
        <v>138</v>
      </c>
      <c r="W769" t="s">
        <v>139</v>
      </c>
      <c r="X769">
        <v>1926658</v>
      </c>
      <c r="Y769" s="11">
        <v>44775</v>
      </c>
      <c r="Z769" t="s">
        <v>57</v>
      </c>
      <c r="AA769">
        <v>4</v>
      </c>
      <c r="AB769" t="s">
        <v>57</v>
      </c>
      <c r="AD769" t="s">
        <v>57</v>
      </c>
      <c r="AE769" t="s">
        <v>57</v>
      </c>
      <c r="AF769" t="s">
        <v>57</v>
      </c>
      <c r="AG769">
        <v>10</v>
      </c>
      <c r="AH769" t="s">
        <v>57</v>
      </c>
      <c r="AL769" t="s">
        <v>57</v>
      </c>
      <c r="AM769" s="11">
        <v>44775</v>
      </c>
      <c r="AN769" t="s">
        <v>180</v>
      </c>
      <c r="AO769" t="s">
        <v>65</v>
      </c>
      <c r="AP769">
        <v>1205</v>
      </c>
      <c r="AQ769" t="s">
        <v>66</v>
      </c>
      <c r="AR769">
        <v>267860</v>
      </c>
      <c r="AU769" t="s">
        <v>57</v>
      </c>
      <c r="AV769" t="s">
        <v>68</v>
      </c>
      <c r="AX769" t="s">
        <v>57</v>
      </c>
      <c r="AY769">
        <v>631110</v>
      </c>
      <c r="AZ769">
        <v>1205.63111</v>
      </c>
      <c r="BA769" s="23" t="s">
        <v>13</v>
      </c>
    </row>
    <row r="770" spans="1:53" x14ac:dyDescent="0.25">
      <c r="A770" t="s">
        <v>134</v>
      </c>
      <c r="B770" t="s">
        <v>135</v>
      </c>
      <c r="C770">
        <v>22002267</v>
      </c>
      <c r="D770">
        <v>1205</v>
      </c>
      <c r="E770" s="11">
        <v>44775</v>
      </c>
      <c r="F770" t="s">
        <v>179</v>
      </c>
      <c r="G770">
        <v>0.08</v>
      </c>
      <c r="H770">
        <v>0.08</v>
      </c>
      <c r="I770" t="s">
        <v>56</v>
      </c>
      <c r="O770" t="s">
        <v>57</v>
      </c>
      <c r="Q770" t="s">
        <v>57</v>
      </c>
      <c r="R770" t="s">
        <v>137</v>
      </c>
      <c r="T770" t="s">
        <v>59</v>
      </c>
      <c r="U770" t="s">
        <v>60</v>
      </c>
      <c r="V770" t="s">
        <v>138</v>
      </c>
      <c r="W770" t="s">
        <v>139</v>
      </c>
      <c r="X770">
        <v>1926658</v>
      </c>
      <c r="Y770" s="11">
        <v>44775</v>
      </c>
      <c r="Z770" t="s">
        <v>57</v>
      </c>
      <c r="AA770">
        <v>6</v>
      </c>
      <c r="AB770" t="s">
        <v>57</v>
      </c>
      <c r="AD770" t="s">
        <v>57</v>
      </c>
      <c r="AE770" t="s">
        <v>57</v>
      </c>
      <c r="AF770" t="s">
        <v>57</v>
      </c>
      <c r="AG770">
        <v>1</v>
      </c>
      <c r="AH770" t="s">
        <v>57</v>
      </c>
      <c r="AL770" t="s">
        <v>57</v>
      </c>
      <c r="AM770" s="11">
        <v>44775</v>
      </c>
      <c r="AN770" t="s">
        <v>180</v>
      </c>
      <c r="AO770" t="s">
        <v>65</v>
      </c>
      <c r="AP770">
        <v>1205</v>
      </c>
      <c r="AQ770" t="s">
        <v>66</v>
      </c>
      <c r="AR770">
        <v>264688</v>
      </c>
      <c r="AU770" t="s">
        <v>57</v>
      </c>
      <c r="AV770" t="s">
        <v>68</v>
      </c>
      <c r="AX770" t="s">
        <v>57</v>
      </c>
      <c r="AY770">
        <v>631110</v>
      </c>
      <c r="AZ770">
        <v>1205.63111</v>
      </c>
      <c r="BA770" s="23" t="s">
        <v>13</v>
      </c>
    </row>
    <row r="771" spans="1:53" x14ac:dyDescent="0.25">
      <c r="A771" t="s">
        <v>134</v>
      </c>
      <c r="B771" t="s">
        <v>135</v>
      </c>
      <c r="C771">
        <v>22002267</v>
      </c>
      <c r="D771">
        <v>1205</v>
      </c>
      <c r="E771" s="11">
        <v>44775</v>
      </c>
      <c r="F771" t="s">
        <v>179</v>
      </c>
      <c r="G771">
        <v>0.83</v>
      </c>
      <c r="H771">
        <v>0.83</v>
      </c>
      <c r="I771" t="s">
        <v>56</v>
      </c>
      <c r="O771" t="s">
        <v>57</v>
      </c>
      <c r="Q771" t="s">
        <v>57</v>
      </c>
      <c r="R771" t="s">
        <v>137</v>
      </c>
      <c r="T771" t="s">
        <v>59</v>
      </c>
      <c r="U771" t="s">
        <v>60</v>
      </c>
      <c r="V771" t="s">
        <v>138</v>
      </c>
      <c r="W771" t="s">
        <v>139</v>
      </c>
      <c r="X771">
        <v>1926658</v>
      </c>
      <c r="Y771" s="11">
        <v>44775</v>
      </c>
      <c r="Z771" t="s">
        <v>57</v>
      </c>
      <c r="AA771">
        <v>8</v>
      </c>
      <c r="AB771" t="s">
        <v>57</v>
      </c>
      <c r="AD771" t="s">
        <v>57</v>
      </c>
      <c r="AE771" t="s">
        <v>57</v>
      </c>
      <c r="AF771" t="s">
        <v>57</v>
      </c>
      <c r="AG771">
        <v>11</v>
      </c>
      <c r="AH771" t="s">
        <v>57</v>
      </c>
      <c r="AL771" t="s">
        <v>57</v>
      </c>
      <c r="AM771" s="11">
        <v>44775</v>
      </c>
      <c r="AN771" t="s">
        <v>180</v>
      </c>
      <c r="AO771" t="s">
        <v>65</v>
      </c>
      <c r="AP771">
        <v>1205</v>
      </c>
      <c r="AQ771" t="s">
        <v>66</v>
      </c>
      <c r="AR771">
        <v>91479</v>
      </c>
      <c r="AU771" t="s">
        <v>57</v>
      </c>
      <c r="AV771" t="s">
        <v>68</v>
      </c>
      <c r="AX771" t="s">
        <v>57</v>
      </c>
      <c r="AY771">
        <v>631110</v>
      </c>
      <c r="AZ771">
        <v>1205.63111</v>
      </c>
      <c r="BA771" s="23" t="s">
        <v>13</v>
      </c>
    </row>
    <row r="772" spans="1:53" x14ac:dyDescent="0.25">
      <c r="A772" t="s">
        <v>134</v>
      </c>
      <c r="B772" t="s">
        <v>135</v>
      </c>
      <c r="C772">
        <v>22002267</v>
      </c>
      <c r="D772">
        <v>1205</v>
      </c>
      <c r="E772" s="11">
        <v>44775</v>
      </c>
      <c r="F772" t="s">
        <v>179</v>
      </c>
      <c r="G772">
        <v>0.91</v>
      </c>
      <c r="H772">
        <v>0.91</v>
      </c>
      <c r="I772" t="s">
        <v>56</v>
      </c>
      <c r="O772" t="s">
        <v>57</v>
      </c>
      <c r="Q772" t="s">
        <v>57</v>
      </c>
      <c r="R772" t="s">
        <v>137</v>
      </c>
      <c r="T772" t="s">
        <v>59</v>
      </c>
      <c r="U772" t="s">
        <v>60</v>
      </c>
      <c r="V772" t="s">
        <v>138</v>
      </c>
      <c r="W772" t="s">
        <v>139</v>
      </c>
      <c r="X772">
        <v>1926658</v>
      </c>
      <c r="Y772" s="11">
        <v>44775</v>
      </c>
      <c r="Z772" t="s">
        <v>57</v>
      </c>
      <c r="AA772">
        <v>10</v>
      </c>
      <c r="AB772" t="s">
        <v>57</v>
      </c>
      <c r="AD772" t="s">
        <v>57</v>
      </c>
      <c r="AE772" t="s">
        <v>57</v>
      </c>
      <c r="AF772" t="s">
        <v>57</v>
      </c>
      <c r="AG772">
        <v>12</v>
      </c>
      <c r="AH772" t="s">
        <v>57</v>
      </c>
      <c r="AL772" t="s">
        <v>57</v>
      </c>
      <c r="AM772" s="11">
        <v>44775</v>
      </c>
      <c r="AN772" t="s">
        <v>180</v>
      </c>
      <c r="AO772" t="s">
        <v>65</v>
      </c>
      <c r="AP772">
        <v>1205</v>
      </c>
      <c r="AQ772" t="s">
        <v>66</v>
      </c>
      <c r="AR772">
        <v>271795</v>
      </c>
      <c r="AU772" t="s">
        <v>57</v>
      </c>
      <c r="AV772" t="s">
        <v>68</v>
      </c>
      <c r="AX772" t="s">
        <v>57</v>
      </c>
      <c r="AY772">
        <v>631110</v>
      </c>
      <c r="AZ772">
        <v>1205.63111</v>
      </c>
      <c r="BA772" s="23" t="s">
        <v>13</v>
      </c>
    </row>
    <row r="773" spans="1:53" x14ac:dyDescent="0.25">
      <c r="A773" t="s">
        <v>134</v>
      </c>
      <c r="B773" t="s">
        <v>135</v>
      </c>
      <c r="C773">
        <v>22002267</v>
      </c>
      <c r="D773">
        <v>1205</v>
      </c>
      <c r="E773" s="11">
        <v>44775</v>
      </c>
      <c r="F773" t="s">
        <v>179</v>
      </c>
      <c r="G773">
        <v>3.47</v>
      </c>
      <c r="H773">
        <v>3.47</v>
      </c>
      <c r="I773" t="s">
        <v>56</v>
      </c>
      <c r="O773" t="s">
        <v>57</v>
      </c>
      <c r="Q773" t="s">
        <v>57</v>
      </c>
      <c r="R773" t="s">
        <v>137</v>
      </c>
      <c r="T773" t="s">
        <v>59</v>
      </c>
      <c r="U773" t="s">
        <v>60</v>
      </c>
      <c r="V773" t="s">
        <v>138</v>
      </c>
      <c r="W773" t="s">
        <v>139</v>
      </c>
      <c r="X773">
        <v>1926658</v>
      </c>
      <c r="Y773" s="11">
        <v>44775</v>
      </c>
      <c r="Z773" t="s">
        <v>57</v>
      </c>
      <c r="AA773">
        <v>12</v>
      </c>
      <c r="AB773" t="s">
        <v>57</v>
      </c>
      <c r="AD773" t="s">
        <v>57</v>
      </c>
      <c r="AE773" t="s">
        <v>57</v>
      </c>
      <c r="AF773" t="s">
        <v>57</v>
      </c>
      <c r="AG773">
        <v>32</v>
      </c>
      <c r="AH773" t="s">
        <v>57</v>
      </c>
      <c r="AL773" t="s">
        <v>57</v>
      </c>
      <c r="AM773" s="11">
        <v>44775</v>
      </c>
      <c r="AN773" t="s">
        <v>180</v>
      </c>
      <c r="AO773" t="s">
        <v>65</v>
      </c>
      <c r="AP773">
        <v>1205</v>
      </c>
      <c r="AQ773" t="s">
        <v>66</v>
      </c>
      <c r="AR773">
        <v>265267</v>
      </c>
      <c r="AU773" t="s">
        <v>57</v>
      </c>
      <c r="AV773" t="s">
        <v>68</v>
      </c>
      <c r="AX773" t="s">
        <v>57</v>
      </c>
      <c r="AY773">
        <v>631110</v>
      </c>
      <c r="AZ773">
        <v>1205.63111</v>
      </c>
      <c r="BA773" s="23" t="s">
        <v>13</v>
      </c>
    </row>
    <row r="774" spans="1:53" x14ac:dyDescent="0.25">
      <c r="A774" t="s">
        <v>134</v>
      </c>
      <c r="B774" t="s">
        <v>135</v>
      </c>
      <c r="C774">
        <v>22002267</v>
      </c>
      <c r="D774">
        <v>1205</v>
      </c>
      <c r="E774" s="11">
        <v>44775</v>
      </c>
      <c r="F774" t="s">
        <v>179</v>
      </c>
      <c r="G774">
        <v>0.44</v>
      </c>
      <c r="H774">
        <v>0.44</v>
      </c>
      <c r="I774" t="s">
        <v>56</v>
      </c>
      <c r="O774" t="s">
        <v>57</v>
      </c>
      <c r="Q774" t="s">
        <v>57</v>
      </c>
      <c r="R774" t="s">
        <v>137</v>
      </c>
      <c r="T774" t="s">
        <v>59</v>
      </c>
      <c r="U774" t="s">
        <v>60</v>
      </c>
      <c r="V774" t="s">
        <v>138</v>
      </c>
      <c r="W774" t="s">
        <v>139</v>
      </c>
      <c r="X774">
        <v>1926658</v>
      </c>
      <c r="Y774" s="11">
        <v>44775</v>
      </c>
      <c r="Z774" t="s">
        <v>57</v>
      </c>
      <c r="AA774">
        <v>14</v>
      </c>
      <c r="AB774" t="s">
        <v>57</v>
      </c>
      <c r="AD774" t="s">
        <v>57</v>
      </c>
      <c r="AE774" t="s">
        <v>57</v>
      </c>
      <c r="AF774" t="s">
        <v>57</v>
      </c>
      <c r="AG774">
        <v>4</v>
      </c>
      <c r="AH774" t="s">
        <v>57</v>
      </c>
      <c r="AL774" t="s">
        <v>57</v>
      </c>
      <c r="AM774" s="11">
        <v>44775</v>
      </c>
      <c r="AN774" t="s">
        <v>180</v>
      </c>
      <c r="AO774" t="s">
        <v>65</v>
      </c>
      <c r="AP774">
        <v>1205</v>
      </c>
      <c r="AQ774" t="s">
        <v>66</v>
      </c>
      <c r="AR774">
        <v>90435</v>
      </c>
      <c r="AU774" t="s">
        <v>57</v>
      </c>
      <c r="AV774" t="s">
        <v>68</v>
      </c>
      <c r="AX774" t="s">
        <v>57</v>
      </c>
      <c r="AY774">
        <v>631110</v>
      </c>
      <c r="AZ774">
        <v>1205.63111</v>
      </c>
      <c r="BA774" s="23" t="s">
        <v>13</v>
      </c>
    </row>
    <row r="775" spans="1:53" x14ac:dyDescent="0.25">
      <c r="A775" t="s">
        <v>134</v>
      </c>
      <c r="B775" t="s">
        <v>135</v>
      </c>
      <c r="C775">
        <v>22002267</v>
      </c>
      <c r="D775">
        <v>1205</v>
      </c>
      <c r="E775" s="11">
        <v>44775</v>
      </c>
      <c r="F775" t="s">
        <v>179</v>
      </c>
      <c r="G775">
        <v>0.38</v>
      </c>
      <c r="H775">
        <v>0.38</v>
      </c>
      <c r="I775" t="s">
        <v>56</v>
      </c>
      <c r="O775" t="s">
        <v>57</v>
      </c>
      <c r="Q775" t="s">
        <v>57</v>
      </c>
      <c r="R775" t="s">
        <v>137</v>
      </c>
      <c r="T775" t="s">
        <v>59</v>
      </c>
      <c r="U775" t="s">
        <v>60</v>
      </c>
      <c r="V775" t="s">
        <v>138</v>
      </c>
      <c r="W775" t="s">
        <v>139</v>
      </c>
      <c r="X775">
        <v>1926658</v>
      </c>
      <c r="Y775" s="11">
        <v>44775</v>
      </c>
      <c r="Z775" t="s">
        <v>57</v>
      </c>
      <c r="AA775">
        <v>16</v>
      </c>
      <c r="AB775" t="s">
        <v>57</v>
      </c>
      <c r="AD775" t="s">
        <v>57</v>
      </c>
      <c r="AE775" t="s">
        <v>57</v>
      </c>
      <c r="AF775" t="s">
        <v>57</v>
      </c>
      <c r="AG775">
        <v>3</v>
      </c>
      <c r="AH775" t="s">
        <v>57</v>
      </c>
      <c r="AL775" t="s">
        <v>57</v>
      </c>
      <c r="AM775" s="11">
        <v>44775</v>
      </c>
      <c r="AN775" t="s">
        <v>180</v>
      </c>
      <c r="AO775" t="s">
        <v>65</v>
      </c>
      <c r="AP775">
        <v>1205</v>
      </c>
      <c r="AQ775" t="s">
        <v>66</v>
      </c>
      <c r="AR775">
        <v>265216</v>
      </c>
      <c r="AU775" t="s">
        <v>57</v>
      </c>
      <c r="AV775" t="s">
        <v>68</v>
      </c>
      <c r="AX775" t="s">
        <v>57</v>
      </c>
      <c r="AY775">
        <v>631110</v>
      </c>
      <c r="AZ775">
        <v>1205.63111</v>
      </c>
      <c r="BA775" s="23" t="s">
        <v>13</v>
      </c>
    </row>
    <row r="776" spans="1:53" x14ac:dyDescent="0.25">
      <c r="A776" t="s">
        <v>134</v>
      </c>
      <c r="B776" t="s">
        <v>135</v>
      </c>
      <c r="C776">
        <v>22002267</v>
      </c>
      <c r="D776">
        <v>1205</v>
      </c>
      <c r="E776" s="11">
        <v>44775</v>
      </c>
      <c r="F776" t="s">
        <v>179</v>
      </c>
      <c r="G776">
        <v>0.08</v>
      </c>
      <c r="H776">
        <v>0.08</v>
      </c>
      <c r="I776" t="s">
        <v>56</v>
      </c>
      <c r="O776" t="s">
        <v>57</v>
      </c>
      <c r="Q776" t="s">
        <v>57</v>
      </c>
      <c r="R776" t="s">
        <v>137</v>
      </c>
      <c r="T776" t="s">
        <v>59</v>
      </c>
      <c r="U776" t="s">
        <v>60</v>
      </c>
      <c r="V776" t="s">
        <v>138</v>
      </c>
      <c r="W776" t="s">
        <v>139</v>
      </c>
      <c r="X776">
        <v>1926658</v>
      </c>
      <c r="Y776" s="11">
        <v>44775</v>
      </c>
      <c r="Z776" t="s">
        <v>57</v>
      </c>
      <c r="AA776">
        <v>18</v>
      </c>
      <c r="AB776" t="s">
        <v>57</v>
      </c>
      <c r="AD776" t="s">
        <v>57</v>
      </c>
      <c r="AE776" t="s">
        <v>57</v>
      </c>
      <c r="AF776" t="s">
        <v>57</v>
      </c>
      <c r="AG776">
        <v>1</v>
      </c>
      <c r="AH776" t="s">
        <v>57</v>
      </c>
      <c r="AL776" t="s">
        <v>57</v>
      </c>
      <c r="AM776" s="11">
        <v>44775</v>
      </c>
      <c r="AN776" t="s">
        <v>180</v>
      </c>
      <c r="AO776" t="s">
        <v>65</v>
      </c>
      <c r="AP776">
        <v>1205</v>
      </c>
      <c r="AQ776" t="s">
        <v>66</v>
      </c>
      <c r="AR776">
        <v>267129</v>
      </c>
      <c r="AU776" t="s">
        <v>57</v>
      </c>
      <c r="AV776" t="s">
        <v>68</v>
      </c>
      <c r="AX776" t="s">
        <v>57</v>
      </c>
      <c r="AY776">
        <v>631110</v>
      </c>
      <c r="AZ776">
        <v>1205.63111</v>
      </c>
      <c r="BA776" s="23" t="s">
        <v>13</v>
      </c>
    </row>
    <row r="777" spans="1:53" x14ac:dyDescent="0.25">
      <c r="A777" t="s">
        <v>134</v>
      </c>
      <c r="B777" t="s">
        <v>135</v>
      </c>
      <c r="C777">
        <v>22002267</v>
      </c>
      <c r="D777">
        <v>1205</v>
      </c>
      <c r="E777" s="11">
        <v>44775</v>
      </c>
      <c r="F777" t="s">
        <v>179</v>
      </c>
      <c r="G777">
        <v>1.46</v>
      </c>
      <c r="H777">
        <v>1.46</v>
      </c>
      <c r="I777" t="s">
        <v>56</v>
      </c>
      <c r="O777" t="s">
        <v>57</v>
      </c>
      <c r="Q777" t="s">
        <v>57</v>
      </c>
      <c r="R777" t="s">
        <v>137</v>
      </c>
      <c r="T777" t="s">
        <v>59</v>
      </c>
      <c r="U777" t="s">
        <v>60</v>
      </c>
      <c r="V777" t="s">
        <v>138</v>
      </c>
      <c r="W777" t="s">
        <v>139</v>
      </c>
      <c r="X777">
        <v>1926658</v>
      </c>
      <c r="Y777" s="11">
        <v>44775</v>
      </c>
      <c r="Z777" t="s">
        <v>57</v>
      </c>
      <c r="AA777">
        <v>20</v>
      </c>
      <c r="AB777" t="s">
        <v>57</v>
      </c>
      <c r="AD777" t="s">
        <v>57</v>
      </c>
      <c r="AE777" t="s">
        <v>57</v>
      </c>
      <c r="AF777" t="s">
        <v>57</v>
      </c>
      <c r="AG777">
        <v>12</v>
      </c>
      <c r="AH777" t="s">
        <v>57</v>
      </c>
      <c r="AL777" t="s">
        <v>57</v>
      </c>
      <c r="AM777" s="11">
        <v>44775</v>
      </c>
      <c r="AN777" t="s">
        <v>180</v>
      </c>
      <c r="AO777" t="s">
        <v>65</v>
      </c>
      <c r="AP777">
        <v>1205</v>
      </c>
      <c r="AQ777" t="s">
        <v>66</v>
      </c>
      <c r="AR777">
        <v>88639</v>
      </c>
      <c r="AU777" t="s">
        <v>57</v>
      </c>
      <c r="AV777" t="s">
        <v>68</v>
      </c>
      <c r="AX777" t="s">
        <v>57</v>
      </c>
      <c r="AY777">
        <v>631110</v>
      </c>
      <c r="AZ777">
        <v>1205.63111</v>
      </c>
      <c r="BA777" s="23" t="s">
        <v>13</v>
      </c>
    </row>
    <row r="778" spans="1:53" x14ac:dyDescent="0.25">
      <c r="A778" t="s">
        <v>134</v>
      </c>
      <c r="B778" t="s">
        <v>135</v>
      </c>
      <c r="C778">
        <v>22002267</v>
      </c>
      <c r="D778">
        <v>1205</v>
      </c>
      <c r="E778" s="11">
        <v>44775</v>
      </c>
      <c r="F778" t="s">
        <v>179</v>
      </c>
      <c r="G778">
        <v>1.53</v>
      </c>
      <c r="H778">
        <v>1.53</v>
      </c>
      <c r="I778" t="s">
        <v>56</v>
      </c>
      <c r="O778" t="s">
        <v>57</v>
      </c>
      <c r="Q778" t="s">
        <v>57</v>
      </c>
      <c r="R778" t="s">
        <v>137</v>
      </c>
      <c r="T778" t="s">
        <v>59</v>
      </c>
      <c r="U778" t="s">
        <v>60</v>
      </c>
      <c r="V778" t="s">
        <v>138</v>
      </c>
      <c r="W778" t="s">
        <v>139</v>
      </c>
      <c r="X778">
        <v>1926658</v>
      </c>
      <c r="Y778" s="11">
        <v>44775</v>
      </c>
      <c r="Z778" t="s">
        <v>57</v>
      </c>
      <c r="AA778">
        <v>22</v>
      </c>
      <c r="AB778" t="s">
        <v>57</v>
      </c>
      <c r="AD778" t="s">
        <v>57</v>
      </c>
      <c r="AE778" t="s">
        <v>57</v>
      </c>
      <c r="AF778" t="s">
        <v>57</v>
      </c>
      <c r="AG778">
        <v>10</v>
      </c>
      <c r="AH778" t="s">
        <v>57</v>
      </c>
      <c r="AL778" t="s">
        <v>57</v>
      </c>
      <c r="AM778" s="11">
        <v>44775</v>
      </c>
      <c r="AN778" t="s">
        <v>180</v>
      </c>
      <c r="AO778" t="s">
        <v>65</v>
      </c>
      <c r="AP778">
        <v>1205</v>
      </c>
      <c r="AQ778" t="s">
        <v>66</v>
      </c>
      <c r="AR778">
        <v>89715</v>
      </c>
      <c r="AU778" t="s">
        <v>57</v>
      </c>
      <c r="AV778" t="s">
        <v>68</v>
      </c>
      <c r="AX778" t="s">
        <v>57</v>
      </c>
      <c r="AY778">
        <v>631110</v>
      </c>
      <c r="AZ778">
        <v>1205.63111</v>
      </c>
      <c r="BA778" s="23" t="s">
        <v>13</v>
      </c>
    </row>
    <row r="779" spans="1:53" x14ac:dyDescent="0.25">
      <c r="A779" t="s">
        <v>134</v>
      </c>
      <c r="B779" t="s">
        <v>135</v>
      </c>
      <c r="C779">
        <v>22002267</v>
      </c>
      <c r="D779">
        <v>1205</v>
      </c>
      <c r="E779" s="11">
        <v>44775</v>
      </c>
      <c r="F779" t="s">
        <v>179</v>
      </c>
      <c r="G779">
        <v>2.52</v>
      </c>
      <c r="H779">
        <v>2.52</v>
      </c>
      <c r="I779" t="s">
        <v>56</v>
      </c>
      <c r="O779" t="s">
        <v>57</v>
      </c>
      <c r="Q779" t="s">
        <v>57</v>
      </c>
      <c r="R779" t="s">
        <v>137</v>
      </c>
      <c r="T779" t="s">
        <v>59</v>
      </c>
      <c r="U779" t="s">
        <v>60</v>
      </c>
      <c r="V779" t="s">
        <v>138</v>
      </c>
      <c r="W779" t="s">
        <v>139</v>
      </c>
      <c r="X779">
        <v>1926658</v>
      </c>
      <c r="Y779" s="11">
        <v>44775</v>
      </c>
      <c r="Z779" t="s">
        <v>57</v>
      </c>
      <c r="AA779">
        <v>24</v>
      </c>
      <c r="AB779" t="s">
        <v>57</v>
      </c>
      <c r="AD779" t="s">
        <v>57</v>
      </c>
      <c r="AE779" t="s">
        <v>57</v>
      </c>
      <c r="AF779" t="s">
        <v>57</v>
      </c>
      <c r="AG779">
        <v>10</v>
      </c>
      <c r="AH779" t="s">
        <v>57</v>
      </c>
      <c r="AL779" t="s">
        <v>57</v>
      </c>
      <c r="AM779" s="11">
        <v>44775</v>
      </c>
      <c r="AN779" t="s">
        <v>180</v>
      </c>
      <c r="AO779" t="s">
        <v>65</v>
      </c>
      <c r="AP779">
        <v>1205</v>
      </c>
      <c r="AQ779" t="s">
        <v>66</v>
      </c>
      <c r="AR779">
        <v>88669</v>
      </c>
      <c r="AU779" t="s">
        <v>57</v>
      </c>
      <c r="AV779" t="s">
        <v>68</v>
      </c>
      <c r="AX779" t="s">
        <v>57</v>
      </c>
      <c r="AY779">
        <v>631110</v>
      </c>
      <c r="AZ779">
        <v>1205.63111</v>
      </c>
      <c r="BA779" s="23" t="s">
        <v>13</v>
      </c>
    </row>
    <row r="780" spans="1:53" x14ac:dyDescent="0.25">
      <c r="A780" t="s">
        <v>134</v>
      </c>
      <c r="B780" t="s">
        <v>135</v>
      </c>
      <c r="C780">
        <v>22002267</v>
      </c>
      <c r="D780">
        <v>1205</v>
      </c>
      <c r="E780" s="11">
        <v>44775</v>
      </c>
      <c r="F780" t="s">
        <v>179</v>
      </c>
      <c r="G780">
        <v>0.5</v>
      </c>
      <c r="H780">
        <v>0.5</v>
      </c>
      <c r="I780" t="s">
        <v>56</v>
      </c>
      <c r="O780" t="s">
        <v>57</v>
      </c>
      <c r="Q780" t="s">
        <v>57</v>
      </c>
      <c r="R780" t="s">
        <v>137</v>
      </c>
      <c r="T780" t="s">
        <v>59</v>
      </c>
      <c r="U780" t="s">
        <v>60</v>
      </c>
      <c r="V780" t="s">
        <v>138</v>
      </c>
      <c r="W780" t="s">
        <v>139</v>
      </c>
      <c r="X780">
        <v>1926658</v>
      </c>
      <c r="Y780" s="11">
        <v>44775</v>
      </c>
      <c r="Z780" t="s">
        <v>57</v>
      </c>
      <c r="AA780">
        <v>26</v>
      </c>
      <c r="AB780" t="s">
        <v>57</v>
      </c>
      <c r="AD780" t="s">
        <v>57</v>
      </c>
      <c r="AE780" t="s">
        <v>57</v>
      </c>
      <c r="AF780" t="s">
        <v>57</v>
      </c>
      <c r="AG780">
        <v>2</v>
      </c>
      <c r="AH780" t="s">
        <v>57</v>
      </c>
      <c r="AL780" t="s">
        <v>57</v>
      </c>
      <c r="AM780" s="11">
        <v>44775</v>
      </c>
      <c r="AN780" t="s">
        <v>180</v>
      </c>
      <c r="AO780" t="s">
        <v>65</v>
      </c>
      <c r="AP780">
        <v>1205</v>
      </c>
      <c r="AQ780" t="s">
        <v>66</v>
      </c>
      <c r="AR780">
        <v>265536</v>
      </c>
      <c r="AU780" t="s">
        <v>57</v>
      </c>
      <c r="AV780" t="s">
        <v>68</v>
      </c>
      <c r="AX780" t="s">
        <v>57</v>
      </c>
      <c r="AY780">
        <v>631110</v>
      </c>
      <c r="AZ780">
        <v>1205.63111</v>
      </c>
      <c r="BA780" s="23" t="s">
        <v>13</v>
      </c>
    </row>
    <row r="781" spans="1:53" x14ac:dyDescent="0.25">
      <c r="A781" t="s">
        <v>134</v>
      </c>
      <c r="B781" t="s">
        <v>135</v>
      </c>
      <c r="C781">
        <v>22002267</v>
      </c>
      <c r="D781">
        <v>1205</v>
      </c>
      <c r="E781" s="11">
        <v>44775</v>
      </c>
      <c r="F781" t="s">
        <v>179</v>
      </c>
      <c r="G781">
        <v>2.14</v>
      </c>
      <c r="H781">
        <v>2.14</v>
      </c>
      <c r="I781" t="s">
        <v>56</v>
      </c>
      <c r="O781" t="s">
        <v>57</v>
      </c>
      <c r="Q781" t="s">
        <v>57</v>
      </c>
      <c r="R781" t="s">
        <v>137</v>
      </c>
      <c r="T781" t="s">
        <v>59</v>
      </c>
      <c r="U781" t="s">
        <v>60</v>
      </c>
      <c r="V781" t="s">
        <v>138</v>
      </c>
      <c r="W781" t="s">
        <v>139</v>
      </c>
      <c r="X781">
        <v>1926658</v>
      </c>
      <c r="Y781" s="11">
        <v>44775</v>
      </c>
      <c r="Z781" t="s">
        <v>57</v>
      </c>
      <c r="AA781">
        <v>28</v>
      </c>
      <c r="AB781" t="s">
        <v>57</v>
      </c>
      <c r="AD781" t="s">
        <v>57</v>
      </c>
      <c r="AE781" t="s">
        <v>57</v>
      </c>
      <c r="AF781" t="s">
        <v>57</v>
      </c>
      <c r="AG781">
        <v>10</v>
      </c>
      <c r="AH781" t="s">
        <v>57</v>
      </c>
      <c r="AL781" t="s">
        <v>57</v>
      </c>
      <c r="AM781" s="11">
        <v>44775</v>
      </c>
      <c r="AN781" t="s">
        <v>180</v>
      </c>
      <c r="AO781" t="s">
        <v>65</v>
      </c>
      <c r="AP781">
        <v>1205</v>
      </c>
      <c r="AQ781" t="s">
        <v>66</v>
      </c>
      <c r="AR781">
        <v>89727</v>
      </c>
      <c r="AU781" t="s">
        <v>57</v>
      </c>
      <c r="AV781" t="s">
        <v>68</v>
      </c>
      <c r="AX781" t="s">
        <v>57</v>
      </c>
      <c r="AY781">
        <v>631110</v>
      </c>
      <c r="AZ781">
        <v>1205.63111</v>
      </c>
      <c r="BA781" s="23" t="s">
        <v>13</v>
      </c>
    </row>
    <row r="782" spans="1:53" x14ac:dyDescent="0.25">
      <c r="A782" t="s">
        <v>134</v>
      </c>
      <c r="B782" t="s">
        <v>135</v>
      </c>
      <c r="C782">
        <v>22002267</v>
      </c>
      <c r="D782">
        <v>1205</v>
      </c>
      <c r="E782" s="11">
        <v>44775</v>
      </c>
      <c r="F782" t="s">
        <v>179</v>
      </c>
      <c r="G782">
        <v>0.16</v>
      </c>
      <c r="H782">
        <v>0.16</v>
      </c>
      <c r="I782" t="s">
        <v>56</v>
      </c>
      <c r="O782" t="s">
        <v>57</v>
      </c>
      <c r="Q782" t="s">
        <v>57</v>
      </c>
      <c r="R782" t="s">
        <v>137</v>
      </c>
      <c r="T782" t="s">
        <v>59</v>
      </c>
      <c r="U782" t="s">
        <v>60</v>
      </c>
      <c r="V782" t="s">
        <v>138</v>
      </c>
      <c r="W782" t="s">
        <v>139</v>
      </c>
      <c r="X782">
        <v>1926658</v>
      </c>
      <c r="Y782" s="11">
        <v>44775</v>
      </c>
      <c r="Z782" t="s">
        <v>57</v>
      </c>
      <c r="AA782">
        <v>30</v>
      </c>
      <c r="AB782" t="s">
        <v>57</v>
      </c>
      <c r="AD782" t="s">
        <v>57</v>
      </c>
      <c r="AE782" t="s">
        <v>57</v>
      </c>
      <c r="AF782" t="s">
        <v>57</v>
      </c>
      <c r="AG782">
        <v>1</v>
      </c>
      <c r="AH782" t="s">
        <v>57</v>
      </c>
      <c r="AL782" t="s">
        <v>57</v>
      </c>
      <c r="AM782" s="11">
        <v>44775</v>
      </c>
      <c r="AN782" t="s">
        <v>180</v>
      </c>
      <c r="AO782" t="s">
        <v>65</v>
      </c>
      <c r="AP782">
        <v>1205</v>
      </c>
      <c r="AQ782" t="s">
        <v>66</v>
      </c>
      <c r="AR782">
        <v>89712</v>
      </c>
      <c r="AU782" t="s">
        <v>57</v>
      </c>
      <c r="AV782" t="s">
        <v>68</v>
      </c>
      <c r="AX782" t="s">
        <v>57</v>
      </c>
      <c r="AY782">
        <v>631110</v>
      </c>
      <c r="AZ782">
        <v>1205.63111</v>
      </c>
      <c r="BA782" s="23" t="s">
        <v>13</v>
      </c>
    </row>
    <row r="783" spans="1:53" x14ac:dyDescent="0.25">
      <c r="A783" t="s">
        <v>134</v>
      </c>
      <c r="B783" t="s">
        <v>135</v>
      </c>
      <c r="C783">
        <v>22002267</v>
      </c>
      <c r="D783">
        <v>1205</v>
      </c>
      <c r="E783" s="11">
        <v>44775</v>
      </c>
      <c r="F783" t="s">
        <v>179</v>
      </c>
      <c r="G783">
        <v>0.16</v>
      </c>
      <c r="H783">
        <v>0.16</v>
      </c>
      <c r="I783" t="s">
        <v>56</v>
      </c>
      <c r="O783" t="s">
        <v>57</v>
      </c>
      <c r="Q783" t="s">
        <v>57</v>
      </c>
      <c r="R783" t="s">
        <v>137</v>
      </c>
      <c r="T783" t="s">
        <v>59</v>
      </c>
      <c r="U783" t="s">
        <v>60</v>
      </c>
      <c r="V783" t="s">
        <v>138</v>
      </c>
      <c r="W783" t="s">
        <v>139</v>
      </c>
      <c r="X783">
        <v>1926658</v>
      </c>
      <c r="Y783" s="11">
        <v>44775</v>
      </c>
      <c r="Z783" t="s">
        <v>57</v>
      </c>
      <c r="AA783">
        <v>32</v>
      </c>
      <c r="AB783" t="s">
        <v>57</v>
      </c>
      <c r="AD783" t="s">
        <v>57</v>
      </c>
      <c r="AE783" t="s">
        <v>57</v>
      </c>
      <c r="AF783" t="s">
        <v>57</v>
      </c>
      <c r="AG783">
        <v>1</v>
      </c>
      <c r="AH783" t="s">
        <v>57</v>
      </c>
      <c r="AL783" t="s">
        <v>57</v>
      </c>
      <c r="AM783" s="11">
        <v>44775</v>
      </c>
      <c r="AN783" t="s">
        <v>180</v>
      </c>
      <c r="AO783" t="s">
        <v>65</v>
      </c>
      <c r="AP783">
        <v>1205</v>
      </c>
      <c r="AQ783" t="s">
        <v>66</v>
      </c>
      <c r="AR783">
        <v>265528</v>
      </c>
      <c r="AU783" t="s">
        <v>57</v>
      </c>
      <c r="AV783" t="s">
        <v>68</v>
      </c>
      <c r="AX783" t="s">
        <v>57</v>
      </c>
      <c r="AY783">
        <v>631110</v>
      </c>
      <c r="AZ783">
        <v>1205.63111</v>
      </c>
      <c r="BA783" s="23" t="s">
        <v>13</v>
      </c>
    </row>
    <row r="784" spans="1:53" x14ac:dyDescent="0.25">
      <c r="A784" t="s">
        <v>134</v>
      </c>
      <c r="B784" t="s">
        <v>135</v>
      </c>
      <c r="C784">
        <v>22002164</v>
      </c>
      <c r="D784">
        <v>1205</v>
      </c>
      <c r="E784" s="11">
        <v>44776</v>
      </c>
      <c r="F784" t="s">
        <v>181</v>
      </c>
      <c r="G784">
        <v>-157.91</v>
      </c>
      <c r="I784" t="s">
        <v>56</v>
      </c>
      <c r="K784">
        <v>-157.91</v>
      </c>
      <c r="O784" t="s">
        <v>57</v>
      </c>
      <c r="Q784" t="s">
        <v>57</v>
      </c>
      <c r="R784" t="s">
        <v>137</v>
      </c>
      <c r="T784" t="s">
        <v>59</v>
      </c>
      <c r="U784" t="s">
        <v>60</v>
      </c>
      <c r="V784" t="s">
        <v>138</v>
      </c>
      <c r="W784" t="s">
        <v>139</v>
      </c>
      <c r="X784">
        <v>1920428</v>
      </c>
      <c r="Y784" s="11">
        <v>44754</v>
      </c>
      <c r="Z784" t="s">
        <v>57</v>
      </c>
      <c r="AA784">
        <v>2</v>
      </c>
      <c r="AB784" t="s">
        <v>57</v>
      </c>
      <c r="AD784" t="s">
        <v>57</v>
      </c>
      <c r="AE784" t="s">
        <v>57</v>
      </c>
      <c r="AF784" t="s">
        <v>57</v>
      </c>
      <c r="AG784">
        <v>-10</v>
      </c>
      <c r="AH784" t="s">
        <v>57</v>
      </c>
      <c r="AL784" t="s">
        <v>57</v>
      </c>
      <c r="AM784" s="11">
        <v>44776</v>
      </c>
      <c r="AN784" t="s">
        <v>178</v>
      </c>
      <c r="AO784" t="s">
        <v>65</v>
      </c>
      <c r="AP784">
        <v>1205</v>
      </c>
      <c r="AQ784" t="s">
        <v>66</v>
      </c>
      <c r="AR784">
        <v>266673</v>
      </c>
      <c r="AU784" t="s">
        <v>57</v>
      </c>
      <c r="AV784" t="s">
        <v>68</v>
      </c>
      <c r="AX784" t="s">
        <v>57</v>
      </c>
      <c r="AY784">
        <v>631110</v>
      </c>
      <c r="AZ784">
        <v>1205.63111</v>
      </c>
      <c r="BA784" s="23" t="s">
        <v>13</v>
      </c>
    </row>
    <row r="785" spans="1:53" x14ac:dyDescent="0.25">
      <c r="A785" t="s">
        <v>134</v>
      </c>
      <c r="B785" t="s">
        <v>135</v>
      </c>
      <c r="C785">
        <v>22002164</v>
      </c>
      <c r="D785">
        <v>1205</v>
      </c>
      <c r="E785" s="11">
        <v>44776</v>
      </c>
      <c r="F785" t="s">
        <v>181</v>
      </c>
      <c r="G785">
        <v>157.91</v>
      </c>
      <c r="H785">
        <v>157.91</v>
      </c>
      <c r="I785" t="s">
        <v>56</v>
      </c>
      <c r="O785" t="s">
        <v>57</v>
      </c>
      <c r="Q785" t="s">
        <v>57</v>
      </c>
      <c r="R785" t="s">
        <v>137</v>
      </c>
      <c r="T785" t="s">
        <v>59</v>
      </c>
      <c r="U785" t="s">
        <v>60</v>
      </c>
      <c r="V785" t="s">
        <v>138</v>
      </c>
      <c r="W785" t="s">
        <v>139</v>
      </c>
      <c r="X785">
        <v>1920428</v>
      </c>
      <c r="Y785" s="11">
        <v>44754</v>
      </c>
      <c r="Z785" t="s">
        <v>57</v>
      </c>
      <c r="AA785">
        <v>4</v>
      </c>
      <c r="AB785" t="s">
        <v>57</v>
      </c>
      <c r="AD785" t="s">
        <v>57</v>
      </c>
      <c r="AE785" t="s">
        <v>57</v>
      </c>
      <c r="AF785" t="s">
        <v>57</v>
      </c>
      <c r="AG785">
        <v>10</v>
      </c>
      <c r="AH785" t="s">
        <v>57</v>
      </c>
      <c r="AL785" t="s">
        <v>57</v>
      </c>
      <c r="AM785" s="11">
        <v>44776</v>
      </c>
      <c r="AN785" t="s">
        <v>178</v>
      </c>
      <c r="AO785" t="s">
        <v>65</v>
      </c>
      <c r="AP785">
        <v>1205</v>
      </c>
      <c r="AQ785" t="s">
        <v>66</v>
      </c>
      <c r="AR785">
        <v>266673</v>
      </c>
      <c r="AU785" t="s">
        <v>57</v>
      </c>
      <c r="AV785" t="s">
        <v>68</v>
      </c>
      <c r="AX785" t="s">
        <v>57</v>
      </c>
      <c r="AY785">
        <v>631110</v>
      </c>
      <c r="AZ785">
        <v>1205.63111</v>
      </c>
      <c r="BA785" s="23" t="s">
        <v>13</v>
      </c>
    </row>
    <row r="786" spans="1:53" x14ac:dyDescent="0.25">
      <c r="A786" t="s">
        <v>134</v>
      </c>
      <c r="B786" t="s">
        <v>135</v>
      </c>
      <c r="C786">
        <v>22002273</v>
      </c>
      <c r="D786">
        <v>1205</v>
      </c>
      <c r="E786" s="11">
        <v>44776</v>
      </c>
      <c r="F786" t="s">
        <v>181</v>
      </c>
      <c r="G786">
        <v>258.02999999999997</v>
      </c>
      <c r="H786">
        <v>258.02999999999997</v>
      </c>
      <c r="I786" t="s">
        <v>56</v>
      </c>
      <c r="O786" t="s">
        <v>57</v>
      </c>
      <c r="Q786" t="s">
        <v>57</v>
      </c>
      <c r="R786" t="s">
        <v>137</v>
      </c>
      <c r="T786" t="s">
        <v>59</v>
      </c>
      <c r="U786" t="s">
        <v>60</v>
      </c>
      <c r="V786" t="s">
        <v>138</v>
      </c>
      <c r="W786" t="s">
        <v>139</v>
      </c>
      <c r="X786">
        <v>1926736</v>
      </c>
      <c r="Y786" s="11">
        <v>44776</v>
      </c>
      <c r="Z786" t="s">
        <v>57</v>
      </c>
      <c r="AA786">
        <v>2</v>
      </c>
      <c r="AB786" t="s">
        <v>57</v>
      </c>
      <c r="AD786" t="s">
        <v>57</v>
      </c>
      <c r="AE786" t="s">
        <v>57</v>
      </c>
      <c r="AF786" t="s">
        <v>57</v>
      </c>
      <c r="AG786">
        <v>20</v>
      </c>
      <c r="AH786" t="s">
        <v>57</v>
      </c>
      <c r="AL786" t="s">
        <v>57</v>
      </c>
      <c r="AM786" s="11">
        <v>44776</v>
      </c>
      <c r="AN786" t="s">
        <v>178</v>
      </c>
      <c r="AO786" t="s">
        <v>65</v>
      </c>
      <c r="AP786">
        <v>1205</v>
      </c>
      <c r="AQ786" t="s">
        <v>66</v>
      </c>
      <c r="AR786">
        <v>273012</v>
      </c>
      <c r="AU786" t="s">
        <v>57</v>
      </c>
      <c r="AV786" t="s">
        <v>68</v>
      </c>
      <c r="AX786" t="s">
        <v>57</v>
      </c>
      <c r="AY786">
        <v>631110</v>
      </c>
      <c r="AZ786">
        <v>1205.63111</v>
      </c>
      <c r="BA786" s="23" t="s">
        <v>13</v>
      </c>
    </row>
    <row r="787" spans="1:53" x14ac:dyDescent="0.25">
      <c r="A787" t="s">
        <v>134</v>
      </c>
      <c r="B787" t="s">
        <v>135</v>
      </c>
      <c r="C787">
        <v>22002273</v>
      </c>
      <c r="D787">
        <v>1205</v>
      </c>
      <c r="E787" s="11">
        <v>44776</v>
      </c>
      <c r="F787" t="s">
        <v>181</v>
      </c>
      <c r="G787">
        <v>315.82</v>
      </c>
      <c r="H787">
        <v>315.82</v>
      </c>
      <c r="I787" t="s">
        <v>56</v>
      </c>
      <c r="O787" t="s">
        <v>57</v>
      </c>
      <c r="Q787" t="s">
        <v>57</v>
      </c>
      <c r="R787" t="s">
        <v>137</v>
      </c>
      <c r="T787" t="s">
        <v>59</v>
      </c>
      <c r="U787" t="s">
        <v>60</v>
      </c>
      <c r="V787" t="s">
        <v>138</v>
      </c>
      <c r="W787" t="s">
        <v>139</v>
      </c>
      <c r="X787">
        <v>1926736</v>
      </c>
      <c r="Y787" s="11">
        <v>44776</v>
      </c>
      <c r="Z787" t="s">
        <v>57</v>
      </c>
      <c r="AA787">
        <v>4</v>
      </c>
      <c r="AB787" t="s">
        <v>57</v>
      </c>
      <c r="AD787" t="s">
        <v>57</v>
      </c>
      <c r="AE787" t="s">
        <v>57</v>
      </c>
      <c r="AF787" t="s">
        <v>57</v>
      </c>
      <c r="AG787">
        <v>20</v>
      </c>
      <c r="AH787" t="s">
        <v>57</v>
      </c>
      <c r="AL787" t="s">
        <v>57</v>
      </c>
      <c r="AM787" s="11">
        <v>44776</v>
      </c>
      <c r="AN787" t="s">
        <v>178</v>
      </c>
      <c r="AO787" t="s">
        <v>65</v>
      </c>
      <c r="AP787">
        <v>1205</v>
      </c>
      <c r="AQ787" t="s">
        <v>66</v>
      </c>
      <c r="AR787">
        <v>266673</v>
      </c>
      <c r="AU787" t="s">
        <v>57</v>
      </c>
      <c r="AV787" t="s">
        <v>68</v>
      </c>
      <c r="AX787" t="s">
        <v>57</v>
      </c>
      <c r="AY787">
        <v>631110</v>
      </c>
      <c r="AZ787">
        <v>1205.63111</v>
      </c>
      <c r="BA787" s="23" t="s">
        <v>13</v>
      </c>
    </row>
    <row r="788" spans="1:53" x14ac:dyDescent="0.25">
      <c r="A788" t="s">
        <v>134</v>
      </c>
      <c r="B788" t="s">
        <v>135</v>
      </c>
      <c r="C788">
        <v>22002273</v>
      </c>
      <c r="D788">
        <v>1205</v>
      </c>
      <c r="E788" s="11">
        <v>44776</v>
      </c>
      <c r="F788" t="s">
        <v>181</v>
      </c>
      <c r="G788">
        <v>554.36</v>
      </c>
      <c r="H788">
        <v>554.36</v>
      </c>
      <c r="I788" t="s">
        <v>56</v>
      </c>
      <c r="O788" t="s">
        <v>57</v>
      </c>
      <c r="Q788" t="s">
        <v>57</v>
      </c>
      <c r="R788" t="s">
        <v>137</v>
      </c>
      <c r="T788" t="s">
        <v>59</v>
      </c>
      <c r="U788" t="s">
        <v>60</v>
      </c>
      <c r="V788" t="s">
        <v>138</v>
      </c>
      <c r="W788" t="s">
        <v>139</v>
      </c>
      <c r="X788">
        <v>1926736</v>
      </c>
      <c r="Y788" s="11">
        <v>44776</v>
      </c>
      <c r="Z788" t="s">
        <v>57</v>
      </c>
      <c r="AA788">
        <v>6</v>
      </c>
      <c r="AB788" t="s">
        <v>57</v>
      </c>
      <c r="AD788" t="s">
        <v>57</v>
      </c>
      <c r="AE788" t="s">
        <v>57</v>
      </c>
      <c r="AF788" t="s">
        <v>57</v>
      </c>
      <c r="AG788">
        <v>30</v>
      </c>
      <c r="AH788" t="s">
        <v>57</v>
      </c>
      <c r="AL788" t="s">
        <v>57</v>
      </c>
      <c r="AM788" s="11">
        <v>44776</v>
      </c>
      <c r="AN788" t="s">
        <v>178</v>
      </c>
      <c r="AO788" t="s">
        <v>65</v>
      </c>
      <c r="AP788">
        <v>1205</v>
      </c>
      <c r="AQ788" t="s">
        <v>66</v>
      </c>
      <c r="AR788">
        <v>268408</v>
      </c>
      <c r="AU788" t="s">
        <v>57</v>
      </c>
      <c r="AV788" t="s">
        <v>68</v>
      </c>
      <c r="AX788" t="s">
        <v>57</v>
      </c>
      <c r="AY788">
        <v>631110</v>
      </c>
      <c r="AZ788">
        <v>1205.63111</v>
      </c>
      <c r="BA788" s="23" t="s">
        <v>13</v>
      </c>
    </row>
    <row r="789" spans="1:53" x14ac:dyDescent="0.25">
      <c r="A789" t="s">
        <v>134</v>
      </c>
      <c r="B789" t="s">
        <v>135</v>
      </c>
      <c r="C789">
        <v>22002273</v>
      </c>
      <c r="D789">
        <v>1205</v>
      </c>
      <c r="E789" s="11">
        <v>44776</v>
      </c>
      <c r="F789" t="s">
        <v>181</v>
      </c>
      <c r="G789">
        <v>554.36</v>
      </c>
      <c r="H789">
        <v>554.36</v>
      </c>
      <c r="I789" t="s">
        <v>56</v>
      </c>
      <c r="O789" t="s">
        <v>57</v>
      </c>
      <c r="Q789" t="s">
        <v>57</v>
      </c>
      <c r="R789" t="s">
        <v>137</v>
      </c>
      <c r="T789" t="s">
        <v>59</v>
      </c>
      <c r="U789" t="s">
        <v>60</v>
      </c>
      <c r="V789" t="s">
        <v>138</v>
      </c>
      <c r="W789" t="s">
        <v>139</v>
      </c>
      <c r="X789">
        <v>1926736</v>
      </c>
      <c r="Y789" s="11">
        <v>44776</v>
      </c>
      <c r="Z789" t="s">
        <v>57</v>
      </c>
      <c r="AA789">
        <v>8</v>
      </c>
      <c r="AB789" t="s">
        <v>57</v>
      </c>
      <c r="AD789" t="s">
        <v>57</v>
      </c>
      <c r="AE789" t="s">
        <v>57</v>
      </c>
      <c r="AF789" t="s">
        <v>57</v>
      </c>
      <c r="AG789">
        <v>30</v>
      </c>
      <c r="AH789" t="s">
        <v>57</v>
      </c>
      <c r="AL789" t="s">
        <v>57</v>
      </c>
      <c r="AM789" s="11">
        <v>44776</v>
      </c>
      <c r="AN789" t="s">
        <v>178</v>
      </c>
      <c r="AO789" t="s">
        <v>65</v>
      </c>
      <c r="AP789">
        <v>1205</v>
      </c>
      <c r="AQ789" t="s">
        <v>66</v>
      </c>
      <c r="AR789">
        <v>268408</v>
      </c>
      <c r="AU789" t="s">
        <v>57</v>
      </c>
      <c r="AV789" t="s">
        <v>68</v>
      </c>
      <c r="AX789" t="s">
        <v>57</v>
      </c>
      <c r="AY789">
        <v>631110</v>
      </c>
      <c r="AZ789">
        <v>1205.63111</v>
      </c>
      <c r="BA789" s="23" t="s">
        <v>13</v>
      </c>
    </row>
    <row r="790" spans="1:53" x14ac:dyDescent="0.25">
      <c r="A790" t="s">
        <v>134</v>
      </c>
      <c r="B790" t="s">
        <v>135</v>
      </c>
      <c r="C790">
        <v>22002273</v>
      </c>
      <c r="D790">
        <v>1205</v>
      </c>
      <c r="E790" s="11">
        <v>44776</v>
      </c>
      <c r="F790" t="s">
        <v>181</v>
      </c>
      <c r="G790">
        <v>430.05</v>
      </c>
      <c r="H790">
        <v>430.05</v>
      </c>
      <c r="I790" t="s">
        <v>56</v>
      </c>
      <c r="O790" t="s">
        <v>57</v>
      </c>
      <c r="Q790" t="s">
        <v>57</v>
      </c>
      <c r="R790" t="s">
        <v>137</v>
      </c>
      <c r="T790" t="s">
        <v>59</v>
      </c>
      <c r="U790" t="s">
        <v>60</v>
      </c>
      <c r="V790" t="s">
        <v>138</v>
      </c>
      <c r="W790" t="s">
        <v>139</v>
      </c>
      <c r="X790">
        <v>1926736</v>
      </c>
      <c r="Y790" s="11">
        <v>44776</v>
      </c>
      <c r="Z790" t="s">
        <v>57</v>
      </c>
      <c r="AA790">
        <v>10</v>
      </c>
      <c r="AB790" t="s">
        <v>57</v>
      </c>
      <c r="AD790" t="s">
        <v>57</v>
      </c>
      <c r="AE790" t="s">
        <v>57</v>
      </c>
      <c r="AF790" t="s">
        <v>57</v>
      </c>
      <c r="AG790">
        <v>20</v>
      </c>
      <c r="AH790" t="s">
        <v>57</v>
      </c>
      <c r="AL790" t="s">
        <v>57</v>
      </c>
      <c r="AM790" s="11">
        <v>44776</v>
      </c>
      <c r="AN790" t="s">
        <v>178</v>
      </c>
      <c r="AO790" t="s">
        <v>65</v>
      </c>
      <c r="AP790">
        <v>1205</v>
      </c>
      <c r="AQ790" t="s">
        <v>66</v>
      </c>
      <c r="AR790">
        <v>269871</v>
      </c>
      <c r="AU790" t="s">
        <v>57</v>
      </c>
      <c r="AV790" t="s">
        <v>68</v>
      </c>
      <c r="AX790" t="s">
        <v>57</v>
      </c>
      <c r="AY790">
        <v>631110</v>
      </c>
      <c r="AZ790">
        <v>1205.63111</v>
      </c>
      <c r="BA790" s="23" t="s">
        <v>13</v>
      </c>
    </row>
    <row r="791" spans="1:53" x14ac:dyDescent="0.25">
      <c r="A791" t="s">
        <v>134</v>
      </c>
      <c r="B791" t="s">
        <v>135</v>
      </c>
      <c r="C791">
        <v>22002273</v>
      </c>
      <c r="D791">
        <v>1205</v>
      </c>
      <c r="E791" s="11">
        <v>44776</v>
      </c>
      <c r="F791" t="s">
        <v>181</v>
      </c>
      <c r="G791">
        <v>332.37</v>
      </c>
      <c r="H791">
        <v>332.37</v>
      </c>
      <c r="I791" t="s">
        <v>56</v>
      </c>
      <c r="O791" t="s">
        <v>57</v>
      </c>
      <c r="Q791" t="s">
        <v>57</v>
      </c>
      <c r="R791" t="s">
        <v>137</v>
      </c>
      <c r="T791" t="s">
        <v>59</v>
      </c>
      <c r="U791" t="s">
        <v>60</v>
      </c>
      <c r="V791" t="s">
        <v>138</v>
      </c>
      <c r="W791" t="s">
        <v>139</v>
      </c>
      <c r="X791">
        <v>1926736</v>
      </c>
      <c r="Y791" s="11">
        <v>44776</v>
      </c>
      <c r="Z791" t="s">
        <v>57</v>
      </c>
      <c r="AA791">
        <v>12</v>
      </c>
      <c r="AB791" t="s">
        <v>57</v>
      </c>
      <c r="AD791" t="s">
        <v>57</v>
      </c>
      <c r="AE791" t="s">
        <v>57</v>
      </c>
      <c r="AF791" t="s">
        <v>57</v>
      </c>
      <c r="AG791">
        <v>10</v>
      </c>
      <c r="AH791" t="s">
        <v>57</v>
      </c>
      <c r="AL791" t="s">
        <v>57</v>
      </c>
      <c r="AM791" s="11">
        <v>44776</v>
      </c>
      <c r="AN791" t="s">
        <v>178</v>
      </c>
      <c r="AO791" t="s">
        <v>65</v>
      </c>
      <c r="AP791">
        <v>1205</v>
      </c>
      <c r="AQ791" t="s">
        <v>66</v>
      </c>
      <c r="AR791">
        <v>277194</v>
      </c>
      <c r="AU791" t="s">
        <v>57</v>
      </c>
      <c r="AV791" t="s">
        <v>68</v>
      </c>
      <c r="AX791" t="s">
        <v>57</v>
      </c>
      <c r="AY791">
        <v>631110</v>
      </c>
      <c r="AZ791">
        <v>1205.63111</v>
      </c>
      <c r="BA791" s="23" t="s">
        <v>13</v>
      </c>
    </row>
    <row r="792" spans="1:53" x14ac:dyDescent="0.25">
      <c r="A792" t="s">
        <v>134</v>
      </c>
      <c r="B792" t="s">
        <v>135</v>
      </c>
      <c r="C792">
        <v>22002276</v>
      </c>
      <c r="D792">
        <v>1205</v>
      </c>
      <c r="E792" s="11">
        <v>44776</v>
      </c>
      <c r="F792" t="s">
        <v>174</v>
      </c>
      <c r="G792">
        <v>0.63</v>
      </c>
      <c r="H792">
        <v>0.63</v>
      </c>
      <c r="I792" t="s">
        <v>56</v>
      </c>
      <c r="O792" t="s">
        <v>57</v>
      </c>
      <c r="Q792" t="s">
        <v>57</v>
      </c>
      <c r="R792" t="s">
        <v>137</v>
      </c>
      <c r="T792" t="s">
        <v>59</v>
      </c>
      <c r="U792" t="s">
        <v>60</v>
      </c>
      <c r="V792" t="s">
        <v>138</v>
      </c>
      <c r="W792" t="s">
        <v>139</v>
      </c>
      <c r="X792">
        <v>1927010</v>
      </c>
      <c r="Y792" s="11">
        <v>44776</v>
      </c>
      <c r="Z792" t="s">
        <v>57</v>
      </c>
      <c r="AA792">
        <v>2</v>
      </c>
      <c r="AB792" t="s">
        <v>57</v>
      </c>
      <c r="AD792" t="s">
        <v>57</v>
      </c>
      <c r="AE792" t="s">
        <v>57</v>
      </c>
      <c r="AF792" t="s">
        <v>57</v>
      </c>
      <c r="AG792">
        <v>1</v>
      </c>
      <c r="AH792" t="s">
        <v>57</v>
      </c>
      <c r="AL792" t="s">
        <v>57</v>
      </c>
      <c r="AM792" s="11">
        <v>44776</v>
      </c>
      <c r="AN792" t="s">
        <v>178</v>
      </c>
      <c r="AO792" t="s">
        <v>65</v>
      </c>
      <c r="AP792">
        <v>1205</v>
      </c>
      <c r="AQ792" t="s">
        <v>66</v>
      </c>
      <c r="AR792">
        <v>220123</v>
      </c>
      <c r="AU792" t="s">
        <v>57</v>
      </c>
      <c r="AV792" t="s">
        <v>68</v>
      </c>
      <c r="AX792" t="s">
        <v>57</v>
      </c>
      <c r="AY792">
        <v>631110</v>
      </c>
      <c r="AZ792">
        <v>1205.63111</v>
      </c>
      <c r="BA792" s="23" t="s">
        <v>13</v>
      </c>
    </row>
    <row r="793" spans="1:53" x14ac:dyDescent="0.25">
      <c r="A793" t="s">
        <v>134</v>
      </c>
      <c r="B793" t="s">
        <v>135</v>
      </c>
      <c r="C793">
        <v>22002276</v>
      </c>
      <c r="D793">
        <v>1205</v>
      </c>
      <c r="E793" s="11">
        <v>44776</v>
      </c>
      <c r="F793" t="s">
        <v>174</v>
      </c>
      <c r="G793">
        <v>0.8</v>
      </c>
      <c r="H793">
        <v>0.8</v>
      </c>
      <c r="I793" t="s">
        <v>56</v>
      </c>
      <c r="O793" t="s">
        <v>57</v>
      </c>
      <c r="Q793" t="s">
        <v>57</v>
      </c>
      <c r="R793" t="s">
        <v>137</v>
      </c>
      <c r="T793" t="s">
        <v>59</v>
      </c>
      <c r="U793" t="s">
        <v>60</v>
      </c>
      <c r="V793" t="s">
        <v>138</v>
      </c>
      <c r="W793" t="s">
        <v>139</v>
      </c>
      <c r="X793">
        <v>1927010</v>
      </c>
      <c r="Y793" s="11">
        <v>44776</v>
      </c>
      <c r="Z793" t="s">
        <v>57</v>
      </c>
      <c r="AA793">
        <v>4</v>
      </c>
      <c r="AB793" t="s">
        <v>57</v>
      </c>
      <c r="AD793" t="s">
        <v>57</v>
      </c>
      <c r="AE793" t="s">
        <v>57</v>
      </c>
      <c r="AF793" t="s">
        <v>57</v>
      </c>
      <c r="AG793">
        <v>1</v>
      </c>
      <c r="AH793" t="s">
        <v>57</v>
      </c>
      <c r="AL793" t="s">
        <v>57</v>
      </c>
      <c r="AM793" s="11">
        <v>44776</v>
      </c>
      <c r="AN793" t="s">
        <v>178</v>
      </c>
      <c r="AO793" t="s">
        <v>65</v>
      </c>
      <c r="AP793">
        <v>1205</v>
      </c>
      <c r="AQ793" t="s">
        <v>66</v>
      </c>
      <c r="AR793">
        <v>220124</v>
      </c>
      <c r="AU793" t="s">
        <v>57</v>
      </c>
      <c r="AV793" t="s">
        <v>68</v>
      </c>
      <c r="AX793" t="s">
        <v>57</v>
      </c>
      <c r="AY793">
        <v>631110</v>
      </c>
      <c r="AZ793">
        <v>1205.63111</v>
      </c>
      <c r="BA793" s="23" t="s">
        <v>13</v>
      </c>
    </row>
    <row r="794" spans="1:53" x14ac:dyDescent="0.25">
      <c r="A794" t="s">
        <v>134</v>
      </c>
      <c r="B794" t="s">
        <v>135</v>
      </c>
      <c r="C794">
        <v>22002276</v>
      </c>
      <c r="D794">
        <v>1205</v>
      </c>
      <c r="E794" s="11">
        <v>44776</v>
      </c>
      <c r="F794" t="s">
        <v>174</v>
      </c>
      <c r="G794">
        <v>0.49</v>
      </c>
      <c r="H794">
        <v>0.49</v>
      </c>
      <c r="I794" t="s">
        <v>56</v>
      </c>
      <c r="O794" t="s">
        <v>57</v>
      </c>
      <c r="Q794" t="s">
        <v>57</v>
      </c>
      <c r="R794" t="s">
        <v>137</v>
      </c>
      <c r="T794" t="s">
        <v>59</v>
      </c>
      <c r="U794" t="s">
        <v>60</v>
      </c>
      <c r="V794" t="s">
        <v>138</v>
      </c>
      <c r="W794" t="s">
        <v>139</v>
      </c>
      <c r="X794">
        <v>1927010</v>
      </c>
      <c r="Y794" s="11">
        <v>44776</v>
      </c>
      <c r="Z794" t="s">
        <v>57</v>
      </c>
      <c r="AA794">
        <v>6</v>
      </c>
      <c r="AB794" t="s">
        <v>57</v>
      </c>
      <c r="AD794" t="s">
        <v>57</v>
      </c>
      <c r="AE794" t="s">
        <v>57</v>
      </c>
      <c r="AF794" t="s">
        <v>57</v>
      </c>
      <c r="AG794">
        <v>1</v>
      </c>
      <c r="AH794" t="s">
        <v>57</v>
      </c>
      <c r="AL794" t="s">
        <v>57</v>
      </c>
      <c r="AM794" s="11">
        <v>44776</v>
      </c>
      <c r="AN794" t="s">
        <v>178</v>
      </c>
      <c r="AO794" t="s">
        <v>65</v>
      </c>
      <c r="AP794">
        <v>1205</v>
      </c>
      <c r="AQ794" t="s">
        <v>66</v>
      </c>
      <c r="AR794">
        <v>228050</v>
      </c>
      <c r="AU794" t="s">
        <v>57</v>
      </c>
      <c r="AV794" t="s">
        <v>68</v>
      </c>
      <c r="AX794" t="s">
        <v>57</v>
      </c>
      <c r="AY794">
        <v>631110</v>
      </c>
      <c r="AZ794">
        <v>1205.63111</v>
      </c>
      <c r="BA794" s="23" t="s">
        <v>13</v>
      </c>
    </row>
    <row r="795" spans="1:53" x14ac:dyDescent="0.25">
      <c r="A795" t="s">
        <v>134</v>
      </c>
      <c r="B795" t="s">
        <v>135</v>
      </c>
      <c r="C795">
        <v>22002276</v>
      </c>
      <c r="D795">
        <v>1205</v>
      </c>
      <c r="E795" s="11">
        <v>44776</v>
      </c>
      <c r="F795" t="s">
        <v>174</v>
      </c>
      <c r="G795">
        <v>2.44</v>
      </c>
      <c r="H795">
        <v>2.44</v>
      </c>
      <c r="I795" t="s">
        <v>56</v>
      </c>
      <c r="O795" t="s">
        <v>57</v>
      </c>
      <c r="Q795" t="s">
        <v>57</v>
      </c>
      <c r="R795" t="s">
        <v>137</v>
      </c>
      <c r="T795" t="s">
        <v>59</v>
      </c>
      <c r="U795" t="s">
        <v>60</v>
      </c>
      <c r="V795" t="s">
        <v>138</v>
      </c>
      <c r="W795" t="s">
        <v>139</v>
      </c>
      <c r="X795">
        <v>1927010</v>
      </c>
      <c r="Y795" s="11">
        <v>44776</v>
      </c>
      <c r="Z795" t="s">
        <v>57</v>
      </c>
      <c r="AA795">
        <v>8</v>
      </c>
      <c r="AB795" t="s">
        <v>57</v>
      </c>
      <c r="AD795" t="s">
        <v>57</v>
      </c>
      <c r="AE795" t="s">
        <v>57</v>
      </c>
      <c r="AF795" t="s">
        <v>57</v>
      </c>
      <c r="AG795">
        <v>5</v>
      </c>
      <c r="AH795" t="s">
        <v>57</v>
      </c>
      <c r="AL795" t="s">
        <v>57</v>
      </c>
      <c r="AM795" s="11">
        <v>44776</v>
      </c>
      <c r="AN795" t="s">
        <v>178</v>
      </c>
      <c r="AO795" t="s">
        <v>65</v>
      </c>
      <c r="AP795">
        <v>1205</v>
      </c>
      <c r="AQ795" t="s">
        <v>66</v>
      </c>
      <c r="AR795">
        <v>121863</v>
      </c>
      <c r="AU795" t="s">
        <v>57</v>
      </c>
      <c r="AV795" t="s">
        <v>68</v>
      </c>
      <c r="AX795" t="s">
        <v>57</v>
      </c>
      <c r="AY795">
        <v>631110</v>
      </c>
      <c r="AZ795">
        <v>1205.63111</v>
      </c>
      <c r="BA795" s="23" t="s">
        <v>13</v>
      </c>
    </row>
    <row r="796" spans="1:53" x14ac:dyDescent="0.25">
      <c r="A796" t="s">
        <v>134</v>
      </c>
      <c r="B796" t="s">
        <v>135</v>
      </c>
      <c r="C796">
        <v>22002276</v>
      </c>
      <c r="D796">
        <v>1205</v>
      </c>
      <c r="E796" s="11">
        <v>44776</v>
      </c>
      <c r="F796" t="s">
        <v>174</v>
      </c>
      <c r="G796">
        <v>0.7</v>
      </c>
      <c r="H796">
        <v>0.7</v>
      </c>
      <c r="I796" t="s">
        <v>56</v>
      </c>
      <c r="O796" t="s">
        <v>57</v>
      </c>
      <c r="Q796" t="s">
        <v>57</v>
      </c>
      <c r="R796" t="s">
        <v>137</v>
      </c>
      <c r="T796" t="s">
        <v>59</v>
      </c>
      <c r="U796" t="s">
        <v>60</v>
      </c>
      <c r="V796" t="s">
        <v>138</v>
      </c>
      <c r="W796" t="s">
        <v>139</v>
      </c>
      <c r="X796">
        <v>1927010</v>
      </c>
      <c r="Y796" s="11">
        <v>44776</v>
      </c>
      <c r="Z796" t="s">
        <v>57</v>
      </c>
      <c r="AA796">
        <v>10</v>
      </c>
      <c r="AB796" t="s">
        <v>57</v>
      </c>
      <c r="AD796" t="s">
        <v>57</v>
      </c>
      <c r="AE796" t="s">
        <v>57</v>
      </c>
      <c r="AF796" t="s">
        <v>57</v>
      </c>
      <c r="AG796">
        <v>1</v>
      </c>
      <c r="AH796" t="s">
        <v>57</v>
      </c>
      <c r="AL796" t="s">
        <v>57</v>
      </c>
      <c r="AM796" s="11">
        <v>44776</v>
      </c>
      <c r="AN796" t="s">
        <v>178</v>
      </c>
      <c r="AO796" t="s">
        <v>65</v>
      </c>
      <c r="AP796">
        <v>1205</v>
      </c>
      <c r="AQ796" t="s">
        <v>66</v>
      </c>
      <c r="AR796">
        <v>89662</v>
      </c>
      <c r="AU796" t="s">
        <v>57</v>
      </c>
      <c r="AV796" t="s">
        <v>68</v>
      </c>
      <c r="AX796" t="s">
        <v>57</v>
      </c>
      <c r="AY796">
        <v>631110</v>
      </c>
      <c r="AZ796">
        <v>1205.63111</v>
      </c>
      <c r="BA796" s="23" t="s">
        <v>13</v>
      </c>
    </row>
    <row r="797" spans="1:53" x14ac:dyDescent="0.25">
      <c r="A797" t="s">
        <v>134</v>
      </c>
      <c r="B797" t="s">
        <v>135</v>
      </c>
      <c r="C797">
        <v>22002276</v>
      </c>
      <c r="D797">
        <v>1205</v>
      </c>
      <c r="E797" s="11">
        <v>44776</v>
      </c>
      <c r="F797" t="s">
        <v>174</v>
      </c>
      <c r="G797">
        <v>0.54</v>
      </c>
      <c r="H797">
        <v>0.54</v>
      </c>
      <c r="I797" t="s">
        <v>56</v>
      </c>
      <c r="O797" t="s">
        <v>57</v>
      </c>
      <c r="Q797" t="s">
        <v>57</v>
      </c>
      <c r="R797" t="s">
        <v>137</v>
      </c>
      <c r="T797" t="s">
        <v>59</v>
      </c>
      <c r="U797" t="s">
        <v>60</v>
      </c>
      <c r="V797" t="s">
        <v>138</v>
      </c>
      <c r="W797" t="s">
        <v>139</v>
      </c>
      <c r="X797">
        <v>1927010</v>
      </c>
      <c r="Y797" s="11">
        <v>44776</v>
      </c>
      <c r="Z797" t="s">
        <v>57</v>
      </c>
      <c r="AA797">
        <v>12</v>
      </c>
      <c r="AB797" t="s">
        <v>57</v>
      </c>
      <c r="AD797" t="s">
        <v>57</v>
      </c>
      <c r="AE797" t="s">
        <v>57</v>
      </c>
      <c r="AF797" t="s">
        <v>57</v>
      </c>
      <c r="AG797">
        <v>1</v>
      </c>
      <c r="AH797" t="s">
        <v>57</v>
      </c>
      <c r="AL797" t="s">
        <v>57</v>
      </c>
      <c r="AM797" s="11">
        <v>44776</v>
      </c>
      <c r="AN797" t="s">
        <v>178</v>
      </c>
      <c r="AO797" t="s">
        <v>65</v>
      </c>
      <c r="AP797">
        <v>1205</v>
      </c>
      <c r="AQ797" t="s">
        <v>66</v>
      </c>
      <c r="AR797">
        <v>89777</v>
      </c>
      <c r="AU797" t="s">
        <v>57</v>
      </c>
      <c r="AV797" t="s">
        <v>68</v>
      </c>
      <c r="AX797" t="s">
        <v>57</v>
      </c>
      <c r="AY797">
        <v>631110</v>
      </c>
      <c r="AZ797">
        <v>1205.63111</v>
      </c>
      <c r="BA797" s="23" t="s">
        <v>13</v>
      </c>
    </row>
    <row r="798" spans="1:53" x14ac:dyDescent="0.25">
      <c r="A798" t="s">
        <v>134</v>
      </c>
      <c r="B798" t="s">
        <v>135</v>
      </c>
      <c r="C798">
        <v>22002276</v>
      </c>
      <c r="D798">
        <v>1205</v>
      </c>
      <c r="E798" s="11">
        <v>44776</v>
      </c>
      <c r="F798" t="s">
        <v>174</v>
      </c>
      <c r="G798">
        <v>0.87</v>
      </c>
      <c r="H798">
        <v>0.87</v>
      </c>
      <c r="I798" t="s">
        <v>56</v>
      </c>
      <c r="O798" t="s">
        <v>57</v>
      </c>
      <c r="Q798" t="s">
        <v>57</v>
      </c>
      <c r="R798" t="s">
        <v>137</v>
      </c>
      <c r="T798" t="s">
        <v>59</v>
      </c>
      <c r="U798" t="s">
        <v>60</v>
      </c>
      <c r="V798" t="s">
        <v>138</v>
      </c>
      <c r="W798" t="s">
        <v>139</v>
      </c>
      <c r="X798">
        <v>1927010</v>
      </c>
      <c r="Y798" s="11">
        <v>44776</v>
      </c>
      <c r="Z798" t="s">
        <v>57</v>
      </c>
      <c r="AA798">
        <v>14</v>
      </c>
      <c r="AB798" t="s">
        <v>57</v>
      </c>
      <c r="AD798" t="s">
        <v>57</v>
      </c>
      <c r="AE798" t="s">
        <v>57</v>
      </c>
      <c r="AF798" t="s">
        <v>57</v>
      </c>
      <c r="AG798">
        <v>1</v>
      </c>
      <c r="AH798" t="s">
        <v>57</v>
      </c>
      <c r="AL798" t="s">
        <v>57</v>
      </c>
      <c r="AM798" s="11">
        <v>44776</v>
      </c>
      <c r="AN798" t="s">
        <v>178</v>
      </c>
      <c r="AO798" t="s">
        <v>65</v>
      </c>
      <c r="AP798">
        <v>1205</v>
      </c>
      <c r="AQ798" t="s">
        <v>66</v>
      </c>
      <c r="AR798">
        <v>88703</v>
      </c>
      <c r="AU798" t="s">
        <v>57</v>
      </c>
      <c r="AV798" t="s">
        <v>68</v>
      </c>
      <c r="AX798" t="s">
        <v>57</v>
      </c>
      <c r="AY798">
        <v>631110</v>
      </c>
      <c r="AZ798">
        <v>1205.63111</v>
      </c>
      <c r="BA798" s="23" t="s">
        <v>13</v>
      </c>
    </row>
    <row r="799" spans="1:53" x14ac:dyDescent="0.25">
      <c r="A799" t="s">
        <v>134</v>
      </c>
      <c r="B799" t="s">
        <v>135</v>
      </c>
      <c r="C799">
        <v>22002276</v>
      </c>
      <c r="D799">
        <v>1205</v>
      </c>
      <c r="E799" s="11">
        <v>44776</v>
      </c>
      <c r="F799" t="s">
        <v>174</v>
      </c>
      <c r="G799">
        <v>4.3</v>
      </c>
      <c r="H799">
        <v>4.3</v>
      </c>
      <c r="I799" t="s">
        <v>56</v>
      </c>
      <c r="O799" t="s">
        <v>57</v>
      </c>
      <c r="Q799" t="s">
        <v>57</v>
      </c>
      <c r="R799" t="s">
        <v>137</v>
      </c>
      <c r="T799" t="s">
        <v>59</v>
      </c>
      <c r="U799" t="s">
        <v>60</v>
      </c>
      <c r="V799" t="s">
        <v>138</v>
      </c>
      <c r="W799" t="s">
        <v>139</v>
      </c>
      <c r="X799">
        <v>1927010</v>
      </c>
      <c r="Y799" s="11">
        <v>44776</v>
      </c>
      <c r="Z799" t="s">
        <v>57</v>
      </c>
      <c r="AA799">
        <v>16</v>
      </c>
      <c r="AB799" t="s">
        <v>57</v>
      </c>
      <c r="AD799" t="s">
        <v>57</v>
      </c>
      <c r="AE799" t="s">
        <v>57</v>
      </c>
      <c r="AF799" t="s">
        <v>57</v>
      </c>
      <c r="AG799">
        <v>1</v>
      </c>
      <c r="AH799" t="s">
        <v>57</v>
      </c>
      <c r="AL799" t="s">
        <v>57</v>
      </c>
      <c r="AM799" s="11">
        <v>44776</v>
      </c>
      <c r="AN799" t="s">
        <v>178</v>
      </c>
      <c r="AO799" t="s">
        <v>65</v>
      </c>
      <c r="AP799">
        <v>1205</v>
      </c>
      <c r="AQ799" t="s">
        <v>66</v>
      </c>
      <c r="AR799">
        <v>212688</v>
      </c>
      <c r="AU799" t="s">
        <v>57</v>
      </c>
      <c r="AV799" t="s">
        <v>68</v>
      </c>
      <c r="AX799" t="s">
        <v>57</v>
      </c>
      <c r="AY799">
        <v>631110</v>
      </c>
      <c r="AZ799">
        <v>1205.63111</v>
      </c>
      <c r="BA799" s="23" t="s">
        <v>13</v>
      </c>
    </row>
    <row r="800" spans="1:53" x14ac:dyDescent="0.25">
      <c r="A800" t="s">
        <v>134</v>
      </c>
      <c r="B800" t="s">
        <v>135</v>
      </c>
      <c r="C800">
        <v>22002276</v>
      </c>
      <c r="D800">
        <v>1205</v>
      </c>
      <c r="E800" s="11">
        <v>44776</v>
      </c>
      <c r="F800" t="s">
        <v>174</v>
      </c>
      <c r="G800">
        <v>0.97</v>
      </c>
      <c r="H800">
        <v>0.97</v>
      </c>
      <c r="I800" t="s">
        <v>56</v>
      </c>
      <c r="O800" t="s">
        <v>57</v>
      </c>
      <c r="Q800" t="s">
        <v>57</v>
      </c>
      <c r="R800" t="s">
        <v>137</v>
      </c>
      <c r="T800" t="s">
        <v>59</v>
      </c>
      <c r="U800" t="s">
        <v>60</v>
      </c>
      <c r="V800" t="s">
        <v>138</v>
      </c>
      <c r="W800" t="s">
        <v>139</v>
      </c>
      <c r="X800">
        <v>1927010</v>
      </c>
      <c r="Y800" s="11">
        <v>44776</v>
      </c>
      <c r="Z800" t="s">
        <v>57</v>
      </c>
      <c r="AA800">
        <v>18</v>
      </c>
      <c r="AB800" t="s">
        <v>57</v>
      </c>
      <c r="AD800" t="s">
        <v>57</v>
      </c>
      <c r="AE800" t="s">
        <v>57</v>
      </c>
      <c r="AF800" t="s">
        <v>57</v>
      </c>
      <c r="AG800">
        <v>1</v>
      </c>
      <c r="AH800" t="s">
        <v>57</v>
      </c>
      <c r="AL800" t="s">
        <v>57</v>
      </c>
      <c r="AM800" s="11">
        <v>44776</v>
      </c>
      <c r="AN800" t="s">
        <v>178</v>
      </c>
      <c r="AO800" t="s">
        <v>65</v>
      </c>
      <c r="AP800">
        <v>1205</v>
      </c>
      <c r="AQ800" t="s">
        <v>66</v>
      </c>
      <c r="AR800">
        <v>89486</v>
      </c>
      <c r="AU800" t="s">
        <v>57</v>
      </c>
      <c r="AV800" t="s">
        <v>68</v>
      </c>
      <c r="AX800" t="s">
        <v>57</v>
      </c>
      <c r="AY800">
        <v>631110</v>
      </c>
      <c r="AZ800">
        <v>1205.63111</v>
      </c>
      <c r="BA800" s="23" t="s">
        <v>13</v>
      </c>
    </row>
    <row r="801" spans="1:53" x14ac:dyDescent="0.25">
      <c r="A801" t="s">
        <v>134</v>
      </c>
      <c r="B801" t="s">
        <v>135</v>
      </c>
      <c r="C801">
        <v>22002277</v>
      </c>
      <c r="D801">
        <v>1205</v>
      </c>
      <c r="E801" s="11">
        <v>44776</v>
      </c>
      <c r="F801" t="s">
        <v>174</v>
      </c>
      <c r="G801">
        <v>3.04</v>
      </c>
      <c r="H801">
        <v>3.04</v>
      </c>
      <c r="I801" t="s">
        <v>56</v>
      </c>
      <c r="O801" t="s">
        <v>57</v>
      </c>
      <c r="Q801" t="s">
        <v>57</v>
      </c>
      <c r="R801" t="s">
        <v>137</v>
      </c>
      <c r="T801" t="s">
        <v>59</v>
      </c>
      <c r="U801" t="s">
        <v>60</v>
      </c>
      <c r="V801" t="s">
        <v>138</v>
      </c>
      <c r="W801" t="s">
        <v>139</v>
      </c>
      <c r="X801">
        <v>1927031</v>
      </c>
      <c r="Y801" s="11">
        <v>44776</v>
      </c>
      <c r="Z801" t="s">
        <v>57</v>
      </c>
      <c r="AA801">
        <v>2</v>
      </c>
      <c r="AB801" t="s">
        <v>57</v>
      </c>
      <c r="AD801" t="s">
        <v>57</v>
      </c>
      <c r="AE801" t="s">
        <v>57</v>
      </c>
      <c r="AF801" t="s">
        <v>57</v>
      </c>
      <c r="AG801">
        <v>1</v>
      </c>
      <c r="AH801" t="s">
        <v>57</v>
      </c>
      <c r="AL801" t="s">
        <v>57</v>
      </c>
      <c r="AM801" s="11">
        <v>44776</v>
      </c>
      <c r="AN801" t="s">
        <v>178</v>
      </c>
      <c r="AO801" t="s">
        <v>65</v>
      </c>
      <c r="AP801">
        <v>1205</v>
      </c>
      <c r="AQ801" t="s">
        <v>66</v>
      </c>
      <c r="AR801">
        <v>90264</v>
      </c>
      <c r="AU801" t="s">
        <v>57</v>
      </c>
      <c r="AV801" t="s">
        <v>68</v>
      </c>
      <c r="AX801" t="s">
        <v>57</v>
      </c>
      <c r="AY801">
        <v>631110</v>
      </c>
      <c r="AZ801">
        <v>1205.63111</v>
      </c>
      <c r="BA801" s="23" t="s">
        <v>13</v>
      </c>
    </row>
    <row r="802" spans="1:53" x14ac:dyDescent="0.25">
      <c r="A802" t="s">
        <v>134</v>
      </c>
      <c r="B802" t="s">
        <v>135</v>
      </c>
      <c r="C802">
        <v>22002278</v>
      </c>
      <c r="D802">
        <v>1205</v>
      </c>
      <c r="E802" s="11">
        <v>44776</v>
      </c>
      <c r="F802" t="s">
        <v>181</v>
      </c>
      <c r="G802">
        <v>185.06</v>
      </c>
      <c r="H802">
        <v>185.06</v>
      </c>
      <c r="I802" t="s">
        <v>56</v>
      </c>
      <c r="O802" t="s">
        <v>57</v>
      </c>
      <c r="Q802" t="s">
        <v>57</v>
      </c>
      <c r="R802" t="s">
        <v>137</v>
      </c>
      <c r="T802" t="s">
        <v>59</v>
      </c>
      <c r="U802" t="s">
        <v>60</v>
      </c>
      <c r="V802" t="s">
        <v>138</v>
      </c>
      <c r="W802" t="s">
        <v>139</v>
      </c>
      <c r="X802">
        <v>1927032</v>
      </c>
      <c r="Y802" s="11">
        <v>44776</v>
      </c>
      <c r="Z802" t="s">
        <v>57</v>
      </c>
      <c r="AA802">
        <v>2</v>
      </c>
      <c r="AB802" t="s">
        <v>57</v>
      </c>
      <c r="AD802" t="s">
        <v>57</v>
      </c>
      <c r="AE802" t="s">
        <v>57</v>
      </c>
      <c r="AF802" t="s">
        <v>57</v>
      </c>
      <c r="AG802">
        <v>10</v>
      </c>
      <c r="AH802" t="s">
        <v>57</v>
      </c>
      <c r="AL802" t="s">
        <v>57</v>
      </c>
      <c r="AM802" s="11">
        <v>44776</v>
      </c>
      <c r="AN802" t="s">
        <v>178</v>
      </c>
      <c r="AO802" t="s">
        <v>65</v>
      </c>
      <c r="AP802">
        <v>1205</v>
      </c>
      <c r="AQ802" t="s">
        <v>66</v>
      </c>
      <c r="AR802">
        <v>268408</v>
      </c>
      <c r="AU802" t="s">
        <v>57</v>
      </c>
      <c r="AV802" t="s">
        <v>68</v>
      </c>
      <c r="AX802" t="s">
        <v>57</v>
      </c>
      <c r="AY802">
        <v>631110</v>
      </c>
      <c r="AZ802">
        <v>1205.63111</v>
      </c>
      <c r="BA802" s="23" t="s">
        <v>13</v>
      </c>
    </row>
    <row r="803" spans="1:53" x14ac:dyDescent="0.25">
      <c r="A803" t="s">
        <v>134</v>
      </c>
      <c r="B803" t="s">
        <v>135</v>
      </c>
      <c r="C803">
        <v>22002279</v>
      </c>
      <c r="D803">
        <v>1205</v>
      </c>
      <c r="E803" s="11">
        <v>44776</v>
      </c>
      <c r="F803" t="s">
        <v>181</v>
      </c>
      <c r="G803">
        <v>215.03</v>
      </c>
      <c r="H803">
        <v>215.03</v>
      </c>
      <c r="I803" t="s">
        <v>56</v>
      </c>
      <c r="O803" t="s">
        <v>57</v>
      </c>
      <c r="Q803" t="s">
        <v>57</v>
      </c>
      <c r="R803" t="s">
        <v>137</v>
      </c>
      <c r="T803" t="s">
        <v>59</v>
      </c>
      <c r="U803" t="s">
        <v>60</v>
      </c>
      <c r="V803" t="s">
        <v>138</v>
      </c>
      <c r="W803" t="s">
        <v>139</v>
      </c>
      <c r="X803">
        <v>1927033</v>
      </c>
      <c r="Y803" s="11">
        <v>44776</v>
      </c>
      <c r="Z803" t="s">
        <v>57</v>
      </c>
      <c r="AA803">
        <v>2</v>
      </c>
      <c r="AB803" t="s">
        <v>57</v>
      </c>
      <c r="AD803" t="s">
        <v>57</v>
      </c>
      <c r="AE803" t="s">
        <v>57</v>
      </c>
      <c r="AF803" t="s">
        <v>57</v>
      </c>
      <c r="AG803">
        <v>10</v>
      </c>
      <c r="AH803" t="s">
        <v>57</v>
      </c>
      <c r="AL803" t="s">
        <v>57</v>
      </c>
      <c r="AM803" s="11">
        <v>44776</v>
      </c>
      <c r="AN803" t="s">
        <v>178</v>
      </c>
      <c r="AO803" t="s">
        <v>65</v>
      </c>
      <c r="AP803">
        <v>1205</v>
      </c>
      <c r="AQ803" t="s">
        <v>66</v>
      </c>
      <c r="AR803">
        <v>269871</v>
      </c>
      <c r="AU803" t="s">
        <v>57</v>
      </c>
      <c r="AV803" t="s">
        <v>68</v>
      </c>
      <c r="AX803" t="s">
        <v>57</v>
      </c>
      <c r="AY803">
        <v>631110</v>
      </c>
      <c r="AZ803">
        <v>1205.63111</v>
      </c>
      <c r="BA803" s="23" t="s">
        <v>13</v>
      </c>
    </row>
    <row r="804" spans="1:53" x14ac:dyDescent="0.25">
      <c r="A804" t="s">
        <v>134</v>
      </c>
      <c r="B804" t="s">
        <v>135</v>
      </c>
      <c r="C804">
        <v>22002280</v>
      </c>
      <c r="D804">
        <v>1205</v>
      </c>
      <c r="E804" s="11">
        <v>44776</v>
      </c>
      <c r="F804" t="s">
        <v>181</v>
      </c>
      <c r="G804">
        <v>64.510000000000005</v>
      </c>
      <c r="H804">
        <v>64.510000000000005</v>
      </c>
      <c r="I804" t="s">
        <v>56</v>
      </c>
      <c r="O804" t="s">
        <v>57</v>
      </c>
      <c r="Q804" t="s">
        <v>57</v>
      </c>
      <c r="R804" t="s">
        <v>137</v>
      </c>
      <c r="T804" t="s">
        <v>59</v>
      </c>
      <c r="U804" t="s">
        <v>60</v>
      </c>
      <c r="V804" t="s">
        <v>138</v>
      </c>
      <c r="W804" t="s">
        <v>139</v>
      </c>
      <c r="X804">
        <v>1927032</v>
      </c>
      <c r="Y804" s="11">
        <v>44776</v>
      </c>
      <c r="Z804" t="s">
        <v>57</v>
      </c>
      <c r="AA804">
        <v>2</v>
      </c>
      <c r="AB804" t="s">
        <v>57</v>
      </c>
      <c r="AD804" t="s">
        <v>57</v>
      </c>
      <c r="AE804" t="s">
        <v>57</v>
      </c>
      <c r="AF804" t="s">
        <v>57</v>
      </c>
      <c r="AG804">
        <v>5</v>
      </c>
      <c r="AH804" t="s">
        <v>57</v>
      </c>
      <c r="AL804" t="s">
        <v>57</v>
      </c>
      <c r="AM804" s="11">
        <v>44776</v>
      </c>
      <c r="AN804" t="s">
        <v>178</v>
      </c>
      <c r="AO804" t="s">
        <v>65</v>
      </c>
      <c r="AP804">
        <v>1205</v>
      </c>
      <c r="AQ804" t="s">
        <v>66</v>
      </c>
      <c r="AR804">
        <v>273012</v>
      </c>
      <c r="AU804" t="s">
        <v>57</v>
      </c>
      <c r="AV804" t="s">
        <v>68</v>
      </c>
      <c r="AX804" t="s">
        <v>57</v>
      </c>
      <c r="AY804">
        <v>631110</v>
      </c>
      <c r="AZ804">
        <v>1205.63111</v>
      </c>
      <c r="BA804" s="23" t="s">
        <v>13</v>
      </c>
    </row>
    <row r="805" spans="1:53" x14ac:dyDescent="0.25">
      <c r="A805" t="s">
        <v>134</v>
      </c>
      <c r="B805" t="s">
        <v>135</v>
      </c>
      <c r="C805">
        <v>22002281</v>
      </c>
      <c r="D805">
        <v>1205</v>
      </c>
      <c r="E805" s="11">
        <v>44776</v>
      </c>
      <c r="F805" t="s">
        <v>179</v>
      </c>
      <c r="G805">
        <v>0.96</v>
      </c>
      <c r="H805">
        <v>0.96</v>
      </c>
      <c r="I805" t="s">
        <v>56</v>
      </c>
      <c r="O805" t="s">
        <v>57</v>
      </c>
      <c r="Q805" t="s">
        <v>57</v>
      </c>
      <c r="R805" t="s">
        <v>137</v>
      </c>
      <c r="T805" t="s">
        <v>59</v>
      </c>
      <c r="U805" t="s">
        <v>60</v>
      </c>
      <c r="V805" t="s">
        <v>138</v>
      </c>
      <c r="W805" t="s">
        <v>139</v>
      </c>
      <c r="X805">
        <v>1927036</v>
      </c>
      <c r="Y805" s="11">
        <v>44776</v>
      </c>
      <c r="Z805" t="s">
        <v>57</v>
      </c>
      <c r="AA805">
        <v>24</v>
      </c>
      <c r="AB805" t="s">
        <v>57</v>
      </c>
      <c r="AD805" t="s">
        <v>57</v>
      </c>
      <c r="AE805" t="s">
        <v>57</v>
      </c>
      <c r="AF805" t="s">
        <v>57</v>
      </c>
      <c r="AG805">
        <v>6</v>
      </c>
      <c r="AH805" t="s">
        <v>57</v>
      </c>
      <c r="AL805" t="s">
        <v>57</v>
      </c>
      <c r="AM805" s="11">
        <v>44776</v>
      </c>
      <c r="AN805" t="s">
        <v>180</v>
      </c>
      <c r="AO805" t="s">
        <v>65</v>
      </c>
      <c r="AP805">
        <v>1205</v>
      </c>
      <c r="AQ805" t="s">
        <v>66</v>
      </c>
      <c r="AR805">
        <v>147840</v>
      </c>
      <c r="AU805" t="s">
        <v>57</v>
      </c>
      <c r="AV805" t="s">
        <v>68</v>
      </c>
      <c r="AX805" t="s">
        <v>57</v>
      </c>
      <c r="AY805">
        <v>631110</v>
      </c>
      <c r="AZ805">
        <v>1205.63111</v>
      </c>
      <c r="BA805" s="23" t="s">
        <v>13</v>
      </c>
    </row>
    <row r="806" spans="1:53" x14ac:dyDescent="0.25">
      <c r="A806" t="s">
        <v>134</v>
      </c>
      <c r="B806" t="s">
        <v>135</v>
      </c>
      <c r="C806">
        <v>22002281</v>
      </c>
      <c r="D806">
        <v>1205</v>
      </c>
      <c r="E806" s="11">
        <v>44776</v>
      </c>
      <c r="F806" t="s">
        <v>179</v>
      </c>
      <c r="G806">
        <v>2.48</v>
      </c>
      <c r="H806">
        <v>2.48</v>
      </c>
      <c r="I806" t="s">
        <v>56</v>
      </c>
      <c r="O806" t="s">
        <v>57</v>
      </c>
      <c r="Q806" t="s">
        <v>57</v>
      </c>
      <c r="R806" t="s">
        <v>137</v>
      </c>
      <c r="T806" t="s">
        <v>59</v>
      </c>
      <c r="U806" t="s">
        <v>60</v>
      </c>
      <c r="V806" t="s">
        <v>138</v>
      </c>
      <c r="W806" t="s">
        <v>139</v>
      </c>
      <c r="X806">
        <v>1927036</v>
      </c>
      <c r="Y806" s="11">
        <v>44776</v>
      </c>
      <c r="Z806" t="s">
        <v>57</v>
      </c>
      <c r="AA806">
        <v>26</v>
      </c>
      <c r="AB806" t="s">
        <v>57</v>
      </c>
      <c r="AD806" t="s">
        <v>57</v>
      </c>
      <c r="AE806" t="s">
        <v>57</v>
      </c>
      <c r="AF806" t="s">
        <v>57</v>
      </c>
      <c r="AG806">
        <v>16</v>
      </c>
      <c r="AH806" t="s">
        <v>57</v>
      </c>
      <c r="AL806" t="s">
        <v>57</v>
      </c>
      <c r="AM806" s="11">
        <v>44776</v>
      </c>
      <c r="AN806" t="s">
        <v>180</v>
      </c>
      <c r="AO806" t="s">
        <v>65</v>
      </c>
      <c r="AP806">
        <v>1205</v>
      </c>
      <c r="AQ806" t="s">
        <v>66</v>
      </c>
      <c r="AR806">
        <v>89712</v>
      </c>
      <c r="AU806" t="s">
        <v>57</v>
      </c>
      <c r="AV806" t="s">
        <v>68</v>
      </c>
      <c r="AX806" t="s">
        <v>57</v>
      </c>
      <c r="AY806">
        <v>631110</v>
      </c>
      <c r="AZ806">
        <v>1205.63111</v>
      </c>
      <c r="BA806" s="23" t="s">
        <v>13</v>
      </c>
    </row>
    <row r="807" spans="1:53" x14ac:dyDescent="0.25">
      <c r="A807" t="s">
        <v>134</v>
      </c>
      <c r="B807" t="s">
        <v>135</v>
      </c>
      <c r="C807">
        <v>22002281</v>
      </c>
      <c r="D807">
        <v>1205</v>
      </c>
      <c r="E807" s="11">
        <v>44776</v>
      </c>
      <c r="F807" t="s">
        <v>179</v>
      </c>
      <c r="G807">
        <v>0.08</v>
      </c>
      <c r="H807">
        <v>0.08</v>
      </c>
      <c r="I807" t="s">
        <v>56</v>
      </c>
      <c r="O807" t="s">
        <v>57</v>
      </c>
      <c r="Q807" t="s">
        <v>57</v>
      </c>
      <c r="R807" t="s">
        <v>137</v>
      </c>
      <c r="T807" t="s">
        <v>59</v>
      </c>
      <c r="U807" t="s">
        <v>60</v>
      </c>
      <c r="V807" t="s">
        <v>138</v>
      </c>
      <c r="W807" t="s">
        <v>139</v>
      </c>
      <c r="X807">
        <v>1927036</v>
      </c>
      <c r="Y807" s="11">
        <v>44776</v>
      </c>
      <c r="Z807" t="s">
        <v>57</v>
      </c>
      <c r="AA807">
        <v>2</v>
      </c>
      <c r="AB807" t="s">
        <v>57</v>
      </c>
      <c r="AD807" t="s">
        <v>57</v>
      </c>
      <c r="AE807" t="s">
        <v>57</v>
      </c>
      <c r="AF807" t="s">
        <v>57</v>
      </c>
      <c r="AG807">
        <v>1</v>
      </c>
      <c r="AH807" t="s">
        <v>57</v>
      </c>
      <c r="AL807" t="s">
        <v>57</v>
      </c>
      <c r="AM807" s="11">
        <v>44776</v>
      </c>
      <c r="AN807" t="s">
        <v>180</v>
      </c>
      <c r="AO807" t="s">
        <v>65</v>
      </c>
      <c r="AP807">
        <v>1205</v>
      </c>
      <c r="AQ807" t="s">
        <v>66</v>
      </c>
      <c r="AR807">
        <v>92908</v>
      </c>
      <c r="AU807" t="s">
        <v>57</v>
      </c>
      <c r="AV807" t="s">
        <v>68</v>
      </c>
      <c r="AX807" t="s">
        <v>57</v>
      </c>
      <c r="AY807">
        <v>631110</v>
      </c>
      <c r="AZ807">
        <v>1205.63111</v>
      </c>
      <c r="BA807" s="23" t="s">
        <v>13</v>
      </c>
    </row>
    <row r="808" spans="1:53" x14ac:dyDescent="0.25">
      <c r="A808" t="s">
        <v>134</v>
      </c>
      <c r="B808" t="s">
        <v>135</v>
      </c>
      <c r="C808">
        <v>22002281</v>
      </c>
      <c r="D808">
        <v>1205</v>
      </c>
      <c r="E808" s="11">
        <v>44776</v>
      </c>
      <c r="F808" t="s">
        <v>179</v>
      </c>
      <c r="G808">
        <v>1.2</v>
      </c>
      <c r="H808">
        <v>1.2</v>
      </c>
      <c r="I808" t="s">
        <v>56</v>
      </c>
      <c r="O808" t="s">
        <v>57</v>
      </c>
      <c r="Q808" t="s">
        <v>57</v>
      </c>
      <c r="R808" t="s">
        <v>137</v>
      </c>
      <c r="T808" t="s">
        <v>59</v>
      </c>
      <c r="U808" t="s">
        <v>60</v>
      </c>
      <c r="V808" t="s">
        <v>138</v>
      </c>
      <c r="W808" t="s">
        <v>139</v>
      </c>
      <c r="X808">
        <v>1927036</v>
      </c>
      <c r="Y808" s="11">
        <v>44776</v>
      </c>
      <c r="Z808" t="s">
        <v>57</v>
      </c>
      <c r="AA808">
        <v>4</v>
      </c>
      <c r="AB808" t="s">
        <v>57</v>
      </c>
      <c r="AD808" t="s">
        <v>57</v>
      </c>
      <c r="AE808" t="s">
        <v>57</v>
      </c>
      <c r="AF808" t="s">
        <v>57</v>
      </c>
      <c r="AG808">
        <v>10</v>
      </c>
      <c r="AH808" t="s">
        <v>57</v>
      </c>
      <c r="AL808" t="s">
        <v>57</v>
      </c>
      <c r="AM808" s="11">
        <v>44776</v>
      </c>
      <c r="AN808" t="s">
        <v>180</v>
      </c>
      <c r="AO808" t="s">
        <v>65</v>
      </c>
      <c r="AP808">
        <v>1205</v>
      </c>
      <c r="AQ808" t="s">
        <v>66</v>
      </c>
      <c r="AR808">
        <v>267860</v>
      </c>
      <c r="AU808" t="s">
        <v>57</v>
      </c>
      <c r="AV808" t="s">
        <v>68</v>
      </c>
      <c r="AX808" t="s">
        <v>57</v>
      </c>
      <c r="AY808">
        <v>631110</v>
      </c>
      <c r="AZ808">
        <v>1205.63111</v>
      </c>
      <c r="BA808" s="23" t="s">
        <v>13</v>
      </c>
    </row>
    <row r="809" spans="1:53" x14ac:dyDescent="0.25">
      <c r="A809" t="s">
        <v>134</v>
      </c>
      <c r="B809" t="s">
        <v>135</v>
      </c>
      <c r="C809">
        <v>22002281</v>
      </c>
      <c r="D809">
        <v>1205</v>
      </c>
      <c r="E809" s="11">
        <v>44776</v>
      </c>
      <c r="F809" t="s">
        <v>179</v>
      </c>
      <c r="G809">
        <v>0.54</v>
      </c>
      <c r="H809">
        <v>0.54</v>
      </c>
      <c r="I809" t="s">
        <v>56</v>
      </c>
      <c r="O809" t="s">
        <v>57</v>
      </c>
      <c r="Q809" t="s">
        <v>57</v>
      </c>
      <c r="R809" t="s">
        <v>137</v>
      </c>
      <c r="T809" t="s">
        <v>59</v>
      </c>
      <c r="U809" t="s">
        <v>60</v>
      </c>
      <c r="V809" t="s">
        <v>138</v>
      </c>
      <c r="W809" t="s">
        <v>139</v>
      </c>
      <c r="X809">
        <v>1927036</v>
      </c>
      <c r="Y809" s="11">
        <v>44776</v>
      </c>
      <c r="Z809" t="s">
        <v>57</v>
      </c>
      <c r="AA809">
        <v>6</v>
      </c>
      <c r="AB809" t="s">
        <v>57</v>
      </c>
      <c r="AD809" t="s">
        <v>57</v>
      </c>
      <c r="AE809" t="s">
        <v>57</v>
      </c>
      <c r="AF809" t="s">
        <v>57</v>
      </c>
      <c r="AG809">
        <v>7</v>
      </c>
      <c r="AH809" t="s">
        <v>57</v>
      </c>
      <c r="AL809" t="s">
        <v>57</v>
      </c>
      <c r="AM809" s="11">
        <v>44776</v>
      </c>
      <c r="AN809" t="s">
        <v>180</v>
      </c>
      <c r="AO809" t="s">
        <v>65</v>
      </c>
      <c r="AP809">
        <v>1205</v>
      </c>
      <c r="AQ809" t="s">
        <v>66</v>
      </c>
      <c r="AR809">
        <v>264688</v>
      </c>
      <c r="AU809" t="s">
        <v>57</v>
      </c>
      <c r="AV809" t="s">
        <v>68</v>
      </c>
      <c r="AX809" t="s">
        <v>57</v>
      </c>
      <c r="AY809">
        <v>631110</v>
      </c>
      <c r="AZ809">
        <v>1205.63111</v>
      </c>
      <c r="BA809" s="23" t="s">
        <v>13</v>
      </c>
    </row>
    <row r="810" spans="1:53" x14ac:dyDescent="0.25">
      <c r="A810" t="s">
        <v>134</v>
      </c>
      <c r="B810" t="s">
        <v>135</v>
      </c>
      <c r="C810">
        <v>22002281</v>
      </c>
      <c r="D810">
        <v>1205</v>
      </c>
      <c r="E810" s="11">
        <v>44776</v>
      </c>
      <c r="F810" t="s">
        <v>179</v>
      </c>
      <c r="G810">
        <v>0.83</v>
      </c>
      <c r="H810">
        <v>0.83</v>
      </c>
      <c r="I810" t="s">
        <v>56</v>
      </c>
      <c r="O810" t="s">
        <v>57</v>
      </c>
      <c r="Q810" t="s">
        <v>57</v>
      </c>
      <c r="R810" t="s">
        <v>137</v>
      </c>
      <c r="T810" t="s">
        <v>59</v>
      </c>
      <c r="U810" t="s">
        <v>60</v>
      </c>
      <c r="V810" t="s">
        <v>138</v>
      </c>
      <c r="W810" t="s">
        <v>139</v>
      </c>
      <c r="X810">
        <v>1927036</v>
      </c>
      <c r="Y810" s="11">
        <v>44776</v>
      </c>
      <c r="Z810" t="s">
        <v>57</v>
      </c>
      <c r="AA810">
        <v>8</v>
      </c>
      <c r="AB810" t="s">
        <v>57</v>
      </c>
      <c r="AD810" t="s">
        <v>57</v>
      </c>
      <c r="AE810" t="s">
        <v>57</v>
      </c>
      <c r="AF810" t="s">
        <v>57</v>
      </c>
      <c r="AG810">
        <v>11</v>
      </c>
      <c r="AH810" t="s">
        <v>57</v>
      </c>
      <c r="AL810" t="s">
        <v>57</v>
      </c>
      <c r="AM810" s="11">
        <v>44776</v>
      </c>
      <c r="AN810" t="s">
        <v>180</v>
      </c>
      <c r="AO810" t="s">
        <v>65</v>
      </c>
      <c r="AP810">
        <v>1205</v>
      </c>
      <c r="AQ810" t="s">
        <v>66</v>
      </c>
      <c r="AR810">
        <v>91479</v>
      </c>
      <c r="AU810" t="s">
        <v>57</v>
      </c>
      <c r="AV810" t="s">
        <v>68</v>
      </c>
      <c r="AX810" t="s">
        <v>57</v>
      </c>
      <c r="AY810">
        <v>631110</v>
      </c>
      <c r="AZ810">
        <v>1205.63111</v>
      </c>
      <c r="BA810" s="23" t="s">
        <v>13</v>
      </c>
    </row>
    <row r="811" spans="1:53" x14ac:dyDescent="0.25">
      <c r="A811" t="s">
        <v>134</v>
      </c>
      <c r="B811" t="s">
        <v>135</v>
      </c>
      <c r="C811">
        <v>22002281</v>
      </c>
      <c r="D811">
        <v>1205</v>
      </c>
      <c r="E811" s="11">
        <v>44776</v>
      </c>
      <c r="F811" t="s">
        <v>179</v>
      </c>
      <c r="G811">
        <v>0.23</v>
      </c>
      <c r="H811">
        <v>0.23</v>
      </c>
      <c r="I811" t="s">
        <v>56</v>
      </c>
      <c r="O811" t="s">
        <v>57</v>
      </c>
      <c r="Q811" t="s">
        <v>57</v>
      </c>
      <c r="R811" t="s">
        <v>137</v>
      </c>
      <c r="T811" t="s">
        <v>59</v>
      </c>
      <c r="U811" t="s">
        <v>60</v>
      </c>
      <c r="V811" t="s">
        <v>138</v>
      </c>
      <c r="W811" t="s">
        <v>139</v>
      </c>
      <c r="X811">
        <v>1927036</v>
      </c>
      <c r="Y811" s="11">
        <v>44776</v>
      </c>
      <c r="Z811" t="s">
        <v>57</v>
      </c>
      <c r="AA811">
        <v>10</v>
      </c>
      <c r="AB811" t="s">
        <v>57</v>
      </c>
      <c r="AD811" t="s">
        <v>57</v>
      </c>
      <c r="AE811" t="s">
        <v>57</v>
      </c>
      <c r="AF811" t="s">
        <v>57</v>
      </c>
      <c r="AG811">
        <v>2</v>
      </c>
      <c r="AH811" t="s">
        <v>57</v>
      </c>
      <c r="AL811" t="s">
        <v>57</v>
      </c>
      <c r="AM811" s="11">
        <v>44776</v>
      </c>
      <c r="AN811" t="s">
        <v>180</v>
      </c>
      <c r="AO811" t="s">
        <v>65</v>
      </c>
      <c r="AP811">
        <v>1205</v>
      </c>
      <c r="AQ811" t="s">
        <v>66</v>
      </c>
      <c r="AR811">
        <v>265889</v>
      </c>
      <c r="AU811" t="s">
        <v>57</v>
      </c>
      <c r="AV811" t="s">
        <v>68</v>
      </c>
      <c r="AX811" t="s">
        <v>57</v>
      </c>
      <c r="AY811">
        <v>631110</v>
      </c>
      <c r="AZ811">
        <v>1205.63111</v>
      </c>
      <c r="BA811" s="23" t="s">
        <v>13</v>
      </c>
    </row>
    <row r="812" spans="1:53" x14ac:dyDescent="0.25">
      <c r="A812" t="s">
        <v>134</v>
      </c>
      <c r="B812" t="s">
        <v>135</v>
      </c>
      <c r="C812">
        <v>22002281</v>
      </c>
      <c r="D812">
        <v>1205</v>
      </c>
      <c r="E812" s="11">
        <v>44776</v>
      </c>
      <c r="F812" t="s">
        <v>179</v>
      </c>
      <c r="G812">
        <v>1.0900000000000001</v>
      </c>
      <c r="H812">
        <v>1.0900000000000001</v>
      </c>
      <c r="I812" t="s">
        <v>56</v>
      </c>
      <c r="O812" t="s">
        <v>57</v>
      </c>
      <c r="Q812" t="s">
        <v>57</v>
      </c>
      <c r="R812" t="s">
        <v>137</v>
      </c>
      <c r="T812" t="s">
        <v>59</v>
      </c>
      <c r="U812" t="s">
        <v>60</v>
      </c>
      <c r="V812" t="s">
        <v>138</v>
      </c>
      <c r="W812" t="s">
        <v>139</v>
      </c>
      <c r="X812">
        <v>1927036</v>
      </c>
      <c r="Y812" s="11">
        <v>44776</v>
      </c>
      <c r="Z812" t="s">
        <v>57</v>
      </c>
      <c r="AA812">
        <v>12</v>
      </c>
      <c r="AB812" t="s">
        <v>57</v>
      </c>
      <c r="AD812" t="s">
        <v>57</v>
      </c>
      <c r="AE812" t="s">
        <v>57</v>
      </c>
      <c r="AF812" t="s">
        <v>57</v>
      </c>
      <c r="AG812">
        <v>10</v>
      </c>
      <c r="AH812" t="s">
        <v>57</v>
      </c>
      <c r="AL812" t="s">
        <v>57</v>
      </c>
      <c r="AM812" s="11">
        <v>44776</v>
      </c>
      <c r="AN812" t="s">
        <v>180</v>
      </c>
      <c r="AO812" t="s">
        <v>65</v>
      </c>
      <c r="AP812">
        <v>1205</v>
      </c>
      <c r="AQ812" t="s">
        <v>66</v>
      </c>
      <c r="AR812">
        <v>265267</v>
      </c>
      <c r="AU812" t="s">
        <v>57</v>
      </c>
      <c r="AV812" t="s">
        <v>68</v>
      </c>
      <c r="AX812" t="s">
        <v>57</v>
      </c>
      <c r="AY812">
        <v>631110</v>
      </c>
      <c r="AZ812">
        <v>1205.63111</v>
      </c>
      <c r="BA812" s="23" t="s">
        <v>13</v>
      </c>
    </row>
    <row r="813" spans="1:53" x14ac:dyDescent="0.25">
      <c r="A813" t="s">
        <v>134</v>
      </c>
      <c r="B813" t="s">
        <v>135</v>
      </c>
      <c r="C813">
        <v>22002281</v>
      </c>
      <c r="D813">
        <v>1205</v>
      </c>
      <c r="E813" s="11">
        <v>44776</v>
      </c>
      <c r="F813" t="s">
        <v>179</v>
      </c>
      <c r="G813">
        <v>0.55000000000000004</v>
      </c>
      <c r="H813">
        <v>0.55000000000000004</v>
      </c>
      <c r="I813" t="s">
        <v>56</v>
      </c>
      <c r="O813" t="s">
        <v>57</v>
      </c>
      <c r="Q813" t="s">
        <v>57</v>
      </c>
      <c r="R813" t="s">
        <v>137</v>
      </c>
      <c r="T813" t="s">
        <v>59</v>
      </c>
      <c r="U813" t="s">
        <v>60</v>
      </c>
      <c r="V813" t="s">
        <v>138</v>
      </c>
      <c r="W813" t="s">
        <v>139</v>
      </c>
      <c r="X813">
        <v>1927036</v>
      </c>
      <c r="Y813" s="11">
        <v>44776</v>
      </c>
      <c r="Z813" t="s">
        <v>57</v>
      </c>
      <c r="AA813">
        <v>14</v>
      </c>
      <c r="AB813" t="s">
        <v>57</v>
      </c>
      <c r="AD813" t="s">
        <v>57</v>
      </c>
      <c r="AE813" t="s">
        <v>57</v>
      </c>
      <c r="AF813" t="s">
        <v>57</v>
      </c>
      <c r="AG813">
        <v>5</v>
      </c>
      <c r="AH813" t="s">
        <v>57</v>
      </c>
      <c r="AL813" t="s">
        <v>57</v>
      </c>
      <c r="AM813" s="11">
        <v>44776</v>
      </c>
      <c r="AN813" t="s">
        <v>180</v>
      </c>
      <c r="AO813" t="s">
        <v>65</v>
      </c>
      <c r="AP813">
        <v>1205</v>
      </c>
      <c r="AQ813" t="s">
        <v>66</v>
      </c>
      <c r="AR813">
        <v>90435</v>
      </c>
      <c r="AU813" t="s">
        <v>57</v>
      </c>
      <c r="AV813" t="s">
        <v>68</v>
      </c>
      <c r="AX813" t="s">
        <v>57</v>
      </c>
      <c r="AY813">
        <v>631110</v>
      </c>
      <c r="AZ813">
        <v>1205.63111</v>
      </c>
      <c r="BA813" s="23" t="s">
        <v>13</v>
      </c>
    </row>
    <row r="814" spans="1:53" x14ac:dyDescent="0.25">
      <c r="A814" t="s">
        <v>134</v>
      </c>
      <c r="B814" t="s">
        <v>135</v>
      </c>
      <c r="C814">
        <v>22002281</v>
      </c>
      <c r="D814">
        <v>1205</v>
      </c>
      <c r="E814" s="11">
        <v>44776</v>
      </c>
      <c r="F814" t="s">
        <v>179</v>
      </c>
      <c r="G814">
        <v>0.25</v>
      </c>
      <c r="H814">
        <v>0.25</v>
      </c>
      <c r="I814" t="s">
        <v>56</v>
      </c>
      <c r="O814" t="s">
        <v>57</v>
      </c>
      <c r="Q814" t="s">
        <v>57</v>
      </c>
      <c r="R814" t="s">
        <v>137</v>
      </c>
      <c r="T814" t="s">
        <v>59</v>
      </c>
      <c r="U814" t="s">
        <v>60</v>
      </c>
      <c r="V814" t="s">
        <v>138</v>
      </c>
      <c r="W814" t="s">
        <v>139</v>
      </c>
      <c r="X814">
        <v>1927036</v>
      </c>
      <c r="Y814" s="11">
        <v>44776</v>
      </c>
      <c r="Z814" t="s">
        <v>57</v>
      </c>
      <c r="AA814">
        <v>16</v>
      </c>
      <c r="AB814" t="s">
        <v>57</v>
      </c>
      <c r="AD814" t="s">
        <v>57</v>
      </c>
      <c r="AE814" t="s">
        <v>57</v>
      </c>
      <c r="AF814" t="s">
        <v>57</v>
      </c>
      <c r="AG814">
        <v>2</v>
      </c>
      <c r="AH814" t="s">
        <v>57</v>
      </c>
      <c r="AL814" t="s">
        <v>57</v>
      </c>
      <c r="AM814" s="11">
        <v>44776</v>
      </c>
      <c r="AN814" t="s">
        <v>180</v>
      </c>
      <c r="AO814" t="s">
        <v>65</v>
      </c>
      <c r="AP814">
        <v>1205</v>
      </c>
      <c r="AQ814" t="s">
        <v>66</v>
      </c>
      <c r="AR814">
        <v>265216</v>
      </c>
      <c r="AU814" t="s">
        <v>57</v>
      </c>
      <c r="AV814" t="s">
        <v>68</v>
      </c>
      <c r="AX814" t="s">
        <v>57</v>
      </c>
      <c r="AY814">
        <v>631110</v>
      </c>
      <c r="AZ814">
        <v>1205.63111</v>
      </c>
      <c r="BA814" s="23" t="s">
        <v>13</v>
      </c>
    </row>
    <row r="815" spans="1:53" x14ac:dyDescent="0.25">
      <c r="A815" t="s">
        <v>134</v>
      </c>
      <c r="B815" t="s">
        <v>135</v>
      </c>
      <c r="C815">
        <v>22002281</v>
      </c>
      <c r="D815">
        <v>1205</v>
      </c>
      <c r="E815" s="11">
        <v>44776</v>
      </c>
      <c r="F815" t="s">
        <v>179</v>
      </c>
      <c r="G815">
        <v>0.16</v>
      </c>
      <c r="H815">
        <v>0.16</v>
      </c>
      <c r="I815" t="s">
        <v>56</v>
      </c>
      <c r="O815" t="s">
        <v>57</v>
      </c>
      <c r="Q815" t="s">
        <v>57</v>
      </c>
      <c r="R815" t="s">
        <v>137</v>
      </c>
      <c r="T815" t="s">
        <v>59</v>
      </c>
      <c r="U815" t="s">
        <v>60</v>
      </c>
      <c r="V815" t="s">
        <v>138</v>
      </c>
      <c r="W815" t="s">
        <v>139</v>
      </c>
      <c r="X815">
        <v>1927036</v>
      </c>
      <c r="Y815" s="11">
        <v>44776</v>
      </c>
      <c r="Z815" t="s">
        <v>57</v>
      </c>
      <c r="AA815">
        <v>18</v>
      </c>
      <c r="AB815" t="s">
        <v>57</v>
      </c>
      <c r="AD815" t="s">
        <v>57</v>
      </c>
      <c r="AE815" t="s">
        <v>57</v>
      </c>
      <c r="AF815" t="s">
        <v>57</v>
      </c>
      <c r="AG815">
        <v>1</v>
      </c>
      <c r="AH815" t="s">
        <v>57</v>
      </c>
      <c r="AL815" t="s">
        <v>57</v>
      </c>
      <c r="AM815" s="11">
        <v>44776</v>
      </c>
      <c r="AN815" t="s">
        <v>180</v>
      </c>
      <c r="AO815" t="s">
        <v>65</v>
      </c>
      <c r="AP815">
        <v>1205</v>
      </c>
      <c r="AQ815" t="s">
        <v>66</v>
      </c>
      <c r="AR815">
        <v>265891</v>
      </c>
      <c r="AU815" t="s">
        <v>57</v>
      </c>
      <c r="AV815" t="s">
        <v>68</v>
      </c>
      <c r="AX815" t="s">
        <v>57</v>
      </c>
      <c r="AY815">
        <v>631110</v>
      </c>
      <c r="AZ815">
        <v>1205.63111</v>
      </c>
      <c r="BA815" s="23" t="s">
        <v>13</v>
      </c>
    </row>
    <row r="816" spans="1:53" x14ac:dyDescent="0.25">
      <c r="A816" t="s">
        <v>134</v>
      </c>
      <c r="B816" t="s">
        <v>135</v>
      </c>
      <c r="C816">
        <v>22002281</v>
      </c>
      <c r="D816">
        <v>1205</v>
      </c>
      <c r="E816" s="11">
        <v>44776</v>
      </c>
      <c r="F816" t="s">
        <v>179</v>
      </c>
      <c r="G816">
        <v>1.69</v>
      </c>
      <c r="H816">
        <v>1.69</v>
      </c>
      <c r="I816" t="s">
        <v>56</v>
      </c>
      <c r="O816" t="s">
        <v>57</v>
      </c>
      <c r="Q816" t="s">
        <v>57</v>
      </c>
      <c r="R816" t="s">
        <v>137</v>
      </c>
      <c r="T816" t="s">
        <v>59</v>
      </c>
      <c r="U816" t="s">
        <v>60</v>
      </c>
      <c r="V816" t="s">
        <v>138</v>
      </c>
      <c r="W816" t="s">
        <v>139</v>
      </c>
      <c r="X816">
        <v>1927036</v>
      </c>
      <c r="Y816" s="11">
        <v>44776</v>
      </c>
      <c r="Z816" t="s">
        <v>57</v>
      </c>
      <c r="AA816">
        <v>20</v>
      </c>
      <c r="AB816" t="s">
        <v>57</v>
      </c>
      <c r="AD816" t="s">
        <v>57</v>
      </c>
      <c r="AE816" t="s">
        <v>57</v>
      </c>
      <c r="AF816" t="s">
        <v>57</v>
      </c>
      <c r="AG816">
        <v>11</v>
      </c>
      <c r="AH816" t="s">
        <v>57</v>
      </c>
      <c r="AL816" t="s">
        <v>57</v>
      </c>
      <c r="AM816" s="11">
        <v>44776</v>
      </c>
      <c r="AN816" t="s">
        <v>180</v>
      </c>
      <c r="AO816" t="s">
        <v>65</v>
      </c>
      <c r="AP816">
        <v>1205</v>
      </c>
      <c r="AQ816" t="s">
        <v>66</v>
      </c>
      <c r="AR816">
        <v>89715</v>
      </c>
      <c r="AU816" t="s">
        <v>57</v>
      </c>
      <c r="AV816" t="s">
        <v>68</v>
      </c>
      <c r="AX816" t="s">
        <v>57</v>
      </c>
      <c r="AY816">
        <v>631110</v>
      </c>
      <c r="AZ816">
        <v>1205.63111</v>
      </c>
      <c r="BA816" s="23" t="s">
        <v>13</v>
      </c>
    </row>
    <row r="817" spans="1:53" x14ac:dyDescent="0.25">
      <c r="A817" t="s">
        <v>134</v>
      </c>
      <c r="B817" t="s">
        <v>135</v>
      </c>
      <c r="C817">
        <v>22002281</v>
      </c>
      <c r="D817">
        <v>1205</v>
      </c>
      <c r="E817" s="11">
        <v>44776</v>
      </c>
      <c r="F817" t="s">
        <v>179</v>
      </c>
      <c r="G817">
        <v>2.52</v>
      </c>
      <c r="H817">
        <v>2.52</v>
      </c>
      <c r="I817" t="s">
        <v>56</v>
      </c>
      <c r="O817" t="s">
        <v>57</v>
      </c>
      <c r="Q817" t="s">
        <v>57</v>
      </c>
      <c r="R817" t="s">
        <v>137</v>
      </c>
      <c r="T817" t="s">
        <v>59</v>
      </c>
      <c r="U817" t="s">
        <v>60</v>
      </c>
      <c r="V817" t="s">
        <v>138</v>
      </c>
      <c r="W817" t="s">
        <v>139</v>
      </c>
      <c r="X817">
        <v>1927036</v>
      </c>
      <c r="Y817" s="11">
        <v>44776</v>
      </c>
      <c r="Z817" t="s">
        <v>57</v>
      </c>
      <c r="AA817">
        <v>22</v>
      </c>
      <c r="AB817" t="s">
        <v>57</v>
      </c>
      <c r="AD817" t="s">
        <v>57</v>
      </c>
      <c r="AE817" t="s">
        <v>57</v>
      </c>
      <c r="AF817" t="s">
        <v>57</v>
      </c>
      <c r="AG817">
        <v>10</v>
      </c>
      <c r="AH817" t="s">
        <v>57</v>
      </c>
      <c r="AL817" t="s">
        <v>57</v>
      </c>
      <c r="AM817" s="11">
        <v>44776</v>
      </c>
      <c r="AN817" t="s">
        <v>180</v>
      </c>
      <c r="AO817" t="s">
        <v>65</v>
      </c>
      <c r="AP817">
        <v>1205</v>
      </c>
      <c r="AQ817" t="s">
        <v>66</v>
      </c>
      <c r="AR817">
        <v>88669</v>
      </c>
      <c r="AU817" t="s">
        <v>57</v>
      </c>
      <c r="AV817" t="s">
        <v>68</v>
      </c>
      <c r="AX817" t="s">
        <v>57</v>
      </c>
      <c r="AY817">
        <v>631110</v>
      </c>
      <c r="AZ817">
        <v>1205.63111</v>
      </c>
      <c r="BA817" s="23" t="s">
        <v>13</v>
      </c>
    </row>
    <row r="818" spans="1:53" x14ac:dyDescent="0.25">
      <c r="A818" t="s">
        <v>134</v>
      </c>
      <c r="B818" t="s">
        <v>135</v>
      </c>
      <c r="C818">
        <v>22002287</v>
      </c>
      <c r="D818">
        <v>1205</v>
      </c>
      <c r="E818" s="11">
        <v>44777</v>
      </c>
      <c r="F818" t="s">
        <v>174</v>
      </c>
      <c r="G818">
        <v>2.92</v>
      </c>
      <c r="H818">
        <v>2.92</v>
      </c>
      <c r="I818" t="s">
        <v>56</v>
      </c>
      <c r="O818" t="s">
        <v>57</v>
      </c>
      <c r="Q818" t="s">
        <v>57</v>
      </c>
      <c r="R818" t="s">
        <v>137</v>
      </c>
      <c r="T818" t="s">
        <v>59</v>
      </c>
      <c r="U818" t="s">
        <v>60</v>
      </c>
      <c r="V818" t="s">
        <v>138</v>
      </c>
      <c r="W818" t="s">
        <v>139</v>
      </c>
      <c r="X818">
        <v>1927360</v>
      </c>
      <c r="Y818" s="11">
        <v>44777</v>
      </c>
      <c r="Z818" t="s">
        <v>57</v>
      </c>
      <c r="AA818">
        <v>8</v>
      </c>
      <c r="AB818" t="s">
        <v>57</v>
      </c>
      <c r="AD818" t="s">
        <v>57</v>
      </c>
      <c r="AE818" t="s">
        <v>57</v>
      </c>
      <c r="AF818" t="s">
        <v>57</v>
      </c>
      <c r="AG818">
        <v>1</v>
      </c>
      <c r="AH818" t="s">
        <v>57</v>
      </c>
      <c r="AL818" t="s">
        <v>57</v>
      </c>
      <c r="AM818" s="11">
        <v>44777</v>
      </c>
      <c r="AN818" t="s">
        <v>178</v>
      </c>
      <c r="AO818" t="s">
        <v>65</v>
      </c>
      <c r="AP818">
        <v>1205</v>
      </c>
      <c r="AQ818" t="s">
        <v>66</v>
      </c>
      <c r="AR818">
        <v>214848</v>
      </c>
      <c r="AU818" t="s">
        <v>57</v>
      </c>
      <c r="AV818" t="s">
        <v>68</v>
      </c>
      <c r="AX818" t="s">
        <v>57</v>
      </c>
      <c r="AY818">
        <v>631110</v>
      </c>
      <c r="AZ818">
        <v>1205.63111</v>
      </c>
      <c r="BA818" s="23" t="s">
        <v>13</v>
      </c>
    </row>
    <row r="819" spans="1:53" x14ac:dyDescent="0.25">
      <c r="A819" t="s">
        <v>134</v>
      </c>
      <c r="B819" t="s">
        <v>135</v>
      </c>
      <c r="C819">
        <v>22002287</v>
      </c>
      <c r="D819">
        <v>1205</v>
      </c>
      <c r="E819" s="11">
        <v>44777</v>
      </c>
      <c r="F819" t="s">
        <v>174</v>
      </c>
      <c r="G819">
        <v>1.36</v>
      </c>
      <c r="H819">
        <v>1.36</v>
      </c>
      <c r="I819" t="s">
        <v>56</v>
      </c>
      <c r="O819" t="s">
        <v>57</v>
      </c>
      <c r="Q819" t="s">
        <v>57</v>
      </c>
      <c r="R819" t="s">
        <v>137</v>
      </c>
      <c r="T819" t="s">
        <v>59</v>
      </c>
      <c r="U819" t="s">
        <v>60</v>
      </c>
      <c r="V819" t="s">
        <v>138</v>
      </c>
      <c r="W819" t="s">
        <v>139</v>
      </c>
      <c r="X819">
        <v>1927360</v>
      </c>
      <c r="Y819" s="11">
        <v>44777</v>
      </c>
      <c r="Z819" t="s">
        <v>57</v>
      </c>
      <c r="AA819">
        <v>10</v>
      </c>
      <c r="AB819" t="s">
        <v>57</v>
      </c>
      <c r="AD819" t="s">
        <v>57</v>
      </c>
      <c r="AE819" t="s">
        <v>57</v>
      </c>
      <c r="AF819" t="s">
        <v>57</v>
      </c>
      <c r="AG819">
        <v>2</v>
      </c>
      <c r="AH819" t="s">
        <v>57</v>
      </c>
      <c r="AL819" t="s">
        <v>57</v>
      </c>
      <c r="AM819" s="11">
        <v>44777</v>
      </c>
      <c r="AN819" t="s">
        <v>178</v>
      </c>
      <c r="AO819" t="s">
        <v>65</v>
      </c>
      <c r="AP819">
        <v>1205</v>
      </c>
      <c r="AQ819" t="s">
        <v>66</v>
      </c>
      <c r="AR819">
        <v>270190</v>
      </c>
      <c r="AU819" t="s">
        <v>57</v>
      </c>
      <c r="AV819" t="s">
        <v>68</v>
      </c>
      <c r="AX819" t="s">
        <v>57</v>
      </c>
      <c r="AY819">
        <v>631110</v>
      </c>
      <c r="AZ819">
        <v>1205.63111</v>
      </c>
      <c r="BA819" s="23" t="s">
        <v>13</v>
      </c>
    </row>
    <row r="820" spans="1:53" x14ac:dyDescent="0.25">
      <c r="A820" t="s">
        <v>134</v>
      </c>
      <c r="B820" t="s">
        <v>135</v>
      </c>
      <c r="C820">
        <v>22002287</v>
      </c>
      <c r="D820">
        <v>1205</v>
      </c>
      <c r="E820" s="11">
        <v>44777</v>
      </c>
      <c r="F820" t="s">
        <v>174</v>
      </c>
      <c r="G820">
        <v>3.94</v>
      </c>
      <c r="H820">
        <v>3.94</v>
      </c>
      <c r="I820" t="s">
        <v>56</v>
      </c>
      <c r="O820" t="s">
        <v>57</v>
      </c>
      <c r="Q820" t="s">
        <v>57</v>
      </c>
      <c r="R820" t="s">
        <v>137</v>
      </c>
      <c r="T820" t="s">
        <v>59</v>
      </c>
      <c r="U820" t="s">
        <v>60</v>
      </c>
      <c r="V820" t="s">
        <v>138</v>
      </c>
      <c r="W820" t="s">
        <v>139</v>
      </c>
      <c r="X820">
        <v>1927360</v>
      </c>
      <c r="Y820" s="11">
        <v>44777</v>
      </c>
      <c r="Z820" t="s">
        <v>57</v>
      </c>
      <c r="AA820">
        <v>12</v>
      </c>
      <c r="AB820" t="s">
        <v>57</v>
      </c>
      <c r="AD820" t="s">
        <v>57</v>
      </c>
      <c r="AE820" t="s">
        <v>57</v>
      </c>
      <c r="AF820" t="s">
        <v>57</v>
      </c>
      <c r="AG820">
        <v>1</v>
      </c>
      <c r="AH820" t="s">
        <v>57</v>
      </c>
      <c r="AL820" t="s">
        <v>57</v>
      </c>
      <c r="AM820" s="11">
        <v>44777</v>
      </c>
      <c r="AN820" t="s">
        <v>178</v>
      </c>
      <c r="AO820" t="s">
        <v>65</v>
      </c>
      <c r="AP820">
        <v>1205</v>
      </c>
      <c r="AQ820" t="s">
        <v>66</v>
      </c>
      <c r="AR820">
        <v>220122</v>
      </c>
      <c r="AU820" t="s">
        <v>57</v>
      </c>
      <c r="AV820" t="s">
        <v>68</v>
      </c>
      <c r="AX820" t="s">
        <v>57</v>
      </c>
      <c r="AY820">
        <v>631110</v>
      </c>
      <c r="AZ820">
        <v>1205.63111</v>
      </c>
      <c r="BA820" s="23" t="s">
        <v>13</v>
      </c>
    </row>
    <row r="821" spans="1:53" x14ac:dyDescent="0.25">
      <c r="A821" t="s">
        <v>134</v>
      </c>
      <c r="B821" t="s">
        <v>135</v>
      </c>
      <c r="C821">
        <v>22002287</v>
      </c>
      <c r="D821">
        <v>1205</v>
      </c>
      <c r="E821" s="11">
        <v>44777</v>
      </c>
      <c r="F821" t="s">
        <v>174</v>
      </c>
      <c r="G821">
        <v>2.04</v>
      </c>
      <c r="H821">
        <v>2.04</v>
      </c>
      <c r="I821" t="s">
        <v>56</v>
      </c>
      <c r="O821" t="s">
        <v>57</v>
      </c>
      <c r="Q821" t="s">
        <v>57</v>
      </c>
      <c r="R821" t="s">
        <v>137</v>
      </c>
      <c r="T821" t="s">
        <v>59</v>
      </c>
      <c r="U821" t="s">
        <v>60</v>
      </c>
      <c r="V821" t="s">
        <v>138</v>
      </c>
      <c r="W821" t="s">
        <v>139</v>
      </c>
      <c r="X821">
        <v>1927360</v>
      </c>
      <c r="Y821" s="11">
        <v>44777</v>
      </c>
      <c r="Z821" t="s">
        <v>57</v>
      </c>
      <c r="AA821">
        <v>14</v>
      </c>
      <c r="AB821" t="s">
        <v>57</v>
      </c>
      <c r="AD821" t="s">
        <v>57</v>
      </c>
      <c r="AE821" t="s">
        <v>57</v>
      </c>
      <c r="AF821" t="s">
        <v>57</v>
      </c>
      <c r="AG821">
        <v>1</v>
      </c>
      <c r="AH821" t="s">
        <v>57</v>
      </c>
      <c r="AL821" t="s">
        <v>57</v>
      </c>
      <c r="AM821" s="11">
        <v>44777</v>
      </c>
      <c r="AN821" t="s">
        <v>178</v>
      </c>
      <c r="AO821" t="s">
        <v>65</v>
      </c>
      <c r="AP821">
        <v>1205</v>
      </c>
      <c r="AQ821" t="s">
        <v>66</v>
      </c>
      <c r="AR821">
        <v>250199</v>
      </c>
      <c r="AU821" t="s">
        <v>57</v>
      </c>
      <c r="AV821" t="s">
        <v>68</v>
      </c>
      <c r="AX821" t="s">
        <v>57</v>
      </c>
      <c r="AY821">
        <v>631110</v>
      </c>
      <c r="AZ821">
        <v>1205.63111</v>
      </c>
      <c r="BA821" s="23" t="s">
        <v>13</v>
      </c>
    </row>
    <row r="822" spans="1:53" x14ac:dyDescent="0.25">
      <c r="A822" t="s">
        <v>134</v>
      </c>
      <c r="B822" t="s">
        <v>135</v>
      </c>
      <c r="C822">
        <v>22002287</v>
      </c>
      <c r="D822">
        <v>1205</v>
      </c>
      <c r="E822" s="11">
        <v>44777</v>
      </c>
      <c r="F822" t="s">
        <v>174</v>
      </c>
      <c r="G822">
        <v>9.11</v>
      </c>
      <c r="H822">
        <v>9.11</v>
      </c>
      <c r="I822" t="s">
        <v>56</v>
      </c>
      <c r="O822" t="s">
        <v>57</v>
      </c>
      <c r="Q822" t="s">
        <v>57</v>
      </c>
      <c r="R822" t="s">
        <v>137</v>
      </c>
      <c r="T822" t="s">
        <v>59</v>
      </c>
      <c r="U822" t="s">
        <v>60</v>
      </c>
      <c r="V822" t="s">
        <v>138</v>
      </c>
      <c r="W822" t="s">
        <v>139</v>
      </c>
      <c r="X822">
        <v>1927360</v>
      </c>
      <c r="Y822" s="11">
        <v>44777</v>
      </c>
      <c r="Z822" t="s">
        <v>57</v>
      </c>
      <c r="AA822">
        <v>2</v>
      </c>
      <c r="AB822" t="s">
        <v>57</v>
      </c>
      <c r="AD822" t="s">
        <v>57</v>
      </c>
      <c r="AE822" t="s">
        <v>57</v>
      </c>
      <c r="AF822" t="s">
        <v>57</v>
      </c>
      <c r="AG822">
        <v>3</v>
      </c>
      <c r="AH822" t="s">
        <v>57</v>
      </c>
      <c r="AL822" t="s">
        <v>57</v>
      </c>
      <c r="AM822" s="11">
        <v>44777</v>
      </c>
      <c r="AN822" t="s">
        <v>178</v>
      </c>
      <c r="AO822" t="s">
        <v>65</v>
      </c>
      <c r="AP822">
        <v>1205</v>
      </c>
      <c r="AQ822" t="s">
        <v>66</v>
      </c>
      <c r="AR822">
        <v>90264</v>
      </c>
      <c r="AU822" t="s">
        <v>57</v>
      </c>
      <c r="AV822" t="s">
        <v>68</v>
      </c>
      <c r="AX822" t="s">
        <v>57</v>
      </c>
      <c r="AY822">
        <v>631110</v>
      </c>
      <c r="AZ822">
        <v>1205.63111</v>
      </c>
      <c r="BA822" s="23" t="s">
        <v>13</v>
      </c>
    </row>
    <row r="823" spans="1:53" x14ac:dyDescent="0.25">
      <c r="A823" t="s">
        <v>134</v>
      </c>
      <c r="B823" t="s">
        <v>135</v>
      </c>
      <c r="C823">
        <v>22002287</v>
      </c>
      <c r="D823">
        <v>1205</v>
      </c>
      <c r="E823" s="11">
        <v>44777</v>
      </c>
      <c r="F823" t="s">
        <v>174</v>
      </c>
      <c r="G823">
        <v>32.299999999999997</v>
      </c>
      <c r="H823">
        <v>32.299999999999997</v>
      </c>
      <c r="I823" t="s">
        <v>56</v>
      </c>
      <c r="O823" t="s">
        <v>57</v>
      </c>
      <c r="Q823" t="s">
        <v>57</v>
      </c>
      <c r="R823" t="s">
        <v>137</v>
      </c>
      <c r="T823" t="s">
        <v>59</v>
      </c>
      <c r="U823" t="s">
        <v>60</v>
      </c>
      <c r="V823" t="s">
        <v>138</v>
      </c>
      <c r="W823" t="s">
        <v>139</v>
      </c>
      <c r="X823">
        <v>1927360</v>
      </c>
      <c r="Y823" s="11">
        <v>44777</v>
      </c>
      <c r="Z823" t="s">
        <v>57</v>
      </c>
      <c r="AA823">
        <v>4</v>
      </c>
      <c r="AB823" t="s">
        <v>57</v>
      </c>
      <c r="AD823" t="s">
        <v>57</v>
      </c>
      <c r="AE823" t="s">
        <v>57</v>
      </c>
      <c r="AF823" t="s">
        <v>57</v>
      </c>
      <c r="AG823">
        <v>2</v>
      </c>
      <c r="AH823" t="s">
        <v>57</v>
      </c>
      <c r="AL823" t="s">
        <v>57</v>
      </c>
      <c r="AM823" s="11">
        <v>44777</v>
      </c>
      <c r="AN823" t="s">
        <v>178</v>
      </c>
      <c r="AO823" t="s">
        <v>65</v>
      </c>
      <c r="AP823">
        <v>1205</v>
      </c>
      <c r="AQ823" t="s">
        <v>66</v>
      </c>
      <c r="AR823">
        <v>274601</v>
      </c>
      <c r="AU823" t="s">
        <v>57</v>
      </c>
      <c r="AV823" t="s">
        <v>68</v>
      </c>
      <c r="AX823" t="s">
        <v>57</v>
      </c>
      <c r="AY823">
        <v>631110</v>
      </c>
      <c r="AZ823">
        <v>1205.63111</v>
      </c>
      <c r="BA823" s="23" t="s">
        <v>13</v>
      </c>
    </row>
    <row r="824" spans="1:53" x14ac:dyDescent="0.25">
      <c r="A824" t="s">
        <v>134</v>
      </c>
      <c r="B824" t="s">
        <v>135</v>
      </c>
      <c r="C824">
        <v>22002287</v>
      </c>
      <c r="D824">
        <v>1205</v>
      </c>
      <c r="E824" s="11">
        <v>44777</v>
      </c>
      <c r="F824" t="s">
        <v>174</v>
      </c>
      <c r="G824">
        <v>3.62</v>
      </c>
      <c r="H824">
        <v>3.62</v>
      </c>
      <c r="I824" t="s">
        <v>56</v>
      </c>
      <c r="O824" t="s">
        <v>57</v>
      </c>
      <c r="Q824" t="s">
        <v>57</v>
      </c>
      <c r="R824" t="s">
        <v>137</v>
      </c>
      <c r="T824" t="s">
        <v>59</v>
      </c>
      <c r="U824" t="s">
        <v>60</v>
      </c>
      <c r="V824" t="s">
        <v>138</v>
      </c>
      <c r="W824" t="s">
        <v>139</v>
      </c>
      <c r="X824">
        <v>1927360</v>
      </c>
      <c r="Y824" s="11">
        <v>44777</v>
      </c>
      <c r="Z824" t="s">
        <v>57</v>
      </c>
      <c r="AA824">
        <v>6</v>
      </c>
      <c r="AB824" t="s">
        <v>57</v>
      </c>
      <c r="AD824" t="s">
        <v>57</v>
      </c>
      <c r="AE824" t="s">
        <v>57</v>
      </c>
      <c r="AF824" t="s">
        <v>57</v>
      </c>
      <c r="AG824">
        <v>1</v>
      </c>
      <c r="AH824" t="s">
        <v>57</v>
      </c>
      <c r="AL824" t="s">
        <v>57</v>
      </c>
      <c r="AM824" s="11">
        <v>44777</v>
      </c>
      <c r="AN824" t="s">
        <v>178</v>
      </c>
      <c r="AO824" t="s">
        <v>65</v>
      </c>
      <c r="AP824">
        <v>1205</v>
      </c>
      <c r="AQ824" t="s">
        <v>66</v>
      </c>
      <c r="AR824">
        <v>230640</v>
      </c>
      <c r="AU824" t="s">
        <v>57</v>
      </c>
      <c r="AV824" t="s">
        <v>68</v>
      </c>
      <c r="AX824" t="s">
        <v>57</v>
      </c>
      <c r="AY824">
        <v>631110</v>
      </c>
      <c r="AZ824">
        <v>1205.63111</v>
      </c>
      <c r="BA824" s="23" t="s">
        <v>13</v>
      </c>
    </row>
    <row r="825" spans="1:53" x14ac:dyDescent="0.25">
      <c r="A825" t="s">
        <v>134</v>
      </c>
      <c r="B825" t="s">
        <v>135</v>
      </c>
      <c r="C825">
        <v>22002288</v>
      </c>
      <c r="D825">
        <v>1205</v>
      </c>
      <c r="E825" s="11">
        <v>44777</v>
      </c>
      <c r="F825" t="s">
        <v>174</v>
      </c>
      <c r="G825">
        <v>0.97</v>
      </c>
      <c r="H825">
        <v>0.97</v>
      </c>
      <c r="I825" t="s">
        <v>56</v>
      </c>
      <c r="O825" t="s">
        <v>57</v>
      </c>
      <c r="Q825" t="s">
        <v>57</v>
      </c>
      <c r="R825" t="s">
        <v>137</v>
      </c>
      <c r="T825" t="s">
        <v>59</v>
      </c>
      <c r="U825" t="s">
        <v>60</v>
      </c>
      <c r="V825" t="s">
        <v>138</v>
      </c>
      <c r="W825" t="s">
        <v>139</v>
      </c>
      <c r="X825">
        <v>1927363</v>
      </c>
      <c r="Y825" s="11">
        <v>44777</v>
      </c>
      <c r="Z825" t="s">
        <v>57</v>
      </c>
      <c r="AA825">
        <v>2</v>
      </c>
      <c r="AB825" t="s">
        <v>57</v>
      </c>
      <c r="AD825" t="s">
        <v>57</v>
      </c>
      <c r="AE825" t="s">
        <v>57</v>
      </c>
      <c r="AF825" t="s">
        <v>57</v>
      </c>
      <c r="AG825">
        <v>1</v>
      </c>
      <c r="AH825" t="s">
        <v>57</v>
      </c>
      <c r="AL825" t="s">
        <v>57</v>
      </c>
      <c r="AM825" s="11">
        <v>44777</v>
      </c>
      <c r="AN825" t="s">
        <v>178</v>
      </c>
      <c r="AO825" t="s">
        <v>65</v>
      </c>
      <c r="AP825">
        <v>1205</v>
      </c>
      <c r="AQ825" t="s">
        <v>66</v>
      </c>
      <c r="AR825">
        <v>89486</v>
      </c>
      <c r="AU825" t="s">
        <v>57</v>
      </c>
      <c r="AV825" t="s">
        <v>68</v>
      </c>
      <c r="AX825" t="s">
        <v>57</v>
      </c>
      <c r="AY825">
        <v>631110</v>
      </c>
      <c r="AZ825">
        <v>1205.63111</v>
      </c>
      <c r="BA825" s="23" t="s">
        <v>13</v>
      </c>
    </row>
    <row r="826" spans="1:53" x14ac:dyDescent="0.25">
      <c r="A826" t="s">
        <v>134</v>
      </c>
      <c r="B826" t="s">
        <v>135</v>
      </c>
      <c r="C826">
        <v>22002289</v>
      </c>
      <c r="D826">
        <v>1205</v>
      </c>
      <c r="E826" s="11">
        <v>44777</v>
      </c>
      <c r="F826" t="s">
        <v>172</v>
      </c>
      <c r="G826">
        <v>7.94</v>
      </c>
      <c r="H826">
        <v>7.94</v>
      </c>
      <c r="I826" t="s">
        <v>56</v>
      </c>
      <c r="O826" t="s">
        <v>57</v>
      </c>
      <c r="Q826" t="s">
        <v>57</v>
      </c>
      <c r="R826" t="s">
        <v>137</v>
      </c>
      <c r="T826" t="s">
        <v>59</v>
      </c>
      <c r="U826" t="s">
        <v>60</v>
      </c>
      <c r="V826" t="s">
        <v>138</v>
      </c>
      <c r="W826" t="s">
        <v>139</v>
      </c>
      <c r="X826">
        <v>1927363</v>
      </c>
      <c r="Y826" s="11">
        <v>44777</v>
      </c>
      <c r="Z826" t="s">
        <v>57</v>
      </c>
      <c r="AA826">
        <v>2</v>
      </c>
      <c r="AB826" t="s">
        <v>57</v>
      </c>
      <c r="AD826" t="s">
        <v>57</v>
      </c>
      <c r="AE826" t="s">
        <v>57</v>
      </c>
      <c r="AF826" t="s">
        <v>57</v>
      </c>
      <c r="AG826">
        <v>1</v>
      </c>
      <c r="AH826" t="s">
        <v>57</v>
      </c>
      <c r="AL826" t="s">
        <v>57</v>
      </c>
      <c r="AM826" s="11">
        <v>44777</v>
      </c>
      <c r="AN826" t="s">
        <v>178</v>
      </c>
      <c r="AO826" t="s">
        <v>65</v>
      </c>
      <c r="AP826">
        <v>1205</v>
      </c>
      <c r="AQ826" t="s">
        <v>66</v>
      </c>
      <c r="AR826">
        <v>227112</v>
      </c>
      <c r="AU826" t="s">
        <v>57</v>
      </c>
      <c r="AV826" t="s">
        <v>68</v>
      </c>
      <c r="AX826" t="s">
        <v>57</v>
      </c>
      <c r="AY826">
        <v>631110</v>
      </c>
      <c r="AZ826">
        <v>1205.63111</v>
      </c>
      <c r="BA826" s="23" t="s">
        <v>13</v>
      </c>
    </row>
    <row r="827" spans="1:53" x14ac:dyDescent="0.25">
      <c r="A827" t="s">
        <v>134</v>
      </c>
      <c r="B827" t="s">
        <v>135</v>
      </c>
      <c r="C827">
        <v>22002290</v>
      </c>
      <c r="D827">
        <v>1205</v>
      </c>
      <c r="E827" s="11">
        <v>44777</v>
      </c>
      <c r="F827" t="s">
        <v>174</v>
      </c>
      <c r="G827">
        <v>3.04</v>
      </c>
      <c r="H827">
        <v>3.04</v>
      </c>
      <c r="I827" t="s">
        <v>56</v>
      </c>
      <c r="O827" t="s">
        <v>57</v>
      </c>
      <c r="Q827" t="s">
        <v>57</v>
      </c>
      <c r="R827" t="s">
        <v>137</v>
      </c>
      <c r="T827" t="s">
        <v>59</v>
      </c>
      <c r="U827" t="s">
        <v>60</v>
      </c>
      <c r="V827" t="s">
        <v>138</v>
      </c>
      <c r="W827" t="s">
        <v>139</v>
      </c>
      <c r="X827">
        <v>1927475</v>
      </c>
      <c r="Y827" s="11">
        <v>44777</v>
      </c>
      <c r="Z827" t="s">
        <v>57</v>
      </c>
      <c r="AA827">
        <v>2</v>
      </c>
      <c r="AB827" t="s">
        <v>57</v>
      </c>
      <c r="AD827" t="s">
        <v>57</v>
      </c>
      <c r="AE827" t="s">
        <v>57</v>
      </c>
      <c r="AF827" t="s">
        <v>57</v>
      </c>
      <c r="AG827">
        <v>1</v>
      </c>
      <c r="AH827" t="s">
        <v>57</v>
      </c>
      <c r="AL827" t="s">
        <v>57</v>
      </c>
      <c r="AM827" s="11">
        <v>44777</v>
      </c>
      <c r="AN827" t="s">
        <v>178</v>
      </c>
      <c r="AO827" t="s">
        <v>65</v>
      </c>
      <c r="AP827">
        <v>1205</v>
      </c>
      <c r="AQ827" t="s">
        <v>66</v>
      </c>
      <c r="AR827">
        <v>90264</v>
      </c>
      <c r="AU827" t="s">
        <v>57</v>
      </c>
      <c r="AV827" t="s">
        <v>68</v>
      </c>
      <c r="AX827" t="s">
        <v>57</v>
      </c>
      <c r="AY827">
        <v>631110</v>
      </c>
      <c r="AZ827">
        <v>1205.63111</v>
      </c>
      <c r="BA827" s="23" t="s">
        <v>13</v>
      </c>
    </row>
    <row r="828" spans="1:53" x14ac:dyDescent="0.25">
      <c r="A828" t="s">
        <v>134</v>
      </c>
      <c r="B828" t="s">
        <v>135</v>
      </c>
      <c r="C828">
        <v>22002291</v>
      </c>
      <c r="D828">
        <v>1205</v>
      </c>
      <c r="E828" s="11">
        <v>44777</v>
      </c>
      <c r="F828" t="s">
        <v>174</v>
      </c>
      <c r="G828">
        <v>0.16</v>
      </c>
      <c r="H828">
        <v>0.16</v>
      </c>
      <c r="I828" t="s">
        <v>56</v>
      </c>
      <c r="O828" t="s">
        <v>57</v>
      </c>
      <c r="Q828" t="s">
        <v>57</v>
      </c>
      <c r="R828" t="s">
        <v>137</v>
      </c>
      <c r="T828" t="s">
        <v>59</v>
      </c>
      <c r="U828" t="s">
        <v>60</v>
      </c>
      <c r="V828" t="s">
        <v>138</v>
      </c>
      <c r="W828" t="s">
        <v>139</v>
      </c>
      <c r="X828">
        <v>1927481</v>
      </c>
      <c r="Y828" s="11">
        <v>44777</v>
      </c>
      <c r="Z828" t="s">
        <v>57</v>
      </c>
      <c r="AA828">
        <v>2</v>
      </c>
      <c r="AB828" t="s">
        <v>57</v>
      </c>
      <c r="AD828" t="s">
        <v>57</v>
      </c>
      <c r="AE828" t="s">
        <v>57</v>
      </c>
      <c r="AF828" t="s">
        <v>57</v>
      </c>
      <c r="AG828">
        <v>1</v>
      </c>
      <c r="AH828" t="s">
        <v>57</v>
      </c>
      <c r="AL828" t="s">
        <v>57</v>
      </c>
      <c r="AM828" s="11">
        <v>44777</v>
      </c>
      <c r="AN828" t="s">
        <v>178</v>
      </c>
      <c r="AO828" t="s">
        <v>65</v>
      </c>
      <c r="AP828">
        <v>1205</v>
      </c>
      <c r="AQ828" t="s">
        <v>66</v>
      </c>
      <c r="AR828">
        <v>88760</v>
      </c>
      <c r="AU828" t="s">
        <v>57</v>
      </c>
      <c r="AV828" t="s">
        <v>68</v>
      </c>
      <c r="AX828" t="s">
        <v>57</v>
      </c>
      <c r="AY828">
        <v>631110</v>
      </c>
      <c r="AZ828">
        <v>1205.63111</v>
      </c>
      <c r="BA828" s="23" t="s">
        <v>13</v>
      </c>
    </row>
    <row r="829" spans="1:53" x14ac:dyDescent="0.25">
      <c r="A829" t="s">
        <v>134</v>
      </c>
      <c r="B829" t="s">
        <v>135</v>
      </c>
      <c r="C829">
        <v>22002292</v>
      </c>
      <c r="D829">
        <v>1205</v>
      </c>
      <c r="E829" s="11">
        <v>44777</v>
      </c>
      <c r="F829" t="s">
        <v>174</v>
      </c>
      <c r="G829">
        <v>0.34</v>
      </c>
      <c r="H829">
        <v>0.34</v>
      </c>
      <c r="I829" t="s">
        <v>56</v>
      </c>
      <c r="O829" t="s">
        <v>57</v>
      </c>
      <c r="Q829" t="s">
        <v>57</v>
      </c>
      <c r="R829" t="s">
        <v>137</v>
      </c>
      <c r="T829" t="s">
        <v>59</v>
      </c>
      <c r="U829" t="s">
        <v>60</v>
      </c>
      <c r="V829" t="s">
        <v>138</v>
      </c>
      <c r="W829" t="s">
        <v>139</v>
      </c>
      <c r="X829">
        <v>1927517</v>
      </c>
      <c r="Y829" s="11">
        <v>44777</v>
      </c>
      <c r="Z829" t="s">
        <v>57</v>
      </c>
      <c r="AA829">
        <v>2</v>
      </c>
      <c r="AB829" t="s">
        <v>57</v>
      </c>
      <c r="AD829" t="s">
        <v>57</v>
      </c>
      <c r="AE829" t="s">
        <v>57</v>
      </c>
      <c r="AF829" t="s">
        <v>57</v>
      </c>
      <c r="AG829">
        <v>1</v>
      </c>
      <c r="AH829" t="s">
        <v>57</v>
      </c>
      <c r="AL829" t="s">
        <v>57</v>
      </c>
      <c r="AM829" s="11">
        <v>44777</v>
      </c>
      <c r="AN829" t="s">
        <v>178</v>
      </c>
      <c r="AO829" t="s">
        <v>65</v>
      </c>
      <c r="AP829">
        <v>1205</v>
      </c>
      <c r="AQ829" t="s">
        <v>66</v>
      </c>
      <c r="AR829">
        <v>239312</v>
      </c>
      <c r="AU829" t="s">
        <v>57</v>
      </c>
      <c r="AV829" t="s">
        <v>68</v>
      </c>
      <c r="AX829" t="s">
        <v>57</v>
      </c>
      <c r="AY829">
        <v>631110</v>
      </c>
      <c r="AZ829">
        <v>1205.63111</v>
      </c>
      <c r="BA829" s="23" t="s">
        <v>13</v>
      </c>
    </row>
    <row r="830" spans="1:53" x14ac:dyDescent="0.25">
      <c r="A830" t="s">
        <v>134</v>
      </c>
      <c r="B830" t="s">
        <v>135</v>
      </c>
      <c r="C830">
        <v>22002293</v>
      </c>
      <c r="D830">
        <v>1205</v>
      </c>
      <c r="E830" s="11">
        <v>44777</v>
      </c>
      <c r="F830" t="s">
        <v>181</v>
      </c>
      <c r="G830">
        <v>185.06</v>
      </c>
      <c r="H830">
        <v>185.06</v>
      </c>
      <c r="I830" t="s">
        <v>56</v>
      </c>
      <c r="O830" t="s">
        <v>57</v>
      </c>
      <c r="Q830" t="s">
        <v>57</v>
      </c>
      <c r="R830" t="s">
        <v>137</v>
      </c>
      <c r="T830" t="s">
        <v>59</v>
      </c>
      <c r="U830" t="s">
        <v>60</v>
      </c>
      <c r="V830" t="s">
        <v>138</v>
      </c>
      <c r="W830" t="s">
        <v>139</v>
      </c>
      <c r="X830">
        <v>1927517</v>
      </c>
      <c r="Y830" s="11">
        <v>44777</v>
      </c>
      <c r="Z830" t="s">
        <v>57</v>
      </c>
      <c r="AA830">
        <v>2</v>
      </c>
      <c r="AB830" t="s">
        <v>57</v>
      </c>
      <c r="AD830" t="s">
        <v>57</v>
      </c>
      <c r="AE830" t="s">
        <v>57</v>
      </c>
      <c r="AF830" t="s">
        <v>57</v>
      </c>
      <c r="AG830">
        <v>10</v>
      </c>
      <c r="AH830" t="s">
        <v>57</v>
      </c>
      <c r="AL830" t="s">
        <v>57</v>
      </c>
      <c r="AM830" s="11">
        <v>44777</v>
      </c>
      <c r="AN830" t="s">
        <v>178</v>
      </c>
      <c r="AO830" t="s">
        <v>65</v>
      </c>
      <c r="AP830">
        <v>1205</v>
      </c>
      <c r="AQ830" t="s">
        <v>66</v>
      </c>
      <c r="AR830">
        <v>268408</v>
      </c>
      <c r="AU830" t="s">
        <v>57</v>
      </c>
      <c r="AV830" t="s">
        <v>68</v>
      </c>
      <c r="AX830" t="s">
        <v>57</v>
      </c>
      <c r="AY830">
        <v>631110</v>
      </c>
      <c r="AZ830">
        <v>1205.63111</v>
      </c>
      <c r="BA830" s="23" t="s">
        <v>13</v>
      </c>
    </row>
    <row r="831" spans="1:53" x14ac:dyDescent="0.25">
      <c r="A831" t="s">
        <v>134</v>
      </c>
      <c r="B831" t="s">
        <v>135</v>
      </c>
      <c r="C831">
        <v>22002293</v>
      </c>
      <c r="D831">
        <v>1205</v>
      </c>
      <c r="E831" s="11">
        <v>44777</v>
      </c>
      <c r="F831" t="s">
        <v>181</v>
      </c>
      <c r="G831">
        <v>107.51</v>
      </c>
      <c r="H831">
        <v>107.51</v>
      </c>
      <c r="I831" t="s">
        <v>56</v>
      </c>
      <c r="O831" t="s">
        <v>57</v>
      </c>
      <c r="Q831" t="s">
        <v>57</v>
      </c>
      <c r="R831" t="s">
        <v>137</v>
      </c>
      <c r="T831" t="s">
        <v>59</v>
      </c>
      <c r="U831" t="s">
        <v>60</v>
      </c>
      <c r="V831" t="s">
        <v>138</v>
      </c>
      <c r="W831" t="s">
        <v>139</v>
      </c>
      <c r="X831">
        <v>1927517</v>
      </c>
      <c r="Y831" s="11">
        <v>44777</v>
      </c>
      <c r="Z831" t="s">
        <v>57</v>
      </c>
      <c r="AA831">
        <v>4</v>
      </c>
      <c r="AB831" t="s">
        <v>57</v>
      </c>
      <c r="AD831" t="s">
        <v>57</v>
      </c>
      <c r="AE831" t="s">
        <v>57</v>
      </c>
      <c r="AF831" t="s">
        <v>57</v>
      </c>
      <c r="AG831">
        <v>5</v>
      </c>
      <c r="AH831" t="s">
        <v>57</v>
      </c>
      <c r="AL831" t="s">
        <v>57</v>
      </c>
      <c r="AM831" s="11">
        <v>44777</v>
      </c>
      <c r="AN831" t="s">
        <v>178</v>
      </c>
      <c r="AO831" t="s">
        <v>65</v>
      </c>
      <c r="AP831">
        <v>1205</v>
      </c>
      <c r="AQ831" t="s">
        <v>66</v>
      </c>
      <c r="AR831">
        <v>269871</v>
      </c>
      <c r="AU831" t="s">
        <v>57</v>
      </c>
      <c r="AV831" t="s">
        <v>68</v>
      </c>
      <c r="AX831" t="s">
        <v>57</v>
      </c>
      <c r="AY831">
        <v>631110</v>
      </c>
      <c r="AZ831">
        <v>1205.63111</v>
      </c>
      <c r="BA831" s="23" t="s">
        <v>13</v>
      </c>
    </row>
    <row r="832" spans="1:53" x14ac:dyDescent="0.25">
      <c r="A832" t="s">
        <v>134</v>
      </c>
      <c r="B832" t="s">
        <v>135</v>
      </c>
      <c r="C832">
        <v>22002293</v>
      </c>
      <c r="D832">
        <v>1205</v>
      </c>
      <c r="E832" s="11">
        <v>44777</v>
      </c>
      <c r="F832" t="s">
        <v>181</v>
      </c>
      <c r="G832">
        <v>64.510000000000005</v>
      </c>
      <c r="H832">
        <v>64.510000000000005</v>
      </c>
      <c r="I832" t="s">
        <v>56</v>
      </c>
      <c r="O832" t="s">
        <v>57</v>
      </c>
      <c r="Q832" t="s">
        <v>57</v>
      </c>
      <c r="R832" t="s">
        <v>137</v>
      </c>
      <c r="T832" t="s">
        <v>59</v>
      </c>
      <c r="U832" t="s">
        <v>60</v>
      </c>
      <c r="V832" t="s">
        <v>138</v>
      </c>
      <c r="W832" t="s">
        <v>139</v>
      </c>
      <c r="X832">
        <v>1927517</v>
      </c>
      <c r="Y832" s="11">
        <v>44777</v>
      </c>
      <c r="Z832" t="s">
        <v>57</v>
      </c>
      <c r="AA832">
        <v>6</v>
      </c>
      <c r="AB832" t="s">
        <v>57</v>
      </c>
      <c r="AD832" t="s">
        <v>57</v>
      </c>
      <c r="AE832" t="s">
        <v>57</v>
      </c>
      <c r="AF832" t="s">
        <v>57</v>
      </c>
      <c r="AG832">
        <v>5</v>
      </c>
      <c r="AH832" t="s">
        <v>57</v>
      </c>
      <c r="AL832" t="s">
        <v>57</v>
      </c>
      <c r="AM832" s="11">
        <v>44777</v>
      </c>
      <c r="AN832" t="s">
        <v>178</v>
      </c>
      <c r="AO832" t="s">
        <v>65</v>
      </c>
      <c r="AP832">
        <v>1205</v>
      </c>
      <c r="AQ832" t="s">
        <v>66</v>
      </c>
      <c r="AR832">
        <v>273012</v>
      </c>
      <c r="AU832" t="s">
        <v>57</v>
      </c>
      <c r="AV832" t="s">
        <v>68</v>
      </c>
      <c r="AX832" t="s">
        <v>57</v>
      </c>
      <c r="AY832">
        <v>631110</v>
      </c>
      <c r="AZ832">
        <v>1205.63111</v>
      </c>
      <c r="BA832" s="23" t="s">
        <v>13</v>
      </c>
    </row>
    <row r="833" spans="1:53" x14ac:dyDescent="0.25">
      <c r="A833" t="s">
        <v>134</v>
      </c>
      <c r="B833" t="s">
        <v>135</v>
      </c>
      <c r="C833">
        <v>22002294</v>
      </c>
      <c r="D833">
        <v>1205</v>
      </c>
      <c r="E833" s="11">
        <v>44777</v>
      </c>
      <c r="F833" t="s">
        <v>172</v>
      </c>
      <c r="G833">
        <v>7.94</v>
      </c>
      <c r="H833">
        <v>7.94</v>
      </c>
      <c r="I833" t="s">
        <v>56</v>
      </c>
      <c r="O833" t="s">
        <v>57</v>
      </c>
      <c r="Q833" t="s">
        <v>57</v>
      </c>
      <c r="R833" t="s">
        <v>137</v>
      </c>
      <c r="T833" t="s">
        <v>59</v>
      </c>
      <c r="U833" t="s">
        <v>60</v>
      </c>
      <c r="V833" t="s">
        <v>138</v>
      </c>
      <c r="W833" t="s">
        <v>139</v>
      </c>
      <c r="X833">
        <v>1927635</v>
      </c>
      <c r="Y833" s="11">
        <v>44777</v>
      </c>
      <c r="Z833" t="s">
        <v>57</v>
      </c>
      <c r="AA833">
        <v>2</v>
      </c>
      <c r="AB833" t="s">
        <v>57</v>
      </c>
      <c r="AD833" t="s">
        <v>57</v>
      </c>
      <c r="AE833" t="s">
        <v>57</v>
      </c>
      <c r="AF833" t="s">
        <v>57</v>
      </c>
      <c r="AG833">
        <v>1</v>
      </c>
      <c r="AH833" t="s">
        <v>57</v>
      </c>
      <c r="AL833" t="s">
        <v>57</v>
      </c>
      <c r="AM833" s="11">
        <v>44777</v>
      </c>
      <c r="AN833" t="s">
        <v>178</v>
      </c>
      <c r="AO833" t="s">
        <v>65</v>
      </c>
      <c r="AP833">
        <v>1205</v>
      </c>
      <c r="AQ833" t="s">
        <v>66</v>
      </c>
      <c r="AR833">
        <v>227112</v>
      </c>
      <c r="AU833" t="s">
        <v>57</v>
      </c>
      <c r="AV833" t="s">
        <v>68</v>
      </c>
      <c r="AX833" t="s">
        <v>57</v>
      </c>
      <c r="AY833">
        <v>631110</v>
      </c>
      <c r="AZ833">
        <v>1205.63111</v>
      </c>
      <c r="BA833" s="23" t="s">
        <v>13</v>
      </c>
    </row>
    <row r="834" spans="1:53" x14ac:dyDescent="0.25">
      <c r="A834" t="s">
        <v>134</v>
      </c>
      <c r="B834" t="s">
        <v>135</v>
      </c>
      <c r="C834">
        <v>22002295</v>
      </c>
      <c r="D834">
        <v>1205</v>
      </c>
      <c r="E834" s="11">
        <v>44777</v>
      </c>
      <c r="F834" t="s">
        <v>179</v>
      </c>
      <c r="G834">
        <v>2.5099999999999998</v>
      </c>
      <c r="H834">
        <v>2.5099999999999998</v>
      </c>
      <c r="I834" t="s">
        <v>56</v>
      </c>
      <c r="O834" t="s">
        <v>57</v>
      </c>
      <c r="Q834" t="s">
        <v>57</v>
      </c>
      <c r="R834" t="s">
        <v>137</v>
      </c>
      <c r="T834" t="s">
        <v>59</v>
      </c>
      <c r="U834" t="s">
        <v>60</v>
      </c>
      <c r="V834" t="s">
        <v>138</v>
      </c>
      <c r="W834" t="s">
        <v>139</v>
      </c>
      <c r="X834">
        <v>1927636</v>
      </c>
      <c r="Y834" s="11">
        <v>44777</v>
      </c>
      <c r="Z834" t="s">
        <v>57</v>
      </c>
      <c r="AA834">
        <v>2</v>
      </c>
      <c r="AB834" t="s">
        <v>57</v>
      </c>
      <c r="AD834" t="s">
        <v>57</v>
      </c>
      <c r="AE834" t="s">
        <v>57</v>
      </c>
      <c r="AF834" t="s">
        <v>57</v>
      </c>
      <c r="AG834">
        <v>21</v>
      </c>
      <c r="AH834" t="s">
        <v>57</v>
      </c>
      <c r="AL834" t="s">
        <v>57</v>
      </c>
      <c r="AM834" s="11">
        <v>44777</v>
      </c>
      <c r="AN834" t="s">
        <v>180</v>
      </c>
      <c r="AO834" t="s">
        <v>65</v>
      </c>
      <c r="AP834">
        <v>1205</v>
      </c>
      <c r="AQ834" t="s">
        <v>66</v>
      </c>
      <c r="AR834">
        <v>267860</v>
      </c>
      <c r="AU834" t="s">
        <v>57</v>
      </c>
      <c r="AV834" t="s">
        <v>68</v>
      </c>
      <c r="AX834" t="s">
        <v>57</v>
      </c>
      <c r="AY834">
        <v>631110</v>
      </c>
      <c r="AZ834">
        <v>1205.63111</v>
      </c>
      <c r="BA834" s="23" t="s">
        <v>13</v>
      </c>
    </row>
    <row r="835" spans="1:53" x14ac:dyDescent="0.25">
      <c r="A835" t="s">
        <v>134</v>
      </c>
      <c r="B835" t="s">
        <v>135</v>
      </c>
      <c r="C835">
        <v>22002295</v>
      </c>
      <c r="D835">
        <v>1205</v>
      </c>
      <c r="E835" s="11">
        <v>44777</v>
      </c>
      <c r="F835" t="s">
        <v>179</v>
      </c>
      <c r="G835">
        <v>0.15</v>
      </c>
      <c r="H835">
        <v>0.15</v>
      </c>
      <c r="I835" t="s">
        <v>56</v>
      </c>
      <c r="O835" t="s">
        <v>57</v>
      </c>
      <c r="Q835" t="s">
        <v>57</v>
      </c>
      <c r="R835" t="s">
        <v>137</v>
      </c>
      <c r="T835" t="s">
        <v>59</v>
      </c>
      <c r="U835" t="s">
        <v>60</v>
      </c>
      <c r="V835" t="s">
        <v>138</v>
      </c>
      <c r="W835" t="s">
        <v>139</v>
      </c>
      <c r="X835">
        <v>1927636</v>
      </c>
      <c r="Y835" s="11">
        <v>44777</v>
      </c>
      <c r="Z835" t="s">
        <v>57</v>
      </c>
      <c r="AA835">
        <v>4</v>
      </c>
      <c r="AB835" t="s">
        <v>57</v>
      </c>
      <c r="AD835" t="s">
        <v>57</v>
      </c>
      <c r="AE835" t="s">
        <v>57</v>
      </c>
      <c r="AF835" t="s">
        <v>57</v>
      </c>
      <c r="AG835">
        <v>2</v>
      </c>
      <c r="AH835" t="s">
        <v>57</v>
      </c>
      <c r="AL835" t="s">
        <v>57</v>
      </c>
      <c r="AM835" s="11">
        <v>44777</v>
      </c>
      <c r="AN835" t="s">
        <v>180</v>
      </c>
      <c r="AO835" t="s">
        <v>65</v>
      </c>
      <c r="AP835">
        <v>1205</v>
      </c>
      <c r="AQ835" t="s">
        <v>66</v>
      </c>
      <c r="AR835">
        <v>264688</v>
      </c>
      <c r="AU835" t="s">
        <v>57</v>
      </c>
      <c r="AV835" t="s">
        <v>68</v>
      </c>
      <c r="AX835" t="s">
        <v>57</v>
      </c>
      <c r="AY835">
        <v>631110</v>
      </c>
      <c r="AZ835">
        <v>1205.63111</v>
      </c>
      <c r="BA835" s="23" t="s">
        <v>13</v>
      </c>
    </row>
    <row r="836" spans="1:53" x14ac:dyDescent="0.25">
      <c r="A836" t="s">
        <v>134</v>
      </c>
      <c r="B836" t="s">
        <v>135</v>
      </c>
      <c r="C836">
        <v>22002295</v>
      </c>
      <c r="D836">
        <v>1205</v>
      </c>
      <c r="E836" s="11">
        <v>44777</v>
      </c>
      <c r="F836" t="s">
        <v>179</v>
      </c>
      <c r="G836">
        <v>1.58</v>
      </c>
      <c r="H836">
        <v>1.58</v>
      </c>
      <c r="I836" t="s">
        <v>56</v>
      </c>
      <c r="O836" t="s">
        <v>57</v>
      </c>
      <c r="Q836" t="s">
        <v>57</v>
      </c>
      <c r="R836" t="s">
        <v>137</v>
      </c>
      <c r="T836" t="s">
        <v>59</v>
      </c>
      <c r="U836" t="s">
        <v>60</v>
      </c>
      <c r="V836" t="s">
        <v>138</v>
      </c>
      <c r="W836" t="s">
        <v>139</v>
      </c>
      <c r="X836">
        <v>1927636</v>
      </c>
      <c r="Y836" s="11">
        <v>44777</v>
      </c>
      <c r="Z836" t="s">
        <v>57</v>
      </c>
      <c r="AA836">
        <v>6</v>
      </c>
      <c r="AB836" t="s">
        <v>57</v>
      </c>
      <c r="AD836" t="s">
        <v>57</v>
      </c>
      <c r="AE836" t="s">
        <v>57</v>
      </c>
      <c r="AF836" t="s">
        <v>57</v>
      </c>
      <c r="AG836">
        <v>19</v>
      </c>
      <c r="AH836" t="s">
        <v>57</v>
      </c>
      <c r="AL836" t="s">
        <v>57</v>
      </c>
      <c r="AM836" s="11">
        <v>44777</v>
      </c>
      <c r="AN836" t="s">
        <v>180</v>
      </c>
      <c r="AO836" t="s">
        <v>65</v>
      </c>
      <c r="AP836">
        <v>1205</v>
      </c>
      <c r="AQ836" t="s">
        <v>66</v>
      </c>
      <c r="AR836">
        <v>265878</v>
      </c>
      <c r="AU836" t="s">
        <v>57</v>
      </c>
      <c r="AV836" t="s">
        <v>68</v>
      </c>
      <c r="AX836" t="s">
        <v>57</v>
      </c>
      <c r="AY836">
        <v>631110</v>
      </c>
      <c r="AZ836">
        <v>1205.63111</v>
      </c>
      <c r="BA836" s="23" t="s">
        <v>13</v>
      </c>
    </row>
    <row r="837" spans="1:53" x14ac:dyDescent="0.25">
      <c r="A837" t="s">
        <v>134</v>
      </c>
      <c r="B837" t="s">
        <v>135</v>
      </c>
      <c r="C837">
        <v>22002295</v>
      </c>
      <c r="D837">
        <v>1205</v>
      </c>
      <c r="E837" s="11">
        <v>44777</v>
      </c>
      <c r="F837" t="s">
        <v>179</v>
      </c>
      <c r="G837">
        <v>1.58</v>
      </c>
      <c r="H837">
        <v>1.58</v>
      </c>
      <c r="I837" t="s">
        <v>56</v>
      </c>
      <c r="O837" t="s">
        <v>57</v>
      </c>
      <c r="Q837" t="s">
        <v>57</v>
      </c>
      <c r="R837" t="s">
        <v>137</v>
      </c>
      <c r="T837" t="s">
        <v>59</v>
      </c>
      <c r="U837" t="s">
        <v>60</v>
      </c>
      <c r="V837" t="s">
        <v>138</v>
      </c>
      <c r="W837" t="s">
        <v>139</v>
      </c>
      <c r="X837">
        <v>1927636</v>
      </c>
      <c r="Y837" s="11">
        <v>44777</v>
      </c>
      <c r="Z837" t="s">
        <v>57</v>
      </c>
      <c r="AA837">
        <v>8</v>
      </c>
      <c r="AB837" t="s">
        <v>57</v>
      </c>
      <c r="AD837" t="s">
        <v>57</v>
      </c>
      <c r="AE837" t="s">
        <v>57</v>
      </c>
      <c r="AF837" t="s">
        <v>57</v>
      </c>
      <c r="AG837">
        <v>14</v>
      </c>
      <c r="AH837" t="s">
        <v>57</v>
      </c>
      <c r="AL837" t="s">
        <v>57</v>
      </c>
      <c r="AM837" s="11">
        <v>44777</v>
      </c>
      <c r="AN837" t="s">
        <v>180</v>
      </c>
      <c r="AO837" t="s">
        <v>65</v>
      </c>
      <c r="AP837">
        <v>1205</v>
      </c>
      <c r="AQ837" t="s">
        <v>66</v>
      </c>
      <c r="AR837">
        <v>265889</v>
      </c>
      <c r="AU837" t="s">
        <v>57</v>
      </c>
      <c r="AV837" t="s">
        <v>68</v>
      </c>
      <c r="AX837" t="s">
        <v>57</v>
      </c>
      <c r="AY837">
        <v>631110</v>
      </c>
      <c r="AZ837">
        <v>1205.63111</v>
      </c>
      <c r="BA837" s="23" t="s">
        <v>13</v>
      </c>
    </row>
    <row r="838" spans="1:53" x14ac:dyDescent="0.25">
      <c r="A838" t="s">
        <v>134</v>
      </c>
      <c r="B838" t="s">
        <v>135</v>
      </c>
      <c r="C838">
        <v>22002295</v>
      </c>
      <c r="D838">
        <v>1205</v>
      </c>
      <c r="E838" s="11">
        <v>44777</v>
      </c>
      <c r="F838" t="s">
        <v>179</v>
      </c>
      <c r="G838">
        <v>2.16</v>
      </c>
      <c r="H838">
        <v>2.16</v>
      </c>
      <c r="I838" t="s">
        <v>56</v>
      </c>
      <c r="O838" t="s">
        <v>57</v>
      </c>
      <c r="Q838" t="s">
        <v>57</v>
      </c>
      <c r="R838" t="s">
        <v>137</v>
      </c>
      <c r="T838" t="s">
        <v>59</v>
      </c>
      <c r="U838" t="s">
        <v>60</v>
      </c>
      <c r="V838" t="s">
        <v>138</v>
      </c>
      <c r="W838" t="s">
        <v>139</v>
      </c>
      <c r="X838">
        <v>1927636</v>
      </c>
      <c r="Y838" s="11">
        <v>44777</v>
      </c>
      <c r="Z838" t="s">
        <v>57</v>
      </c>
      <c r="AA838">
        <v>10</v>
      </c>
      <c r="AB838" t="s">
        <v>57</v>
      </c>
      <c r="AD838" t="s">
        <v>57</v>
      </c>
      <c r="AE838" t="s">
        <v>57</v>
      </c>
      <c r="AF838" t="s">
        <v>57</v>
      </c>
      <c r="AG838">
        <v>20</v>
      </c>
      <c r="AH838" t="s">
        <v>57</v>
      </c>
      <c r="AL838" t="s">
        <v>57</v>
      </c>
      <c r="AM838" s="11">
        <v>44777</v>
      </c>
      <c r="AN838" t="s">
        <v>180</v>
      </c>
      <c r="AO838" t="s">
        <v>65</v>
      </c>
      <c r="AP838">
        <v>1205</v>
      </c>
      <c r="AQ838" t="s">
        <v>66</v>
      </c>
      <c r="AR838">
        <v>265267</v>
      </c>
      <c r="AU838" t="s">
        <v>57</v>
      </c>
      <c r="AV838" t="s">
        <v>68</v>
      </c>
      <c r="AX838" t="s">
        <v>57</v>
      </c>
      <c r="AY838">
        <v>631110</v>
      </c>
      <c r="AZ838">
        <v>1205.63111</v>
      </c>
      <c r="BA838" s="23" t="s">
        <v>13</v>
      </c>
    </row>
    <row r="839" spans="1:53" x14ac:dyDescent="0.25">
      <c r="A839" t="s">
        <v>134</v>
      </c>
      <c r="B839" t="s">
        <v>135</v>
      </c>
      <c r="C839">
        <v>22002295</v>
      </c>
      <c r="D839">
        <v>1205</v>
      </c>
      <c r="E839" s="11">
        <v>44777</v>
      </c>
      <c r="F839" t="s">
        <v>179</v>
      </c>
      <c r="G839">
        <v>0.33</v>
      </c>
      <c r="H839">
        <v>0.33</v>
      </c>
      <c r="I839" t="s">
        <v>56</v>
      </c>
      <c r="O839" t="s">
        <v>57</v>
      </c>
      <c r="Q839" t="s">
        <v>57</v>
      </c>
      <c r="R839" t="s">
        <v>137</v>
      </c>
      <c r="T839" t="s">
        <v>59</v>
      </c>
      <c r="U839" t="s">
        <v>60</v>
      </c>
      <c r="V839" t="s">
        <v>138</v>
      </c>
      <c r="W839" t="s">
        <v>139</v>
      </c>
      <c r="X839">
        <v>1927636</v>
      </c>
      <c r="Y839" s="11">
        <v>44777</v>
      </c>
      <c r="Z839" t="s">
        <v>57</v>
      </c>
      <c r="AA839">
        <v>12</v>
      </c>
      <c r="AB839" t="s">
        <v>57</v>
      </c>
      <c r="AD839" t="s">
        <v>57</v>
      </c>
      <c r="AE839" t="s">
        <v>57</v>
      </c>
      <c r="AF839" t="s">
        <v>57</v>
      </c>
      <c r="AG839">
        <v>3</v>
      </c>
      <c r="AH839" t="s">
        <v>57</v>
      </c>
      <c r="AL839" t="s">
        <v>57</v>
      </c>
      <c r="AM839" s="11">
        <v>44777</v>
      </c>
      <c r="AN839" t="s">
        <v>180</v>
      </c>
      <c r="AO839" t="s">
        <v>65</v>
      </c>
      <c r="AP839">
        <v>1205</v>
      </c>
      <c r="AQ839" t="s">
        <v>66</v>
      </c>
      <c r="AR839">
        <v>90435</v>
      </c>
      <c r="AU839" t="s">
        <v>57</v>
      </c>
      <c r="AV839" t="s">
        <v>68</v>
      </c>
      <c r="AX839" t="s">
        <v>57</v>
      </c>
      <c r="AY839">
        <v>631110</v>
      </c>
      <c r="AZ839">
        <v>1205.63111</v>
      </c>
      <c r="BA839" s="23" t="s">
        <v>13</v>
      </c>
    </row>
    <row r="840" spans="1:53" x14ac:dyDescent="0.25">
      <c r="A840" t="s">
        <v>134</v>
      </c>
      <c r="B840" t="s">
        <v>135</v>
      </c>
      <c r="C840">
        <v>22002295</v>
      </c>
      <c r="D840">
        <v>1205</v>
      </c>
      <c r="E840" s="11">
        <v>44777</v>
      </c>
      <c r="F840" t="s">
        <v>179</v>
      </c>
      <c r="G840">
        <v>0.38</v>
      </c>
      <c r="H840">
        <v>0.38</v>
      </c>
      <c r="I840" t="s">
        <v>56</v>
      </c>
      <c r="O840" t="s">
        <v>57</v>
      </c>
      <c r="Q840" t="s">
        <v>57</v>
      </c>
      <c r="R840" t="s">
        <v>137</v>
      </c>
      <c r="T840" t="s">
        <v>59</v>
      </c>
      <c r="U840" t="s">
        <v>60</v>
      </c>
      <c r="V840" t="s">
        <v>138</v>
      </c>
      <c r="W840" t="s">
        <v>139</v>
      </c>
      <c r="X840">
        <v>1927636</v>
      </c>
      <c r="Y840" s="11">
        <v>44777</v>
      </c>
      <c r="Z840" t="s">
        <v>57</v>
      </c>
      <c r="AA840">
        <v>14</v>
      </c>
      <c r="AB840" t="s">
        <v>57</v>
      </c>
      <c r="AD840" t="s">
        <v>57</v>
      </c>
      <c r="AE840" t="s">
        <v>57</v>
      </c>
      <c r="AF840" t="s">
        <v>57</v>
      </c>
      <c r="AG840">
        <v>3</v>
      </c>
      <c r="AH840" t="s">
        <v>57</v>
      </c>
      <c r="AL840" t="s">
        <v>57</v>
      </c>
      <c r="AM840" s="11">
        <v>44777</v>
      </c>
      <c r="AN840" t="s">
        <v>180</v>
      </c>
      <c r="AO840" t="s">
        <v>65</v>
      </c>
      <c r="AP840">
        <v>1205</v>
      </c>
      <c r="AQ840" t="s">
        <v>66</v>
      </c>
      <c r="AR840">
        <v>265216</v>
      </c>
      <c r="AU840" t="s">
        <v>57</v>
      </c>
      <c r="AV840" t="s">
        <v>68</v>
      </c>
      <c r="AX840" t="s">
        <v>57</v>
      </c>
      <c r="AY840">
        <v>631110</v>
      </c>
      <c r="AZ840">
        <v>1205.63111</v>
      </c>
      <c r="BA840" s="23" t="s">
        <v>13</v>
      </c>
    </row>
    <row r="841" spans="1:53" x14ac:dyDescent="0.25">
      <c r="A841" t="s">
        <v>134</v>
      </c>
      <c r="B841" t="s">
        <v>135</v>
      </c>
      <c r="C841">
        <v>22002295</v>
      </c>
      <c r="D841">
        <v>1205</v>
      </c>
      <c r="E841" s="11">
        <v>44777</v>
      </c>
      <c r="F841" t="s">
        <v>179</v>
      </c>
      <c r="G841">
        <v>0.08</v>
      </c>
      <c r="H841">
        <v>0.08</v>
      </c>
      <c r="I841" t="s">
        <v>56</v>
      </c>
      <c r="O841" t="s">
        <v>57</v>
      </c>
      <c r="Q841" t="s">
        <v>57</v>
      </c>
      <c r="R841" t="s">
        <v>137</v>
      </c>
      <c r="T841" t="s">
        <v>59</v>
      </c>
      <c r="U841" t="s">
        <v>60</v>
      </c>
      <c r="V841" t="s">
        <v>138</v>
      </c>
      <c r="W841" t="s">
        <v>139</v>
      </c>
      <c r="X841">
        <v>1927636</v>
      </c>
      <c r="Y841" s="11">
        <v>44777</v>
      </c>
      <c r="Z841" t="s">
        <v>57</v>
      </c>
      <c r="AA841">
        <v>16</v>
      </c>
      <c r="AB841" t="s">
        <v>57</v>
      </c>
      <c r="AD841" t="s">
        <v>57</v>
      </c>
      <c r="AE841" t="s">
        <v>57</v>
      </c>
      <c r="AF841" t="s">
        <v>57</v>
      </c>
      <c r="AG841">
        <v>1</v>
      </c>
      <c r="AH841" t="s">
        <v>57</v>
      </c>
      <c r="AL841" t="s">
        <v>57</v>
      </c>
      <c r="AM841" s="11">
        <v>44777</v>
      </c>
      <c r="AN841" t="s">
        <v>180</v>
      </c>
      <c r="AO841" t="s">
        <v>65</v>
      </c>
      <c r="AP841">
        <v>1205</v>
      </c>
      <c r="AQ841" t="s">
        <v>66</v>
      </c>
      <c r="AR841">
        <v>88642</v>
      </c>
      <c r="AU841" t="s">
        <v>57</v>
      </c>
      <c r="AV841" t="s">
        <v>68</v>
      </c>
      <c r="AX841" t="s">
        <v>57</v>
      </c>
      <c r="AY841">
        <v>631110</v>
      </c>
      <c r="AZ841">
        <v>1205.63111</v>
      </c>
      <c r="BA841" s="23" t="s">
        <v>13</v>
      </c>
    </row>
    <row r="842" spans="1:53" x14ac:dyDescent="0.25">
      <c r="A842" t="s">
        <v>134</v>
      </c>
      <c r="B842" t="s">
        <v>135</v>
      </c>
      <c r="C842">
        <v>22002295</v>
      </c>
      <c r="D842">
        <v>1205</v>
      </c>
      <c r="E842" s="11">
        <v>44777</v>
      </c>
      <c r="F842" t="s">
        <v>179</v>
      </c>
      <c r="G842">
        <v>0.12</v>
      </c>
      <c r="H842">
        <v>0.12</v>
      </c>
      <c r="I842" t="s">
        <v>56</v>
      </c>
      <c r="O842" t="s">
        <v>57</v>
      </c>
      <c r="Q842" t="s">
        <v>57</v>
      </c>
      <c r="R842" t="s">
        <v>137</v>
      </c>
      <c r="T842" t="s">
        <v>59</v>
      </c>
      <c r="U842" t="s">
        <v>60</v>
      </c>
      <c r="V842" t="s">
        <v>138</v>
      </c>
      <c r="W842" t="s">
        <v>139</v>
      </c>
      <c r="X842">
        <v>1927636</v>
      </c>
      <c r="Y842" s="11">
        <v>44777</v>
      </c>
      <c r="Z842" t="s">
        <v>57</v>
      </c>
      <c r="AA842">
        <v>18</v>
      </c>
      <c r="AB842" t="s">
        <v>57</v>
      </c>
      <c r="AD842" t="s">
        <v>57</v>
      </c>
      <c r="AE842" t="s">
        <v>57</v>
      </c>
      <c r="AF842" t="s">
        <v>57</v>
      </c>
      <c r="AG842">
        <v>1</v>
      </c>
      <c r="AH842" t="s">
        <v>57</v>
      </c>
      <c r="AL842" t="s">
        <v>57</v>
      </c>
      <c r="AM842" s="11">
        <v>44777</v>
      </c>
      <c r="AN842" t="s">
        <v>180</v>
      </c>
      <c r="AO842" t="s">
        <v>65</v>
      </c>
      <c r="AP842">
        <v>1205</v>
      </c>
      <c r="AQ842" t="s">
        <v>66</v>
      </c>
      <c r="AR842">
        <v>267735</v>
      </c>
      <c r="AU842" t="s">
        <v>57</v>
      </c>
      <c r="AV842" t="s">
        <v>68</v>
      </c>
      <c r="AX842" t="s">
        <v>57</v>
      </c>
      <c r="AY842">
        <v>631110</v>
      </c>
      <c r="AZ842">
        <v>1205.63111</v>
      </c>
      <c r="BA842" s="23" t="s">
        <v>13</v>
      </c>
    </row>
    <row r="843" spans="1:53" x14ac:dyDescent="0.25">
      <c r="A843" t="s">
        <v>134</v>
      </c>
      <c r="B843" t="s">
        <v>135</v>
      </c>
      <c r="C843">
        <v>22002295</v>
      </c>
      <c r="D843">
        <v>1205</v>
      </c>
      <c r="E843" s="11">
        <v>44777</v>
      </c>
      <c r="F843" t="s">
        <v>179</v>
      </c>
      <c r="G843">
        <v>0.08</v>
      </c>
      <c r="H843">
        <v>0.08</v>
      </c>
      <c r="I843" t="s">
        <v>56</v>
      </c>
      <c r="O843" t="s">
        <v>57</v>
      </c>
      <c r="Q843" t="s">
        <v>57</v>
      </c>
      <c r="R843" t="s">
        <v>137</v>
      </c>
      <c r="T843" t="s">
        <v>59</v>
      </c>
      <c r="U843" t="s">
        <v>60</v>
      </c>
      <c r="V843" t="s">
        <v>138</v>
      </c>
      <c r="W843" t="s">
        <v>139</v>
      </c>
      <c r="X843">
        <v>1927636</v>
      </c>
      <c r="Y843" s="11">
        <v>44777</v>
      </c>
      <c r="Z843" t="s">
        <v>57</v>
      </c>
      <c r="AA843">
        <v>20</v>
      </c>
      <c r="AB843" t="s">
        <v>57</v>
      </c>
      <c r="AD843" t="s">
        <v>57</v>
      </c>
      <c r="AE843" t="s">
        <v>57</v>
      </c>
      <c r="AF843" t="s">
        <v>57</v>
      </c>
      <c r="AG843">
        <v>1</v>
      </c>
      <c r="AH843" t="s">
        <v>57</v>
      </c>
      <c r="AL843" t="s">
        <v>57</v>
      </c>
      <c r="AM843" s="11">
        <v>44777</v>
      </c>
      <c r="AN843" t="s">
        <v>180</v>
      </c>
      <c r="AO843" t="s">
        <v>65</v>
      </c>
      <c r="AP843">
        <v>1205</v>
      </c>
      <c r="AQ843" t="s">
        <v>66</v>
      </c>
      <c r="AR843">
        <v>267129</v>
      </c>
      <c r="AU843" t="s">
        <v>57</v>
      </c>
      <c r="AV843" t="s">
        <v>68</v>
      </c>
      <c r="AX843" t="s">
        <v>57</v>
      </c>
      <c r="AY843">
        <v>631110</v>
      </c>
      <c r="AZ843">
        <v>1205.63111</v>
      </c>
      <c r="BA843" s="23" t="s">
        <v>13</v>
      </c>
    </row>
    <row r="844" spans="1:53" x14ac:dyDescent="0.25">
      <c r="A844" t="s">
        <v>134</v>
      </c>
      <c r="B844" t="s">
        <v>135</v>
      </c>
      <c r="C844">
        <v>22002295</v>
      </c>
      <c r="D844">
        <v>1205</v>
      </c>
      <c r="E844" s="11">
        <v>44777</v>
      </c>
      <c r="F844" t="s">
        <v>179</v>
      </c>
      <c r="G844">
        <v>2.52</v>
      </c>
      <c r="H844">
        <v>2.52</v>
      </c>
      <c r="I844" t="s">
        <v>56</v>
      </c>
      <c r="O844" t="s">
        <v>57</v>
      </c>
      <c r="Q844" t="s">
        <v>57</v>
      </c>
      <c r="R844" t="s">
        <v>137</v>
      </c>
      <c r="T844" t="s">
        <v>59</v>
      </c>
      <c r="U844" t="s">
        <v>60</v>
      </c>
      <c r="V844" t="s">
        <v>138</v>
      </c>
      <c r="W844" t="s">
        <v>139</v>
      </c>
      <c r="X844">
        <v>1927636</v>
      </c>
      <c r="Y844" s="11">
        <v>44777</v>
      </c>
      <c r="Z844" t="s">
        <v>57</v>
      </c>
      <c r="AA844">
        <v>22</v>
      </c>
      <c r="AB844" t="s">
        <v>57</v>
      </c>
      <c r="AD844" t="s">
        <v>57</v>
      </c>
      <c r="AE844" t="s">
        <v>57</v>
      </c>
      <c r="AF844" t="s">
        <v>57</v>
      </c>
      <c r="AG844">
        <v>10</v>
      </c>
      <c r="AH844" t="s">
        <v>57</v>
      </c>
      <c r="AL844" t="s">
        <v>57</v>
      </c>
      <c r="AM844" s="11">
        <v>44777</v>
      </c>
      <c r="AN844" t="s">
        <v>180</v>
      </c>
      <c r="AO844" t="s">
        <v>65</v>
      </c>
      <c r="AP844">
        <v>1205</v>
      </c>
      <c r="AQ844" t="s">
        <v>66</v>
      </c>
      <c r="AR844">
        <v>88669</v>
      </c>
      <c r="AU844" t="s">
        <v>57</v>
      </c>
      <c r="AV844" t="s">
        <v>68</v>
      </c>
      <c r="AX844" t="s">
        <v>57</v>
      </c>
      <c r="AY844">
        <v>631110</v>
      </c>
      <c r="AZ844">
        <v>1205.63111</v>
      </c>
      <c r="BA844" s="23" t="s">
        <v>13</v>
      </c>
    </row>
    <row r="845" spans="1:53" x14ac:dyDescent="0.25">
      <c r="A845" t="s">
        <v>134</v>
      </c>
      <c r="B845" t="s">
        <v>135</v>
      </c>
      <c r="C845">
        <v>22002295</v>
      </c>
      <c r="D845">
        <v>1205</v>
      </c>
      <c r="E845" s="11">
        <v>44777</v>
      </c>
      <c r="F845" t="s">
        <v>179</v>
      </c>
      <c r="G845">
        <v>2.23</v>
      </c>
      <c r="H845">
        <v>2.23</v>
      </c>
      <c r="I845" t="s">
        <v>56</v>
      </c>
      <c r="O845" t="s">
        <v>57</v>
      </c>
      <c r="Q845" t="s">
        <v>57</v>
      </c>
      <c r="R845" t="s">
        <v>137</v>
      </c>
      <c r="T845" t="s">
        <v>59</v>
      </c>
      <c r="U845" t="s">
        <v>60</v>
      </c>
      <c r="V845" t="s">
        <v>138</v>
      </c>
      <c r="W845" t="s">
        <v>139</v>
      </c>
      <c r="X845">
        <v>1927636</v>
      </c>
      <c r="Y845" s="11">
        <v>44777</v>
      </c>
      <c r="Z845" t="s">
        <v>57</v>
      </c>
      <c r="AA845">
        <v>24</v>
      </c>
      <c r="AB845" t="s">
        <v>57</v>
      </c>
      <c r="AD845" t="s">
        <v>57</v>
      </c>
      <c r="AE845" t="s">
        <v>57</v>
      </c>
      <c r="AF845" t="s">
        <v>57</v>
      </c>
      <c r="AG845">
        <v>14</v>
      </c>
      <c r="AH845" t="s">
        <v>57</v>
      </c>
      <c r="AL845" t="s">
        <v>57</v>
      </c>
      <c r="AM845" s="11">
        <v>44777</v>
      </c>
      <c r="AN845" t="s">
        <v>180</v>
      </c>
      <c r="AO845" t="s">
        <v>65</v>
      </c>
      <c r="AP845">
        <v>1205</v>
      </c>
      <c r="AQ845" t="s">
        <v>66</v>
      </c>
      <c r="AR845">
        <v>147840</v>
      </c>
      <c r="AU845" t="s">
        <v>57</v>
      </c>
      <c r="AV845" t="s">
        <v>68</v>
      </c>
      <c r="AX845" t="s">
        <v>57</v>
      </c>
      <c r="AY845">
        <v>631110</v>
      </c>
      <c r="AZ845">
        <v>1205.63111</v>
      </c>
      <c r="BA845" s="23" t="s">
        <v>13</v>
      </c>
    </row>
    <row r="846" spans="1:53" x14ac:dyDescent="0.25">
      <c r="A846" t="s">
        <v>134</v>
      </c>
      <c r="B846" t="s">
        <v>135</v>
      </c>
      <c r="C846">
        <v>22002295</v>
      </c>
      <c r="D846">
        <v>1205</v>
      </c>
      <c r="E846" s="11">
        <v>44777</v>
      </c>
      <c r="F846" t="s">
        <v>179</v>
      </c>
      <c r="G846">
        <v>1.08</v>
      </c>
      <c r="H846">
        <v>1.08</v>
      </c>
      <c r="I846" t="s">
        <v>56</v>
      </c>
      <c r="O846" t="s">
        <v>57</v>
      </c>
      <c r="Q846" t="s">
        <v>57</v>
      </c>
      <c r="R846" t="s">
        <v>137</v>
      </c>
      <c r="T846" t="s">
        <v>59</v>
      </c>
      <c r="U846" t="s">
        <v>60</v>
      </c>
      <c r="V846" t="s">
        <v>138</v>
      </c>
      <c r="W846" t="s">
        <v>139</v>
      </c>
      <c r="X846">
        <v>1927636</v>
      </c>
      <c r="Y846" s="11">
        <v>44777</v>
      </c>
      <c r="Z846" t="s">
        <v>57</v>
      </c>
      <c r="AA846">
        <v>26</v>
      </c>
      <c r="AB846" t="s">
        <v>57</v>
      </c>
      <c r="AD846" t="s">
        <v>57</v>
      </c>
      <c r="AE846" t="s">
        <v>57</v>
      </c>
      <c r="AF846" t="s">
        <v>57</v>
      </c>
      <c r="AG846">
        <v>7</v>
      </c>
      <c r="AH846" t="s">
        <v>57</v>
      </c>
      <c r="AL846" t="s">
        <v>57</v>
      </c>
      <c r="AM846" s="11">
        <v>44777</v>
      </c>
      <c r="AN846" t="s">
        <v>180</v>
      </c>
      <c r="AO846" t="s">
        <v>65</v>
      </c>
      <c r="AP846">
        <v>1205</v>
      </c>
      <c r="AQ846" t="s">
        <v>66</v>
      </c>
      <c r="AR846">
        <v>89712</v>
      </c>
      <c r="AU846" t="s">
        <v>57</v>
      </c>
      <c r="AV846" t="s">
        <v>68</v>
      </c>
      <c r="AX846" t="s">
        <v>57</v>
      </c>
      <c r="AY846">
        <v>631110</v>
      </c>
      <c r="AZ846">
        <v>1205.63111</v>
      </c>
      <c r="BA846" s="23" t="s">
        <v>13</v>
      </c>
    </row>
    <row r="847" spans="1:53" x14ac:dyDescent="0.25">
      <c r="A847" t="s">
        <v>134</v>
      </c>
      <c r="B847" t="s">
        <v>135</v>
      </c>
      <c r="C847">
        <v>22002297</v>
      </c>
      <c r="D847">
        <v>1205</v>
      </c>
      <c r="E847" s="11">
        <v>44778</v>
      </c>
      <c r="F847" t="s">
        <v>174</v>
      </c>
      <c r="G847">
        <v>0.2</v>
      </c>
      <c r="H847">
        <v>0.2</v>
      </c>
      <c r="I847" t="s">
        <v>56</v>
      </c>
      <c r="O847" t="s">
        <v>57</v>
      </c>
      <c r="Q847" t="s">
        <v>57</v>
      </c>
      <c r="R847" t="s">
        <v>137</v>
      </c>
      <c r="T847" t="s">
        <v>59</v>
      </c>
      <c r="U847" t="s">
        <v>60</v>
      </c>
      <c r="V847" t="s">
        <v>138</v>
      </c>
      <c r="W847" t="s">
        <v>139</v>
      </c>
      <c r="X847">
        <v>1928656</v>
      </c>
      <c r="Y847" s="11">
        <v>44778</v>
      </c>
      <c r="Z847" t="s">
        <v>57</v>
      </c>
      <c r="AA847">
        <v>2</v>
      </c>
      <c r="AB847" t="s">
        <v>57</v>
      </c>
      <c r="AD847" t="s">
        <v>57</v>
      </c>
      <c r="AE847" t="s">
        <v>57</v>
      </c>
      <c r="AF847" t="s">
        <v>57</v>
      </c>
      <c r="AG847">
        <v>3</v>
      </c>
      <c r="AH847" t="s">
        <v>57</v>
      </c>
      <c r="AL847" t="s">
        <v>57</v>
      </c>
      <c r="AM847" s="11">
        <v>44778</v>
      </c>
      <c r="AN847" t="s">
        <v>178</v>
      </c>
      <c r="AO847" t="s">
        <v>65</v>
      </c>
      <c r="AP847">
        <v>1205</v>
      </c>
      <c r="AQ847" t="s">
        <v>66</v>
      </c>
      <c r="AR847">
        <v>90182</v>
      </c>
      <c r="AU847" t="s">
        <v>57</v>
      </c>
      <c r="AV847" t="s">
        <v>68</v>
      </c>
      <c r="AX847" t="s">
        <v>57</v>
      </c>
      <c r="AY847">
        <v>631110</v>
      </c>
      <c r="AZ847">
        <v>1205.63111</v>
      </c>
      <c r="BA847" s="23" t="s">
        <v>13</v>
      </c>
    </row>
    <row r="848" spans="1:53" x14ac:dyDescent="0.25">
      <c r="A848" t="s">
        <v>134</v>
      </c>
      <c r="B848" t="s">
        <v>135</v>
      </c>
      <c r="C848">
        <v>22002297</v>
      </c>
      <c r="D848">
        <v>1205</v>
      </c>
      <c r="E848" s="11">
        <v>44778</v>
      </c>
      <c r="F848" t="s">
        <v>174</v>
      </c>
      <c r="G848">
        <v>3.84</v>
      </c>
      <c r="H848">
        <v>3.84</v>
      </c>
      <c r="I848" t="s">
        <v>56</v>
      </c>
      <c r="O848" t="s">
        <v>57</v>
      </c>
      <c r="Q848" t="s">
        <v>57</v>
      </c>
      <c r="R848" t="s">
        <v>137</v>
      </c>
      <c r="T848" t="s">
        <v>59</v>
      </c>
      <c r="U848" t="s">
        <v>60</v>
      </c>
      <c r="V848" t="s">
        <v>138</v>
      </c>
      <c r="W848" t="s">
        <v>139</v>
      </c>
      <c r="X848">
        <v>1928656</v>
      </c>
      <c r="Y848" s="11">
        <v>44778</v>
      </c>
      <c r="Z848" t="s">
        <v>57</v>
      </c>
      <c r="AA848">
        <v>4</v>
      </c>
      <c r="AB848" t="s">
        <v>57</v>
      </c>
      <c r="AD848" t="s">
        <v>57</v>
      </c>
      <c r="AE848" t="s">
        <v>57</v>
      </c>
      <c r="AF848" t="s">
        <v>57</v>
      </c>
      <c r="AG848">
        <v>1</v>
      </c>
      <c r="AH848" t="s">
        <v>57</v>
      </c>
      <c r="AL848" t="s">
        <v>57</v>
      </c>
      <c r="AM848" s="11">
        <v>44778</v>
      </c>
      <c r="AN848" t="s">
        <v>178</v>
      </c>
      <c r="AO848" t="s">
        <v>65</v>
      </c>
      <c r="AP848">
        <v>1205</v>
      </c>
      <c r="AQ848" t="s">
        <v>66</v>
      </c>
      <c r="AR848">
        <v>88601</v>
      </c>
      <c r="AU848" t="s">
        <v>57</v>
      </c>
      <c r="AV848" t="s">
        <v>68</v>
      </c>
      <c r="AX848" t="s">
        <v>57</v>
      </c>
      <c r="AY848">
        <v>631110</v>
      </c>
      <c r="AZ848">
        <v>1205.63111</v>
      </c>
      <c r="BA848" s="23" t="s">
        <v>13</v>
      </c>
    </row>
    <row r="849" spans="1:53" x14ac:dyDescent="0.25">
      <c r="A849" t="s">
        <v>134</v>
      </c>
      <c r="B849" t="s">
        <v>135</v>
      </c>
      <c r="C849">
        <v>22002297</v>
      </c>
      <c r="D849">
        <v>1205</v>
      </c>
      <c r="E849" s="11">
        <v>44778</v>
      </c>
      <c r="F849" t="s">
        <v>174</v>
      </c>
      <c r="G849">
        <v>3.04</v>
      </c>
      <c r="H849">
        <v>3.04</v>
      </c>
      <c r="I849" t="s">
        <v>56</v>
      </c>
      <c r="O849" t="s">
        <v>57</v>
      </c>
      <c r="Q849" t="s">
        <v>57</v>
      </c>
      <c r="R849" t="s">
        <v>137</v>
      </c>
      <c r="T849" t="s">
        <v>59</v>
      </c>
      <c r="U849" t="s">
        <v>60</v>
      </c>
      <c r="V849" t="s">
        <v>138</v>
      </c>
      <c r="W849" t="s">
        <v>139</v>
      </c>
      <c r="X849">
        <v>1928656</v>
      </c>
      <c r="Y849" s="11">
        <v>44778</v>
      </c>
      <c r="Z849" t="s">
        <v>57</v>
      </c>
      <c r="AA849">
        <v>6</v>
      </c>
      <c r="AB849" t="s">
        <v>57</v>
      </c>
      <c r="AD849" t="s">
        <v>57</v>
      </c>
      <c r="AE849" t="s">
        <v>57</v>
      </c>
      <c r="AF849" t="s">
        <v>57</v>
      </c>
      <c r="AG849">
        <v>1</v>
      </c>
      <c r="AH849" t="s">
        <v>57</v>
      </c>
      <c r="AL849" t="s">
        <v>57</v>
      </c>
      <c r="AM849" s="11">
        <v>44778</v>
      </c>
      <c r="AN849" t="s">
        <v>178</v>
      </c>
      <c r="AO849" t="s">
        <v>65</v>
      </c>
      <c r="AP849">
        <v>1205</v>
      </c>
      <c r="AQ849" t="s">
        <v>66</v>
      </c>
      <c r="AR849">
        <v>90264</v>
      </c>
      <c r="AU849" t="s">
        <v>57</v>
      </c>
      <c r="AV849" t="s">
        <v>68</v>
      </c>
      <c r="AX849" t="s">
        <v>57</v>
      </c>
      <c r="AY849">
        <v>631110</v>
      </c>
      <c r="AZ849">
        <v>1205.63111</v>
      </c>
      <c r="BA849" s="23" t="s">
        <v>13</v>
      </c>
    </row>
    <row r="850" spans="1:53" x14ac:dyDescent="0.25">
      <c r="A850" t="s">
        <v>134</v>
      </c>
      <c r="B850" t="s">
        <v>135</v>
      </c>
      <c r="C850">
        <v>22002297</v>
      </c>
      <c r="D850">
        <v>1205</v>
      </c>
      <c r="E850" s="11">
        <v>44778</v>
      </c>
      <c r="F850" t="s">
        <v>174</v>
      </c>
      <c r="G850">
        <v>2.65</v>
      </c>
      <c r="H850">
        <v>2.65</v>
      </c>
      <c r="I850" t="s">
        <v>56</v>
      </c>
      <c r="O850" t="s">
        <v>57</v>
      </c>
      <c r="Q850" t="s">
        <v>57</v>
      </c>
      <c r="R850" t="s">
        <v>137</v>
      </c>
      <c r="T850" t="s">
        <v>59</v>
      </c>
      <c r="U850" t="s">
        <v>60</v>
      </c>
      <c r="V850" t="s">
        <v>138</v>
      </c>
      <c r="W850" t="s">
        <v>139</v>
      </c>
      <c r="X850">
        <v>1928656</v>
      </c>
      <c r="Y850" s="11">
        <v>44778</v>
      </c>
      <c r="Z850" t="s">
        <v>57</v>
      </c>
      <c r="AA850">
        <v>8</v>
      </c>
      <c r="AB850" t="s">
        <v>57</v>
      </c>
      <c r="AD850" t="s">
        <v>57</v>
      </c>
      <c r="AE850" t="s">
        <v>57</v>
      </c>
      <c r="AF850" t="s">
        <v>57</v>
      </c>
      <c r="AG850">
        <v>1</v>
      </c>
      <c r="AH850" t="s">
        <v>57</v>
      </c>
      <c r="AL850" t="s">
        <v>57</v>
      </c>
      <c r="AM850" s="11">
        <v>44778</v>
      </c>
      <c r="AN850" t="s">
        <v>178</v>
      </c>
      <c r="AO850" t="s">
        <v>65</v>
      </c>
      <c r="AP850">
        <v>1205</v>
      </c>
      <c r="AQ850" t="s">
        <v>66</v>
      </c>
      <c r="AR850">
        <v>205694</v>
      </c>
      <c r="AU850" t="s">
        <v>57</v>
      </c>
      <c r="AV850" t="s">
        <v>68</v>
      </c>
      <c r="AX850" t="s">
        <v>57</v>
      </c>
      <c r="AY850">
        <v>631110</v>
      </c>
      <c r="AZ850">
        <v>1205.63111</v>
      </c>
      <c r="BA850" s="23" t="s">
        <v>13</v>
      </c>
    </row>
    <row r="851" spans="1:53" x14ac:dyDescent="0.25">
      <c r="A851" t="s">
        <v>134</v>
      </c>
      <c r="B851" t="s">
        <v>135</v>
      </c>
      <c r="C851">
        <v>22002297</v>
      </c>
      <c r="D851">
        <v>1205</v>
      </c>
      <c r="E851" s="11">
        <v>44778</v>
      </c>
      <c r="F851" t="s">
        <v>174</v>
      </c>
      <c r="G851">
        <v>1.76</v>
      </c>
      <c r="H851">
        <v>1.76</v>
      </c>
      <c r="I851" t="s">
        <v>56</v>
      </c>
      <c r="O851" t="s">
        <v>57</v>
      </c>
      <c r="Q851" t="s">
        <v>57</v>
      </c>
      <c r="R851" t="s">
        <v>137</v>
      </c>
      <c r="T851" t="s">
        <v>59</v>
      </c>
      <c r="U851" t="s">
        <v>60</v>
      </c>
      <c r="V851" t="s">
        <v>138</v>
      </c>
      <c r="W851" t="s">
        <v>139</v>
      </c>
      <c r="X851">
        <v>1928656</v>
      </c>
      <c r="Y851" s="11">
        <v>44778</v>
      </c>
      <c r="Z851" t="s">
        <v>57</v>
      </c>
      <c r="AA851">
        <v>10</v>
      </c>
      <c r="AB851" t="s">
        <v>57</v>
      </c>
      <c r="AD851" t="s">
        <v>57</v>
      </c>
      <c r="AE851" t="s">
        <v>57</v>
      </c>
      <c r="AF851" t="s">
        <v>57</v>
      </c>
      <c r="AG851">
        <v>1</v>
      </c>
      <c r="AH851" t="s">
        <v>57</v>
      </c>
      <c r="AL851" t="s">
        <v>57</v>
      </c>
      <c r="AM851" s="11">
        <v>44778</v>
      </c>
      <c r="AN851" t="s">
        <v>178</v>
      </c>
      <c r="AO851" t="s">
        <v>65</v>
      </c>
      <c r="AP851">
        <v>1205</v>
      </c>
      <c r="AQ851" t="s">
        <v>66</v>
      </c>
      <c r="AR851">
        <v>270668</v>
      </c>
      <c r="AU851" t="s">
        <v>57</v>
      </c>
      <c r="AV851" t="s">
        <v>68</v>
      </c>
      <c r="AX851" t="s">
        <v>57</v>
      </c>
      <c r="AY851">
        <v>631110</v>
      </c>
      <c r="AZ851">
        <v>1205.63111</v>
      </c>
      <c r="BA851" s="23" t="s">
        <v>13</v>
      </c>
    </row>
    <row r="852" spans="1:53" x14ac:dyDescent="0.25">
      <c r="A852" t="s">
        <v>134</v>
      </c>
      <c r="B852" t="s">
        <v>135</v>
      </c>
      <c r="C852">
        <v>22002297</v>
      </c>
      <c r="D852">
        <v>1205</v>
      </c>
      <c r="E852" s="11">
        <v>44778</v>
      </c>
      <c r="F852" t="s">
        <v>174</v>
      </c>
      <c r="G852">
        <v>6.45</v>
      </c>
      <c r="H852">
        <v>6.45</v>
      </c>
      <c r="I852" t="s">
        <v>56</v>
      </c>
      <c r="O852" t="s">
        <v>57</v>
      </c>
      <c r="Q852" t="s">
        <v>57</v>
      </c>
      <c r="R852" t="s">
        <v>137</v>
      </c>
      <c r="T852" t="s">
        <v>59</v>
      </c>
      <c r="U852" t="s">
        <v>60</v>
      </c>
      <c r="V852" t="s">
        <v>138</v>
      </c>
      <c r="W852" t="s">
        <v>139</v>
      </c>
      <c r="X852">
        <v>1928656</v>
      </c>
      <c r="Y852" s="11">
        <v>44778</v>
      </c>
      <c r="Z852" t="s">
        <v>57</v>
      </c>
      <c r="AA852">
        <v>12</v>
      </c>
      <c r="AB852" t="s">
        <v>57</v>
      </c>
      <c r="AD852" t="s">
        <v>57</v>
      </c>
      <c r="AE852" t="s">
        <v>57</v>
      </c>
      <c r="AF852" t="s">
        <v>57</v>
      </c>
      <c r="AG852">
        <v>1</v>
      </c>
      <c r="AH852" t="s">
        <v>57</v>
      </c>
      <c r="AL852" t="s">
        <v>57</v>
      </c>
      <c r="AM852" s="11">
        <v>44778</v>
      </c>
      <c r="AN852" t="s">
        <v>178</v>
      </c>
      <c r="AO852" t="s">
        <v>65</v>
      </c>
      <c r="AP852">
        <v>1205</v>
      </c>
      <c r="AQ852" t="s">
        <v>66</v>
      </c>
      <c r="AR852">
        <v>269752</v>
      </c>
      <c r="AU852" t="s">
        <v>57</v>
      </c>
      <c r="AV852" t="s">
        <v>68</v>
      </c>
      <c r="AX852" t="s">
        <v>57</v>
      </c>
      <c r="AY852">
        <v>631110</v>
      </c>
      <c r="AZ852">
        <v>1205.63111</v>
      </c>
      <c r="BA852" s="23" t="s">
        <v>13</v>
      </c>
    </row>
    <row r="853" spans="1:53" x14ac:dyDescent="0.25">
      <c r="A853" t="s">
        <v>134</v>
      </c>
      <c r="B853" t="s">
        <v>135</v>
      </c>
      <c r="C853">
        <v>22002297</v>
      </c>
      <c r="D853">
        <v>1205</v>
      </c>
      <c r="E853" s="11">
        <v>44778</v>
      </c>
      <c r="F853" t="s">
        <v>174</v>
      </c>
      <c r="G853">
        <v>7.0000000000000007E-2</v>
      </c>
      <c r="H853">
        <v>7.0000000000000007E-2</v>
      </c>
      <c r="I853" t="s">
        <v>56</v>
      </c>
      <c r="O853" t="s">
        <v>57</v>
      </c>
      <c r="Q853" t="s">
        <v>57</v>
      </c>
      <c r="R853" t="s">
        <v>137</v>
      </c>
      <c r="T853" t="s">
        <v>59</v>
      </c>
      <c r="U853" t="s">
        <v>60</v>
      </c>
      <c r="V853" t="s">
        <v>138</v>
      </c>
      <c r="W853" t="s">
        <v>139</v>
      </c>
      <c r="X853">
        <v>1928656</v>
      </c>
      <c r="Y853" s="11">
        <v>44778</v>
      </c>
      <c r="Z853" t="s">
        <v>57</v>
      </c>
      <c r="AA853">
        <v>14</v>
      </c>
      <c r="AB853" t="s">
        <v>57</v>
      </c>
      <c r="AD853" t="s">
        <v>57</v>
      </c>
      <c r="AE853" t="s">
        <v>57</v>
      </c>
      <c r="AF853" t="s">
        <v>57</v>
      </c>
      <c r="AG853">
        <v>1</v>
      </c>
      <c r="AH853" t="s">
        <v>57</v>
      </c>
      <c r="AL853" t="s">
        <v>57</v>
      </c>
      <c r="AM853" s="11">
        <v>44778</v>
      </c>
      <c r="AN853" t="s">
        <v>178</v>
      </c>
      <c r="AO853" t="s">
        <v>65</v>
      </c>
      <c r="AP853">
        <v>1205</v>
      </c>
      <c r="AQ853" t="s">
        <v>66</v>
      </c>
      <c r="AR853">
        <v>88799</v>
      </c>
      <c r="AU853" t="s">
        <v>57</v>
      </c>
      <c r="AV853" t="s">
        <v>68</v>
      </c>
      <c r="AX853" t="s">
        <v>57</v>
      </c>
      <c r="AY853">
        <v>631110</v>
      </c>
      <c r="AZ853">
        <v>1205.63111</v>
      </c>
      <c r="BA853" s="23" t="s">
        <v>13</v>
      </c>
    </row>
    <row r="854" spans="1:53" x14ac:dyDescent="0.25">
      <c r="A854" t="s">
        <v>134</v>
      </c>
      <c r="B854" t="s">
        <v>135</v>
      </c>
      <c r="C854">
        <v>22002297</v>
      </c>
      <c r="D854">
        <v>1205</v>
      </c>
      <c r="E854" s="11">
        <v>44778</v>
      </c>
      <c r="F854" t="s">
        <v>174</v>
      </c>
      <c r="G854">
        <v>3.13</v>
      </c>
      <c r="H854">
        <v>3.13</v>
      </c>
      <c r="I854" t="s">
        <v>56</v>
      </c>
      <c r="O854" t="s">
        <v>57</v>
      </c>
      <c r="Q854" t="s">
        <v>57</v>
      </c>
      <c r="R854" t="s">
        <v>137</v>
      </c>
      <c r="T854" t="s">
        <v>59</v>
      </c>
      <c r="U854" t="s">
        <v>60</v>
      </c>
      <c r="V854" t="s">
        <v>138</v>
      </c>
      <c r="W854" t="s">
        <v>139</v>
      </c>
      <c r="X854">
        <v>1928656</v>
      </c>
      <c r="Y854" s="11">
        <v>44778</v>
      </c>
      <c r="Z854" t="s">
        <v>57</v>
      </c>
      <c r="AA854">
        <v>16</v>
      </c>
      <c r="AB854" t="s">
        <v>57</v>
      </c>
      <c r="AD854" t="s">
        <v>57</v>
      </c>
      <c r="AE854" t="s">
        <v>57</v>
      </c>
      <c r="AF854" t="s">
        <v>57</v>
      </c>
      <c r="AG854">
        <v>1</v>
      </c>
      <c r="AH854" t="s">
        <v>57</v>
      </c>
      <c r="AL854" t="s">
        <v>57</v>
      </c>
      <c r="AM854" s="11">
        <v>44778</v>
      </c>
      <c r="AN854" t="s">
        <v>178</v>
      </c>
      <c r="AO854" t="s">
        <v>65</v>
      </c>
      <c r="AP854">
        <v>1205</v>
      </c>
      <c r="AQ854" t="s">
        <v>66</v>
      </c>
      <c r="AR854">
        <v>89952</v>
      </c>
      <c r="AU854" t="s">
        <v>57</v>
      </c>
      <c r="AV854" t="s">
        <v>68</v>
      </c>
      <c r="AX854" t="s">
        <v>57</v>
      </c>
      <c r="AY854">
        <v>631110</v>
      </c>
      <c r="AZ854">
        <v>1205.63111</v>
      </c>
      <c r="BA854" s="23" t="s">
        <v>13</v>
      </c>
    </row>
    <row r="855" spans="1:53" x14ac:dyDescent="0.25">
      <c r="A855" t="s">
        <v>134</v>
      </c>
      <c r="B855" t="s">
        <v>135</v>
      </c>
      <c r="C855">
        <v>22002298</v>
      </c>
      <c r="D855">
        <v>1205</v>
      </c>
      <c r="E855" s="11">
        <v>44778</v>
      </c>
      <c r="F855" t="s">
        <v>174</v>
      </c>
      <c r="G855">
        <v>0.68</v>
      </c>
      <c r="H855">
        <v>0.68</v>
      </c>
      <c r="I855" t="s">
        <v>56</v>
      </c>
      <c r="O855" t="s">
        <v>57</v>
      </c>
      <c r="Q855" t="s">
        <v>57</v>
      </c>
      <c r="R855" t="s">
        <v>137</v>
      </c>
      <c r="T855" t="s">
        <v>59</v>
      </c>
      <c r="U855" t="s">
        <v>60</v>
      </c>
      <c r="V855" t="s">
        <v>138</v>
      </c>
      <c r="W855" t="s">
        <v>139</v>
      </c>
      <c r="X855">
        <v>1928707</v>
      </c>
      <c r="Y855" s="11">
        <v>44778</v>
      </c>
      <c r="Z855" t="s">
        <v>57</v>
      </c>
      <c r="AA855">
        <v>2</v>
      </c>
      <c r="AB855" t="s">
        <v>57</v>
      </c>
      <c r="AD855" t="s">
        <v>57</v>
      </c>
      <c r="AE855" t="s">
        <v>57</v>
      </c>
      <c r="AF855" t="s">
        <v>57</v>
      </c>
      <c r="AG855">
        <v>1</v>
      </c>
      <c r="AH855" t="s">
        <v>57</v>
      </c>
      <c r="AL855" t="s">
        <v>57</v>
      </c>
      <c r="AM855" s="11">
        <v>44778</v>
      </c>
      <c r="AN855" t="s">
        <v>178</v>
      </c>
      <c r="AO855" t="s">
        <v>65</v>
      </c>
      <c r="AP855">
        <v>1205</v>
      </c>
      <c r="AQ855" t="s">
        <v>66</v>
      </c>
      <c r="AR855">
        <v>89630</v>
      </c>
      <c r="AU855" t="s">
        <v>57</v>
      </c>
      <c r="AV855" t="s">
        <v>68</v>
      </c>
      <c r="AX855" t="s">
        <v>57</v>
      </c>
      <c r="AY855">
        <v>631110</v>
      </c>
      <c r="AZ855">
        <v>1205.63111</v>
      </c>
      <c r="BA855" s="23" t="s">
        <v>13</v>
      </c>
    </row>
    <row r="856" spans="1:53" x14ac:dyDescent="0.25">
      <c r="A856" t="s">
        <v>134</v>
      </c>
      <c r="B856" t="s">
        <v>135</v>
      </c>
      <c r="C856">
        <v>22002298</v>
      </c>
      <c r="D856">
        <v>1205</v>
      </c>
      <c r="E856" s="11">
        <v>44778</v>
      </c>
      <c r="F856" t="s">
        <v>174</v>
      </c>
      <c r="G856">
        <v>1.03</v>
      </c>
      <c r="H856">
        <v>1.03</v>
      </c>
      <c r="I856" t="s">
        <v>56</v>
      </c>
      <c r="O856" t="s">
        <v>57</v>
      </c>
      <c r="Q856" t="s">
        <v>57</v>
      </c>
      <c r="R856" t="s">
        <v>137</v>
      </c>
      <c r="T856" t="s">
        <v>59</v>
      </c>
      <c r="U856" t="s">
        <v>60</v>
      </c>
      <c r="V856" t="s">
        <v>138</v>
      </c>
      <c r="W856" t="s">
        <v>139</v>
      </c>
      <c r="X856">
        <v>1928707</v>
      </c>
      <c r="Y856" s="11">
        <v>44778</v>
      </c>
      <c r="Z856" t="s">
        <v>57</v>
      </c>
      <c r="AA856">
        <v>4</v>
      </c>
      <c r="AB856" t="s">
        <v>57</v>
      </c>
      <c r="AD856" t="s">
        <v>57</v>
      </c>
      <c r="AE856" t="s">
        <v>57</v>
      </c>
      <c r="AF856" t="s">
        <v>57</v>
      </c>
      <c r="AG856">
        <v>1</v>
      </c>
      <c r="AH856" t="s">
        <v>57</v>
      </c>
      <c r="AL856" t="s">
        <v>57</v>
      </c>
      <c r="AM856" s="11">
        <v>44778</v>
      </c>
      <c r="AN856" t="s">
        <v>178</v>
      </c>
      <c r="AO856" t="s">
        <v>65</v>
      </c>
      <c r="AP856">
        <v>1205</v>
      </c>
      <c r="AQ856" t="s">
        <v>66</v>
      </c>
      <c r="AR856">
        <v>267456</v>
      </c>
      <c r="AU856" t="s">
        <v>57</v>
      </c>
      <c r="AV856" t="s">
        <v>68</v>
      </c>
      <c r="AX856" t="s">
        <v>57</v>
      </c>
      <c r="AY856">
        <v>631110</v>
      </c>
      <c r="AZ856">
        <v>1205.63111</v>
      </c>
      <c r="BA856" s="23" t="s">
        <v>13</v>
      </c>
    </row>
    <row r="857" spans="1:53" x14ac:dyDescent="0.25">
      <c r="A857" t="s">
        <v>134</v>
      </c>
      <c r="B857" t="s">
        <v>135</v>
      </c>
      <c r="C857">
        <v>22002298</v>
      </c>
      <c r="D857">
        <v>1205</v>
      </c>
      <c r="E857" s="11">
        <v>44778</v>
      </c>
      <c r="F857" t="s">
        <v>174</v>
      </c>
      <c r="G857">
        <v>0.21</v>
      </c>
      <c r="H857">
        <v>0.21</v>
      </c>
      <c r="I857" t="s">
        <v>56</v>
      </c>
      <c r="O857" t="s">
        <v>57</v>
      </c>
      <c r="Q857" t="s">
        <v>57</v>
      </c>
      <c r="R857" t="s">
        <v>137</v>
      </c>
      <c r="T857" t="s">
        <v>59</v>
      </c>
      <c r="U857" t="s">
        <v>60</v>
      </c>
      <c r="V857" t="s">
        <v>138</v>
      </c>
      <c r="W857" t="s">
        <v>139</v>
      </c>
      <c r="X857">
        <v>1928707</v>
      </c>
      <c r="Y857" s="11">
        <v>44778</v>
      </c>
      <c r="Z857" t="s">
        <v>57</v>
      </c>
      <c r="AA857">
        <v>6</v>
      </c>
      <c r="AB857" t="s">
        <v>57</v>
      </c>
      <c r="AD857" t="s">
        <v>57</v>
      </c>
      <c r="AE857" t="s">
        <v>57</v>
      </c>
      <c r="AF857" t="s">
        <v>57</v>
      </c>
      <c r="AG857">
        <v>1</v>
      </c>
      <c r="AH857" t="s">
        <v>57</v>
      </c>
      <c r="AL857" t="s">
        <v>57</v>
      </c>
      <c r="AM857" s="11">
        <v>44778</v>
      </c>
      <c r="AN857" t="s">
        <v>178</v>
      </c>
      <c r="AO857" t="s">
        <v>65</v>
      </c>
      <c r="AP857">
        <v>1205</v>
      </c>
      <c r="AQ857" t="s">
        <v>66</v>
      </c>
      <c r="AR857">
        <v>88778</v>
      </c>
      <c r="AU857" t="s">
        <v>57</v>
      </c>
      <c r="AV857" t="s">
        <v>68</v>
      </c>
      <c r="AX857" t="s">
        <v>57</v>
      </c>
      <c r="AY857">
        <v>631110</v>
      </c>
      <c r="AZ857">
        <v>1205.63111</v>
      </c>
      <c r="BA857" s="23" t="s">
        <v>13</v>
      </c>
    </row>
    <row r="858" spans="1:53" x14ac:dyDescent="0.25">
      <c r="A858" t="s">
        <v>134</v>
      </c>
      <c r="B858" t="s">
        <v>135</v>
      </c>
      <c r="C858">
        <v>22002298</v>
      </c>
      <c r="D858">
        <v>1205</v>
      </c>
      <c r="E858" s="11">
        <v>44778</v>
      </c>
      <c r="F858" t="s">
        <v>174</v>
      </c>
      <c r="G858">
        <v>25.1</v>
      </c>
      <c r="H858">
        <v>25.1</v>
      </c>
      <c r="I858" t="s">
        <v>56</v>
      </c>
      <c r="O858" t="s">
        <v>57</v>
      </c>
      <c r="Q858" t="s">
        <v>57</v>
      </c>
      <c r="R858" t="s">
        <v>137</v>
      </c>
      <c r="T858" t="s">
        <v>59</v>
      </c>
      <c r="U858" t="s">
        <v>60</v>
      </c>
      <c r="V858" t="s">
        <v>138</v>
      </c>
      <c r="W858" t="s">
        <v>139</v>
      </c>
      <c r="X858">
        <v>1928707</v>
      </c>
      <c r="Y858" s="11">
        <v>44778</v>
      </c>
      <c r="Z858" t="s">
        <v>57</v>
      </c>
      <c r="AA858">
        <v>8</v>
      </c>
      <c r="AB858" t="s">
        <v>57</v>
      </c>
      <c r="AD858" t="s">
        <v>57</v>
      </c>
      <c r="AE858" t="s">
        <v>57</v>
      </c>
      <c r="AF858" t="s">
        <v>57</v>
      </c>
      <c r="AG858">
        <v>1</v>
      </c>
      <c r="AH858" t="s">
        <v>57</v>
      </c>
      <c r="AL858" t="s">
        <v>57</v>
      </c>
      <c r="AM858" s="11">
        <v>44778</v>
      </c>
      <c r="AN858" t="s">
        <v>178</v>
      </c>
      <c r="AO858" t="s">
        <v>65</v>
      </c>
      <c r="AP858">
        <v>1205</v>
      </c>
      <c r="AQ858" t="s">
        <v>66</v>
      </c>
      <c r="AR858">
        <v>103860</v>
      </c>
      <c r="AU858" t="s">
        <v>57</v>
      </c>
      <c r="AV858" t="s">
        <v>68</v>
      </c>
      <c r="AX858" t="s">
        <v>57</v>
      </c>
      <c r="AY858">
        <v>631110</v>
      </c>
      <c r="AZ858">
        <v>1205.63111</v>
      </c>
      <c r="BA858" s="23" t="s">
        <v>13</v>
      </c>
    </row>
    <row r="859" spans="1:53" x14ac:dyDescent="0.25">
      <c r="A859" t="s">
        <v>134</v>
      </c>
      <c r="B859" t="s">
        <v>135</v>
      </c>
      <c r="C859">
        <v>22002298</v>
      </c>
      <c r="D859">
        <v>1205</v>
      </c>
      <c r="E859" s="11">
        <v>44778</v>
      </c>
      <c r="F859" t="s">
        <v>174</v>
      </c>
      <c r="G859">
        <v>0.67</v>
      </c>
      <c r="H859">
        <v>0.67</v>
      </c>
      <c r="I859" t="s">
        <v>56</v>
      </c>
      <c r="O859" t="s">
        <v>57</v>
      </c>
      <c r="Q859" t="s">
        <v>57</v>
      </c>
      <c r="R859" t="s">
        <v>137</v>
      </c>
      <c r="T859" t="s">
        <v>59</v>
      </c>
      <c r="U859" t="s">
        <v>60</v>
      </c>
      <c r="V859" t="s">
        <v>138</v>
      </c>
      <c r="W859" t="s">
        <v>139</v>
      </c>
      <c r="X859">
        <v>1928707</v>
      </c>
      <c r="Y859" s="11">
        <v>44778</v>
      </c>
      <c r="Z859" t="s">
        <v>57</v>
      </c>
      <c r="AA859">
        <v>10</v>
      </c>
      <c r="AB859" t="s">
        <v>57</v>
      </c>
      <c r="AD859" t="s">
        <v>57</v>
      </c>
      <c r="AE859" t="s">
        <v>57</v>
      </c>
      <c r="AF859" t="s">
        <v>57</v>
      </c>
      <c r="AG859">
        <v>1</v>
      </c>
      <c r="AH859" t="s">
        <v>57</v>
      </c>
      <c r="AL859" t="s">
        <v>57</v>
      </c>
      <c r="AM859" s="11">
        <v>44778</v>
      </c>
      <c r="AN859" t="s">
        <v>178</v>
      </c>
      <c r="AO859" t="s">
        <v>65</v>
      </c>
      <c r="AP859">
        <v>1205</v>
      </c>
      <c r="AQ859" t="s">
        <v>66</v>
      </c>
      <c r="AR859">
        <v>88765</v>
      </c>
      <c r="AU859" t="s">
        <v>57</v>
      </c>
      <c r="AV859" t="s">
        <v>68</v>
      </c>
      <c r="AX859" t="s">
        <v>57</v>
      </c>
      <c r="AY859">
        <v>631110</v>
      </c>
      <c r="AZ859">
        <v>1205.63111</v>
      </c>
      <c r="BA859" s="23" t="s">
        <v>13</v>
      </c>
    </row>
    <row r="860" spans="1:53" x14ac:dyDescent="0.25">
      <c r="A860" t="s">
        <v>134</v>
      </c>
      <c r="B860" t="s">
        <v>135</v>
      </c>
      <c r="C860">
        <v>22002298</v>
      </c>
      <c r="D860">
        <v>1205</v>
      </c>
      <c r="E860" s="11">
        <v>44778</v>
      </c>
      <c r="F860" t="s">
        <v>174</v>
      </c>
      <c r="G860">
        <v>1.74</v>
      </c>
      <c r="H860">
        <v>1.74</v>
      </c>
      <c r="I860" t="s">
        <v>56</v>
      </c>
      <c r="O860" t="s">
        <v>57</v>
      </c>
      <c r="Q860" t="s">
        <v>57</v>
      </c>
      <c r="R860" t="s">
        <v>137</v>
      </c>
      <c r="T860" t="s">
        <v>59</v>
      </c>
      <c r="U860" t="s">
        <v>60</v>
      </c>
      <c r="V860" t="s">
        <v>138</v>
      </c>
      <c r="W860" t="s">
        <v>139</v>
      </c>
      <c r="X860">
        <v>1928707</v>
      </c>
      <c r="Y860" s="11">
        <v>44778</v>
      </c>
      <c r="Z860" t="s">
        <v>57</v>
      </c>
      <c r="AA860">
        <v>12</v>
      </c>
      <c r="AB860" t="s">
        <v>57</v>
      </c>
      <c r="AD860" t="s">
        <v>57</v>
      </c>
      <c r="AE860" t="s">
        <v>57</v>
      </c>
      <c r="AF860" t="s">
        <v>57</v>
      </c>
      <c r="AG860">
        <v>1</v>
      </c>
      <c r="AH860" t="s">
        <v>57</v>
      </c>
      <c r="AL860" t="s">
        <v>57</v>
      </c>
      <c r="AM860" s="11">
        <v>44778</v>
      </c>
      <c r="AN860" t="s">
        <v>178</v>
      </c>
      <c r="AO860" t="s">
        <v>65</v>
      </c>
      <c r="AP860">
        <v>1205</v>
      </c>
      <c r="AQ860" t="s">
        <v>66</v>
      </c>
      <c r="AR860">
        <v>213580</v>
      </c>
      <c r="AU860" t="s">
        <v>57</v>
      </c>
      <c r="AV860" t="s">
        <v>68</v>
      </c>
      <c r="AX860" t="s">
        <v>57</v>
      </c>
      <c r="AY860">
        <v>631110</v>
      </c>
      <c r="AZ860">
        <v>1205.63111</v>
      </c>
      <c r="BA860" s="23" t="s">
        <v>13</v>
      </c>
    </row>
    <row r="861" spans="1:53" x14ac:dyDescent="0.25">
      <c r="A861" t="s">
        <v>134</v>
      </c>
      <c r="B861" t="s">
        <v>135</v>
      </c>
      <c r="C861">
        <v>22002299</v>
      </c>
      <c r="D861">
        <v>1205</v>
      </c>
      <c r="E861" s="11">
        <v>44778</v>
      </c>
      <c r="F861" t="s">
        <v>174</v>
      </c>
      <c r="G861">
        <v>8.52</v>
      </c>
      <c r="H861">
        <v>8.52</v>
      </c>
      <c r="I861" t="s">
        <v>56</v>
      </c>
      <c r="O861" t="s">
        <v>57</v>
      </c>
      <c r="Q861" t="s">
        <v>57</v>
      </c>
      <c r="R861" t="s">
        <v>137</v>
      </c>
      <c r="T861" t="s">
        <v>59</v>
      </c>
      <c r="U861" t="s">
        <v>60</v>
      </c>
      <c r="V861" t="s">
        <v>138</v>
      </c>
      <c r="W861" t="s">
        <v>139</v>
      </c>
      <c r="X861">
        <v>1928751</v>
      </c>
      <c r="Y861" s="11">
        <v>44778</v>
      </c>
      <c r="Z861" t="s">
        <v>57</v>
      </c>
      <c r="AA861">
        <v>2</v>
      </c>
      <c r="AB861" t="s">
        <v>57</v>
      </c>
      <c r="AD861" t="s">
        <v>57</v>
      </c>
      <c r="AE861" t="s">
        <v>57</v>
      </c>
      <c r="AF861" t="s">
        <v>57</v>
      </c>
      <c r="AG861">
        <v>6</v>
      </c>
      <c r="AH861" t="s">
        <v>57</v>
      </c>
      <c r="AL861" t="s">
        <v>57</v>
      </c>
      <c r="AM861" s="11">
        <v>44778</v>
      </c>
      <c r="AN861" t="s">
        <v>178</v>
      </c>
      <c r="AO861" t="s">
        <v>65</v>
      </c>
      <c r="AP861">
        <v>1205</v>
      </c>
      <c r="AQ861" t="s">
        <v>66</v>
      </c>
      <c r="AR861">
        <v>88624</v>
      </c>
      <c r="AU861" t="s">
        <v>57</v>
      </c>
      <c r="AV861" t="s">
        <v>68</v>
      </c>
      <c r="AX861" t="s">
        <v>57</v>
      </c>
      <c r="AY861">
        <v>631110</v>
      </c>
      <c r="AZ861">
        <v>1205.63111</v>
      </c>
      <c r="BA861" s="23" t="s">
        <v>13</v>
      </c>
    </row>
    <row r="862" spans="1:53" x14ac:dyDescent="0.25">
      <c r="A862" t="s">
        <v>134</v>
      </c>
      <c r="B862" t="s">
        <v>135</v>
      </c>
      <c r="C862">
        <v>22002299</v>
      </c>
      <c r="D862">
        <v>1205</v>
      </c>
      <c r="E862" s="11">
        <v>44778</v>
      </c>
      <c r="F862" t="s">
        <v>174</v>
      </c>
      <c r="G862">
        <v>1.03</v>
      </c>
      <c r="H862">
        <v>1.03</v>
      </c>
      <c r="I862" t="s">
        <v>56</v>
      </c>
      <c r="O862" t="s">
        <v>57</v>
      </c>
      <c r="Q862" t="s">
        <v>57</v>
      </c>
      <c r="R862" t="s">
        <v>137</v>
      </c>
      <c r="T862" t="s">
        <v>59</v>
      </c>
      <c r="U862" t="s">
        <v>60</v>
      </c>
      <c r="V862" t="s">
        <v>138</v>
      </c>
      <c r="W862" t="s">
        <v>139</v>
      </c>
      <c r="X862">
        <v>1928751</v>
      </c>
      <c r="Y862" s="11">
        <v>44778</v>
      </c>
      <c r="Z862" t="s">
        <v>57</v>
      </c>
      <c r="AA862">
        <v>4</v>
      </c>
      <c r="AB862" t="s">
        <v>57</v>
      </c>
      <c r="AD862" t="s">
        <v>57</v>
      </c>
      <c r="AE862" t="s">
        <v>57</v>
      </c>
      <c r="AF862" t="s">
        <v>57</v>
      </c>
      <c r="AG862">
        <v>1</v>
      </c>
      <c r="AH862" t="s">
        <v>57</v>
      </c>
      <c r="AL862" t="s">
        <v>57</v>
      </c>
      <c r="AM862" s="11">
        <v>44778</v>
      </c>
      <c r="AN862" t="s">
        <v>178</v>
      </c>
      <c r="AO862" t="s">
        <v>65</v>
      </c>
      <c r="AP862">
        <v>1205</v>
      </c>
      <c r="AQ862" t="s">
        <v>66</v>
      </c>
      <c r="AR862">
        <v>267456</v>
      </c>
      <c r="AU862" t="s">
        <v>57</v>
      </c>
      <c r="AV862" t="s">
        <v>68</v>
      </c>
      <c r="AX862" t="s">
        <v>57</v>
      </c>
      <c r="AY862">
        <v>631110</v>
      </c>
      <c r="AZ862">
        <v>1205.63111</v>
      </c>
      <c r="BA862" s="23" t="s">
        <v>13</v>
      </c>
    </row>
    <row r="863" spans="1:53" x14ac:dyDescent="0.25">
      <c r="A863" t="s">
        <v>134</v>
      </c>
      <c r="B863" t="s">
        <v>135</v>
      </c>
      <c r="C863">
        <v>22002299</v>
      </c>
      <c r="D863">
        <v>1205</v>
      </c>
      <c r="E863" s="11">
        <v>44778</v>
      </c>
      <c r="F863" t="s">
        <v>174</v>
      </c>
      <c r="G863">
        <v>0.34</v>
      </c>
      <c r="H863">
        <v>0.34</v>
      </c>
      <c r="I863" t="s">
        <v>56</v>
      </c>
      <c r="O863" t="s">
        <v>57</v>
      </c>
      <c r="Q863" t="s">
        <v>57</v>
      </c>
      <c r="R863" t="s">
        <v>137</v>
      </c>
      <c r="T863" t="s">
        <v>59</v>
      </c>
      <c r="U863" t="s">
        <v>60</v>
      </c>
      <c r="V863" t="s">
        <v>138</v>
      </c>
      <c r="W863" t="s">
        <v>139</v>
      </c>
      <c r="X863">
        <v>1928751</v>
      </c>
      <c r="Y863" s="11">
        <v>44778</v>
      </c>
      <c r="Z863" t="s">
        <v>57</v>
      </c>
      <c r="AA863">
        <v>6</v>
      </c>
      <c r="AB863" t="s">
        <v>57</v>
      </c>
      <c r="AD863" t="s">
        <v>57</v>
      </c>
      <c r="AE863" t="s">
        <v>57</v>
      </c>
      <c r="AF863" t="s">
        <v>57</v>
      </c>
      <c r="AG863">
        <v>1</v>
      </c>
      <c r="AH863" t="s">
        <v>57</v>
      </c>
      <c r="AL863" t="s">
        <v>57</v>
      </c>
      <c r="AM863" s="11">
        <v>44778</v>
      </c>
      <c r="AN863" t="s">
        <v>178</v>
      </c>
      <c r="AO863" t="s">
        <v>65</v>
      </c>
      <c r="AP863">
        <v>1205</v>
      </c>
      <c r="AQ863" t="s">
        <v>66</v>
      </c>
      <c r="AR863">
        <v>239312</v>
      </c>
      <c r="AU863" t="s">
        <v>57</v>
      </c>
      <c r="AV863" t="s">
        <v>68</v>
      </c>
      <c r="AX863" t="s">
        <v>57</v>
      </c>
      <c r="AY863">
        <v>631110</v>
      </c>
      <c r="AZ863">
        <v>1205.63111</v>
      </c>
      <c r="BA863" s="23" t="s">
        <v>13</v>
      </c>
    </row>
    <row r="864" spans="1:53" x14ac:dyDescent="0.25">
      <c r="A864" t="s">
        <v>134</v>
      </c>
      <c r="B864" t="s">
        <v>135</v>
      </c>
      <c r="C864">
        <v>22002300</v>
      </c>
      <c r="D864">
        <v>1205</v>
      </c>
      <c r="E864" s="11">
        <v>44778</v>
      </c>
      <c r="F864" t="s">
        <v>174</v>
      </c>
      <c r="G864">
        <v>1.03</v>
      </c>
      <c r="H864">
        <v>1.03</v>
      </c>
      <c r="I864" t="s">
        <v>56</v>
      </c>
      <c r="O864" t="s">
        <v>57</v>
      </c>
      <c r="Q864" t="s">
        <v>57</v>
      </c>
      <c r="R864" t="s">
        <v>137</v>
      </c>
      <c r="T864" t="s">
        <v>59</v>
      </c>
      <c r="U864" t="s">
        <v>60</v>
      </c>
      <c r="V864" t="s">
        <v>138</v>
      </c>
      <c r="W864" t="s">
        <v>139</v>
      </c>
      <c r="X864">
        <v>1928762</v>
      </c>
      <c r="Y864" s="11">
        <v>44778</v>
      </c>
      <c r="Z864" t="s">
        <v>57</v>
      </c>
      <c r="AA864">
        <v>2</v>
      </c>
      <c r="AB864" t="s">
        <v>57</v>
      </c>
      <c r="AD864" t="s">
        <v>57</v>
      </c>
      <c r="AE864" t="s">
        <v>57</v>
      </c>
      <c r="AF864" t="s">
        <v>57</v>
      </c>
      <c r="AG864">
        <v>1</v>
      </c>
      <c r="AH864" t="s">
        <v>57</v>
      </c>
      <c r="AL864" t="s">
        <v>57</v>
      </c>
      <c r="AM864" s="11">
        <v>44778</v>
      </c>
      <c r="AN864" t="s">
        <v>178</v>
      </c>
      <c r="AO864" t="s">
        <v>65</v>
      </c>
      <c r="AP864">
        <v>1205</v>
      </c>
      <c r="AQ864" t="s">
        <v>66</v>
      </c>
      <c r="AR864">
        <v>267456</v>
      </c>
      <c r="AU864" t="s">
        <v>57</v>
      </c>
      <c r="AV864" t="s">
        <v>68</v>
      </c>
      <c r="AX864" t="s">
        <v>57</v>
      </c>
      <c r="AY864">
        <v>631110</v>
      </c>
      <c r="AZ864">
        <v>1205.63111</v>
      </c>
      <c r="BA864" s="23" t="s">
        <v>13</v>
      </c>
    </row>
    <row r="865" spans="1:53" x14ac:dyDescent="0.25">
      <c r="A865" t="s">
        <v>134</v>
      </c>
      <c r="B865" t="s">
        <v>135</v>
      </c>
      <c r="C865">
        <v>22002301</v>
      </c>
      <c r="D865">
        <v>1205</v>
      </c>
      <c r="E865" s="11">
        <v>44778</v>
      </c>
      <c r="F865" t="s">
        <v>174</v>
      </c>
      <c r="G865">
        <v>1.03</v>
      </c>
      <c r="H865">
        <v>1.03</v>
      </c>
      <c r="I865" t="s">
        <v>56</v>
      </c>
      <c r="O865" t="s">
        <v>57</v>
      </c>
      <c r="Q865" t="s">
        <v>57</v>
      </c>
      <c r="R865" t="s">
        <v>137</v>
      </c>
      <c r="T865" t="s">
        <v>59</v>
      </c>
      <c r="U865" t="s">
        <v>60</v>
      </c>
      <c r="V865" t="s">
        <v>138</v>
      </c>
      <c r="W865" t="s">
        <v>139</v>
      </c>
      <c r="X865">
        <v>1928762</v>
      </c>
      <c r="Y865" s="11">
        <v>44778</v>
      </c>
      <c r="Z865" t="s">
        <v>57</v>
      </c>
      <c r="AA865">
        <v>2</v>
      </c>
      <c r="AB865" t="s">
        <v>57</v>
      </c>
      <c r="AD865" t="s">
        <v>57</v>
      </c>
      <c r="AE865" t="s">
        <v>57</v>
      </c>
      <c r="AF865" t="s">
        <v>57</v>
      </c>
      <c r="AG865">
        <v>1</v>
      </c>
      <c r="AH865" t="s">
        <v>57</v>
      </c>
      <c r="AL865" t="s">
        <v>57</v>
      </c>
      <c r="AM865" s="11">
        <v>44778</v>
      </c>
      <c r="AN865" t="s">
        <v>178</v>
      </c>
      <c r="AO865" t="s">
        <v>65</v>
      </c>
      <c r="AP865">
        <v>1205</v>
      </c>
      <c r="AQ865" t="s">
        <v>66</v>
      </c>
      <c r="AR865">
        <v>267456</v>
      </c>
      <c r="AU865" t="s">
        <v>57</v>
      </c>
      <c r="AV865" t="s">
        <v>68</v>
      </c>
      <c r="AX865" t="s">
        <v>57</v>
      </c>
      <c r="AY865">
        <v>631110</v>
      </c>
      <c r="AZ865">
        <v>1205.63111</v>
      </c>
      <c r="BA865" s="23" t="s">
        <v>13</v>
      </c>
    </row>
    <row r="866" spans="1:53" x14ac:dyDescent="0.25">
      <c r="A866" t="s">
        <v>134</v>
      </c>
      <c r="B866" t="s">
        <v>135</v>
      </c>
      <c r="C866">
        <v>22002302</v>
      </c>
      <c r="D866">
        <v>1205</v>
      </c>
      <c r="E866" s="11">
        <v>44778</v>
      </c>
      <c r="F866" t="s">
        <v>174</v>
      </c>
      <c r="G866">
        <v>0.67</v>
      </c>
      <c r="H866">
        <v>0.67</v>
      </c>
      <c r="I866" t="s">
        <v>56</v>
      </c>
      <c r="O866" t="s">
        <v>57</v>
      </c>
      <c r="Q866" t="s">
        <v>57</v>
      </c>
      <c r="R866" t="s">
        <v>137</v>
      </c>
      <c r="T866" t="s">
        <v>59</v>
      </c>
      <c r="U866" t="s">
        <v>60</v>
      </c>
      <c r="V866" t="s">
        <v>138</v>
      </c>
      <c r="W866" t="s">
        <v>139</v>
      </c>
      <c r="X866">
        <v>1928762</v>
      </c>
      <c r="Y866" s="11">
        <v>44778</v>
      </c>
      <c r="Z866" t="s">
        <v>57</v>
      </c>
      <c r="AA866">
        <v>2</v>
      </c>
      <c r="AB866" t="s">
        <v>57</v>
      </c>
      <c r="AD866" t="s">
        <v>57</v>
      </c>
      <c r="AE866" t="s">
        <v>57</v>
      </c>
      <c r="AF866" t="s">
        <v>57</v>
      </c>
      <c r="AG866">
        <v>1</v>
      </c>
      <c r="AH866" t="s">
        <v>57</v>
      </c>
      <c r="AL866" t="s">
        <v>57</v>
      </c>
      <c r="AM866" s="11">
        <v>44778</v>
      </c>
      <c r="AN866" t="s">
        <v>178</v>
      </c>
      <c r="AO866" t="s">
        <v>65</v>
      </c>
      <c r="AP866">
        <v>1205</v>
      </c>
      <c r="AQ866" t="s">
        <v>66</v>
      </c>
      <c r="AR866">
        <v>88765</v>
      </c>
      <c r="AU866" t="s">
        <v>57</v>
      </c>
      <c r="AV866" t="s">
        <v>68</v>
      </c>
      <c r="AX866" t="s">
        <v>57</v>
      </c>
      <c r="AY866">
        <v>631110</v>
      </c>
      <c r="AZ866">
        <v>1205.63111</v>
      </c>
      <c r="BA866" s="23" t="s">
        <v>13</v>
      </c>
    </row>
    <row r="867" spans="1:53" x14ac:dyDescent="0.25">
      <c r="A867" t="s">
        <v>134</v>
      </c>
      <c r="B867" t="s">
        <v>135</v>
      </c>
      <c r="C867">
        <v>22002303</v>
      </c>
      <c r="D867">
        <v>1205</v>
      </c>
      <c r="E867" s="11">
        <v>44778</v>
      </c>
      <c r="F867" t="s">
        <v>174</v>
      </c>
      <c r="G867">
        <v>3.36</v>
      </c>
      <c r="H867">
        <v>3.36</v>
      </c>
      <c r="I867" t="s">
        <v>56</v>
      </c>
      <c r="O867" t="s">
        <v>57</v>
      </c>
      <c r="Q867" t="s">
        <v>57</v>
      </c>
      <c r="R867" t="s">
        <v>137</v>
      </c>
      <c r="T867" t="s">
        <v>59</v>
      </c>
      <c r="U867" t="s">
        <v>60</v>
      </c>
      <c r="V867" t="s">
        <v>138</v>
      </c>
      <c r="W867" t="s">
        <v>139</v>
      </c>
      <c r="X867">
        <v>1928762</v>
      </c>
      <c r="Y867" s="11">
        <v>44778</v>
      </c>
      <c r="Z867" t="s">
        <v>57</v>
      </c>
      <c r="AA867">
        <v>2</v>
      </c>
      <c r="AB867" t="s">
        <v>57</v>
      </c>
      <c r="AD867" t="s">
        <v>57</v>
      </c>
      <c r="AE867" t="s">
        <v>57</v>
      </c>
      <c r="AF867" t="s">
        <v>57</v>
      </c>
      <c r="AG867">
        <v>1</v>
      </c>
      <c r="AH867" t="s">
        <v>57</v>
      </c>
      <c r="AL867" t="s">
        <v>57</v>
      </c>
      <c r="AM867" s="11">
        <v>44778</v>
      </c>
      <c r="AN867" t="s">
        <v>178</v>
      </c>
      <c r="AO867" t="s">
        <v>65</v>
      </c>
      <c r="AP867">
        <v>1205</v>
      </c>
      <c r="AQ867" t="s">
        <v>66</v>
      </c>
      <c r="AR867">
        <v>206793</v>
      </c>
      <c r="AU867" t="s">
        <v>57</v>
      </c>
      <c r="AV867" t="s">
        <v>68</v>
      </c>
      <c r="AX867" t="s">
        <v>57</v>
      </c>
      <c r="AY867">
        <v>631110</v>
      </c>
      <c r="AZ867">
        <v>1205.63111</v>
      </c>
      <c r="BA867" s="23" t="s">
        <v>13</v>
      </c>
    </row>
    <row r="868" spans="1:53" x14ac:dyDescent="0.25">
      <c r="A868" t="s">
        <v>134</v>
      </c>
      <c r="B868" t="s">
        <v>135</v>
      </c>
      <c r="C868">
        <v>22002304</v>
      </c>
      <c r="D868">
        <v>1205</v>
      </c>
      <c r="E868" s="11">
        <v>44778</v>
      </c>
      <c r="F868" t="s">
        <v>174</v>
      </c>
      <c r="G868">
        <v>1.42</v>
      </c>
      <c r="H868">
        <v>1.42</v>
      </c>
      <c r="I868" t="s">
        <v>56</v>
      </c>
      <c r="O868" t="s">
        <v>57</v>
      </c>
      <c r="Q868" t="s">
        <v>57</v>
      </c>
      <c r="R868" t="s">
        <v>137</v>
      </c>
      <c r="T868" t="s">
        <v>59</v>
      </c>
      <c r="U868" t="s">
        <v>60</v>
      </c>
      <c r="V868" t="s">
        <v>138</v>
      </c>
      <c r="W868" t="s">
        <v>139</v>
      </c>
      <c r="X868">
        <v>1928764</v>
      </c>
      <c r="Y868" s="11">
        <v>44778</v>
      </c>
      <c r="Z868" t="s">
        <v>57</v>
      </c>
      <c r="AA868">
        <v>2</v>
      </c>
      <c r="AB868" t="s">
        <v>57</v>
      </c>
      <c r="AD868" t="s">
        <v>57</v>
      </c>
      <c r="AE868" t="s">
        <v>57</v>
      </c>
      <c r="AF868" t="s">
        <v>57</v>
      </c>
      <c r="AG868">
        <v>1</v>
      </c>
      <c r="AH868" t="s">
        <v>57</v>
      </c>
      <c r="AL868" t="s">
        <v>57</v>
      </c>
      <c r="AM868" s="11">
        <v>44778</v>
      </c>
      <c r="AN868" t="s">
        <v>178</v>
      </c>
      <c r="AO868" t="s">
        <v>65</v>
      </c>
      <c r="AP868">
        <v>1205</v>
      </c>
      <c r="AQ868" t="s">
        <v>66</v>
      </c>
      <c r="AR868">
        <v>88624</v>
      </c>
      <c r="AU868" t="s">
        <v>57</v>
      </c>
      <c r="AV868" t="s">
        <v>68</v>
      </c>
      <c r="AX868" t="s">
        <v>57</v>
      </c>
      <c r="AY868">
        <v>631110</v>
      </c>
      <c r="AZ868">
        <v>1205.63111</v>
      </c>
      <c r="BA868" s="23" t="s">
        <v>13</v>
      </c>
    </row>
    <row r="869" spans="1:53" x14ac:dyDescent="0.25">
      <c r="A869" t="s">
        <v>134</v>
      </c>
      <c r="B869" t="s">
        <v>135</v>
      </c>
      <c r="C869">
        <v>22002305</v>
      </c>
      <c r="D869">
        <v>1205</v>
      </c>
      <c r="E869" s="11">
        <v>44778</v>
      </c>
      <c r="F869" t="s">
        <v>174</v>
      </c>
      <c r="G869">
        <v>1.95</v>
      </c>
      <c r="H869">
        <v>1.95</v>
      </c>
      <c r="I869" t="s">
        <v>56</v>
      </c>
      <c r="O869" t="s">
        <v>57</v>
      </c>
      <c r="Q869" t="s">
        <v>57</v>
      </c>
      <c r="R869" t="s">
        <v>137</v>
      </c>
      <c r="T869" t="s">
        <v>59</v>
      </c>
      <c r="U869" t="s">
        <v>60</v>
      </c>
      <c r="V869" t="s">
        <v>138</v>
      </c>
      <c r="W869" t="s">
        <v>139</v>
      </c>
      <c r="X869">
        <v>1928765</v>
      </c>
      <c r="Y869" s="11">
        <v>44778</v>
      </c>
      <c r="Z869" t="s">
        <v>57</v>
      </c>
      <c r="AA869">
        <v>2</v>
      </c>
      <c r="AB869" t="s">
        <v>57</v>
      </c>
      <c r="AD869" t="s">
        <v>57</v>
      </c>
      <c r="AE869" t="s">
        <v>57</v>
      </c>
      <c r="AF869" t="s">
        <v>57</v>
      </c>
      <c r="AG869">
        <v>2</v>
      </c>
      <c r="AH869" t="s">
        <v>57</v>
      </c>
      <c r="AL869" t="s">
        <v>57</v>
      </c>
      <c r="AM869" s="11">
        <v>44778</v>
      </c>
      <c r="AN869" t="s">
        <v>178</v>
      </c>
      <c r="AO869" t="s">
        <v>65</v>
      </c>
      <c r="AP869">
        <v>1205</v>
      </c>
      <c r="AQ869" t="s">
        <v>66</v>
      </c>
      <c r="AR869">
        <v>89486</v>
      </c>
      <c r="AU869" t="s">
        <v>57</v>
      </c>
      <c r="AV869" t="s">
        <v>68</v>
      </c>
      <c r="AX869" t="s">
        <v>57</v>
      </c>
      <c r="AY869">
        <v>631110</v>
      </c>
      <c r="AZ869">
        <v>1205.63111</v>
      </c>
      <c r="BA869" s="23" t="s">
        <v>13</v>
      </c>
    </row>
    <row r="870" spans="1:53" x14ac:dyDescent="0.25">
      <c r="A870" t="s">
        <v>134</v>
      </c>
      <c r="B870" t="s">
        <v>135</v>
      </c>
      <c r="C870">
        <v>22002306</v>
      </c>
      <c r="D870">
        <v>1205</v>
      </c>
      <c r="E870" s="11">
        <v>44778</v>
      </c>
      <c r="F870" t="s">
        <v>174</v>
      </c>
      <c r="G870">
        <v>55.03</v>
      </c>
      <c r="H870">
        <v>55.03</v>
      </c>
      <c r="I870" t="s">
        <v>56</v>
      </c>
      <c r="O870" t="s">
        <v>57</v>
      </c>
      <c r="Q870" t="s">
        <v>57</v>
      </c>
      <c r="R870" t="s">
        <v>137</v>
      </c>
      <c r="T870" t="s">
        <v>59</v>
      </c>
      <c r="U870" t="s">
        <v>60</v>
      </c>
      <c r="V870" t="s">
        <v>138</v>
      </c>
      <c r="W870" t="s">
        <v>139</v>
      </c>
      <c r="X870">
        <v>1928765</v>
      </c>
      <c r="Y870" s="11">
        <v>44778</v>
      </c>
      <c r="Z870" t="s">
        <v>57</v>
      </c>
      <c r="AA870">
        <v>2</v>
      </c>
      <c r="AB870" t="s">
        <v>57</v>
      </c>
      <c r="AD870" t="s">
        <v>57</v>
      </c>
      <c r="AE870" t="s">
        <v>57</v>
      </c>
      <c r="AF870" t="s">
        <v>57</v>
      </c>
      <c r="AG870">
        <v>1</v>
      </c>
      <c r="AH870" t="s">
        <v>57</v>
      </c>
      <c r="AL870" t="s">
        <v>57</v>
      </c>
      <c r="AM870" s="11">
        <v>44778</v>
      </c>
      <c r="AN870" t="s">
        <v>178</v>
      </c>
      <c r="AO870" t="s">
        <v>65</v>
      </c>
      <c r="AP870">
        <v>1205</v>
      </c>
      <c r="AQ870" t="s">
        <v>66</v>
      </c>
      <c r="AR870">
        <v>236484</v>
      </c>
      <c r="AU870" t="s">
        <v>57</v>
      </c>
      <c r="AV870" t="s">
        <v>68</v>
      </c>
      <c r="AX870" t="s">
        <v>57</v>
      </c>
      <c r="AY870">
        <v>631110</v>
      </c>
      <c r="AZ870">
        <v>1205.63111</v>
      </c>
      <c r="BA870" s="23" t="s">
        <v>13</v>
      </c>
    </row>
    <row r="871" spans="1:53" x14ac:dyDescent="0.25">
      <c r="A871" t="s">
        <v>134</v>
      </c>
      <c r="B871" t="s">
        <v>135</v>
      </c>
      <c r="C871">
        <v>22002307</v>
      </c>
      <c r="D871">
        <v>1205</v>
      </c>
      <c r="E871" s="11">
        <v>44778</v>
      </c>
      <c r="F871" t="s">
        <v>179</v>
      </c>
      <c r="G871">
        <v>0.46</v>
      </c>
      <c r="H871">
        <v>0.46</v>
      </c>
      <c r="I871" t="s">
        <v>56</v>
      </c>
      <c r="O871" t="s">
        <v>57</v>
      </c>
      <c r="Q871" t="s">
        <v>57</v>
      </c>
      <c r="R871" t="s">
        <v>137</v>
      </c>
      <c r="T871" t="s">
        <v>59</v>
      </c>
      <c r="U871" t="s">
        <v>60</v>
      </c>
      <c r="V871" t="s">
        <v>138</v>
      </c>
      <c r="W871" t="s">
        <v>139</v>
      </c>
      <c r="X871">
        <v>1928768</v>
      </c>
      <c r="Y871" s="11">
        <v>44778</v>
      </c>
      <c r="Z871" t="s">
        <v>57</v>
      </c>
      <c r="AA871">
        <v>2</v>
      </c>
      <c r="AB871" t="s">
        <v>57</v>
      </c>
      <c r="AD871" t="s">
        <v>57</v>
      </c>
      <c r="AE871" t="s">
        <v>57</v>
      </c>
      <c r="AF871" t="s">
        <v>57</v>
      </c>
      <c r="AG871">
        <v>6</v>
      </c>
      <c r="AH871" t="s">
        <v>57</v>
      </c>
      <c r="AL871" t="s">
        <v>57</v>
      </c>
      <c r="AM871" s="11">
        <v>44778</v>
      </c>
      <c r="AN871" t="s">
        <v>180</v>
      </c>
      <c r="AO871" t="s">
        <v>65</v>
      </c>
      <c r="AP871">
        <v>1205</v>
      </c>
      <c r="AQ871" t="s">
        <v>66</v>
      </c>
      <c r="AR871">
        <v>264688</v>
      </c>
      <c r="AU871" t="s">
        <v>57</v>
      </c>
      <c r="AV871" t="s">
        <v>68</v>
      </c>
      <c r="AX871" t="s">
        <v>57</v>
      </c>
      <c r="AY871">
        <v>631110</v>
      </c>
      <c r="AZ871">
        <v>1205.63111</v>
      </c>
      <c r="BA871" s="23" t="s">
        <v>13</v>
      </c>
    </row>
    <row r="872" spans="1:53" x14ac:dyDescent="0.25">
      <c r="A872" t="s">
        <v>134</v>
      </c>
      <c r="B872" t="s">
        <v>135</v>
      </c>
      <c r="C872">
        <v>22002307</v>
      </c>
      <c r="D872">
        <v>1205</v>
      </c>
      <c r="E872" s="11">
        <v>44778</v>
      </c>
      <c r="F872" t="s">
        <v>179</v>
      </c>
      <c r="G872">
        <v>0.57999999999999996</v>
      </c>
      <c r="H872">
        <v>0.57999999999999996</v>
      </c>
      <c r="I872" t="s">
        <v>56</v>
      </c>
      <c r="O872" t="s">
        <v>57</v>
      </c>
      <c r="Q872" t="s">
        <v>57</v>
      </c>
      <c r="R872" t="s">
        <v>137</v>
      </c>
      <c r="T872" t="s">
        <v>59</v>
      </c>
      <c r="U872" t="s">
        <v>60</v>
      </c>
      <c r="V872" t="s">
        <v>138</v>
      </c>
      <c r="W872" t="s">
        <v>139</v>
      </c>
      <c r="X872">
        <v>1928768</v>
      </c>
      <c r="Y872" s="11">
        <v>44778</v>
      </c>
      <c r="Z872" t="s">
        <v>57</v>
      </c>
      <c r="AA872">
        <v>4</v>
      </c>
      <c r="AB872" t="s">
        <v>57</v>
      </c>
      <c r="AD872" t="s">
        <v>57</v>
      </c>
      <c r="AE872" t="s">
        <v>57</v>
      </c>
      <c r="AF872" t="s">
        <v>57</v>
      </c>
      <c r="AG872">
        <v>7</v>
      </c>
      <c r="AH872" t="s">
        <v>57</v>
      </c>
      <c r="AL872" t="s">
        <v>57</v>
      </c>
      <c r="AM872" s="11">
        <v>44778</v>
      </c>
      <c r="AN872" t="s">
        <v>180</v>
      </c>
      <c r="AO872" t="s">
        <v>65</v>
      </c>
      <c r="AP872">
        <v>1205</v>
      </c>
      <c r="AQ872" t="s">
        <v>66</v>
      </c>
      <c r="AR872">
        <v>265878</v>
      </c>
      <c r="AU872" t="s">
        <v>57</v>
      </c>
      <c r="AV872" t="s">
        <v>68</v>
      </c>
      <c r="AX872" t="s">
        <v>57</v>
      </c>
      <c r="AY872">
        <v>631110</v>
      </c>
      <c r="AZ872">
        <v>1205.63111</v>
      </c>
      <c r="BA872" s="23" t="s">
        <v>13</v>
      </c>
    </row>
    <row r="873" spans="1:53" x14ac:dyDescent="0.25">
      <c r="A873" t="s">
        <v>134</v>
      </c>
      <c r="B873" t="s">
        <v>135</v>
      </c>
      <c r="C873">
        <v>22002307</v>
      </c>
      <c r="D873">
        <v>1205</v>
      </c>
      <c r="E873" s="11">
        <v>44778</v>
      </c>
      <c r="F873" t="s">
        <v>179</v>
      </c>
      <c r="G873">
        <v>0.75</v>
      </c>
      <c r="H873">
        <v>0.75</v>
      </c>
      <c r="I873" t="s">
        <v>56</v>
      </c>
      <c r="O873" t="s">
        <v>57</v>
      </c>
      <c r="Q873" t="s">
        <v>57</v>
      </c>
      <c r="R873" t="s">
        <v>137</v>
      </c>
      <c r="T873" t="s">
        <v>59</v>
      </c>
      <c r="U873" t="s">
        <v>60</v>
      </c>
      <c r="V873" t="s">
        <v>138</v>
      </c>
      <c r="W873" t="s">
        <v>139</v>
      </c>
      <c r="X873">
        <v>1928768</v>
      </c>
      <c r="Y873" s="11">
        <v>44778</v>
      </c>
      <c r="Z873" t="s">
        <v>57</v>
      </c>
      <c r="AA873">
        <v>6</v>
      </c>
      <c r="AB873" t="s">
        <v>57</v>
      </c>
      <c r="AD873" t="s">
        <v>57</v>
      </c>
      <c r="AE873" t="s">
        <v>57</v>
      </c>
      <c r="AF873" t="s">
        <v>57</v>
      </c>
      <c r="AG873">
        <v>10</v>
      </c>
      <c r="AH873" t="s">
        <v>57</v>
      </c>
      <c r="AL873" t="s">
        <v>57</v>
      </c>
      <c r="AM873" s="11">
        <v>44778</v>
      </c>
      <c r="AN873" t="s">
        <v>180</v>
      </c>
      <c r="AO873" t="s">
        <v>65</v>
      </c>
      <c r="AP873">
        <v>1205</v>
      </c>
      <c r="AQ873" t="s">
        <v>66</v>
      </c>
      <c r="AR873">
        <v>91479</v>
      </c>
      <c r="AU873" t="s">
        <v>57</v>
      </c>
      <c r="AV873" t="s">
        <v>68</v>
      </c>
      <c r="AX873" t="s">
        <v>57</v>
      </c>
      <c r="AY873">
        <v>631110</v>
      </c>
      <c r="AZ873">
        <v>1205.63111</v>
      </c>
      <c r="BA873" s="23" t="s">
        <v>13</v>
      </c>
    </row>
    <row r="874" spans="1:53" x14ac:dyDescent="0.25">
      <c r="A874" t="s">
        <v>134</v>
      </c>
      <c r="B874" t="s">
        <v>135</v>
      </c>
      <c r="C874">
        <v>22002307</v>
      </c>
      <c r="D874">
        <v>1205</v>
      </c>
      <c r="E874" s="11">
        <v>44778</v>
      </c>
      <c r="F874" t="s">
        <v>179</v>
      </c>
      <c r="G874">
        <v>0.91</v>
      </c>
      <c r="H874">
        <v>0.91</v>
      </c>
      <c r="I874" t="s">
        <v>56</v>
      </c>
      <c r="O874" t="s">
        <v>57</v>
      </c>
      <c r="Q874" t="s">
        <v>57</v>
      </c>
      <c r="R874" t="s">
        <v>137</v>
      </c>
      <c r="T874" t="s">
        <v>59</v>
      </c>
      <c r="U874" t="s">
        <v>60</v>
      </c>
      <c r="V874" t="s">
        <v>138</v>
      </c>
      <c r="W874" t="s">
        <v>139</v>
      </c>
      <c r="X874">
        <v>1928768</v>
      </c>
      <c r="Y874" s="11">
        <v>44778</v>
      </c>
      <c r="Z874" t="s">
        <v>57</v>
      </c>
      <c r="AA874">
        <v>8</v>
      </c>
      <c r="AB874" t="s">
        <v>57</v>
      </c>
      <c r="AD874" t="s">
        <v>57</v>
      </c>
      <c r="AE874" t="s">
        <v>57</v>
      </c>
      <c r="AF874" t="s">
        <v>57</v>
      </c>
      <c r="AG874">
        <v>8</v>
      </c>
      <c r="AH874" t="s">
        <v>57</v>
      </c>
      <c r="AL874" t="s">
        <v>57</v>
      </c>
      <c r="AM874" s="11">
        <v>44778</v>
      </c>
      <c r="AN874" t="s">
        <v>180</v>
      </c>
      <c r="AO874" t="s">
        <v>65</v>
      </c>
      <c r="AP874">
        <v>1205</v>
      </c>
      <c r="AQ874" t="s">
        <v>66</v>
      </c>
      <c r="AR874">
        <v>265889</v>
      </c>
      <c r="AU874" t="s">
        <v>57</v>
      </c>
      <c r="AV874" t="s">
        <v>68</v>
      </c>
      <c r="AX874" t="s">
        <v>57</v>
      </c>
      <c r="AY874">
        <v>631110</v>
      </c>
      <c r="AZ874">
        <v>1205.63111</v>
      </c>
      <c r="BA874" s="23" t="s">
        <v>13</v>
      </c>
    </row>
    <row r="875" spans="1:53" x14ac:dyDescent="0.25">
      <c r="A875" t="s">
        <v>134</v>
      </c>
      <c r="B875" t="s">
        <v>135</v>
      </c>
      <c r="C875">
        <v>22002307</v>
      </c>
      <c r="D875">
        <v>1205</v>
      </c>
      <c r="E875" s="11">
        <v>44778</v>
      </c>
      <c r="F875" t="s">
        <v>179</v>
      </c>
      <c r="G875">
        <v>0.54</v>
      </c>
      <c r="H875">
        <v>0.54</v>
      </c>
      <c r="I875" t="s">
        <v>56</v>
      </c>
      <c r="O875" t="s">
        <v>57</v>
      </c>
      <c r="Q875" t="s">
        <v>57</v>
      </c>
      <c r="R875" t="s">
        <v>137</v>
      </c>
      <c r="T875" t="s">
        <v>59</v>
      </c>
      <c r="U875" t="s">
        <v>60</v>
      </c>
      <c r="V875" t="s">
        <v>138</v>
      </c>
      <c r="W875" t="s">
        <v>139</v>
      </c>
      <c r="X875">
        <v>1928768</v>
      </c>
      <c r="Y875" s="11">
        <v>44778</v>
      </c>
      <c r="Z875" t="s">
        <v>57</v>
      </c>
      <c r="AA875">
        <v>10</v>
      </c>
      <c r="AB875" t="s">
        <v>57</v>
      </c>
      <c r="AD875" t="s">
        <v>57</v>
      </c>
      <c r="AE875" t="s">
        <v>57</v>
      </c>
      <c r="AF875" t="s">
        <v>57</v>
      </c>
      <c r="AG875">
        <v>5</v>
      </c>
      <c r="AH875" t="s">
        <v>57</v>
      </c>
      <c r="AL875" t="s">
        <v>57</v>
      </c>
      <c r="AM875" s="11">
        <v>44778</v>
      </c>
      <c r="AN875" t="s">
        <v>180</v>
      </c>
      <c r="AO875" t="s">
        <v>65</v>
      </c>
      <c r="AP875">
        <v>1205</v>
      </c>
      <c r="AQ875" t="s">
        <v>66</v>
      </c>
      <c r="AR875">
        <v>90435</v>
      </c>
      <c r="AU875" t="s">
        <v>57</v>
      </c>
      <c r="AV875" t="s">
        <v>68</v>
      </c>
      <c r="AX875" t="s">
        <v>57</v>
      </c>
      <c r="AY875">
        <v>631110</v>
      </c>
      <c r="AZ875">
        <v>1205.63111</v>
      </c>
      <c r="BA875" s="23" t="s">
        <v>13</v>
      </c>
    </row>
    <row r="876" spans="1:53" x14ac:dyDescent="0.25">
      <c r="A876" t="s">
        <v>134</v>
      </c>
      <c r="B876" t="s">
        <v>135</v>
      </c>
      <c r="C876">
        <v>22002307</v>
      </c>
      <c r="D876">
        <v>1205</v>
      </c>
      <c r="E876" s="11">
        <v>44778</v>
      </c>
      <c r="F876" t="s">
        <v>179</v>
      </c>
      <c r="G876">
        <v>0.13</v>
      </c>
      <c r="H876">
        <v>0.13</v>
      </c>
      <c r="I876" t="s">
        <v>56</v>
      </c>
      <c r="O876" t="s">
        <v>57</v>
      </c>
      <c r="Q876" t="s">
        <v>57</v>
      </c>
      <c r="R876" t="s">
        <v>137</v>
      </c>
      <c r="T876" t="s">
        <v>59</v>
      </c>
      <c r="U876" t="s">
        <v>60</v>
      </c>
      <c r="V876" t="s">
        <v>138</v>
      </c>
      <c r="W876" t="s">
        <v>139</v>
      </c>
      <c r="X876">
        <v>1928768</v>
      </c>
      <c r="Y876" s="11">
        <v>44778</v>
      </c>
      <c r="Z876" t="s">
        <v>57</v>
      </c>
      <c r="AA876">
        <v>12</v>
      </c>
      <c r="AB876" t="s">
        <v>57</v>
      </c>
      <c r="AD876" t="s">
        <v>57</v>
      </c>
      <c r="AE876" t="s">
        <v>57</v>
      </c>
      <c r="AF876" t="s">
        <v>57</v>
      </c>
      <c r="AG876">
        <v>1</v>
      </c>
      <c r="AH876" t="s">
        <v>57</v>
      </c>
      <c r="AL876" t="s">
        <v>57</v>
      </c>
      <c r="AM876" s="11">
        <v>44778</v>
      </c>
      <c r="AN876" t="s">
        <v>180</v>
      </c>
      <c r="AO876" t="s">
        <v>65</v>
      </c>
      <c r="AP876">
        <v>1205</v>
      </c>
      <c r="AQ876" t="s">
        <v>66</v>
      </c>
      <c r="AR876">
        <v>265216</v>
      </c>
      <c r="AU876" t="s">
        <v>57</v>
      </c>
      <c r="AV876" t="s">
        <v>68</v>
      </c>
      <c r="AX876" t="s">
        <v>57</v>
      </c>
      <c r="AY876">
        <v>631110</v>
      </c>
      <c r="AZ876">
        <v>1205.63111</v>
      </c>
      <c r="BA876" s="23" t="s">
        <v>13</v>
      </c>
    </row>
    <row r="877" spans="1:53" x14ac:dyDescent="0.25">
      <c r="A877" t="s">
        <v>134</v>
      </c>
      <c r="B877" t="s">
        <v>135</v>
      </c>
      <c r="C877">
        <v>22002307</v>
      </c>
      <c r="D877">
        <v>1205</v>
      </c>
      <c r="E877" s="11">
        <v>44778</v>
      </c>
      <c r="F877" t="s">
        <v>179</v>
      </c>
      <c r="G877">
        <v>0.32</v>
      </c>
      <c r="H877">
        <v>0.32</v>
      </c>
      <c r="I877" t="s">
        <v>56</v>
      </c>
      <c r="O877" t="s">
        <v>57</v>
      </c>
      <c r="Q877" t="s">
        <v>57</v>
      </c>
      <c r="R877" t="s">
        <v>137</v>
      </c>
      <c r="T877" t="s">
        <v>59</v>
      </c>
      <c r="U877" t="s">
        <v>60</v>
      </c>
      <c r="V877" t="s">
        <v>138</v>
      </c>
      <c r="W877" t="s">
        <v>139</v>
      </c>
      <c r="X877">
        <v>1928768</v>
      </c>
      <c r="Y877" s="11">
        <v>44778</v>
      </c>
      <c r="Z877" t="s">
        <v>57</v>
      </c>
      <c r="AA877">
        <v>14</v>
      </c>
      <c r="AB877" t="s">
        <v>57</v>
      </c>
      <c r="AD877" t="s">
        <v>57</v>
      </c>
      <c r="AE877" t="s">
        <v>57</v>
      </c>
      <c r="AF877" t="s">
        <v>57</v>
      </c>
      <c r="AG877">
        <v>4</v>
      </c>
      <c r="AH877" t="s">
        <v>57</v>
      </c>
      <c r="AL877" t="s">
        <v>57</v>
      </c>
      <c r="AM877" s="11">
        <v>44778</v>
      </c>
      <c r="AN877" t="s">
        <v>180</v>
      </c>
      <c r="AO877" t="s">
        <v>65</v>
      </c>
      <c r="AP877">
        <v>1205</v>
      </c>
      <c r="AQ877" t="s">
        <v>66</v>
      </c>
      <c r="AR877">
        <v>88642</v>
      </c>
      <c r="AU877" t="s">
        <v>57</v>
      </c>
      <c r="AV877" t="s">
        <v>68</v>
      </c>
      <c r="AX877" t="s">
        <v>57</v>
      </c>
      <c r="AY877">
        <v>631110</v>
      </c>
      <c r="AZ877">
        <v>1205.63111</v>
      </c>
      <c r="BA877" s="23" t="s">
        <v>13</v>
      </c>
    </row>
    <row r="878" spans="1:53" x14ac:dyDescent="0.25">
      <c r="A878" t="s">
        <v>134</v>
      </c>
      <c r="B878" t="s">
        <v>135</v>
      </c>
      <c r="C878">
        <v>22002307</v>
      </c>
      <c r="D878">
        <v>1205</v>
      </c>
      <c r="E878" s="11">
        <v>44778</v>
      </c>
      <c r="F878" t="s">
        <v>179</v>
      </c>
      <c r="G878">
        <v>0.12</v>
      </c>
      <c r="H878">
        <v>0.12</v>
      </c>
      <c r="I878" t="s">
        <v>56</v>
      </c>
      <c r="O878" t="s">
        <v>57</v>
      </c>
      <c r="Q878" t="s">
        <v>57</v>
      </c>
      <c r="R878" t="s">
        <v>137</v>
      </c>
      <c r="T878" t="s">
        <v>59</v>
      </c>
      <c r="U878" t="s">
        <v>60</v>
      </c>
      <c r="V878" t="s">
        <v>138</v>
      </c>
      <c r="W878" t="s">
        <v>139</v>
      </c>
      <c r="X878">
        <v>1928768</v>
      </c>
      <c r="Y878" s="11">
        <v>44778</v>
      </c>
      <c r="Z878" t="s">
        <v>57</v>
      </c>
      <c r="AA878">
        <v>16</v>
      </c>
      <c r="AB878" t="s">
        <v>57</v>
      </c>
      <c r="AD878" t="s">
        <v>57</v>
      </c>
      <c r="AE878" t="s">
        <v>57</v>
      </c>
      <c r="AF878" t="s">
        <v>57</v>
      </c>
      <c r="AG878">
        <v>1</v>
      </c>
      <c r="AH878" t="s">
        <v>57</v>
      </c>
      <c r="AL878" t="s">
        <v>57</v>
      </c>
      <c r="AM878" s="11">
        <v>44778</v>
      </c>
      <c r="AN878" t="s">
        <v>180</v>
      </c>
      <c r="AO878" t="s">
        <v>65</v>
      </c>
      <c r="AP878">
        <v>1205</v>
      </c>
      <c r="AQ878" t="s">
        <v>66</v>
      </c>
      <c r="AR878">
        <v>265217</v>
      </c>
      <c r="AU878" t="s">
        <v>57</v>
      </c>
      <c r="AV878" t="s">
        <v>68</v>
      </c>
      <c r="AX878" t="s">
        <v>57</v>
      </c>
      <c r="AY878">
        <v>631110</v>
      </c>
      <c r="AZ878">
        <v>1205.63111</v>
      </c>
      <c r="BA878" s="23" t="s">
        <v>13</v>
      </c>
    </row>
    <row r="879" spans="1:53" x14ac:dyDescent="0.25">
      <c r="A879" t="s">
        <v>134</v>
      </c>
      <c r="B879" t="s">
        <v>135</v>
      </c>
      <c r="C879">
        <v>22002307</v>
      </c>
      <c r="D879">
        <v>1205</v>
      </c>
      <c r="E879" s="11">
        <v>44778</v>
      </c>
      <c r="F879" t="s">
        <v>179</v>
      </c>
      <c r="G879">
        <v>1.53</v>
      </c>
      <c r="H879">
        <v>1.53</v>
      </c>
      <c r="I879" t="s">
        <v>56</v>
      </c>
      <c r="O879" t="s">
        <v>57</v>
      </c>
      <c r="Q879" t="s">
        <v>57</v>
      </c>
      <c r="R879" t="s">
        <v>137</v>
      </c>
      <c r="T879" t="s">
        <v>59</v>
      </c>
      <c r="U879" t="s">
        <v>60</v>
      </c>
      <c r="V879" t="s">
        <v>138</v>
      </c>
      <c r="W879" t="s">
        <v>139</v>
      </c>
      <c r="X879">
        <v>1928768</v>
      </c>
      <c r="Y879" s="11">
        <v>44778</v>
      </c>
      <c r="Z879" t="s">
        <v>57</v>
      </c>
      <c r="AA879">
        <v>18</v>
      </c>
      <c r="AB879" t="s">
        <v>57</v>
      </c>
      <c r="AD879" t="s">
        <v>57</v>
      </c>
      <c r="AE879" t="s">
        <v>57</v>
      </c>
      <c r="AF879" t="s">
        <v>57</v>
      </c>
      <c r="AG879">
        <v>10</v>
      </c>
      <c r="AH879" t="s">
        <v>57</v>
      </c>
      <c r="AL879" t="s">
        <v>57</v>
      </c>
      <c r="AM879" s="11">
        <v>44778</v>
      </c>
      <c r="AN879" t="s">
        <v>180</v>
      </c>
      <c r="AO879" t="s">
        <v>65</v>
      </c>
      <c r="AP879">
        <v>1205</v>
      </c>
      <c r="AQ879" t="s">
        <v>66</v>
      </c>
      <c r="AR879">
        <v>89715</v>
      </c>
      <c r="AU879" t="s">
        <v>57</v>
      </c>
      <c r="AV879" t="s">
        <v>68</v>
      </c>
      <c r="AX879" t="s">
        <v>57</v>
      </c>
      <c r="AY879">
        <v>631110</v>
      </c>
      <c r="AZ879">
        <v>1205.63111</v>
      </c>
      <c r="BA879" s="23" t="s">
        <v>13</v>
      </c>
    </row>
    <row r="880" spans="1:53" x14ac:dyDescent="0.25">
      <c r="A880" t="s">
        <v>134</v>
      </c>
      <c r="B880" t="s">
        <v>135</v>
      </c>
      <c r="C880">
        <v>22002307</v>
      </c>
      <c r="D880">
        <v>1205</v>
      </c>
      <c r="E880" s="11">
        <v>44778</v>
      </c>
      <c r="F880" t="s">
        <v>179</v>
      </c>
      <c r="G880">
        <v>0.5</v>
      </c>
      <c r="H880">
        <v>0.5</v>
      </c>
      <c r="I880" t="s">
        <v>56</v>
      </c>
      <c r="O880" t="s">
        <v>57</v>
      </c>
      <c r="Q880" t="s">
        <v>57</v>
      </c>
      <c r="R880" t="s">
        <v>137</v>
      </c>
      <c r="T880" t="s">
        <v>59</v>
      </c>
      <c r="U880" t="s">
        <v>60</v>
      </c>
      <c r="V880" t="s">
        <v>138</v>
      </c>
      <c r="W880" t="s">
        <v>139</v>
      </c>
      <c r="X880">
        <v>1928768</v>
      </c>
      <c r="Y880" s="11">
        <v>44778</v>
      </c>
      <c r="Z880" t="s">
        <v>57</v>
      </c>
      <c r="AA880">
        <v>20</v>
      </c>
      <c r="AB880" t="s">
        <v>57</v>
      </c>
      <c r="AD880" t="s">
        <v>57</v>
      </c>
      <c r="AE880" t="s">
        <v>57</v>
      </c>
      <c r="AF880" t="s">
        <v>57</v>
      </c>
      <c r="AG880">
        <v>2</v>
      </c>
      <c r="AH880" t="s">
        <v>57</v>
      </c>
      <c r="AL880" t="s">
        <v>57</v>
      </c>
      <c r="AM880" s="11">
        <v>44778</v>
      </c>
      <c r="AN880" t="s">
        <v>180</v>
      </c>
      <c r="AO880" t="s">
        <v>65</v>
      </c>
      <c r="AP880">
        <v>1205</v>
      </c>
      <c r="AQ880" t="s">
        <v>66</v>
      </c>
      <c r="AR880">
        <v>265536</v>
      </c>
      <c r="AU880" t="s">
        <v>57</v>
      </c>
      <c r="AV880" t="s">
        <v>68</v>
      </c>
      <c r="AX880" t="s">
        <v>57</v>
      </c>
      <c r="AY880">
        <v>631110</v>
      </c>
      <c r="AZ880">
        <v>1205.63111</v>
      </c>
      <c r="BA880" s="23" t="s">
        <v>13</v>
      </c>
    </row>
    <row r="881" spans="1:53" x14ac:dyDescent="0.25">
      <c r="A881" t="s">
        <v>134</v>
      </c>
      <c r="B881" t="s">
        <v>135</v>
      </c>
      <c r="C881">
        <v>22002307</v>
      </c>
      <c r="D881">
        <v>1205</v>
      </c>
      <c r="E881" s="11">
        <v>44778</v>
      </c>
      <c r="F881" t="s">
        <v>179</v>
      </c>
      <c r="G881">
        <v>2.16</v>
      </c>
      <c r="H881">
        <v>2.16</v>
      </c>
      <c r="I881" t="s">
        <v>56</v>
      </c>
      <c r="O881" t="s">
        <v>57</v>
      </c>
      <c r="Q881" t="s">
        <v>57</v>
      </c>
      <c r="R881" t="s">
        <v>137</v>
      </c>
      <c r="T881" t="s">
        <v>59</v>
      </c>
      <c r="U881" t="s">
        <v>60</v>
      </c>
      <c r="V881" t="s">
        <v>138</v>
      </c>
      <c r="W881" t="s">
        <v>139</v>
      </c>
      <c r="X881">
        <v>1928768</v>
      </c>
      <c r="Y881" s="11">
        <v>44778</v>
      </c>
      <c r="Z881" t="s">
        <v>57</v>
      </c>
      <c r="AA881">
        <v>22</v>
      </c>
      <c r="AB881" t="s">
        <v>57</v>
      </c>
      <c r="AD881" t="s">
        <v>57</v>
      </c>
      <c r="AE881" t="s">
        <v>57</v>
      </c>
      <c r="AF881" t="s">
        <v>57</v>
      </c>
      <c r="AG881">
        <v>14</v>
      </c>
      <c r="AH881" t="s">
        <v>57</v>
      </c>
      <c r="AL881" t="s">
        <v>57</v>
      </c>
      <c r="AM881" s="11">
        <v>44778</v>
      </c>
      <c r="AN881" t="s">
        <v>180</v>
      </c>
      <c r="AO881" t="s">
        <v>65</v>
      </c>
      <c r="AP881">
        <v>1205</v>
      </c>
      <c r="AQ881" t="s">
        <v>66</v>
      </c>
      <c r="AR881">
        <v>89712</v>
      </c>
      <c r="AU881" t="s">
        <v>57</v>
      </c>
      <c r="AV881" t="s">
        <v>68</v>
      </c>
      <c r="AX881" t="s">
        <v>57</v>
      </c>
      <c r="AY881">
        <v>631110</v>
      </c>
      <c r="AZ881">
        <v>1205.63111</v>
      </c>
      <c r="BA881" s="23" t="s">
        <v>13</v>
      </c>
    </row>
    <row r="882" spans="1:53" x14ac:dyDescent="0.25">
      <c r="A882" t="s">
        <v>134</v>
      </c>
      <c r="B882" t="s">
        <v>135</v>
      </c>
      <c r="C882">
        <v>22002309</v>
      </c>
      <c r="D882">
        <v>1205</v>
      </c>
      <c r="E882" s="11">
        <v>44781</v>
      </c>
      <c r="F882" t="s">
        <v>181</v>
      </c>
      <c r="G882">
        <v>185.06</v>
      </c>
      <c r="H882">
        <v>185.06</v>
      </c>
      <c r="I882" t="s">
        <v>56</v>
      </c>
      <c r="O882" t="s">
        <v>57</v>
      </c>
      <c r="Q882" t="s">
        <v>57</v>
      </c>
      <c r="R882" t="s">
        <v>137</v>
      </c>
      <c r="T882" t="s">
        <v>59</v>
      </c>
      <c r="U882" t="s">
        <v>60</v>
      </c>
      <c r="V882" t="s">
        <v>138</v>
      </c>
      <c r="W882" t="s">
        <v>139</v>
      </c>
      <c r="X882">
        <v>1928769</v>
      </c>
      <c r="Y882" s="11">
        <v>44781</v>
      </c>
      <c r="Z882" t="s">
        <v>57</v>
      </c>
      <c r="AA882">
        <v>2</v>
      </c>
      <c r="AB882" t="s">
        <v>57</v>
      </c>
      <c r="AD882" t="s">
        <v>57</v>
      </c>
      <c r="AE882" t="s">
        <v>57</v>
      </c>
      <c r="AF882" t="s">
        <v>57</v>
      </c>
      <c r="AG882">
        <v>10</v>
      </c>
      <c r="AH882" t="s">
        <v>57</v>
      </c>
      <c r="AL882" t="s">
        <v>57</v>
      </c>
      <c r="AM882" s="11">
        <v>44781</v>
      </c>
      <c r="AN882" t="s">
        <v>178</v>
      </c>
      <c r="AO882" t="s">
        <v>65</v>
      </c>
      <c r="AP882">
        <v>1205</v>
      </c>
      <c r="AQ882" t="s">
        <v>66</v>
      </c>
      <c r="AR882">
        <v>268408</v>
      </c>
      <c r="AU882" t="s">
        <v>57</v>
      </c>
      <c r="AV882" t="s">
        <v>68</v>
      </c>
      <c r="AX882" t="s">
        <v>57</v>
      </c>
      <c r="AY882">
        <v>631110</v>
      </c>
      <c r="AZ882">
        <v>1205.63111</v>
      </c>
      <c r="BA882" s="23" t="s">
        <v>13</v>
      </c>
    </row>
    <row r="883" spans="1:53" x14ac:dyDescent="0.25">
      <c r="A883" t="s">
        <v>134</v>
      </c>
      <c r="B883" t="s">
        <v>135</v>
      </c>
      <c r="C883">
        <v>22002309</v>
      </c>
      <c r="D883">
        <v>1205</v>
      </c>
      <c r="E883" s="11">
        <v>44781</v>
      </c>
      <c r="F883" t="s">
        <v>181</v>
      </c>
      <c r="G883">
        <v>107.51</v>
      </c>
      <c r="H883">
        <v>107.51</v>
      </c>
      <c r="I883" t="s">
        <v>56</v>
      </c>
      <c r="O883" t="s">
        <v>57</v>
      </c>
      <c r="Q883" t="s">
        <v>57</v>
      </c>
      <c r="R883" t="s">
        <v>137</v>
      </c>
      <c r="T883" t="s">
        <v>59</v>
      </c>
      <c r="U883" t="s">
        <v>60</v>
      </c>
      <c r="V883" t="s">
        <v>138</v>
      </c>
      <c r="W883" t="s">
        <v>139</v>
      </c>
      <c r="X883">
        <v>1928769</v>
      </c>
      <c r="Y883" s="11">
        <v>44781</v>
      </c>
      <c r="Z883" t="s">
        <v>57</v>
      </c>
      <c r="AA883">
        <v>4</v>
      </c>
      <c r="AB883" t="s">
        <v>57</v>
      </c>
      <c r="AD883" t="s">
        <v>57</v>
      </c>
      <c r="AE883" t="s">
        <v>57</v>
      </c>
      <c r="AF883" t="s">
        <v>57</v>
      </c>
      <c r="AG883">
        <v>5</v>
      </c>
      <c r="AH883" t="s">
        <v>57</v>
      </c>
      <c r="AL883" t="s">
        <v>57</v>
      </c>
      <c r="AM883" s="11">
        <v>44781</v>
      </c>
      <c r="AN883" t="s">
        <v>178</v>
      </c>
      <c r="AO883" t="s">
        <v>65</v>
      </c>
      <c r="AP883">
        <v>1205</v>
      </c>
      <c r="AQ883" t="s">
        <v>66</v>
      </c>
      <c r="AR883">
        <v>269871</v>
      </c>
      <c r="AU883" t="s">
        <v>57</v>
      </c>
      <c r="AV883" t="s">
        <v>68</v>
      </c>
      <c r="AX883" t="s">
        <v>57</v>
      </c>
      <c r="AY883">
        <v>631110</v>
      </c>
      <c r="AZ883">
        <v>1205.63111</v>
      </c>
      <c r="BA883" s="23" t="s">
        <v>13</v>
      </c>
    </row>
    <row r="884" spans="1:53" x14ac:dyDescent="0.25">
      <c r="A884" t="s">
        <v>134</v>
      </c>
      <c r="B884" t="s">
        <v>135</v>
      </c>
      <c r="C884">
        <v>22002309</v>
      </c>
      <c r="D884">
        <v>1205</v>
      </c>
      <c r="E884" s="11">
        <v>44781</v>
      </c>
      <c r="F884" t="s">
        <v>181</v>
      </c>
      <c r="G884">
        <v>64.510000000000005</v>
      </c>
      <c r="H884">
        <v>64.510000000000005</v>
      </c>
      <c r="I884" t="s">
        <v>56</v>
      </c>
      <c r="O884" t="s">
        <v>57</v>
      </c>
      <c r="Q884" t="s">
        <v>57</v>
      </c>
      <c r="R884" t="s">
        <v>137</v>
      </c>
      <c r="T884" t="s">
        <v>59</v>
      </c>
      <c r="U884" t="s">
        <v>60</v>
      </c>
      <c r="V884" t="s">
        <v>138</v>
      </c>
      <c r="W884" t="s">
        <v>139</v>
      </c>
      <c r="X884">
        <v>1928769</v>
      </c>
      <c r="Y884" s="11">
        <v>44781</v>
      </c>
      <c r="Z884" t="s">
        <v>57</v>
      </c>
      <c r="AA884">
        <v>6</v>
      </c>
      <c r="AB884" t="s">
        <v>57</v>
      </c>
      <c r="AD884" t="s">
        <v>57</v>
      </c>
      <c r="AE884" t="s">
        <v>57</v>
      </c>
      <c r="AF884" t="s">
        <v>57</v>
      </c>
      <c r="AG884">
        <v>5</v>
      </c>
      <c r="AH884" t="s">
        <v>57</v>
      </c>
      <c r="AL884" t="s">
        <v>57</v>
      </c>
      <c r="AM884" s="11">
        <v>44781</v>
      </c>
      <c r="AN884" t="s">
        <v>178</v>
      </c>
      <c r="AO884" t="s">
        <v>65</v>
      </c>
      <c r="AP884">
        <v>1205</v>
      </c>
      <c r="AQ884" t="s">
        <v>66</v>
      </c>
      <c r="AR884">
        <v>273012</v>
      </c>
      <c r="AU884" t="s">
        <v>57</v>
      </c>
      <c r="AV884" t="s">
        <v>68</v>
      </c>
      <c r="AX884" t="s">
        <v>57</v>
      </c>
      <c r="AY884">
        <v>631110</v>
      </c>
      <c r="AZ884">
        <v>1205.63111</v>
      </c>
      <c r="BA884" s="23" t="s">
        <v>13</v>
      </c>
    </row>
    <row r="885" spans="1:53" x14ac:dyDescent="0.25">
      <c r="A885" t="s">
        <v>134</v>
      </c>
      <c r="B885" t="s">
        <v>135</v>
      </c>
      <c r="C885">
        <v>22002310</v>
      </c>
      <c r="D885">
        <v>1205</v>
      </c>
      <c r="E885" s="11">
        <v>44781</v>
      </c>
      <c r="F885" t="s">
        <v>172</v>
      </c>
      <c r="G885">
        <v>7.56</v>
      </c>
      <c r="H885">
        <v>7.56</v>
      </c>
      <c r="I885" t="s">
        <v>56</v>
      </c>
      <c r="O885" t="s">
        <v>57</v>
      </c>
      <c r="Q885" t="s">
        <v>57</v>
      </c>
      <c r="R885" t="s">
        <v>137</v>
      </c>
      <c r="T885" t="s">
        <v>59</v>
      </c>
      <c r="U885" t="s">
        <v>60</v>
      </c>
      <c r="V885" t="s">
        <v>138</v>
      </c>
      <c r="W885" t="s">
        <v>139</v>
      </c>
      <c r="X885">
        <v>1928781</v>
      </c>
      <c r="Y885" s="11">
        <v>44781</v>
      </c>
      <c r="Z885" t="s">
        <v>57</v>
      </c>
      <c r="AA885">
        <v>2</v>
      </c>
      <c r="AB885" t="s">
        <v>57</v>
      </c>
      <c r="AD885" t="s">
        <v>57</v>
      </c>
      <c r="AE885" t="s">
        <v>57</v>
      </c>
      <c r="AF885" t="s">
        <v>57</v>
      </c>
      <c r="AG885">
        <v>1</v>
      </c>
      <c r="AH885" t="s">
        <v>57</v>
      </c>
      <c r="AL885" t="s">
        <v>57</v>
      </c>
      <c r="AM885" s="11">
        <v>44781</v>
      </c>
      <c r="AN885" t="s">
        <v>178</v>
      </c>
      <c r="AO885" t="s">
        <v>65</v>
      </c>
      <c r="AP885">
        <v>1205</v>
      </c>
      <c r="AQ885" t="s">
        <v>66</v>
      </c>
      <c r="AR885">
        <v>225948</v>
      </c>
      <c r="AU885" t="s">
        <v>57</v>
      </c>
      <c r="AV885" t="s">
        <v>68</v>
      </c>
      <c r="AX885" t="s">
        <v>57</v>
      </c>
      <c r="AY885">
        <v>631110</v>
      </c>
      <c r="AZ885">
        <v>1205.63111</v>
      </c>
      <c r="BA885" s="23" t="s">
        <v>13</v>
      </c>
    </row>
    <row r="886" spans="1:53" x14ac:dyDescent="0.25">
      <c r="A886" t="s">
        <v>134</v>
      </c>
      <c r="B886" t="s">
        <v>135</v>
      </c>
      <c r="C886">
        <v>22002311</v>
      </c>
      <c r="D886">
        <v>1205</v>
      </c>
      <c r="E886" s="11">
        <v>44781</v>
      </c>
      <c r="F886" t="s">
        <v>174</v>
      </c>
      <c r="G886">
        <v>0.67</v>
      </c>
      <c r="H886">
        <v>0.67</v>
      </c>
      <c r="I886" t="s">
        <v>56</v>
      </c>
      <c r="O886" t="s">
        <v>57</v>
      </c>
      <c r="Q886" t="s">
        <v>57</v>
      </c>
      <c r="R886" t="s">
        <v>137</v>
      </c>
      <c r="T886" t="s">
        <v>59</v>
      </c>
      <c r="U886" t="s">
        <v>60</v>
      </c>
      <c r="V886" t="s">
        <v>138</v>
      </c>
      <c r="W886" t="s">
        <v>139</v>
      </c>
      <c r="X886">
        <v>1928974</v>
      </c>
      <c r="Y886" s="11">
        <v>44781</v>
      </c>
      <c r="Z886" t="s">
        <v>57</v>
      </c>
      <c r="AA886">
        <v>2</v>
      </c>
      <c r="AB886" t="s">
        <v>57</v>
      </c>
      <c r="AD886" t="s">
        <v>57</v>
      </c>
      <c r="AE886" t="s">
        <v>57</v>
      </c>
      <c r="AF886" t="s">
        <v>57</v>
      </c>
      <c r="AG886">
        <v>1</v>
      </c>
      <c r="AH886" t="s">
        <v>57</v>
      </c>
      <c r="AL886" t="s">
        <v>57</v>
      </c>
      <c r="AM886" s="11">
        <v>44781</v>
      </c>
      <c r="AN886" t="s">
        <v>178</v>
      </c>
      <c r="AO886" t="s">
        <v>65</v>
      </c>
      <c r="AP886">
        <v>1205</v>
      </c>
      <c r="AQ886" t="s">
        <v>66</v>
      </c>
      <c r="AR886">
        <v>88765</v>
      </c>
      <c r="AU886" t="s">
        <v>57</v>
      </c>
      <c r="AV886" t="s">
        <v>68</v>
      </c>
      <c r="AX886" t="s">
        <v>57</v>
      </c>
      <c r="AY886">
        <v>631110</v>
      </c>
      <c r="AZ886">
        <v>1205.63111</v>
      </c>
      <c r="BA886" s="23" t="s">
        <v>13</v>
      </c>
    </row>
    <row r="887" spans="1:53" x14ac:dyDescent="0.25">
      <c r="A887" t="s">
        <v>134</v>
      </c>
      <c r="B887" t="s">
        <v>135</v>
      </c>
      <c r="C887">
        <v>22002311</v>
      </c>
      <c r="D887">
        <v>1205</v>
      </c>
      <c r="E887" s="11">
        <v>44781</v>
      </c>
      <c r="F887" t="s">
        <v>174</v>
      </c>
      <c r="G887">
        <v>7.0000000000000007E-2</v>
      </c>
      <c r="H887">
        <v>7.0000000000000007E-2</v>
      </c>
      <c r="I887" t="s">
        <v>56</v>
      </c>
      <c r="O887" t="s">
        <v>57</v>
      </c>
      <c r="Q887" t="s">
        <v>57</v>
      </c>
      <c r="R887" t="s">
        <v>137</v>
      </c>
      <c r="T887" t="s">
        <v>59</v>
      </c>
      <c r="U887" t="s">
        <v>60</v>
      </c>
      <c r="V887" t="s">
        <v>138</v>
      </c>
      <c r="W887" t="s">
        <v>139</v>
      </c>
      <c r="X887">
        <v>1928974</v>
      </c>
      <c r="Y887" s="11">
        <v>44781</v>
      </c>
      <c r="Z887" t="s">
        <v>57</v>
      </c>
      <c r="AA887">
        <v>4</v>
      </c>
      <c r="AB887" t="s">
        <v>57</v>
      </c>
      <c r="AD887" t="s">
        <v>57</v>
      </c>
      <c r="AE887" t="s">
        <v>57</v>
      </c>
      <c r="AF887" t="s">
        <v>57</v>
      </c>
      <c r="AG887">
        <v>1</v>
      </c>
      <c r="AH887" t="s">
        <v>57</v>
      </c>
      <c r="AL887" t="s">
        <v>57</v>
      </c>
      <c r="AM887" s="11">
        <v>44781</v>
      </c>
      <c r="AN887" t="s">
        <v>178</v>
      </c>
      <c r="AO887" t="s">
        <v>65</v>
      </c>
      <c r="AP887">
        <v>1205</v>
      </c>
      <c r="AQ887" t="s">
        <v>66</v>
      </c>
      <c r="AR887">
        <v>89908</v>
      </c>
      <c r="AU887" t="s">
        <v>57</v>
      </c>
      <c r="AV887" t="s">
        <v>68</v>
      </c>
      <c r="AX887" t="s">
        <v>57</v>
      </c>
      <c r="AY887">
        <v>631110</v>
      </c>
      <c r="AZ887">
        <v>1205.63111</v>
      </c>
      <c r="BA887" s="23" t="s">
        <v>13</v>
      </c>
    </row>
    <row r="888" spans="1:53" x14ac:dyDescent="0.25">
      <c r="A888" t="s">
        <v>134</v>
      </c>
      <c r="B888" t="s">
        <v>135</v>
      </c>
      <c r="C888">
        <v>22002311</v>
      </c>
      <c r="D888">
        <v>1205</v>
      </c>
      <c r="E888" s="11">
        <v>44781</v>
      </c>
      <c r="F888" t="s">
        <v>174</v>
      </c>
      <c r="G888">
        <v>0.56000000000000005</v>
      </c>
      <c r="H888">
        <v>0.56000000000000005</v>
      </c>
      <c r="I888" t="s">
        <v>56</v>
      </c>
      <c r="O888" t="s">
        <v>57</v>
      </c>
      <c r="Q888" t="s">
        <v>57</v>
      </c>
      <c r="R888" t="s">
        <v>137</v>
      </c>
      <c r="T888" t="s">
        <v>59</v>
      </c>
      <c r="U888" t="s">
        <v>60</v>
      </c>
      <c r="V888" t="s">
        <v>138</v>
      </c>
      <c r="W888" t="s">
        <v>139</v>
      </c>
      <c r="X888">
        <v>1928974</v>
      </c>
      <c r="Y888" s="11">
        <v>44781</v>
      </c>
      <c r="Z888" t="s">
        <v>57</v>
      </c>
      <c r="AA888">
        <v>6</v>
      </c>
      <c r="AB888" t="s">
        <v>57</v>
      </c>
      <c r="AD888" t="s">
        <v>57</v>
      </c>
      <c r="AE888" t="s">
        <v>57</v>
      </c>
      <c r="AF888" t="s">
        <v>57</v>
      </c>
      <c r="AG888">
        <v>1</v>
      </c>
      <c r="AH888" t="s">
        <v>57</v>
      </c>
      <c r="AL888" t="s">
        <v>57</v>
      </c>
      <c r="AM888" s="11">
        <v>44781</v>
      </c>
      <c r="AN888" t="s">
        <v>178</v>
      </c>
      <c r="AO888" t="s">
        <v>65</v>
      </c>
      <c r="AP888">
        <v>1205</v>
      </c>
      <c r="AQ888" t="s">
        <v>66</v>
      </c>
      <c r="AR888">
        <v>89845</v>
      </c>
      <c r="AU888" t="s">
        <v>57</v>
      </c>
      <c r="AV888" t="s">
        <v>68</v>
      </c>
      <c r="AX888" t="s">
        <v>57</v>
      </c>
      <c r="AY888">
        <v>631110</v>
      </c>
      <c r="AZ888">
        <v>1205.63111</v>
      </c>
      <c r="BA888" s="23" t="s">
        <v>13</v>
      </c>
    </row>
    <row r="889" spans="1:53" x14ac:dyDescent="0.25">
      <c r="A889" t="s">
        <v>134</v>
      </c>
      <c r="B889" t="s">
        <v>135</v>
      </c>
      <c r="C889">
        <v>22002311</v>
      </c>
      <c r="D889">
        <v>1205</v>
      </c>
      <c r="E889" s="11">
        <v>44781</v>
      </c>
      <c r="F889" t="s">
        <v>174</v>
      </c>
      <c r="G889">
        <v>7.66</v>
      </c>
      <c r="H889">
        <v>7.66</v>
      </c>
      <c r="I889" t="s">
        <v>56</v>
      </c>
      <c r="O889" t="s">
        <v>57</v>
      </c>
      <c r="Q889" t="s">
        <v>57</v>
      </c>
      <c r="R889" t="s">
        <v>137</v>
      </c>
      <c r="T889" t="s">
        <v>59</v>
      </c>
      <c r="U889" t="s">
        <v>60</v>
      </c>
      <c r="V889" t="s">
        <v>138</v>
      </c>
      <c r="W889" t="s">
        <v>139</v>
      </c>
      <c r="X889">
        <v>1928974</v>
      </c>
      <c r="Y889" s="11">
        <v>44781</v>
      </c>
      <c r="Z889" t="s">
        <v>57</v>
      </c>
      <c r="AA889">
        <v>8</v>
      </c>
      <c r="AB889" t="s">
        <v>57</v>
      </c>
      <c r="AD889" t="s">
        <v>57</v>
      </c>
      <c r="AE889" t="s">
        <v>57</v>
      </c>
      <c r="AF889" t="s">
        <v>57</v>
      </c>
      <c r="AG889">
        <v>2</v>
      </c>
      <c r="AH889" t="s">
        <v>57</v>
      </c>
      <c r="AL889" t="s">
        <v>57</v>
      </c>
      <c r="AM889" s="11">
        <v>44781</v>
      </c>
      <c r="AN889" t="s">
        <v>178</v>
      </c>
      <c r="AO889" t="s">
        <v>65</v>
      </c>
      <c r="AP889">
        <v>1205</v>
      </c>
      <c r="AQ889" t="s">
        <v>66</v>
      </c>
      <c r="AR889">
        <v>88685</v>
      </c>
      <c r="AU889" t="s">
        <v>57</v>
      </c>
      <c r="AV889" t="s">
        <v>68</v>
      </c>
      <c r="AX889" t="s">
        <v>57</v>
      </c>
      <c r="AY889">
        <v>631110</v>
      </c>
      <c r="AZ889">
        <v>1205.63111</v>
      </c>
      <c r="BA889" s="23" t="s">
        <v>13</v>
      </c>
    </row>
    <row r="890" spans="1:53" x14ac:dyDescent="0.25">
      <c r="A890" t="s">
        <v>134</v>
      </c>
      <c r="B890" t="s">
        <v>135</v>
      </c>
      <c r="C890">
        <v>22002311</v>
      </c>
      <c r="D890">
        <v>1205</v>
      </c>
      <c r="E890" s="11">
        <v>44781</v>
      </c>
      <c r="F890" t="s">
        <v>174</v>
      </c>
      <c r="G890">
        <v>0.54</v>
      </c>
      <c r="H890">
        <v>0.54</v>
      </c>
      <c r="I890" t="s">
        <v>56</v>
      </c>
      <c r="O890" t="s">
        <v>57</v>
      </c>
      <c r="Q890" t="s">
        <v>57</v>
      </c>
      <c r="R890" t="s">
        <v>137</v>
      </c>
      <c r="T890" t="s">
        <v>59</v>
      </c>
      <c r="U890" t="s">
        <v>60</v>
      </c>
      <c r="V890" t="s">
        <v>138</v>
      </c>
      <c r="W890" t="s">
        <v>139</v>
      </c>
      <c r="X890">
        <v>1928974</v>
      </c>
      <c r="Y890" s="11">
        <v>44781</v>
      </c>
      <c r="Z890" t="s">
        <v>57</v>
      </c>
      <c r="AA890">
        <v>10</v>
      </c>
      <c r="AB890" t="s">
        <v>57</v>
      </c>
      <c r="AD890" t="s">
        <v>57</v>
      </c>
      <c r="AE890" t="s">
        <v>57</v>
      </c>
      <c r="AF890" t="s">
        <v>57</v>
      </c>
      <c r="AG890">
        <v>1</v>
      </c>
      <c r="AH890" t="s">
        <v>57</v>
      </c>
      <c r="AL890" t="s">
        <v>57</v>
      </c>
      <c r="AM890" s="11">
        <v>44781</v>
      </c>
      <c r="AN890" t="s">
        <v>178</v>
      </c>
      <c r="AO890" t="s">
        <v>65</v>
      </c>
      <c r="AP890">
        <v>1205</v>
      </c>
      <c r="AQ890" t="s">
        <v>66</v>
      </c>
      <c r="AR890">
        <v>89777</v>
      </c>
      <c r="AU890" t="s">
        <v>57</v>
      </c>
      <c r="AV890" t="s">
        <v>68</v>
      </c>
      <c r="AX890" t="s">
        <v>57</v>
      </c>
      <c r="AY890">
        <v>631110</v>
      </c>
      <c r="AZ890">
        <v>1205.63111</v>
      </c>
      <c r="BA890" s="23" t="s">
        <v>13</v>
      </c>
    </row>
    <row r="891" spans="1:53" x14ac:dyDescent="0.25">
      <c r="A891" t="s">
        <v>134</v>
      </c>
      <c r="B891" t="s">
        <v>135</v>
      </c>
      <c r="C891">
        <v>22002311</v>
      </c>
      <c r="D891">
        <v>1205</v>
      </c>
      <c r="E891" s="11">
        <v>44781</v>
      </c>
      <c r="F891" t="s">
        <v>174</v>
      </c>
      <c r="G891">
        <v>0.16</v>
      </c>
      <c r="H891">
        <v>0.16</v>
      </c>
      <c r="I891" t="s">
        <v>56</v>
      </c>
      <c r="O891" t="s">
        <v>57</v>
      </c>
      <c r="Q891" t="s">
        <v>57</v>
      </c>
      <c r="R891" t="s">
        <v>137</v>
      </c>
      <c r="T891" t="s">
        <v>59</v>
      </c>
      <c r="U891" t="s">
        <v>60</v>
      </c>
      <c r="V891" t="s">
        <v>138</v>
      </c>
      <c r="W891" t="s">
        <v>139</v>
      </c>
      <c r="X891">
        <v>1928974</v>
      </c>
      <c r="Y891" s="11">
        <v>44781</v>
      </c>
      <c r="Z891" t="s">
        <v>57</v>
      </c>
      <c r="AA891">
        <v>12</v>
      </c>
      <c r="AB891" t="s">
        <v>57</v>
      </c>
      <c r="AD891" t="s">
        <v>57</v>
      </c>
      <c r="AE891" t="s">
        <v>57</v>
      </c>
      <c r="AF891" t="s">
        <v>57</v>
      </c>
      <c r="AG891">
        <v>1</v>
      </c>
      <c r="AH891" t="s">
        <v>57</v>
      </c>
      <c r="AL891" t="s">
        <v>57</v>
      </c>
      <c r="AM891" s="11">
        <v>44781</v>
      </c>
      <c r="AN891" t="s">
        <v>178</v>
      </c>
      <c r="AO891" t="s">
        <v>65</v>
      </c>
      <c r="AP891">
        <v>1205</v>
      </c>
      <c r="AQ891" t="s">
        <v>66</v>
      </c>
      <c r="AR891">
        <v>88760</v>
      </c>
      <c r="AU891" t="s">
        <v>57</v>
      </c>
      <c r="AV891" t="s">
        <v>68</v>
      </c>
      <c r="AX891" t="s">
        <v>57</v>
      </c>
      <c r="AY891">
        <v>631110</v>
      </c>
      <c r="AZ891">
        <v>1205.63111</v>
      </c>
      <c r="BA891" s="23" t="s">
        <v>13</v>
      </c>
    </row>
    <row r="892" spans="1:53" x14ac:dyDescent="0.25">
      <c r="A892" t="s">
        <v>134</v>
      </c>
      <c r="B892" t="s">
        <v>135</v>
      </c>
      <c r="C892">
        <v>22002311</v>
      </c>
      <c r="D892">
        <v>1205</v>
      </c>
      <c r="E892" s="11">
        <v>44781</v>
      </c>
      <c r="F892" t="s">
        <v>174</v>
      </c>
      <c r="G892">
        <v>4.3</v>
      </c>
      <c r="H892">
        <v>4.3</v>
      </c>
      <c r="I892" t="s">
        <v>56</v>
      </c>
      <c r="O892" t="s">
        <v>57</v>
      </c>
      <c r="Q892" t="s">
        <v>57</v>
      </c>
      <c r="R892" t="s">
        <v>137</v>
      </c>
      <c r="T892" t="s">
        <v>59</v>
      </c>
      <c r="U892" t="s">
        <v>60</v>
      </c>
      <c r="V892" t="s">
        <v>138</v>
      </c>
      <c r="W892" t="s">
        <v>139</v>
      </c>
      <c r="X892">
        <v>1928974</v>
      </c>
      <c r="Y892" s="11">
        <v>44781</v>
      </c>
      <c r="Z892" t="s">
        <v>57</v>
      </c>
      <c r="AA892">
        <v>14</v>
      </c>
      <c r="AB892" t="s">
        <v>57</v>
      </c>
      <c r="AD892" t="s">
        <v>57</v>
      </c>
      <c r="AE892" t="s">
        <v>57</v>
      </c>
      <c r="AF892" t="s">
        <v>57</v>
      </c>
      <c r="AG892">
        <v>1</v>
      </c>
      <c r="AH892" t="s">
        <v>57</v>
      </c>
      <c r="AL892" t="s">
        <v>57</v>
      </c>
      <c r="AM892" s="11">
        <v>44781</v>
      </c>
      <c r="AN892" t="s">
        <v>178</v>
      </c>
      <c r="AO892" t="s">
        <v>65</v>
      </c>
      <c r="AP892">
        <v>1205</v>
      </c>
      <c r="AQ892" t="s">
        <v>66</v>
      </c>
      <c r="AR892">
        <v>113114</v>
      </c>
      <c r="AU892" t="s">
        <v>57</v>
      </c>
      <c r="AV892" t="s">
        <v>68</v>
      </c>
      <c r="AX892" t="s">
        <v>57</v>
      </c>
      <c r="AY892">
        <v>631110</v>
      </c>
      <c r="AZ892">
        <v>1205.63111</v>
      </c>
      <c r="BA892" s="23" t="s">
        <v>13</v>
      </c>
    </row>
    <row r="893" spans="1:53" x14ac:dyDescent="0.25">
      <c r="A893" t="s">
        <v>134</v>
      </c>
      <c r="B893" t="s">
        <v>135</v>
      </c>
      <c r="C893">
        <v>22002311</v>
      </c>
      <c r="D893">
        <v>1205</v>
      </c>
      <c r="E893" s="11">
        <v>44781</v>
      </c>
      <c r="F893" t="s">
        <v>174</v>
      </c>
      <c r="G893">
        <v>3.84</v>
      </c>
      <c r="H893">
        <v>3.84</v>
      </c>
      <c r="I893" t="s">
        <v>56</v>
      </c>
      <c r="O893" t="s">
        <v>57</v>
      </c>
      <c r="Q893" t="s">
        <v>57</v>
      </c>
      <c r="R893" t="s">
        <v>137</v>
      </c>
      <c r="T893" t="s">
        <v>59</v>
      </c>
      <c r="U893" t="s">
        <v>60</v>
      </c>
      <c r="V893" t="s">
        <v>138</v>
      </c>
      <c r="W893" t="s">
        <v>139</v>
      </c>
      <c r="X893">
        <v>1928974</v>
      </c>
      <c r="Y893" s="11">
        <v>44781</v>
      </c>
      <c r="Z893" t="s">
        <v>57</v>
      </c>
      <c r="AA893">
        <v>16</v>
      </c>
      <c r="AB893" t="s">
        <v>57</v>
      </c>
      <c r="AD893" t="s">
        <v>57</v>
      </c>
      <c r="AE893" t="s">
        <v>57</v>
      </c>
      <c r="AF893" t="s">
        <v>57</v>
      </c>
      <c r="AG893">
        <v>1</v>
      </c>
      <c r="AH893" t="s">
        <v>57</v>
      </c>
      <c r="AL893" t="s">
        <v>57</v>
      </c>
      <c r="AM893" s="11">
        <v>44781</v>
      </c>
      <c r="AN893" t="s">
        <v>178</v>
      </c>
      <c r="AO893" t="s">
        <v>65</v>
      </c>
      <c r="AP893">
        <v>1205</v>
      </c>
      <c r="AQ893" t="s">
        <v>66</v>
      </c>
      <c r="AR893">
        <v>88601</v>
      </c>
      <c r="AU893" t="s">
        <v>57</v>
      </c>
      <c r="AV893" t="s">
        <v>68</v>
      </c>
      <c r="AX893" t="s">
        <v>57</v>
      </c>
      <c r="AY893">
        <v>631110</v>
      </c>
      <c r="AZ893">
        <v>1205.63111</v>
      </c>
      <c r="BA893" s="23" t="s">
        <v>13</v>
      </c>
    </row>
    <row r="894" spans="1:53" x14ac:dyDescent="0.25">
      <c r="A894" t="s">
        <v>134</v>
      </c>
      <c r="B894" t="s">
        <v>135</v>
      </c>
      <c r="C894">
        <v>22002311</v>
      </c>
      <c r="D894">
        <v>1205</v>
      </c>
      <c r="E894" s="11">
        <v>44781</v>
      </c>
      <c r="F894" t="s">
        <v>174</v>
      </c>
      <c r="G894">
        <v>27.16</v>
      </c>
      <c r="H894">
        <v>27.16</v>
      </c>
      <c r="I894" t="s">
        <v>56</v>
      </c>
      <c r="O894" t="s">
        <v>57</v>
      </c>
      <c r="Q894" t="s">
        <v>57</v>
      </c>
      <c r="R894" t="s">
        <v>137</v>
      </c>
      <c r="T894" t="s">
        <v>59</v>
      </c>
      <c r="U894" t="s">
        <v>60</v>
      </c>
      <c r="V894" t="s">
        <v>138</v>
      </c>
      <c r="W894" t="s">
        <v>139</v>
      </c>
      <c r="X894">
        <v>1928974</v>
      </c>
      <c r="Y894" s="11">
        <v>44781</v>
      </c>
      <c r="Z894" t="s">
        <v>57</v>
      </c>
      <c r="AA894">
        <v>18</v>
      </c>
      <c r="AB894" t="s">
        <v>57</v>
      </c>
      <c r="AD894" t="s">
        <v>57</v>
      </c>
      <c r="AE894" t="s">
        <v>57</v>
      </c>
      <c r="AF894" t="s">
        <v>57</v>
      </c>
      <c r="AG894">
        <v>1</v>
      </c>
      <c r="AH894" t="s">
        <v>57</v>
      </c>
      <c r="AL894" t="s">
        <v>57</v>
      </c>
      <c r="AM894" s="11">
        <v>44781</v>
      </c>
      <c r="AN894" t="s">
        <v>178</v>
      </c>
      <c r="AO894" t="s">
        <v>65</v>
      </c>
      <c r="AP894">
        <v>1205</v>
      </c>
      <c r="AQ894" t="s">
        <v>66</v>
      </c>
      <c r="AR894">
        <v>94322</v>
      </c>
      <c r="AU894" t="s">
        <v>57</v>
      </c>
      <c r="AV894" t="s">
        <v>68</v>
      </c>
      <c r="AX894" t="s">
        <v>57</v>
      </c>
      <c r="AY894">
        <v>631110</v>
      </c>
      <c r="AZ894">
        <v>1205.63111</v>
      </c>
      <c r="BA894" s="23" t="s">
        <v>13</v>
      </c>
    </row>
    <row r="895" spans="1:53" x14ac:dyDescent="0.25">
      <c r="A895" t="s">
        <v>134</v>
      </c>
      <c r="B895" t="s">
        <v>135</v>
      </c>
      <c r="C895">
        <v>22002311</v>
      </c>
      <c r="D895">
        <v>1205</v>
      </c>
      <c r="E895" s="11">
        <v>44781</v>
      </c>
      <c r="F895" t="s">
        <v>174</v>
      </c>
      <c r="G895">
        <v>2.04</v>
      </c>
      <c r="H895">
        <v>2.04</v>
      </c>
      <c r="I895" t="s">
        <v>56</v>
      </c>
      <c r="O895" t="s">
        <v>57</v>
      </c>
      <c r="Q895" t="s">
        <v>57</v>
      </c>
      <c r="R895" t="s">
        <v>137</v>
      </c>
      <c r="T895" t="s">
        <v>59</v>
      </c>
      <c r="U895" t="s">
        <v>60</v>
      </c>
      <c r="V895" t="s">
        <v>138</v>
      </c>
      <c r="W895" t="s">
        <v>139</v>
      </c>
      <c r="X895">
        <v>1928974</v>
      </c>
      <c r="Y895" s="11">
        <v>44781</v>
      </c>
      <c r="Z895" t="s">
        <v>57</v>
      </c>
      <c r="AA895">
        <v>20</v>
      </c>
      <c r="AB895" t="s">
        <v>57</v>
      </c>
      <c r="AD895" t="s">
        <v>57</v>
      </c>
      <c r="AE895" t="s">
        <v>57</v>
      </c>
      <c r="AF895" t="s">
        <v>57</v>
      </c>
      <c r="AG895">
        <v>2</v>
      </c>
      <c r="AH895" t="s">
        <v>57</v>
      </c>
      <c r="AL895" t="s">
        <v>57</v>
      </c>
      <c r="AM895" s="11">
        <v>44781</v>
      </c>
      <c r="AN895" t="s">
        <v>178</v>
      </c>
      <c r="AO895" t="s">
        <v>65</v>
      </c>
      <c r="AP895">
        <v>1205</v>
      </c>
      <c r="AQ895" t="s">
        <v>66</v>
      </c>
      <c r="AR895">
        <v>89576</v>
      </c>
      <c r="AU895" t="s">
        <v>57</v>
      </c>
      <c r="AV895" t="s">
        <v>68</v>
      </c>
      <c r="AX895" t="s">
        <v>57</v>
      </c>
      <c r="AY895">
        <v>631110</v>
      </c>
      <c r="AZ895">
        <v>1205.63111</v>
      </c>
      <c r="BA895" s="23" t="s">
        <v>13</v>
      </c>
    </row>
    <row r="896" spans="1:53" x14ac:dyDescent="0.25">
      <c r="A896" t="s">
        <v>134</v>
      </c>
      <c r="B896" t="s">
        <v>135</v>
      </c>
      <c r="C896">
        <v>22002311</v>
      </c>
      <c r="D896">
        <v>1205</v>
      </c>
      <c r="E896" s="11">
        <v>44781</v>
      </c>
      <c r="F896" t="s">
        <v>174</v>
      </c>
      <c r="G896">
        <v>0.34</v>
      </c>
      <c r="H896">
        <v>0.34</v>
      </c>
      <c r="I896" t="s">
        <v>56</v>
      </c>
      <c r="O896" t="s">
        <v>57</v>
      </c>
      <c r="Q896" t="s">
        <v>57</v>
      </c>
      <c r="R896" t="s">
        <v>137</v>
      </c>
      <c r="T896" t="s">
        <v>59</v>
      </c>
      <c r="U896" t="s">
        <v>60</v>
      </c>
      <c r="V896" t="s">
        <v>138</v>
      </c>
      <c r="W896" t="s">
        <v>139</v>
      </c>
      <c r="X896">
        <v>1928974</v>
      </c>
      <c r="Y896" s="11">
        <v>44781</v>
      </c>
      <c r="Z896" t="s">
        <v>57</v>
      </c>
      <c r="AA896">
        <v>22</v>
      </c>
      <c r="AB896" t="s">
        <v>57</v>
      </c>
      <c r="AD896" t="s">
        <v>57</v>
      </c>
      <c r="AE896" t="s">
        <v>57</v>
      </c>
      <c r="AF896" t="s">
        <v>57</v>
      </c>
      <c r="AG896">
        <v>1</v>
      </c>
      <c r="AH896" t="s">
        <v>57</v>
      </c>
      <c r="AL896" t="s">
        <v>57</v>
      </c>
      <c r="AM896" s="11">
        <v>44781</v>
      </c>
      <c r="AN896" t="s">
        <v>178</v>
      </c>
      <c r="AO896" t="s">
        <v>65</v>
      </c>
      <c r="AP896">
        <v>1205</v>
      </c>
      <c r="AQ896" t="s">
        <v>66</v>
      </c>
      <c r="AR896">
        <v>239312</v>
      </c>
      <c r="AU896" t="s">
        <v>57</v>
      </c>
      <c r="AV896" t="s">
        <v>68</v>
      </c>
      <c r="AX896" t="s">
        <v>57</v>
      </c>
      <c r="AY896">
        <v>631110</v>
      </c>
      <c r="AZ896">
        <v>1205.63111</v>
      </c>
      <c r="BA896" s="23" t="s">
        <v>13</v>
      </c>
    </row>
    <row r="897" spans="1:53" x14ac:dyDescent="0.25">
      <c r="A897" t="s">
        <v>134</v>
      </c>
      <c r="B897" t="s">
        <v>135</v>
      </c>
      <c r="C897">
        <v>22002311</v>
      </c>
      <c r="D897">
        <v>1205</v>
      </c>
      <c r="E897" s="11">
        <v>44781</v>
      </c>
      <c r="F897" t="s">
        <v>174</v>
      </c>
      <c r="G897">
        <v>11.36</v>
      </c>
      <c r="H897">
        <v>11.36</v>
      </c>
      <c r="I897" t="s">
        <v>56</v>
      </c>
      <c r="O897" t="s">
        <v>57</v>
      </c>
      <c r="Q897" t="s">
        <v>57</v>
      </c>
      <c r="R897" t="s">
        <v>137</v>
      </c>
      <c r="T897" t="s">
        <v>59</v>
      </c>
      <c r="U897" t="s">
        <v>60</v>
      </c>
      <c r="V897" t="s">
        <v>138</v>
      </c>
      <c r="W897" t="s">
        <v>139</v>
      </c>
      <c r="X897">
        <v>1928974</v>
      </c>
      <c r="Y897" s="11">
        <v>44781</v>
      </c>
      <c r="Z897" t="s">
        <v>57</v>
      </c>
      <c r="AA897">
        <v>24</v>
      </c>
      <c r="AB897" t="s">
        <v>57</v>
      </c>
      <c r="AD897" t="s">
        <v>57</v>
      </c>
      <c r="AE897" t="s">
        <v>57</v>
      </c>
      <c r="AF897" t="s">
        <v>57</v>
      </c>
      <c r="AG897">
        <v>8</v>
      </c>
      <c r="AH897" t="s">
        <v>57</v>
      </c>
      <c r="AL897" t="s">
        <v>57</v>
      </c>
      <c r="AM897" s="11">
        <v>44781</v>
      </c>
      <c r="AN897" t="s">
        <v>178</v>
      </c>
      <c r="AO897" t="s">
        <v>65</v>
      </c>
      <c r="AP897">
        <v>1205</v>
      </c>
      <c r="AQ897" t="s">
        <v>66</v>
      </c>
      <c r="AR897">
        <v>88624</v>
      </c>
      <c r="AU897" t="s">
        <v>57</v>
      </c>
      <c r="AV897" t="s">
        <v>68</v>
      </c>
      <c r="AX897" t="s">
        <v>57</v>
      </c>
      <c r="AY897">
        <v>631110</v>
      </c>
      <c r="AZ897">
        <v>1205.63111</v>
      </c>
      <c r="BA897" s="23" t="s">
        <v>13</v>
      </c>
    </row>
    <row r="898" spans="1:53" x14ac:dyDescent="0.25">
      <c r="A898" t="s">
        <v>134</v>
      </c>
      <c r="B898" t="s">
        <v>135</v>
      </c>
      <c r="C898">
        <v>22002311</v>
      </c>
      <c r="D898">
        <v>1205</v>
      </c>
      <c r="E898" s="11">
        <v>44781</v>
      </c>
      <c r="F898" t="s">
        <v>174</v>
      </c>
      <c r="G898">
        <v>0.05</v>
      </c>
      <c r="H898">
        <v>0.05</v>
      </c>
      <c r="I898" t="s">
        <v>56</v>
      </c>
      <c r="O898" t="s">
        <v>57</v>
      </c>
      <c r="Q898" t="s">
        <v>57</v>
      </c>
      <c r="R898" t="s">
        <v>137</v>
      </c>
      <c r="T898" t="s">
        <v>59</v>
      </c>
      <c r="U898" t="s">
        <v>60</v>
      </c>
      <c r="V898" t="s">
        <v>138</v>
      </c>
      <c r="W898" t="s">
        <v>139</v>
      </c>
      <c r="X898">
        <v>1928974</v>
      </c>
      <c r="Y898" s="11">
        <v>44781</v>
      </c>
      <c r="Z898" t="s">
        <v>57</v>
      </c>
      <c r="AA898">
        <v>26</v>
      </c>
      <c r="AB898" t="s">
        <v>57</v>
      </c>
      <c r="AD898" t="s">
        <v>57</v>
      </c>
      <c r="AE898" t="s">
        <v>57</v>
      </c>
      <c r="AF898" t="s">
        <v>57</v>
      </c>
      <c r="AG898">
        <v>1</v>
      </c>
      <c r="AH898" t="s">
        <v>57</v>
      </c>
      <c r="AL898" t="s">
        <v>57</v>
      </c>
      <c r="AM898" s="11">
        <v>44781</v>
      </c>
      <c r="AN898" t="s">
        <v>178</v>
      </c>
      <c r="AO898" t="s">
        <v>65</v>
      </c>
      <c r="AP898">
        <v>1205</v>
      </c>
      <c r="AQ898" t="s">
        <v>66</v>
      </c>
      <c r="AR898">
        <v>90043</v>
      </c>
      <c r="AU898" t="s">
        <v>57</v>
      </c>
      <c r="AV898" t="s">
        <v>68</v>
      </c>
      <c r="AX898" t="s">
        <v>57</v>
      </c>
      <c r="AY898">
        <v>631110</v>
      </c>
      <c r="AZ898">
        <v>1205.63111</v>
      </c>
      <c r="BA898" s="23" t="s">
        <v>13</v>
      </c>
    </row>
    <row r="899" spans="1:53" x14ac:dyDescent="0.25">
      <c r="A899" t="s">
        <v>134</v>
      </c>
      <c r="B899" t="s">
        <v>135</v>
      </c>
      <c r="C899">
        <v>22002311</v>
      </c>
      <c r="D899">
        <v>1205</v>
      </c>
      <c r="E899" s="11">
        <v>44781</v>
      </c>
      <c r="F899" t="s">
        <v>174</v>
      </c>
      <c r="G899">
        <v>10.86</v>
      </c>
      <c r="H899">
        <v>10.86</v>
      </c>
      <c r="I899" t="s">
        <v>56</v>
      </c>
      <c r="O899" t="s">
        <v>57</v>
      </c>
      <c r="Q899" t="s">
        <v>57</v>
      </c>
      <c r="R899" t="s">
        <v>137</v>
      </c>
      <c r="T899" t="s">
        <v>59</v>
      </c>
      <c r="U899" t="s">
        <v>60</v>
      </c>
      <c r="V899" t="s">
        <v>138</v>
      </c>
      <c r="W899" t="s">
        <v>139</v>
      </c>
      <c r="X899">
        <v>1928974</v>
      </c>
      <c r="Y899" s="11">
        <v>44781</v>
      </c>
      <c r="Z899" t="s">
        <v>57</v>
      </c>
      <c r="AA899">
        <v>28</v>
      </c>
      <c r="AB899" t="s">
        <v>57</v>
      </c>
      <c r="AD899" t="s">
        <v>57</v>
      </c>
      <c r="AE899" t="s">
        <v>57</v>
      </c>
      <c r="AF899" t="s">
        <v>57</v>
      </c>
      <c r="AG899">
        <v>3</v>
      </c>
      <c r="AH899" t="s">
        <v>57</v>
      </c>
      <c r="AL899" t="s">
        <v>57</v>
      </c>
      <c r="AM899" s="11">
        <v>44781</v>
      </c>
      <c r="AN899" t="s">
        <v>178</v>
      </c>
      <c r="AO899" t="s">
        <v>65</v>
      </c>
      <c r="AP899">
        <v>1205</v>
      </c>
      <c r="AQ899" t="s">
        <v>66</v>
      </c>
      <c r="AR899">
        <v>230640</v>
      </c>
      <c r="AU899" t="s">
        <v>57</v>
      </c>
      <c r="AV899" t="s">
        <v>68</v>
      </c>
      <c r="AX899" t="s">
        <v>57</v>
      </c>
      <c r="AY899">
        <v>631110</v>
      </c>
      <c r="AZ899">
        <v>1205.63111</v>
      </c>
      <c r="BA899" s="23" t="s">
        <v>13</v>
      </c>
    </row>
    <row r="900" spans="1:53" x14ac:dyDescent="0.25">
      <c r="A900" t="s">
        <v>134</v>
      </c>
      <c r="B900" t="s">
        <v>135</v>
      </c>
      <c r="C900">
        <v>22002311</v>
      </c>
      <c r="D900">
        <v>1205</v>
      </c>
      <c r="E900" s="11">
        <v>44781</v>
      </c>
      <c r="F900" t="s">
        <v>174</v>
      </c>
      <c r="G900">
        <v>3.5</v>
      </c>
      <c r="H900">
        <v>3.5</v>
      </c>
      <c r="I900" t="s">
        <v>56</v>
      </c>
      <c r="O900" t="s">
        <v>57</v>
      </c>
      <c r="Q900" t="s">
        <v>57</v>
      </c>
      <c r="R900" t="s">
        <v>137</v>
      </c>
      <c r="T900" t="s">
        <v>59</v>
      </c>
      <c r="U900" t="s">
        <v>60</v>
      </c>
      <c r="V900" t="s">
        <v>138</v>
      </c>
      <c r="W900" t="s">
        <v>139</v>
      </c>
      <c r="X900">
        <v>1928974</v>
      </c>
      <c r="Y900" s="11">
        <v>44781</v>
      </c>
      <c r="Z900" t="s">
        <v>57</v>
      </c>
      <c r="AA900">
        <v>30</v>
      </c>
      <c r="AB900" t="s">
        <v>57</v>
      </c>
      <c r="AD900" t="s">
        <v>57</v>
      </c>
      <c r="AE900" t="s">
        <v>57</v>
      </c>
      <c r="AF900" t="s">
        <v>57</v>
      </c>
      <c r="AG900">
        <v>2</v>
      </c>
      <c r="AH900" t="s">
        <v>57</v>
      </c>
      <c r="AL900" t="s">
        <v>57</v>
      </c>
      <c r="AM900" s="11">
        <v>44781</v>
      </c>
      <c r="AN900" t="s">
        <v>178</v>
      </c>
      <c r="AO900" t="s">
        <v>65</v>
      </c>
      <c r="AP900">
        <v>1205</v>
      </c>
      <c r="AQ900" t="s">
        <v>66</v>
      </c>
      <c r="AR900">
        <v>27754</v>
      </c>
      <c r="AU900" t="s">
        <v>57</v>
      </c>
      <c r="AV900" t="s">
        <v>68</v>
      </c>
      <c r="AX900" t="s">
        <v>57</v>
      </c>
      <c r="AY900">
        <v>631110</v>
      </c>
      <c r="AZ900">
        <v>1205.63111</v>
      </c>
      <c r="BA900" s="23" t="s">
        <v>13</v>
      </c>
    </row>
    <row r="901" spans="1:53" x14ac:dyDescent="0.25">
      <c r="A901" t="s">
        <v>134</v>
      </c>
      <c r="B901" t="s">
        <v>135</v>
      </c>
      <c r="C901">
        <v>22002311</v>
      </c>
      <c r="D901">
        <v>1205</v>
      </c>
      <c r="E901" s="11">
        <v>44781</v>
      </c>
      <c r="F901" t="s">
        <v>174</v>
      </c>
      <c r="G901">
        <v>1.36</v>
      </c>
      <c r="H901">
        <v>1.36</v>
      </c>
      <c r="I901" t="s">
        <v>56</v>
      </c>
      <c r="O901" t="s">
        <v>57</v>
      </c>
      <c r="Q901" t="s">
        <v>57</v>
      </c>
      <c r="R901" t="s">
        <v>137</v>
      </c>
      <c r="T901" t="s">
        <v>59</v>
      </c>
      <c r="U901" t="s">
        <v>60</v>
      </c>
      <c r="V901" t="s">
        <v>138</v>
      </c>
      <c r="W901" t="s">
        <v>139</v>
      </c>
      <c r="X901">
        <v>1928974</v>
      </c>
      <c r="Y901" s="11">
        <v>44781</v>
      </c>
      <c r="Z901" t="s">
        <v>57</v>
      </c>
      <c r="AA901">
        <v>32</v>
      </c>
      <c r="AB901" t="s">
        <v>57</v>
      </c>
      <c r="AD901" t="s">
        <v>57</v>
      </c>
      <c r="AE901" t="s">
        <v>57</v>
      </c>
      <c r="AF901" t="s">
        <v>57</v>
      </c>
      <c r="AG901">
        <v>2</v>
      </c>
      <c r="AH901" t="s">
        <v>57</v>
      </c>
      <c r="AL901" t="s">
        <v>57</v>
      </c>
      <c r="AM901" s="11">
        <v>44781</v>
      </c>
      <c r="AN901" t="s">
        <v>178</v>
      </c>
      <c r="AO901" t="s">
        <v>65</v>
      </c>
      <c r="AP901">
        <v>1205</v>
      </c>
      <c r="AQ901" t="s">
        <v>66</v>
      </c>
      <c r="AR901">
        <v>270190</v>
      </c>
      <c r="AU901" t="s">
        <v>57</v>
      </c>
      <c r="AV901" t="s">
        <v>68</v>
      </c>
      <c r="AX901" t="s">
        <v>57</v>
      </c>
      <c r="AY901">
        <v>631110</v>
      </c>
      <c r="AZ901">
        <v>1205.63111</v>
      </c>
      <c r="BA901" s="23" t="s">
        <v>13</v>
      </c>
    </row>
    <row r="902" spans="1:53" x14ac:dyDescent="0.25">
      <c r="A902" t="s">
        <v>134</v>
      </c>
      <c r="B902" t="s">
        <v>135</v>
      </c>
      <c r="C902">
        <v>22002311</v>
      </c>
      <c r="D902">
        <v>1205</v>
      </c>
      <c r="E902" s="11">
        <v>44781</v>
      </c>
      <c r="F902" t="s">
        <v>174</v>
      </c>
      <c r="G902">
        <v>55.03</v>
      </c>
      <c r="H902">
        <v>55.03</v>
      </c>
      <c r="I902" t="s">
        <v>56</v>
      </c>
      <c r="O902" t="s">
        <v>57</v>
      </c>
      <c r="Q902" t="s">
        <v>57</v>
      </c>
      <c r="R902" t="s">
        <v>137</v>
      </c>
      <c r="T902" t="s">
        <v>59</v>
      </c>
      <c r="U902" t="s">
        <v>60</v>
      </c>
      <c r="V902" t="s">
        <v>138</v>
      </c>
      <c r="W902" t="s">
        <v>139</v>
      </c>
      <c r="X902">
        <v>1928974</v>
      </c>
      <c r="Y902" s="11">
        <v>44781</v>
      </c>
      <c r="Z902" t="s">
        <v>57</v>
      </c>
      <c r="AA902">
        <v>34</v>
      </c>
      <c r="AB902" t="s">
        <v>57</v>
      </c>
      <c r="AD902" t="s">
        <v>57</v>
      </c>
      <c r="AE902" t="s">
        <v>57</v>
      </c>
      <c r="AF902" t="s">
        <v>57</v>
      </c>
      <c r="AG902">
        <v>1</v>
      </c>
      <c r="AH902" t="s">
        <v>57</v>
      </c>
      <c r="AL902" t="s">
        <v>57</v>
      </c>
      <c r="AM902" s="11">
        <v>44781</v>
      </c>
      <c r="AN902" t="s">
        <v>178</v>
      </c>
      <c r="AO902" t="s">
        <v>65</v>
      </c>
      <c r="AP902">
        <v>1205</v>
      </c>
      <c r="AQ902" t="s">
        <v>66</v>
      </c>
      <c r="AR902">
        <v>236484</v>
      </c>
      <c r="AU902" t="s">
        <v>57</v>
      </c>
      <c r="AV902" t="s">
        <v>68</v>
      </c>
      <c r="AX902" t="s">
        <v>57</v>
      </c>
      <c r="AY902">
        <v>631110</v>
      </c>
      <c r="AZ902">
        <v>1205.63111</v>
      </c>
      <c r="BA902" s="23" t="s">
        <v>13</v>
      </c>
    </row>
    <row r="903" spans="1:53" x14ac:dyDescent="0.25">
      <c r="A903" t="s">
        <v>134</v>
      </c>
      <c r="B903" t="s">
        <v>135</v>
      </c>
      <c r="C903">
        <v>22002316</v>
      </c>
      <c r="D903">
        <v>1205</v>
      </c>
      <c r="E903" s="11">
        <v>44782</v>
      </c>
      <c r="F903" t="s">
        <v>174</v>
      </c>
      <c r="G903">
        <v>0.49</v>
      </c>
      <c r="H903">
        <v>0.49</v>
      </c>
      <c r="I903" t="s">
        <v>56</v>
      </c>
      <c r="O903" t="s">
        <v>57</v>
      </c>
      <c r="Q903" t="s">
        <v>57</v>
      </c>
      <c r="R903" t="s">
        <v>137</v>
      </c>
      <c r="T903" t="s">
        <v>59</v>
      </c>
      <c r="U903" t="s">
        <v>60</v>
      </c>
      <c r="V903" t="s">
        <v>138</v>
      </c>
      <c r="W903" t="s">
        <v>139</v>
      </c>
      <c r="X903">
        <v>1929847</v>
      </c>
      <c r="Y903" s="11">
        <v>44782</v>
      </c>
      <c r="Z903" t="s">
        <v>57</v>
      </c>
      <c r="AA903">
        <v>2</v>
      </c>
      <c r="AB903" t="s">
        <v>57</v>
      </c>
      <c r="AD903" t="s">
        <v>57</v>
      </c>
      <c r="AE903" t="s">
        <v>57</v>
      </c>
      <c r="AF903" t="s">
        <v>57</v>
      </c>
      <c r="AG903">
        <v>3</v>
      </c>
      <c r="AH903" t="s">
        <v>57</v>
      </c>
      <c r="AL903" t="s">
        <v>57</v>
      </c>
      <c r="AM903" s="11">
        <v>44782</v>
      </c>
      <c r="AN903" t="s">
        <v>178</v>
      </c>
      <c r="AO903" t="s">
        <v>65</v>
      </c>
      <c r="AP903">
        <v>1205</v>
      </c>
      <c r="AQ903" t="s">
        <v>66</v>
      </c>
      <c r="AR903">
        <v>88760</v>
      </c>
      <c r="AU903" t="s">
        <v>57</v>
      </c>
      <c r="AV903" t="s">
        <v>68</v>
      </c>
      <c r="AX903" t="s">
        <v>57</v>
      </c>
      <c r="AY903">
        <v>631110</v>
      </c>
      <c r="AZ903">
        <v>1205.63111</v>
      </c>
      <c r="BA903" s="23" t="s">
        <v>13</v>
      </c>
    </row>
    <row r="904" spans="1:53" x14ac:dyDescent="0.25">
      <c r="A904" t="s">
        <v>134</v>
      </c>
      <c r="B904" t="s">
        <v>135</v>
      </c>
      <c r="C904">
        <v>22002316</v>
      </c>
      <c r="D904">
        <v>1205</v>
      </c>
      <c r="E904" s="11">
        <v>44782</v>
      </c>
      <c r="F904" t="s">
        <v>174</v>
      </c>
      <c r="G904">
        <v>0.11</v>
      </c>
      <c r="H904">
        <v>0.11</v>
      </c>
      <c r="I904" t="s">
        <v>56</v>
      </c>
      <c r="O904" t="s">
        <v>57</v>
      </c>
      <c r="Q904" t="s">
        <v>57</v>
      </c>
      <c r="R904" t="s">
        <v>137</v>
      </c>
      <c r="T904" t="s">
        <v>59</v>
      </c>
      <c r="U904" t="s">
        <v>60</v>
      </c>
      <c r="V904" t="s">
        <v>138</v>
      </c>
      <c r="W904" t="s">
        <v>139</v>
      </c>
      <c r="X904">
        <v>1929847</v>
      </c>
      <c r="Y904" s="11">
        <v>44782</v>
      </c>
      <c r="Z904" t="s">
        <v>57</v>
      </c>
      <c r="AA904">
        <v>4</v>
      </c>
      <c r="AB904" t="s">
        <v>57</v>
      </c>
      <c r="AD904" t="s">
        <v>57</v>
      </c>
      <c r="AE904" t="s">
        <v>57</v>
      </c>
      <c r="AF904" t="s">
        <v>57</v>
      </c>
      <c r="AG904">
        <v>1</v>
      </c>
      <c r="AH904" t="s">
        <v>57</v>
      </c>
      <c r="AL904" t="s">
        <v>57</v>
      </c>
      <c r="AM904" s="11">
        <v>44782</v>
      </c>
      <c r="AN904" t="s">
        <v>178</v>
      </c>
      <c r="AO904" t="s">
        <v>65</v>
      </c>
      <c r="AP904">
        <v>1205</v>
      </c>
      <c r="AQ904" t="s">
        <v>66</v>
      </c>
      <c r="AR904">
        <v>88803</v>
      </c>
      <c r="AU904" t="s">
        <v>57</v>
      </c>
      <c r="AV904" t="s">
        <v>68</v>
      </c>
      <c r="AX904" t="s">
        <v>57</v>
      </c>
      <c r="AY904">
        <v>631110</v>
      </c>
      <c r="AZ904">
        <v>1205.63111</v>
      </c>
      <c r="BA904" s="23" t="s">
        <v>13</v>
      </c>
    </row>
    <row r="905" spans="1:53" x14ac:dyDescent="0.25">
      <c r="A905" t="s">
        <v>134</v>
      </c>
      <c r="B905" t="s">
        <v>135</v>
      </c>
      <c r="C905">
        <v>22002316</v>
      </c>
      <c r="D905">
        <v>1205</v>
      </c>
      <c r="E905" s="11">
        <v>44782</v>
      </c>
      <c r="F905" t="s">
        <v>174</v>
      </c>
      <c r="G905">
        <v>0.71</v>
      </c>
      <c r="H905">
        <v>0.71</v>
      </c>
      <c r="I905" t="s">
        <v>56</v>
      </c>
      <c r="O905" t="s">
        <v>57</v>
      </c>
      <c r="Q905" t="s">
        <v>57</v>
      </c>
      <c r="R905" t="s">
        <v>137</v>
      </c>
      <c r="T905" t="s">
        <v>59</v>
      </c>
      <c r="U905" t="s">
        <v>60</v>
      </c>
      <c r="V905" t="s">
        <v>138</v>
      </c>
      <c r="W905" t="s">
        <v>139</v>
      </c>
      <c r="X905">
        <v>1929847</v>
      </c>
      <c r="Y905" s="11">
        <v>44782</v>
      </c>
      <c r="Z905" t="s">
        <v>57</v>
      </c>
      <c r="AA905">
        <v>6</v>
      </c>
      <c r="AB905" t="s">
        <v>57</v>
      </c>
      <c r="AD905" t="s">
        <v>57</v>
      </c>
      <c r="AE905" t="s">
        <v>57</v>
      </c>
      <c r="AF905" t="s">
        <v>57</v>
      </c>
      <c r="AG905">
        <v>1</v>
      </c>
      <c r="AH905" t="s">
        <v>57</v>
      </c>
      <c r="AL905" t="s">
        <v>57</v>
      </c>
      <c r="AM905" s="11">
        <v>44782</v>
      </c>
      <c r="AN905" t="s">
        <v>178</v>
      </c>
      <c r="AO905" t="s">
        <v>65</v>
      </c>
      <c r="AP905">
        <v>1205</v>
      </c>
      <c r="AQ905" t="s">
        <v>66</v>
      </c>
      <c r="AR905">
        <v>236483</v>
      </c>
      <c r="AU905" t="s">
        <v>57</v>
      </c>
      <c r="AV905" t="s">
        <v>68</v>
      </c>
      <c r="AX905" t="s">
        <v>57</v>
      </c>
      <c r="AY905">
        <v>631110</v>
      </c>
      <c r="AZ905">
        <v>1205.63111</v>
      </c>
      <c r="BA905" s="23" t="s">
        <v>13</v>
      </c>
    </row>
    <row r="906" spans="1:53" x14ac:dyDescent="0.25">
      <c r="A906" t="s">
        <v>134</v>
      </c>
      <c r="B906" t="s">
        <v>135</v>
      </c>
      <c r="C906">
        <v>22002316</v>
      </c>
      <c r="D906">
        <v>1205</v>
      </c>
      <c r="E906" s="11">
        <v>44782</v>
      </c>
      <c r="F906" t="s">
        <v>174</v>
      </c>
      <c r="G906">
        <v>3.36</v>
      </c>
      <c r="H906">
        <v>3.36</v>
      </c>
      <c r="I906" t="s">
        <v>56</v>
      </c>
      <c r="O906" t="s">
        <v>57</v>
      </c>
      <c r="Q906" t="s">
        <v>57</v>
      </c>
      <c r="R906" t="s">
        <v>137</v>
      </c>
      <c r="T906" t="s">
        <v>59</v>
      </c>
      <c r="U906" t="s">
        <v>60</v>
      </c>
      <c r="V906" t="s">
        <v>138</v>
      </c>
      <c r="W906" t="s">
        <v>139</v>
      </c>
      <c r="X906">
        <v>1929847</v>
      </c>
      <c r="Y906" s="11">
        <v>44782</v>
      </c>
      <c r="Z906" t="s">
        <v>57</v>
      </c>
      <c r="AA906">
        <v>8</v>
      </c>
      <c r="AB906" t="s">
        <v>57</v>
      </c>
      <c r="AD906" t="s">
        <v>57</v>
      </c>
      <c r="AE906" t="s">
        <v>57</v>
      </c>
      <c r="AF906" t="s">
        <v>57</v>
      </c>
      <c r="AG906">
        <v>1</v>
      </c>
      <c r="AH906" t="s">
        <v>57</v>
      </c>
      <c r="AL906" t="s">
        <v>57</v>
      </c>
      <c r="AM906" s="11">
        <v>44782</v>
      </c>
      <c r="AN906" t="s">
        <v>178</v>
      </c>
      <c r="AO906" t="s">
        <v>65</v>
      </c>
      <c r="AP906">
        <v>1205</v>
      </c>
      <c r="AQ906" t="s">
        <v>66</v>
      </c>
      <c r="AR906">
        <v>206793</v>
      </c>
      <c r="AU906" t="s">
        <v>57</v>
      </c>
      <c r="AV906" t="s">
        <v>68</v>
      </c>
      <c r="AX906" t="s">
        <v>57</v>
      </c>
      <c r="AY906">
        <v>631110</v>
      </c>
      <c r="AZ906">
        <v>1205.63111</v>
      </c>
      <c r="BA906" s="23" t="s">
        <v>13</v>
      </c>
    </row>
    <row r="907" spans="1:53" x14ac:dyDescent="0.25">
      <c r="A907" t="s">
        <v>134</v>
      </c>
      <c r="B907" t="s">
        <v>135</v>
      </c>
      <c r="C907">
        <v>22002316</v>
      </c>
      <c r="D907">
        <v>1205</v>
      </c>
      <c r="E907" s="11">
        <v>44782</v>
      </c>
      <c r="F907" t="s">
        <v>174</v>
      </c>
      <c r="G907">
        <v>2.02</v>
      </c>
      <c r="H907">
        <v>2.02</v>
      </c>
      <c r="I907" t="s">
        <v>56</v>
      </c>
      <c r="O907" t="s">
        <v>57</v>
      </c>
      <c r="Q907" t="s">
        <v>57</v>
      </c>
      <c r="R907" t="s">
        <v>137</v>
      </c>
      <c r="T907" t="s">
        <v>59</v>
      </c>
      <c r="U907" t="s">
        <v>60</v>
      </c>
      <c r="V907" t="s">
        <v>138</v>
      </c>
      <c r="W907" t="s">
        <v>139</v>
      </c>
      <c r="X907">
        <v>1929847</v>
      </c>
      <c r="Y907" s="11">
        <v>44782</v>
      </c>
      <c r="Z907" t="s">
        <v>57</v>
      </c>
      <c r="AA907">
        <v>10</v>
      </c>
      <c r="AB907" t="s">
        <v>57</v>
      </c>
      <c r="AD907" t="s">
        <v>57</v>
      </c>
      <c r="AE907" t="s">
        <v>57</v>
      </c>
      <c r="AF907" t="s">
        <v>57</v>
      </c>
      <c r="AG907">
        <v>1</v>
      </c>
      <c r="AH907" t="s">
        <v>57</v>
      </c>
      <c r="AL907" t="s">
        <v>57</v>
      </c>
      <c r="AM907" s="11">
        <v>44782</v>
      </c>
      <c r="AN907" t="s">
        <v>178</v>
      </c>
      <c r="AO907" t="s">
        <v>65</v>
      </c>
      <c r="AP907">
        <v>1205</v>
      </c>
      <c r="AQ907" t="s">
        <v>66</v>
      </c>
      <c r="AR907">
        <v>250199</v>
      </c>
      <c r="AU907" t="s">
        <v>57</v>
      </c>
      <c r="AV907" t="s">
        <v>68</v>
      </c>
      <c r="AX907" t="s">
        <v>57</v>
      </c>
      <c r="AY907">
        <v>631110</v>
      </c>
      <c r="AZ907">
        <v>1205.63111</v>
      </c>
      <c r="BA907" s="23" t="s">
        <v>13</v>
      </c>
    </row>
    <row r="908" spans="1:53" x14ac:dyDescent="0.25">
      <c r="A908" t="s">
        <v>134</v>
      </c>
      <c r="B908" t="s">
        <v>135</v>
      </c>
      <c r="C908">
        <v>22002316</v>
      </c>
      <c r="D908">
        <v>1205</v>
      </c>
      <c r="E908" s="11">
        <v>44782</v>
      </c>
      <c r="F908" t="s">
        <v>174</v>
      </c>
      <c r="G908">
        <v>90.43</v>
      </c>
      <c r="H908">
        <v>90.43</v>
      </c>
      <c r="I908" t="s">
        <v>56</v>
      </c>
      <c r="O908" t="s">
        <v>57</v>
      </c>
      <c r="Q908" t="s">
        <v>57</v>
      </c>
      <c r="R908" t="s">
        <v>137</v>
      </c>
      <c r="T908" t="s">
        <v>59</v>
      </c>
      <c r="U908" t="s">
        <v>60</v>
      </c>
      <c r="V908" t="s">
        <v>138</v>
      </c>
      <c r="W908" t="s">
        <v>139</v>
      </c>
      <c r="X908">
        <v>1929847</v>
      </c>
      <c r="Y908" s="11">
        <v>44782</v>
      </c>
      <c r="Z908" t="s">
        <v>57</v>
      </c>
      <c r="AA908">
        <v>12</v>
      </c>
      <c r="AB908" t="s">
        <v>57</v>
      </c>
      <c r="AD908" t="s">
        <v>57</v>
      </c>
      <c r="AE908" t="s">
        <v>57</v>
      </c>
      <c r="AF908" t="s">
        <v>57</v>
      </c>
      <c r="AG908">
        <v>1</v>
      </c>
      <c r="AH908" t="s">
        <v>57</v>
      </c>
      <c r="AL908" t="s">
        <v>57</v>
      </c>
      <c r="AM908" s="11">
        <v>44782</v>
      </c>
      <c r="AN908" t="s">
        <v>178</v>
      </c>
      <c r="AO908" t="s">
        <v>65</v>
      </c>
      <c r="AP908">
        <v>1205</v>
      </c>
      <c r="AQ908" t="s">
        <v>66</v>
      </c>
      <c r="AR908">
        <v>174262</v>
      </c>
      <c r="AU908" t="s">
        <v>57</v>
      </c>
      <c r="AV908" t="s">
        <v>68</v>
      </c>
      <c r="AX908" t="s">
        <v>57</v>
      </c>
      <c r="AY908">
        <v>631110</v>
      </c>
      <c r="AZ908">
        <v>1205.63111</v>
      </c>
      <c r="BA908" s="23" t="s">
        <v>13</v>
      </c>
    </row>
    <row r="909" spans="1:53" x14ac:dyDescent="0.25">
      <c r="A909" t="s">
        <v>134</v>
      </c>
      <c r="B909" t="s">
        <v>135</v>
      </c>
      <c r="C909">
        <v>22002316</v>
      </c>
      <c r="D909">
        <v>1205</v>
      </c>
      <c r="E909" s="11">
        <v>44782</v>
      </c>
      <c r="F909" t="s">
        <v>174</v>
      </c>
      <c r="G909">
        <v>1.42</v>
      </c>
      <c r="H909">
        <v>1.42</v>
      </c>
      <c r="I909" t="s">
        <v>56</v>
      </c>
      <c r="O909" t="s">
        <v>57</v>
      </c>
      <c r="Q909" t="s">
        <v>57</v>
      </c>
      <c r="R909" t="s">
        <v>137</v>
      </c>
      <c r="T909" t="s">
        <v>59</v>
      </c>
      <c r="U909" t="s">
        <v>60</v>
      </c>
      <c r="V909" t="s">
        <v>138</v>
      </c>
      <c r="W909" t="s">
        <v>139</v>
      </c>
      <c r="X909">
        <v>1929847</v>
      </c>
      <c r="Y909" s="11">
        <v>44782</v>
      </c>
      <c r="Z909" t="s">
        <v>57</v>
      </c>
      <c r="AA909">
        <v>14</v>
      </c>
      <c r="AB909" t="s">
        <v>57</v>
      </c>
      <c r="AD909" t="s">
        <v>57</v>
      </c>
      <c r="AE909" t="s">
        <v>57</v>
      </c>
      <c r="AF909" t="s">
        <v>57</v>
      </c>
      <c r="AG909">
        <v>1</v>
      </c>
      <c r="AH909" t="s">
        <v>57</v>
      </c>
      <c r="AL909" t="s">
        <v>57</v>
      </c>
      <c r="AM909" s="11">
        <v>44782</v>
      </c>
      <c r="AN909" t="s">
        <v>178</v>
      </c>
      <c r="AO909" t="s">
        <v>65</v>
      </c>
      <c r="AP909">
        <v>1205</v>
      </c>
      <c r="AQ909" t="s">
        <v>66</v>
      </c>
      <c r="AR909">
        <v>88624</v>
      </c>
      <c r="AU909" t="s">
        <v>57</v>
      </c>
      <c r="AV909" t="s">
        <v>68</v>
      </c>
      <c r="AX909" t="s">
        <v>57</v>
      </c>
      <c r="AY909">
        <v>631110</v>
      </c>
      <c r="AZ909">
        <v>1205.63111</v>
      </c>
      <c r="BA909" s="23" t="s">
        <v>13</v>
      </c>
    </row>
    <row r="910" spans="1:53" x14ac:dyDescent="0.25">
      <c r="A910" t="s">
        <v>134</v>
      </c>
      <c r="B910" t="s">
        <v>135</v>
      </c>
      <c r="C910">
        <v>22002316</v>
      </c>
      <c r="D910">
        <v>1205</v>
      </c>
      <c r="E910" s="11">
        <v>44782</v>
      </c>
      <c r="F910" t="s">
        <v>174</v>
      </c>
      <c r="G910">
        <v>2.44</v>
      </c>
      <c r="H910">
        <v>2.44</v>
      </c>
      <c r="I910" t="s">
        <v>56</v>
      </c>
      <c r="O910" t="s">
        <v>57</v>
      </c>
      <c r="Q910" t="s">
        <v>57</v>
      </c>
      <c r="R910" t="s">
        <v>137</v>
      </c>
      <c r="T910" t="s">
        <v>59</v>
      </c>
      <c r="U910" t="s">
        <v>60</v>
      </c>
      <c r="V910" t="s">
        <v>138</v>
      </c>
      <c r="W910" t="s">
        <v>139</v>
      </c>
      <c r="X910">
        <v>1929847</v>
      </c>
      <c r="Y910" s="11">
        <v>44782</v>
      </c>
      <c r="Z910" t="s">
        <v>57</v>
      </c>
      <c r="AA910">
        <v>16</v>
      </c>
      <c r="AB910" t="s">
        <v>57</v>
      </c>
      <c r="AD910" t="s">
        <v>57</v>
      </c>
      <c r="AE910" t="s">
        <v>57</v>
      </c>
      <c r="AF910" t="s">
        <v>57</v>
      </c>
      <c r="AG910">
        <v>5</v>
      </c>
      <c r="AH910" t="s">
        <v>57</v>
      </c>
      <c r="AL910" t="s">
        <v>57</v>
      </c>
      <c r="AM910" s="11">
        <v>44782</v>
      </c>
      <c r="AN910" t="s">
        <v>178</v>
      </c>
      <c r="AO910" t="s">
        <v>65</v>
      </c>
      <c r="AP910">
        <v>1205</v>
      </c>
      <c r="AQ910" t="s">
        <v>66</v>
      </c>
      <c r="AR910">
        <v>121863</v>
      </c>
      <c r="AU910" t="s">
        <v>57</v>
      </c>
      <c r="AV910" t="s">
        <v>68</v>
      </c>
      <c r="AX910" t="s">
        <v>57</v>
      </c>
      <c r="AY910">
        <v>631110</v>
      </c>
      <c r="AZ910">
        <v>1205.63111</v>
      </c>
      <c r="BA910" s="23" t="s">
        <v>13</v>
      </c>
    </row>
    <row r="911" spans="1:53" x14ac:dyDescent="0.25">
      <c r="A911" t="s">
        <v>134</v>
      </c>
      <c r="B911" t="s">
        <v>135</v>
      </c>
      <c r="C911">
        <v>22002316</v>
      </c>
      <c r="D911">
        <v>1205</v>
      </c>
      <c r="E911" s="11">
        <v>44782</v>
      </c>
      <c r="F911" t="s">
        <v>174</v>
      </c>
      <c r="G911">
        <v>2.84</v>
      </c>
      <c r="H911">
        <v>2.84</v>
      </c>
      <c r="I911" t="s">
        <v>56</v>
      </c>
      <c r="O911" t="s">
        <v>57</v>
      </c>
      <c r="Q911" t="s">
        <v>57</v>
      </c>
      <c r="R911" t="s">
        <v>137</v>
      </c>
      <c r="T911" t="s">
        <v>59</v>
      </c>
      <c r="U911" t="s">
        <v>60</v>
      </c>
      <c r="V911" t="s">
        <v>138</v>
      </c>
      <c r="W911" t="s">
        <v>139</v>
      </c>
      <c r="X911">
        <v>1929847</v>
      </c>
      <c r="Y911" s="11">
        <v>44782</v>
      </c>
      <c r="Z911" t="s">
        <v>57</v>
      </c>
      <c r="AA911">
        <v>18</v>
      </c>
      <c r="AB911" t="s">
        <v>57</v>
      </c>
      <c r="AD911" t="s">
        <v>57</v>
      </c>
      <c r="AE911" t="s">
        <v>57</v>
      </c>
      <c r="AF911" t="s">
        <v>57</v>
      </c>
      <c r="AG911">
        <v>2</v>
      </c>
      <c r="AH911" t="s">
        <v>57</v>
      </c>
      <c r="AL911" t="s">
        <v>57</v>
      </c>
      <c r="AM911" s="11">
        <v>44782</v>
      </c>
      <c r="AN911" t="s">
        <v>178</v>
      </c>
      <c r="AO911" t="s">
        <v>65</v>
      </c>
      <c r="AP911">
        <v>1205</v>
      </c>
      <c r="AQ911" t="s">
        <v>66</v>
      </c>
      <c r="AR911">
        <v>88624</v>
      </c>
      <c r="AU911" t="s">
        <v>57</v>
      </c>
      <c r="AV911" t="s">
        <v>68</v>
      </c>
      <c r="AX911" t="s">
        <v>57</v>
      </c>
      <c r="AY911">
        <v>631110</v>
      </c>
      <c r="AZ911">
        <v>1205.63111</v>
      </c>
      <c r="BA911" s="23" t="s">
        <v>13</v>
      </c>
    </row>
    <row r="912" spans="1:53" x14ac:dyDescent="0.25">
      <c r="A912" t="s">
        <v>134</v>
      </c>
      <c r="B912" t="s">
        <v>135</v>
      </c>
      <c r="C912">
        <v>22002316</v>
      </c>
      <c r="D912">
        <v>1205</v>
      </c>
      <c r="E912" s="11">
        <v>44782</v>
      </c>
      <c r="F912" t="s">
        <v>174</v>
      </c>
      <c r="G912">
        <v>1.25</v>
      </c>
      <c r="H912">
        <v>1.25</v>
      </c>
      <c r="I912" t="s">
        <v>56</v>
      </c>
      <c r="O912" t="s">
        <v>57</v>
      </c>
      <c r="Q912" t="s">
        <v>57</v>
      </c>
      <c r="R912" t="s">
        <v>137</v>
      </c>
      <c r="T912" t="s">
        <v>59</v>
      </c>
      <c r="U912" t="s">
        <v>60</v>
      </c>
      <c r="V912" t="s">
        <v>138</v>
      </c>
      <c r="W912" t="s">
        <v>139</v>
      </c>
      <c r="X912">
        <v>1929847</v>
      </c>
      <c r="Y912" s="11">
        <v>44782</v>
      </c>
      <c r="Z912" t="s">
        <v>57</v>
      </c>
      <c r="AA912">
        <v>20</v>
      </c>
      <c r="AB912" t="s">
        <v>57</v>
      </c>
      <c r="AD912" t="s">
        <v>57</v>
      </c>
      <c r="AE912" t="s">
        <v>57</v>
      </c>
      <c r="AF912" t="s">
        <v>57</v>
      </c>
      <c r="AG912">
        <v>2</v>
      </c>
      <c r="AH912" t="s">
        <v>57</v>
      </c>
      <c r="AL912" t="s">
        <v>57</v>
      </c>
      <c r="AM912" s="11">
        <v>44782</v>
      </c>
      <c r="AN912" t="s">
        <v>178</v>
      </c>
      <c r="AO912" t="s">
        <v>65</v>
      </c>
      <c r="AP912">
        <v>1205</v>
      </c>
      <c r="AQ912" t="s">
        <v>66</v>
      </c>
      <c r="AR912">
        <v>220123</v>
      </c>
      <c r="AU912" t="s">
        <v>57</v>
      </c>
      <c r="AV912" t="s">
        <v>68</v>
      </c>
      <c r="AX912" t="s">
        <v>57</v>
      </c>
      <c r="AY912">
        <v>631110</v>
      </c>
      <c r="AZ912">
        <v>1205.63111</v>
      </c>
      <c r="BA912" s="23" t="s">
        <v>13</v>
      </c>
    </row>
    <row r="913" spans="1:53" x14ac:dyDescent="0.25">
      <c r="A913" t="s">
        <v>134</v>
      </c>
      <c r="B913" t="s">
        <v>135</v>
      </c>
      <c r="C913">
        <v>22002316</v>
      </c>
      <c r="D913">
        <v>1205</v>
      </c>
      <c r="E913" s="11">
        <v>44782</v>
      </c>
      <c r="F913" t="s">
        <v>174</v>
      </c>
      <c r="G913">
        <v>0.31</v>
      </c>
      <c r="H913">
        <v>0.31</v>
      </c>
      <c r="I913" t="s">
        <v>56</v>
      </c>
      <c r="O913" t="s">
        <v>57</v>
      </c>
      <c r="Q913" t="s">
        <v>57</v>
      </c>
      <c r="R913" t="s">
        <v>137</v>
      </c>
      <c r="T913" t="s">
        <v>59</v>
      </c>
      <c r="U913" t="s">
        <v>60</v>
      </c>
      <c r="V913" t="s">
        <v>138</v>
      </c>
      <c r="W913" t="s">
        <v>139</v>
      </c>
      <c r="X913">
        <v>1929847</v>
      </c>
      <c r="Y913" s="11">
        <v>44782</v>
      </c>
      <c r="Z913" t="s">
        <v>57</v>
      </c>
      <c r="AA913">
        <v>22</v>
      </c>
      <c r="AB913" t="s">
        <v>57</v>
      </c>
      <c r="AD913" t="s">
        <v>57</v>
      </c>
      <c r="AE913" t="s">
        <v>57</v>
      </c>
      <c r="AF913" t="s">
        <v>57</v>
      </c>
      <c r="AG913">
        <v>1</v>
      </c>
      <c r="AH913" t="s">
        <v>57</v>
      </c>
      <c r="AL913" t="s">
        <v>57</v>
      </c>
      <c r="AM913" s="11">
        <v>44782</v>
      </c>
      <c r="AN913" t="s">
        <v>178</v>
      </c>
      <c r="AO913" t="s">
        <v>65</v>
      </c>
      <c r="AP913">
        <v>1205</v>
      </c>
      <c r="AQ913" t="s">
        <v>66</v>
      </c>
      <c r="AR913">
        <v>170553</v>
      </c>
      <c r="AU913" t="s">
        <v>57</v>
      </c>
      <c r="AV913" t="s">
        <v>68</v>
      </c>
      <c r="AX913" t="s">
        <v>57</v>
      </c>
      <c r="AY913">
        <v>631110</v>
      </c>
      <c r="AZ913">
        <v>1205.63111</v>
      </c>
      <c r="BA913" s="23" t="s">
        <v>13</v>
      </c>
    </row>
    <row r="914" spans="1:53" x14ac:dyDescent="0.25">
      <c r="A914" t="s">
        <v>134</v>
      </c>
      <c r="B914" t="s">
        <v>135</v>
      </c>
      <c r="C914">
        <v>22002316</v>
      </c>
      <c r="D914">
        <v>1205</v>
      </c>
      <c r="E914" s="11">
        <v>44782</v>
      </c>
      <c r="F914" t="s">
        <v>174</v>
      </c>
      <c r="G914">
        <v>1.03</v>
      </c>
      <c r="H914">
        <v>1.03</v>
      </c>
      <c r="I914" t="s">
        <v>56</v>
      </c>
      <c r="O914" t="s">
        <v>57</v>
      </c>
      <c r="Q914" t="s">
        <v>57</v>
      </c>
      <c r="R914" t="s">
        <v>137</v>
      </c>
      <c r="T914" t="s">
        <v>59</v>
      </c>
      <c r="U914" t="s">
        <v>60</v>
      </c>
      <c r="V914" t="s">
        <v>138</v>
      </c>
      <c r="W914" t="s">
        <v>139</v>
      </c>
      <c r="X914">
        <v>1929847</v>
      </c>
      <c r="Y914" s="11">
        <v>44782</v>
      </c>
      <c r="Z914" t="s">
        <v>57</v>
      </c>
      <c r="AA914">
        <v>24</v>
      </c>
      <c r="AB914" t="s">
        <v>57</v>
      </c>
      <c r="AD914" t="s">
        <v>57</v>
      </c>
      <c r="AE914" t="s">
        <v>57</v>
      </c>
      <c r="AF914" t="s">
        <v>57</v>
      </c>
      <c r="AG914">
        <v>1</v>
      </c>
      <c r="AH914" t="s">
        <v>57</v>
      </c>
      <c r="AL914" t="s">
        <v>57</v>
      </c>
      <c r="AM914" s="11">
        <v>44782</v>
      </c>
      <c r="AN914" t="s">
        <v>178</v>
      </c>
      <c r="AO914" t="s">
        <v>65</v>
      </c>
      <c r="AP914">
        <v>1205</v>
      </c>
      <c r="AQ914" t="s">
        <v>66</v>
      </c>
      <c r="AR914">
        <v>267456</v>
      </c>
      <c r="AU914" t="s">
        <v>57</v>
      </c>
      <c r="AV914" t="s">
        <v>68</v>
      </c>
      <c r="AX914" t="s">
        <v>57</v>
      </c>
      <c r="AY914">
        <v>631110</v>
      </c>
      <c r="AZ914">
        <v>1205.63111</v>
      </c>
      <c r="BA914" s="23" t="s">
        <v>13</v>
      </c>
    </row>
    <row r="915" spans="1:53" x14ac:dyDescent="0.25">
      <c r="A915" t="s">
        <v>134</v>
      </c>
      <c r="B915" t="s">
        <v>135</v>
      </c>
      <c r="C915">
        <v>22002316</v>
      </c>
      <c r="D915">
        <v>1205</v>
      </c>
      <c r="E915" s="11">
        <v>44782</v>
      </c>
      <c r="F915" t="s">
        <v>174</v>
      </c>
      <c r="G915">
        <v>16.690000000000001</v>
      </c>
      <c r="H915">
        <v>16.690000000000001</v>
      </c>
      <c r="I915" t="s">
        <v>56</v>
      </c>
      <c r="O915" t="s">
        <v>57</v>
      </c>
      <c r="Q915" t="s">
        <v>57</v>
      </c>
      <c r="R915" t="s">
        <v>137</v>
      </c>
      <c r="T915" t="s">
        <v>59</v>
      </c>
      <c r="U915" t="s">
        <v>60</v>
      </c>
      <c r="V915" t="s">
        <v>138</v>
      </c>
      <c r="W915" t="s">
        <v>139</v>
      </c>
      <c r="X915">
        <v>1929847</v>
      </c>
      <c r="Y915" s="11">
        <v>44782</v>
      </c>
      <c r="Z915" t="s">
        <v>57</v>
      </c>
      <c r="AA915">
        <v>26</v>
      </c>
      <c r="AB915" t="s">
        <v>57</v>
      </c>
      <c r="AD915" t="s">
        <v>57</v>
      </c>
      <c r="AE915" t="s">
        <v>57</v>
      </c>
      <c r="AF915" t="s">
        <v>57</v>
      </c>
      <c r="AG915">
        <v>1</v>
      </c>
      <c r="AH915" t="s">
        <v>57</v>
      </c>
      <c r="AL915" t="s">
        <v>57</v>
      </c>
      <c r="AM915" s="11">
        <v>44782</v>
      </c>
      <c r="AN915" t="s">
        <v>178</v>
      </c>
      <c r="AO915" t="s">
        <v>65</v>
      </c>
      <c r="AP915">
        <v>1205</v>
      </c>
      <c r="AQ915" t="s">
        <v>66</v>
      </c>
      <c r="AR915">
        <v>248680</v>
      </c>
      <c r="AU915" t="s">
        <v>57</v>
      </c>
      <c r="AV915" t="s">
        <v>68</v>
      </c>
      <c r="AX915" t="s">
        <v>57</v>
      </c>
      <c r="AY915">
        <v>631110</v>
      </c>
      <c r="AZ915">
        <v>1205.63111</v>
      </c>
      <c r="BA915" s="23" t="s">
        <v>13</v>
      </c>
    </row>
    <row r="916" spans="1:53" x14ac:dyDescent="0.25">
      <c r="A916" t="s">
        <v>134</v>
      </c>
      <c r="B916" t="s">
        <v>135</v>
      </c>
      <c r="C916">
        <v>22002316</v>
      </c>
      <c r="D916">
        <v>1205</v>
      </c>
      <c r="E916" s="11">
        <v>44782</v>
      </c>
      <c r="F916" t="s">
        <v>174</v>
      </c>
      <c r="G916">
        <v>0.68</v>
      </c>
      <c r="H916">
        <v>0.68</v>
      </c>
      <c r="I916" t="s">
        <v>56</v>
      </c>
      <c r="O916" t="s">
        <v>57</v>
      </c>
      <c r="Q916" t="s">
        <v>57</v>
      </c>
      <c r="R916" t="s">
        <v>137</v>
      </c>
      <c r="T916" t="s">
        <v>59</v>
      </c>
      <c r="U916" t="s">
        <v>60</v>
      </c>
      <c r="V916" t="s">
        <v>138</v>
      </c>
      <c r="W916" t="s">
        <v>139</v>
      </c>
      <c r="X916">
        <v>1929847</v>
      </c>
      <c r="Y916" s="11">
        <v>44782</v>
      </c>
      <c r="Z916" t="s">
        <v>57</v>
      </c>
      <c r="AA916">
        <v>28</v>
      </c>
      <c r="AB916" t="s">
        <v>57</v>
      </c>
      <c r="AD916" t="s">
        <v>57</v>
      </c>
      <c r="AE916" t="s">
        <v>57</v>
      </c>
      <c r="AF916" t="s">
        <v>57</v>
      </c>
      <c r="AG916">
        <v>1</v>
      </c>
      <c r="AH916" t="s">
        <v>57</v>
      </c>
      <c r="AL916" t="s">
        <v>57</v>
      </c>
      <c r="AM916" s="11">
        <v>44782</v>
      </c>
      <c r="AN916" t="s">
        <v>178</v>
      </c>
      <c r="AO916" t="s">
        <v>65</v>
      </c>
      <c r="AP916">
        <v>1205</v>
      </c>
      <c r="AQ916" t="s">
        <v>66</v>
      </c>
      <c r="AR916">
        <v>270190</v>
      </c>
      <c r="AU916" t="s">
        <v>57</v>
      </c>
      <c r="AV916" t="s">
        <v>68</v>
      </c>
      <c r="AX916" t="s">
        <v>57</v>
      </c>
      <c r="AY916">
        <v>631110</v>
      </c>
      <c r="AZ916">
        <v>1205.63111</v>
      </c>
      <c r="BA916" s="23" t="s">
        <v>13</v>
      </c>
    </row>
    <row r="917" spans="1:53" x14ac:dyDescent="0.25">
      <c r="A917" t="s">
        <v>134</v>
      </c>
      <c r="B917" t="s">
        <v>135</v>
      </c>
      <c r="C917">
        <v>22002316</v>
      </c>
      <c r="D917">
        <v>1205</v>
      </c>
      <c r="E917" s="11">
        <v>44782</v>
      </c>
      <c r="F917" t="s">
        <v>174</v>
      </c>
      <c r="G917">
        <v>1.86</v>
      </c>
      <c r="H917">
        <v>1.86</v>
      </c>
      <c r="I917" t="s">
        <v>56</v>
      </c>
      <c r="O917" t="s">
        <v>57</v>
      </c>
      <c r="Q917" t="s">
        <v>57</v>
      </c>
      <c r="R917" t="s">
        <v>137</v>
      </c>
      <c r="T917" t="s">
        <v>59</v>
      </c>
      <c r="U917" t="s">
        <v>60</v>
      </c>
      <c r="V917" t="s">
        <v>138</v>
      </c>
      <c r="W917" t="s">
        <v>139</v>
      </c>
      <c r="X917">
        <v>1929847</v>
      </c>
      <c r="Y917" s="11">
        <v>44782</v>
      </c>
      <c r="Z917" t="s">
        <v>57</v>
      </c>
      <c r="AA917">
        <v>30</v>
      </c>
      <c r="AB917" t="s">
        <v>57</v>
      </c>
      <c r="AD917" t="s">
        <v>57</v>
      </c>
      <c r="AE917" t="s">
        <v>57</v>
      </c>
      <c r="AF917" t="s">
        <v>57</v>
      </c>
      <c r="AG917">
        <v>1</v>
      </c>
      <c r="AH917" t="s">
        <v>57</v>
      </c>
      <c r="AL917" t="s">
        <v>57</v>
      </c>
      <c r="AM917" s="11">
        <v>44782</v>
      </c>
      <c r="AN917" t="s">
        <v>178</v>
      </c>
      <c r="AO917" t="s">
        <v>65</v>
      </c>
      <c r="AP917">
        <v>1205</v>
      </c>
      <c r="AQ917" t="s">
        <v>66</v>
      </c>
      <c r="AR917">
        <v>270192</v>
      </c>
      <c r="AU917" t="s">
        <v>57</v>
      </c>
      <c r="AV917" t="s">
        <v>68</v>
      </c>
      <c r="AX917" t="s">
        <v>57</v>
      </c>
      <c r="AY917">
        <v>631110</v>
      </c>
      <c r="AZ917">
        <v>1205.63111</v>
      </c>
      <c r="BA917" s="23" t="s">
        <v>13</v>
      </c>
    </row>
    <row r="918" spans="1:53" x14ac:dyDescent="0.25">
      <c r="A918" t="s">
        <v>134</v>
      </c>
      <c r="B918" t="s">
        <v>135</v>
      </c>
      <c r="C918">
        <v>22002316</v>
      </c>
      <c r="D918">
        <v>1205</v>
      </c>
      <c r="E918" s="11">
        <v>44782</v>
      </c>
      <c r="F918" t="s">
        <v>174</v>
      </c>
      <c r="G918">
        <v>92.07</v>
      </c>
      <c r="H918">
        <v>92.07</v>
      </c>
      <c r="I918" t="s">
        <v>56</v>
      </c>
      <c r="O918" t="s">
        <v>57</v>
      </c>
      <c r="Q918" t="s">
        <v>57</v>
      </c>
      <c r="R918" t="s">
        <v>137</v>
      </c>
      <c r="T918" t="s">
        <v>59</v>
      </c>
      <c r="U918" t="s">
        <v>60</v>
      </c>
      <c r="V918" t="s">
        <v>138</v>
      </c>
      <c r="W918" t="s">
        <v>139</v>
      </c>
      <c r="X918">
        <v>1929847</v>
      </c>
      <c r="Y918" s="11">
        <v>44782</v>
      </c>
      <c r="Z918" t="s">
        <v>57</v>
      </c>
      <c r="AA918">
        <v>32</v>
      </c>
      <c r="AB918" t="s">
        <v>57</v>
      </c>
      <c r="AD918" t="s">
        <v>57</v>
      </c>
      <c r="AE918" t="s">
        <v>57</v>
      </c>
      <c r="AF918" t="s">
        <v>57</v>
      </c>
      <c r="AG918">
        <v>1</v>
      </c>
      <c r="AH918" t="s">
        <v>57</v>
      </c>
      <c r="AL918" t="s">
        <v>57</v>
      </c>
      <c r="AM918" s="11">
        <v>44782</v>
      </c>
      <c r="AN918" t="s">
        <v>178</v>
      </c>
      <c r="AO918" t="s">
        <v>65</v>
      </c>
      <c r="AP918">
        <v>1205</v>
      </c>
      <c r="AQ918" t="s">
        <v>66</v>
      </c>
      <c r="AR918">
        <v>174262</v>
      </c>
      <c r="AU918" t="s">
        <v>57</v>
      </c>
      <c r="AV918" t="s">
        <v>68</v>
      </c>
      <c r="AX918" t="s">
        <v>57</v>
      </c>
      <c r="AY918">
        <v>631110</v>
      </c>
      <c r="AZ918">
        <v>1205.63111</v>
      </c>
      <c r="BA918" s="23" t="s">
        <v>13</v>
      </c>
    </row>
    <row r="919" spans="1:53" x14ac:dyDescent="0.25">
      <c r="A919" t="s">
        <v>134</v>
      </c>
      <c r="B919" t="s">
        <v>135</v>
      </c>
      <c r="C919">
        <v>22002316</v>
      </c>
      <c r="D919">
        <v>1205</v>
      </c>
      <c r="E919" s="11">
        <v>44782</v>
      </c>
      <c r="F919" t="s">
        <v>174</v>
      </c>
      <c r="G919">
        <v>0.54</v>
      </c>
      <c r="H919">
        <v>0.54</v>
      </c>
      <c r="I919" t="s">
        <v>56</v>
      </c>
      <c r="O919" t="s">
        <v>57</v>
      </c>
      <c r="Q919" t="s">
        <v>57</v>
      </c>
      <c r="R919" t="s">
        <v>137</v>
      </c>
      <c r="T919" t="s">
        <v>59</v>
      </c>
      <c r="U919" t="s">
        <v>60</v>
      </c>
      <c r="V919" t="s">
        <v>138</v>
      </c>
      <c r="W919" t="s">
        <v>139</v>
      </c>
      <c r="X919">
        <v>1929847</v>
      </c>
      <c r="Y919" s="11">
        <v>44782</v>
      </c>
      <c r="Z919" t="s">
        <v>57</v>
      </c>
      <c r="AA919">
        <v>34</v>
      </c>
      <c r="AB919" t="s">
        <v>57</v>
      </c>
      <c r="AD919" t="s">
        <v>57</v>
      </c>
      <c r="AE919" t="s">
        <v>57</v>
      </c>
      <c r="AF919" t="s">
        <v>57</v>
      </c>
      <c r="AG919">
        <v>1</v>
      </c>
      <c r="AH919" t="s">
        <v>57</v>
      </c>
      <c r="AL919" t="s">
        <v>57</v>
      </c>
      <c r="AM919" s="11">
        <v>44782</v>
      </c>
      <c r="AN919" t="s">
        <v>178</v>
      </c>
      <c r="AO919" t="s">
        <v>65</v>
      </c>
      <c r="AP919">
        <v>1205</v>
      </c>
      <c r="AQ919" t="s">
        <v>66</v>
      </c>
      <c r="AR919">
        <v>89777</v>
      </c>
      <c r="AU919" t="s">
        <v>57</v>
      </c>
      <c r="AV919" t="s">
        <v>68</v>
      </c>
      <c r="AX919" t="s">
        <v>57</v>
      </c>
      <c r="AY919">
        <v>631110</v>
      </c>
      <c r="AZ919">
        <v>1205.63111</v>
      </c>
      <c r="BA919" s="23" t="s">
        <v>13</v>
      </c>
    </row>
    <row r="920" spans="1:53" x14ac:dyDescent="0.25">
      <c r="A920" t="s">
        <v>134</v>
      </c>
      <c r="B920" t="s">
        <v>135</v>
      </c>
      <c r="C920">
        <v>22002316</v>
      </c>
      <c r="D920">
        <v>1205</v>
      </c>
      <c r="E920" s="11">
        <v>44782</v>
      </c>
      <c r="F920" t="s">
        <v>174</v>
      </c>
      <c r="G920">
        <v>0.21</v>
      </c>
      <c r="H920">
        <v>0.21</v>
      </c>
      <c r="I920" t="s">
        <v>56</v>
      </c>
      <c r="O920" t="s">
        <v>57</v>
      </c>
      <c r="Q920" t="s">
        <v>57</v>
      </c>
      <c r="R920" t="s">
        <v>137</v>
      </c>
      <c r="T920" t="s">
        <v>59</v>
      </c>
      <c r="U920" t="s">
        <v>60</v>
      </c>
      <c r="V920" t="s">
        <v>138</v>
      </c>
      <c r="W920" t="s">
        <v>139</v>
      </c>
      <c r="X920">
        <v>1929847</v>
      </c>
      <c r="Y920" s="11">
        <v>44782</v>
      </c>
      <c r="Z920" t="s">
        <v>57</v>
      </c>
      <c r="AA920">
        <v>36</v>
      </c>
      <c r="AB920" t="s">
        <v>57</v>
      </c>
      <c r="AD920" t="s">
        <v>57</v>
      </c>
      <c r="AE920" t="s">
        <v>57</v>
      </c>
      <c r="AF920" t="s">
        <v>57</v>
      </c>
      <c r="AG920">
        <v>1</v>
      </c>
      <c r="AH920" t="s">
        <v>57</v>
      </c>
      <c r="AL920" t="s">
        <v>57</v>
      </c>
      <c r="AM920" s="11">
        <v>44782</v>
      </c>
      <c r="AN920" t="s">
        <v>178</v>
      </c>
      <c r="AO920" t="s">
        <v>65</v>
      </c>
      <c r="AP920">
        <v>1205</v>
      </c>
      <c r="AQ920" t="s">
        <v>66</v>
      </c>
      <c r="AR920">
        <v>88778</v>
      </c>
      <c r="AU920" t="s">
        <v>57</v>
      </c>
      <c r="AV920" t="s">
        <v>68</v>
      </c>
      <c r="AX920" t="s">
        <v>57</v>
      </c>
      <c r="AY920">
        <v>631110</v>
      </c>
      <c r="AZ920">
        <v>1205.63111</v>
      </c>
      <c r="BA920" s="23" t="s">
        <v>13</v>
      </c>
    </row>
    <row r="921" spans="1:53" x14ac:dyDescent="0.25">
      <c r="A921" t="s">
        <v>134</v>
      </c>
      <c r="B921" t="s">
        <v>135</v>
      </c>
      <c r="C921">
        <v>22002316</v>
      </c>
      <c r="D921">
        <v>1205</v>
      </c>
      <c r="E921" s="11">
        <v>44782</v>
      </c>
      <c r="F921" t="s">
        <v>174</v>
      </c>
      <c r="G921">
        <v>0.49</v>
      </c>
      <c r="H921">
        <v>0.49</v>
      </c>
      <c r="I921" t="s">
        <v>56</v>
      </c>
      <c r="O921" t="s">
        <v>57</v>
      </c>
      <c r="Q921" t="s">
        <v>57</v>
      </c>
      <c r="R921" t="s">
        <v>137</v>
      </c>
      <c r="T921" t="s">
        <v>59</v>
      </c>
      <c r="U921" t="s">
        <v>60</v>
      </c>
      <c r="V921" t="s">
        <v>138</v>
      </c>
      <c r="W921" t="s">
        <v>139</v>
      </c>
      <c r="X921">
        <v>1929847</v>
      </c>
      <c r="Y921" s="11">
        <v>44782</v>
      </c>
      <c r="Z921" t="s">
        <v>57</v>
      </c>
      <c r="AA921">
        <v>38</v>
      </c>
      <c r="AB921" t="s">
        <v>57</v>
      </c>
      <c r="AD921" t="s">
        <v>57</v>
      </c>
      <c r="AE921" t="s">
        <v>57</v>
      </c>
      <c r="AF921" t="s">
        <v>57</v>
      </c>
      <c r="AG921">
        <v>1</v>
      </c>
      <c r="AH921" t="s">
        <v>57</v>
      </c>
      <c r="AL921" t="s">
        <v>57</v>
      </c>
      <c r="AM921" s="11">
        <v>44782</v>
      </c>
      <c r="AN921" t="s">
        <v>178</v>
      </c>
      <c r="AO921" t="s">
        <v>65</v>
      </c>
      <c r="AP921">
        <v>1205</v>
      </c>
      <c r="AQ921" t="s">
        <v>66</v>
      </c>
      <c r="AR921">
        <v>228050</v>
      </c>
      <c r="AU921" t="s">
        <v>57</v>
      </c>
      <c r="AV921" t="s">
        <v>68</v>
      </c>
      <c r="AX921" t="s">
        <v>57</v>
      </c>
      <c r="AY921">
        <v>631110</v>
      </c>
      <c r="AZ921">
        <v>1205.63111</v>
      </c>
      <c r="BA921" s="23" t="s">
        <v>13</v>
      </c>
    </row>
    <row r="922" spans="1:53" x14ac:dyDescent="0.25">
      <c r="A922" t="s">
        <v>134</v>
      </c>
      <c r="B922" t="s">
        <v>135</v>
      </c>
      <c r="C922">
        <v>22002316</v>
      </c>
      <c r="D922">
        <v>1205</v>
      </c>
      <c r="E922" s="11">
        <v>44782</v>
      </c>
      <c r="F922" t="s">
        <v>174</v>
      </c>
      <c r="G922">
        <v>3.94</v>
      </c>
      <c r="H922">
        <v>3.94</v>
      </c>
      <c r="I922" t="s">
        <v>56</v>
      </c>
      <c r="O922" t="s">
        <v>57</v>
      </c>
      <c r="Q922" t="s">
        <v>57</v>
      </c>
      <c r="R922" t="s">
        <v>137</v>
      </c>
      <c r="T922" t="s">
        <v>59</v>
      </c>
      <c r="U922" t="s">
        <v>60</v>
      </c>
      <c r="V922" t="s">
        <v>138</v>
      </c>
      <c r="W922" t="s">
        <v>139</v>
      </c>
      <c r="X922">
        <v>1929847</v>
      </c>
      <c r="Y922" s="11">
        <v>44782</v>
      </c>
      <c r="Z922" t="s">
        <v>57</v>
      </c>
      <c r="AA922">
        <v>40</v>
      </c>
      <c r="AB922" t="s">
        <v>57</v>
      </c>
      <c r="AD922" t="s">
        <v>57</v>
      </c>
      <c r="AE922" t="s">
        <v>57</v>
      </c>
      <c r="AF922" t="s">
        <v>57</v>
      </c>
      <c r="AG922">
        <v>1</v>
      </c>
      <c r="AH922" t="s">
        <v>57</v>
      </c>
      <c r="AL922" t="s">
        <v>57</v>
      </c>
      <c r="AM922" s="11">
        <v>44782</v>
      </c>
      <c r="AN922" t="s">
        <v>178</v>
      </c>
      <c r="AO922" t="s">
        <v>65</v>
      </c>
      <c r="AP922">
        <v>1205</v>
      </c>
      <c r="AQ922" t="s">
        <v>66</v>
      </c>
      <c r="AR922">
        <v>220122</v>
      </c>
      <c r="AU922" t="s">
        <v>57</v>
      </c>
      <c r="AV922" t="s">
        <v>68</v>
      </c>
      <c r="AX922" t="s">
        <v>57</v>
      </c>
      <c r="AY922">
        <v>631110</v>
      </c>
      <c r="AZ922">
        <v>1205.63111</v>
      </c>
      <c r="BA922" s="23" t="s">
        <v>13</v>
      </c>
    </row>
    <row r="923" spans="1:53" x14ac:dyDescent="0.25">
      <c r="A923" t="s">
        <v>134</v>
      </c>
      <c r="B923" t="s">
        <v>135</v>
      </c>
      <c r="C923">
        <v>22002316</v>
      </c>
      <c r="D923">
        <v>1205</v>
      </c>
      <c r="E923" s="11">
        <v>44782</v>
      </c>
      <c r="F923" t="s">
        <v>174</v>
      </c>
      <c r="G923">
        <v>0.12</v>
      </c>
      <c r="H923">
        <v>0.12</v>
      </c>
      <c r="I923" t="s">
        <v>56</v>
      </c>
      <c r="O923" t="s">
        <v>57</v>
      </c>
      <c r="Q923" t="s">
        <v>57</v>
      </c>
      <c r="R923" t="s">
        <v>137</v>
      </c>
      <c r="T923" t="s">
        <v>59</v>
      </c>
      <c r="U923" t="s">
        <v>60</v>
      </c>
      <c r="V923" t="s">
        <v>138</v>
      </c>
      <c r="W923" t="s">
        <v>139</v>
      </c>
      <c r="X923">
        <v>1929847</v>
      </c>
      <c r="Y923" s="11">
        <v>44782</v>
      </c>
      <c r="Z923" t="s">
        <v>57</v>
      </c>
      <c r="AA923">
        <v>42</v>
      </c>
      <c r="AB923" t="s">
        <v>57</v>
      </c>
      <c r="AD923" t="s">
        <v>57</v>
      </c>
      <c r="AE923" t="s">
        <v>57</v>
      </c>
      <c r="AF923" t="s">
        <v>57</v>
      </c>
      <c r="AG923">
        <v>1</v>
      </c>
      <c r="AH923" t="s">
        <v>57</v>
      </c>
      <c r="AL923" t="s">
        <v>57</v>
      </c>
      <c r="AM923" s="11">
        <v>44782</v>
      </c>
      <c r="AN923" t="s">
        <v>178</v>
      </c>
      <c r="AO923" t="s">
        <v>65</v>
      </c>
      <c r="AP923">
        <v>1205</v>
      </c>
      <c r="AQ923" t="s">
        <v>66</v>
      </c>
      <c r="AR923">
        <v>226150</v>
      </c>
      <c r="AU923" t="s">
        <v>57</v>
      </c>
      <c r="AV923" t="s">
        <v>68</v>
      </c>
      <c r="AX923" t="s">
        <v>57</v>
      </c>
      <c r="AY923">
        <v>631110</v>
      </c>
      <c r="AZ923">
        <v>1205.63111</v>
      </c>
      <c r="BA923" s="23" t="s">
        <v>13</v>
      </c>
    </row>
    <row r="924" spans="1:53" x14ac:dyDescent="0.25">
      <c r="A924" t="s">
        <v>134</v>
      </c>
      <c r="B924" t="s">
        <v>135</v>
      </c>
      <c r="C924">
        <v>22002316</v>
      </c>
      <c r="D924">
        <v>1205</v>
      </c>
      <c r="E924" s="11">
        <v>44782</v>
      </c>
      <c r="F924" t="s">
        <v>174</v>
      </c>
      <c r="G924">
        <v>9.68</v>
      </c>
      <c r="H924">
        <v>9.68</v>
      </c>
      <c r="I924" t="s">
        <v>56</v>
      </c>
      <c r="O924" t="s">
        <v>57</v>
      </c>
      <c r="Q924" t="s">
        <v>57</v>
      </c>
      <c r="R924" t="s">
        <v>137</v>
      </c>
      <c r="T924" t="s">
        <v>59</v>
      </c>
      <c r="U924" t="s">
        <v>60</v>
      </c>
      <c r="V924" t="s">
        <v>138</v>
      </c>
      <c r="W924" t="s">
        <v>139</v>
      </c>
      <c r="X924">
        <v>1929847</v>
      </c>
      <c r="Y924" s="11">
        <v>44782</v>
      </c>
      <c r="Z924" t="s">
        <v>57</v>
      </c>
      <c r="AA924">
        <v>44</v>
      </c>
      <c r="AB924" t="s">
        <v>57</v>
      </c>
      <c r="AD924" t="s">
        <v>57</v>
      </c>
      <c r="AE924" t="s">
        <v>57</v>
      </c>
      <c r="AF924" t="s">
        <v>57</v>
      </c>
      <c r="AG924">
        <v>4</v>
      </c>
      <c r="AH924" t="s">
        <v>57</v>
      </c>
      <c r="AL924" t="s">
        <v>57</v>
      </c>
      <c r="AM924" s="11">
        <v>44782</v>
      </c>
      <c r="AN924" t="s">
        <v>178</v>
      </c>
      <c r="AO924" t="s">
        <v>65</v>
      </c>
      <c r="AP924">
        <v>1205</v>
      </c>
      <c r="AQ924" t="s">
        <v>66</v>
      </c>
      <c r="AR924">
        <v>88723</v>
      </c>
      <c r="AU924" t="s">
        <v>57</v>
      </c>
      <c r="AV924" t="s">
        <v>68</v>
      </c>
      <c r="AX924" t="s">
        <v>57</v>
      </c>
      <c r="AY924">
        <v>631110</v>
      </c>
      <c r="AZ924">
        <v>1205.63111</v>
      </c>
      <c r="BA924" s="23" t="s">
        <v>13</v>
      </c>
    </row>
    <row r="925" spans="1:53" x14ac:dyDescent="0.25">
      <c r="A925" t="s">
        <v>134</v>
      </c>
      <c r="B925" t="s">
        <v>135</v>
      </c>
      <c r="C925">
        <v>22002316</v>
      </c>
      <c r="D925">
        <v>1205</v>
      </c>
      <c r="E925" s="11">
        <v>44782</v>
      </c>
      <c r="F925" t="s">
        <v>174</v>
      </c>
      <c r="G925">
        <v>-9.68</v>
      </c>
      <c r="I925" t="s">
        <v>56</v>
      </c>
      <c r="K925">
        <v>-9.68</v>
      </c>
      <c r="O925" t="s">
        <v>57</v>
      </c>
      <c r="Q925" t="s">
        <v>57</v>
      </c>
      <c r="R925" t="s">
        <v>137</v>
      </c>
      <c r="T925" t="s">
        <v>59</v>
      </c>
      <c r="U925" t="s">
        <v>60</v>
      </c>
      <c r="V925" t="s">
        <v>138</v>
      </c>
      <c r="W925" t="s">
        <v>139</v>
      </c>
      <c r="X925">
        <v>1929847</v>
      </c>
      <c r="Y925" s="11">
        <v>44782</v>
      </c>
      <c r="Z925" t="s">
        <v>57</v>
      </c>
      <c r="AA925">
        <v>46</v>
      </c>
      <c r="AB925" t="s">
        <v>57</v>
      </c>
      <c r="AD925" t="s">
        <v>57</v>
      </c>
      <c r="AE925" t="s">
        <v>57</v>
      </c>
      <c r="AF925" t="s">
        <v>57</v>
      </c>
      <c r="AG925">
        <v>-4</v>
      </c>
      <c r="AH925" t="s">
        <v>57</v>
      </c>
      <c r="AL925" t="s">
        <v>57</v>
      </c>
      <c r="AM925" s="11">
        <v>44782</v>
      </c>
      <c r="AN925" t="s">
        <v>178</v>
      </c>
      <c r="AO925" t="s">
        <v>65</v>
      </c>
      <c r="AP925">
        <v>1205</v>
      </c>
      <c r="AQ925" t="s">
        <v>66</v>
      </c>
      <c r="AR925">
        <v>88723</v>
      </c>
      <c r="AU925" t="s">
        <v>57</v>
      </c>
      <c r="AV925" t="s">
        <v>68</v>
      </c>
      <c r="AX925" t="s">
        <v>57</v>
      </c>
      <c r="AY925">
        <v>631110</v>
      </c>
      <c r="AZ925">
        <v>1205.63111</v>
      </c>
      <c r="BA925" s="23" t="s">
        <v>13</v>
      </c>
    </row>
    <row r="926" spans="1:53" x14ac:dyDescent="0.25">
      <c r="A926" t="s">
        <v>134</v>
      </c>
      <c r="B926" t="s">
        <v>135</v>
      </c>
      <c r="C926">
        <v>22002317</v>
      </c>
      <c r="D926">
        <v>1205</v>
      </c>
      <c r="E926" s="11">
        <v>44782</v>
      </c>
      <c r="F926" t="s">
        <v>172</v>
      </c>
      <c r="G926">
        <v>11.21</v>
      </c>
      <c r="H926">
        <v>11.21</v>
      </c>
      <c r="I926" t="s">
        <v>56</v>
      </c>
      <c r="O926" t="s">
        <v>57</v>
      </c>
      <c r="Q926" t="s">
        <v>57</v>
      </c>
      <c r="R926" t="s">
        <v>137</v>
      </c>
      <c r="T926" t="s">
        <v>59</v>
      </c>
      <c r="U926" t="s">
        <v>60</v>
      </c>
      <c r="V926" t="s">
        <v>138</v>
      </c>
      <c r="W926" t="s">
        <v>139</v>
      </c>
      <c r="X926">
        <v>1929847</v>
      </c>
      <c r="Y926" s="11">
        <v>44782</v>
      </c>
      <c r="Z926" t="s">
        <v>57</v>
      </c>
      <c r="AA926">
        <v>2</v>
      </c>
      <c r="AB926" t="s">
        <v>57</v>
      </c>
      <c r="AD926" t="s">
        <v>57</v>
      </c>
      <c r="AE926" t="s">
        <v>57</v>
      </c>
      <c r="AF926" t="s">
        <v>57</v>
      </c>
      <c r="AG926">
        <v>1</v>
      </c>
      <c r="AH926" t="s">
        <v>57</v>
      </c>
      <c r="AL926" t="s">
        <v>57</v>
      </c>
      <c r="AM926" s="11">
        <v>44782</v>
      </c>
      <c r="AN926" t="s">
        <v>178</v>
      </c>
      <c r="AO926" t="s">
        <v>65</v>
      </c>
      <c r="AP926">
        <v>1205</v>
      </c>
      <c r="AQ926" t="s">
        <v>66</v>
      </c>
      <c r="AR926">
        <v>90109</v>
      </c>
      <c r="AU926" t="s">
        <v>57</v>
      </c>
      <c r="AV926" t="s">
        <v>68</v>
      </c>
      <c r="AX926" t="s">
        <v>57</v>
      </c>
      <c r="AY926">
        <v>631110</v>
      </c>
      <c r="AZ926">
        <v>1205.63111</v>
      </c>
      <c r="BA926" s="23" t="s">
        <v>13</v>
      </c>
    </row>
    <row r="927" spans="1:53" x14ac:dyDescent="0.25">
      <c r="A927" t="s">
        <v>134</v>
      </c>
      <c r="B927" t="s">
        <v>135</v>
      </c>
      <c r="C927">
        <v>22002317</v>
      </c>
      <c r="D927">
        <v>1205</v>
      </c>
      <c r="E927" s="11">
        <v>44782</v>
      </c>
      <c r="F927" t="s">
        <v>172</v>
      </c>
      <c r="G927">
        <v>7.94</v>
      </c>
      <c r="H927">
        <v>7.94</v>
      </c>
      <c r="I927" t="s">
        <v>56</v>
      </c>
      <c r="O927" t="s">
        <v>57</v>
      </c>
      <c r="Q927" t="s">
        <v>57</v>
      </c>
      <c r="R927" t="s">
        <v>137</v>
      </c>
      <c r="T927" t="s">
        <v>59</v>
      </c>
      <c r="U927" t="s">
        <v>60</v>
      </c>
      <c r="V927" t="s">
        <v>138</v>
      </c>
      <c r="W927" t="s">
        <v>139</v>
      </c>
      <c r="X927">
        <v>1929847</v>
      </c>
      <c r="Y927" s="11">
        <v>44782</v>
      </c>
      <c r="Z927" t="s">
        <v>57</v>
      </c>
      <c r="AA927">
        <v>4</v>
      </c>
      <c r="AB927" t="s">
        <v>57</v>
      </c>
      <c r="AD927" t="s">
        <v>57</v>
      </c>
      <c r="AE927" t="s">
        <v>57</v>
      </c>
      <c r="AF927" t="s">
        <v>57</v>
      </c>
      <c r="AG927">
        <v>1</v>
      </c>
      <c r="AH927" t="s">
        <v>57</v>
      </c>
      <c r="AL927" t="s">
        <v>57</v>
      </c>
      <c r="AM927" s="11">
        <v>44782</v>
      </c>
      <c r="AN927" t="s">
        <v>178</v>
      </c>
      <c r="AO927" t="s">
        <v>65</v>
      </c>
      <c r="AP927">
        <v>1205</v>
      </c>
      <c r="AQ927" t="s">
        <v>66</v>
      </c>
      <c r="AR927">
        <v>227112</v>
      </c>
      <c r="AU927" t="s">
        <v>57</v>
      </c>
      <c r="AV927" t="s">
        <v>68</v>
      </c>
      <c r="AX927" t="s">
        <v>57</v>
      </c>
      <c r="AY927">
        <v>631110</v>
      </c>
      <c r="AZ927">
        <v>1205.63111</v>
      </c>
      <c r="BA927" s="23" t="s">
        <v>13</v>
      </c>
    </row>
    <row r="928" spans="1:53" x14ac:dyDescent="0.25">
      <c r="A928" t="s">
        <v>134</v>
      </c>
      <c r="B928" t="s">
        <v>135</v>
      </c>
      <c r="C928">
        <v>22002318</v>
      </c>
      <c r="D928">
        <v>1205</v>
      </c>
      <c r="E928" s="11">
        <v>44782</v>
      </c>
      <c r="F928" t="s">
        <v>179</v>
      </c>
      <c r="G928">
        <v>0.37</v>
      </c>
      <c r="H928">
        <v>0.37</v>
      </c>
      <c r="I928" t="s">
        <v>56</v>
      </c>
      <c r="O928" t="s">
        <v>57</v>
      </c>
      <c r="Q928" t="s">
        <v>57</v>
      </c>
      <c r="R928" t="s">
        <v>137</v>
      </c>
      <c r="T928" t="s">
        <v>59</v>
      </c>
      <c r="U928" t="s">
        <v>60</v>
      </c>
      <c r="V928" t="s">
        <v>138</v>
      </c>
      <c r="W928" t="s">
        <v>139</v>
      </c>
      <c r="X928">
        <v>1929852</v>
      </c>
      <c r="Y928" s="11">
        <v>44782</v>
      </c>
      <c r="Z928" t="s">
        <v>57</v>
      </c>
      <c r="AA928">
        <v>28</v>
      </c>
      <c r="AB928" t="s">
        <v>57</v>
      </c>
      <c r="AD928" t="s">
        <v>57</v>
      </c>
      <c r="AE928" t="s">
        <v>57</v>
      </c>
      <c r="AF928" t="s">
        <v>57</v>
      </c>
      <c r="AG928">
        <v>3</v>
      </c>
      <c r="AH928" t="s">
        <v>57</v>
      </c>
      <c r="AL928" t="s">
        <v>57</v>
      </c>
      <c r="AM928" s="11">
        <v>44782</v>
      </c>
      <c r="AN928" t="s">
        <v>180</v>
      </c>
      <c r="AO928" t="s">
        <v>65</v>
      </c>
      <c r="AP928">
        <v>1205</v>
      </c>
      <c r="AQ928" t="s">
        <v>66</v>
      </c>
      <c r="AR928">
        <v>265217</v>
      </c>
      <c r="AU928" t="s">
        <v>57</v>
      </c>
      <c r="AV928" t="s">
        <v>68</v>
      </c>
      <c r="AX928" t="s">
        <v>57</v>
      </c>
      <c r="AY928">
        <v>631110</v>
      </c>
      <c r="AZ928">
        <v>1205.63111</v>
      </c>
      <c r="BA928" s="23" t="s">
        <v>13</v>
      </c>
    </row>
    <row r="929" spans="1:53" x14ac:dyDescent="0.25">
      <c r="A929" t="s">
        <v>134</v>
      </c>
      <c r="B929" t="s">
        <v>135</v>
      </c>
      <c r="C929">
        <v>22002318</v>
      </c>
      <c r="D929">
        <v>1205</v>
      </c>
      <c r="E929" s="11">
        <v>44782</v>
      </c>
      <c r="F929" t="s">
        <v>179</v>
      </c>
      <c r="G929">
        <v>1.46</v>
      </c>
      <c r="H929">
        <v>1.46</v>
      </c>
      <c r="I929" t="s">
        <v>56</v>
      </c>
      <c r="O929" t="s">
        <v>57</v>
      </c>
      <c r="Q929" t="s">
        <v>57</v>
      </c>
      <c r="R929" t="s">
        <v>137</v>
      </c>
      <c r="T929" t="s">
        <v>59</v>
      </c>
      <c r="U929" t="s">
        <v>60</v>
      </c>
      <c r="V929" t="s">
        <v>138</v>
      </c>
      <c r="W929" t="s">
        <v>139</v>
      </c>
      <c r="X929">
        <v>1929852</v>
      </c>
      <c r="Y929" s="11">
        <v>44782</v>
      </c>
      <c r="Z929" t="s">
        <v>57</v>
      </c>
      <c r="AA929">
        <v>30</v>
      </c>
      <c r="AB929" t="s">
        <v>57</v>
      </c>
      <c r="AD929" t="s">
        <v>57</v>
      </c>
      <c r="AE929" t="s">
        <v>57</v>
      </c>
      <c r="AF929" t="s">
        <v>57</v>
      </c>
      <c r="AG929">
        <v>12</v>
      </c>
      <c r="AH929" t="s">
        <v>57</v>
      </c>
      <c r="AL929" t="s">
        <v>57</v>
      </c>
      <c r="AM929" s="11">
        <v>44782</v>
      </c>
      <c r="AN929" t="s">
        <v>180</v>
      </c>
      <c r="AO929" t="s">
        <v>65</v>
      </c>
      <c r="AP929">
        <v>1205</v>
      </c>
      <c r="AQ929" t="s">
        <v>66</v>
      </c>
      <c r="AR929">
        <v>88639</v>
      </c>
      <c r="AU929" t="s">
        <v>57</v>
      </c>
      <c r="AV929" t="s">
        <v>68</v>
      </c>
      <c r="AX929" t="s">
        <v>57</v>
      </c>
      <c r="AY929">
        <v>631110</v>
      </c>
      <c r="AZ929">
        <v>1205.63111</v>
      </c>
      <c r="BA929" s="23" t="s">
        <v>13</v>
      </c>
    </row>
    <row r="930" spans="1:53" x14ac:dyDescent="0.25">
      <c r="A930" t="s">
        <v>134</v>
      </c>
      <c r="B930" t="s">
        <v>135</v>
      </c>
      <c r="C930">
        <v>22002318</v>
      </c>
      <c r="D930">
        <v>1205</v>
      </c>
      <c r="E930" s="11">
        <v>44782</v>
      </c>
      <c r="F930" t="s">
        <v>179</v>
      </c>
      <c r="G930">
        <v>0.63</v>
      </c>
      <c r="H930">
        <v>0.63</v>
      </c>
      <c r="I930" t="s">
        <v>56</v>
      </c>
      <c r="O930" t="s">
        <v>57</v>
      </c>
      <c r="Q930" t="s">
        <v>57</v>
      </c>
      <c r="R930" t="s">
        <v>137</v>
      </c>
      <c r="T930" t="s">
        <v>59</v>
      </c>
      <c r="U930" t="s">
        <v>60</v>
      </c>
      <c r="V930" t="s">
        <v>138</v>
      </c>
      <c r="W930" t="s">
        <v>139</v>
      </c>
      <c r="X930">
        <v>1929852</v>
      </c>
      <c r="Y930" s="11">
        <v>44782</v>
      </c>
      <c r="Z930" t="s">
        <v>57</v>
      </c>
      <c r="AA930">
        <v>32</v>
      </c>
      <c r="AB930" t="s">
        <v>57</v>
      </c>
      <c r="AD930" t="s">
        <v>57</v>
      </c>
      <c r="AE930" t="s">
        <v>57</v>
      </c>
      <c r="AF930" t="s">
        <v>57</v>
      </c>
      <c r="AG930">
        <v>4</v>
      </c>
      <c r="AH930" t="s">
        <v>57</v>
      </c>
      <c r="AL930" t="s">
        <v>57</v>
      </c>
      <c r="AM930" s="11">
        <v>44782</v>
      </c>
      <c r="AN930" t="s">
        <v>180</v>
      </c>
      <c r="AO930" t="s">
        <v>65</v>
      </c>
      <c r="AP930">
        <v>1205</v>
      </c>
      <c r="AQ930" t="s">
        <v>66</v>
      </c>
      <c r="AR930">
        <v>265891</v>
      </c>
      <c r="AU930" t="s">
        <v>57</v>
      </c>
      <c r="AV930" t="s">
        <v>68</v>
      </c>
      <c r="AX930" t="s">
        <v>57</v>
      </c>
      <c r="AY930">
        <v>631110</v>
      </c>
      <c r="AZ930">
        <v>1205.63111</v>
      </c>
      <c r="BA930" s="23" t="s">
        <v>13</v>
      </c>
    </row>
    <row r="931" spans="1:53" x14ac:dyDescent="0.25">
      <c r="A931" t="s">
        <v>134</v>
      </c>
      <c r="B931" t="s">
        <v>135</v>
      </c>
      <c r="C931">
        <v>22002318</v>
      </c>
      <c r="D931">
        <v>1205</v>
      </c>
      <c r="E931" s="11">
        <v>44782</v>
      </c>
      <c r="F931" t="s">
        <v>179</v>
      </c>
      <c r="G931">
        <v>1.99</v>
      </c>
      <c r="H931">
        <v>1.99</v>
      </c>
      <c r="I931" t="s">
        <v>56</v>
      </c>
      <c r="O931" t="s">
        <v>57</v>
      </c>
      <c r="Q931" t="s">
        <v>57</v>
      </c>
      <c r="R931" t="s">
        <v>137</v>
      </c>
      <c r="T931" t="s">
        <v>59</v>
      </c>
      <c r="U931" t="s">
        <v>60</v>
      </c>
      <c r="V931" t="s">
        <v>138</v>
      </c>
      <c r="W931" t="s">
        <v>139</v>
      </c>
      <c r="X931">
        <v>1929852</v>
      </c>
      <c r="Y931" s="11">
        <v>44782</v>
      </c>
      <c r="Z931" t="s">
        <v>57</v>
      </c>
      <c r="AA931">
        <v>34</v>
      </c>
      <c r="AB931" t="s">
        <v>57</v>
      </c>
      <c r="AD931" t="s">
        <v>57</v>
      </c>
      <c r="AE931" t="s">
        <v>57</v>
      </c>
      <c r="AF931" t="s">
        <v>57</v>
      </c>
      <c r="AG931">
        <v>13</v>
      </c>
      <c r="AH931" t="s">
        <v>57</v>
      </c>
      <c r="AL931" t="s">
        <v>57</v>
      </c>
      <c r="AM931" s="11">
        <v>44782</v>
      </c>
      <c r="AN931" t="s">
        <v>180</v>
      </c>
      <c r="AO931" t="s">
        <v>65</v>
      </c>
      <c r="AP931">
        <v>1205</v>
      </c>
      <c r="AQ931" t="s">
        <v>66</v>
      </c>
      <c r="AR931">
        <v>89715</v>
      </c>
      <c r="AU931" t="s">
        <v>57</v>
      </c>
      <c r="AV931" t="s">
        <v>68</v>
      </c>
      <c r="AX931" t="s">
        <v>57</v>
      </c>
      <c r="AY931">
        <v>631110</v>
      </c>
      <c r="AZ931">
        <v>1205.63111</v>
      </c>
      <c r="BA931" s="23" t="s">
        <v>13</v>
      </c>
    </row>
    <row r="932" spans="1:53" x14ac:dyDescent="0.25">
      <c r="A932" t="s">
        <v>134</v>
      </c>
      <c r="B932" t="s">
        <v>135</v>
      </c>
      <c r="C932">
        <v>22002318</v>
      </c>
      <c r="D932">
        <v>1205</v>
      </c>
      <c r="E932" s="11">
        <v>44782</v>
      </c>
      <c r="F932" t="s">
        <v>179</v>
      </c>
      <c r="G932">
        <v>0.16</v>
      </c>
      <c r="H932">
        <v>0.16</v>
      </c>
      <c r="I932" t="s">
        <v>56</v>
      </c>
      <c r="O932" t="s">
        <v>57</v>
      </c>
      <c r="Q932" t="s">
        <v>57</v>
      </c>
      <c r="R932" t="s">
        <v>137</v>
      </c>
      <c r="T932" t="s">
        <v>59</v>
      </c>
      <c r="U932" t="s">
        <v>60</v>
      </c>
      <c r="V932" t="s">
        <v>138</v>
      </c>
      <c r="W932" t="s">
        <v>139</v>
      </c>
      <c r="X932">
        <v>1929852</v>
      </c>
      <c r="Y932" s="11">
        <v>44782</v>
      </c>
      <c r="Z932" t="s">
        <v>57</v>
      </c>
      <c r="AA932">
        <v>36</v>
      </c>
      <c r="AB932" t="s">
        <v>57</v>
      </c>
      <c r="AD932" t="s">
        <v>57</v>
      </c>
      <c r="AE932" t="s">
        <v>57</v>
      </c>
      <c r="AF932" t="s">
        <v>57</v>
      </c>
      <c r="AG932">
        <v>1</v>
      </c>
      <c r="AH932" t="s">
        <v>57</v>
      </c>
      <c r="AL932" t="s">
        <v>57</v>
      </c>
      <c r="AM932" s="11">
        <v>44782</v>
      </c>
      <c r="AN932" t="s">
        <v>180</v>
      </c>
      <c r="AO932" t="s">
        <v>65</v>
      </c>
      <c r="AP932">
        <v>1205</v>
      </c>
      <c r="AQ932" t="s">
        <v>66</v>
      </c>
      <c r="AR932">
        <v>147840</v>
      </c>
      <c r="AU932" t="s">
        <v>57</v>
      </c>
      <c r="AV932" t="s">
        <v>68</v>
      </c>
      <c r="AX932" t="s">
        <v>57</v>
      </c>
      <c r="AY932">
        <v>631110</v>
      </c>
      <c r="AZ932">
        <v>1205.63111</v>
      </c>
      <c r="BA932" s="23" t="s">
        <v>13</v>
      </c>
    </row>
    <row r="933" spans="1:53" x14ac:dyDescent="0.25">
      <c r="A933" t="s">
        <v>134</v>
      </c>
      <c r="B933" t="s">
        <v>135</v>
      </c>
      <c r="C933">
        <v>22002318</v>
      </c>
      <c r="D933">
        <v>1205</v>
      </c>
      <c r="E933" s="11">
        <v>44782</v>
      </c>
      <c r="F933" t="s">
        <v>179</v>
      </c>
      <c r="G933">
        <v>2.14</v>
      </c>
      <c r="H933">
        <v>2.14</v>
      </c>
      <c r="I933" t="s">
        <v>56</v>
      </c>
      <c r="O933" t="s">
        <v>57</v>
      </c>
      <c r="Q933" t="s">
        <v>57</v>
      </c>
      <c r="R933" t="s">
        <v>137</v>
      </c>
      <c r="T933" t="s">
        <v>59</v>
      </c>
      <c r="U933" t="s">
        <v>60</v>
      </c>
      <c r="V933" t="s">
        <v>138</v>
      </c>
      <c r="W933" t="s">
        <v>139</v>
      </c>
      <c r="X933">
        <v>1929852</v>
      </c>
      <c r="Y933" s="11">
        <v>44782</v>
      </c>
      <c r="Z933" t="s">
        <v>57</v>
      </c>
      <c r="AA933">
        <v>38</v>
      </c>
      <c r="AB933" t="s">
        <v>57</v>
      </c>
      <c r="AD933" t="s">
        <v>57</v>
      </c>
      <c r="AE933" t="s">
        <v>57</v>
      </c>
      <c r="AF933" t="s">
        <v>57</v>
      </c>
      <c r="AG933">
        <v>10</v>
      </c>
      <c r="AH933" t="s">
        <v>57</v>
      </c>
      <c r="AL933" t="s">
        <v>57</v>
      </c>
      <c r="AM933" s="11">
        <v>44782</v>
      </c>
      <c r="AN933" t="s">
        <v>180</v>
      </c>
      <c r="AO933" t="s">
        <v>65</v>
      </c>
      <c r="AP933">
        <v>1205</v>
      </c>
      <c r="AQ933" t="s">
        <v>66</v>
      </c>
      <c r="AR933">
        <v>89727</v>
      </c>
      <c r="AU933" t="s">
        <v>57</v>
      </c>
      <c r="AV933" t="s">
        <v>68</v>
      </c>
      <c r="AX933" t="s">
        <v>57</v>
      </c>
      <c r="AY933">
        <v>631110</v>
      </c>
      <c r="AZ933">
        <v>1205.63111</v>
      </c>
      <c r="BA933" s="23" t="s">
        <v>13</v>
      </c>
    </row>
    <row r="934" spans="1:53" x14ac:dyDescent="0.25">
      <c r="A934" t="s">
        <v>134</v>
      </c>
      <c r="B934" t="s">
        <v>135</v>
      </c>
      <c r="C934">
        <v>22002318</v>
      </c>
      <c r="D934">
        <v>1205</v>
      </c>
      <c r="E934" s="11">
        <v>44782</v>
      </c>
      <c r="F934" t="s">
        <v>179</v>
      </c>
      <c r="G934">
        <v>5.41</v>
      </c>
      <c r="H934">
        <v>5.41</v>
      </c>
      <c r="I934" t="s">
        <v>56</v>
      </c>
      <c r="O934" t="s">
        <v>57</v>
      </c>
      <c r="Q934" t="s">
        <v>57</v>
      </c>
      <c r="R934" t="s">
        <v>137</v>
      </c>
      <c r="T934" t="s">
        <v>59</v>
      </c>
      <c r="U934" t="s">
        <v>60</v>
      </c>
      <c r="V934" t="s">
        <v>138</v>
      </c>
      <c r="W934" t="s">
        <v>139</v>
      </c>
      <c r="X934">
        <v>1929852</v>
      </c>
      <c r="Y934" s="11">
        <v>44782</v>
      </c>
      <c r="Z934" t="s">
        <v>57</v>
      </c>
      <c r="AA934">
        <v>40</v>
      </c>
      <c r="AB934" t="s">
        <v>57</v>
      </c>
      <c r="AD934" t="s">
        <v>57</v>
      </c>
      <c r="AE934" t="s">
        <v>57</v>
      </c>
      <c r="AF934" t="s">
        <v>57</v>
      </c>
      <c r="AG934">
        <v>35</v>
      </c>
      <c r="AH934" t="s">
        <v>57</v>
      </c>
      <c r="AL934" t="s">
        <v>57</v>
      </c>
      <c r="AM934" s="11">
        <v>44782</v>
      </c>
      <c r="AN934" t="s">
        <v>180</v>
      </c>
      <c r="AO934" t="s">
        <v>65</v>
      </c>
      <c r="AP934">
        <v>1205</v>
      </c>
      <c r="AQ934" t="s">
        <v>66</v>
      </c>
      <c r="AR934">
        <v>89712</v>
      </c>
      <c r="AU934" t="s">
        <v>57</v>
      </c>
      <c r="AV934" t="s">
        <v>68</v>
      </c>
      <c r="AX934" t="s">
        <v>57</v>
      </c>
      <c r="AY934">
        <v>631110</v>
      </c>
      <c r="AZ934">
        <v>1205.63111</v>
      </c>
      <c r="BA934" s="23" t="s">
        <v>13</v>
      </c>
    </row>
    <row r="935" spans="1:53" x14ac:dyDescent="0.25">
      <c r="A935" t="s">
        <v>134</v>
      </c>
      <c r="B935" t="s">
        <v>135</v>
      </c>
      <c r="C935">
        <v>22002318</v>
      </c>
      <c r="D935">
        <v>1205</v>
      </c>
      <c r="E935" s="11">
        <v>44782</v>
      </c>
      <c r="F935" t="s">
        <v>179</v>
      </c>
      <c r="G935">
        <v>0.31</v>
      </c>
      <c r="H935">
        <v>0.31</v>
      </c>
      <c r="I935" t="s">
        <v>56</v>
      </c>
      <c r="O935" t="s">
        <v>57</v>
      </c>
      <c r="Q935" t="s">
        <v>57</v>
      </c>
      <c r="R935" t="s">
        <v>137</v>
      </c>
      <c r="T935" t="s">
        <v>59</v>
      </c>
      <c r="U935" t="s">
        <v>60</v>
      </c>
      <c r="V935" t="s">
        <v>138</v>
      </c>
      <c r="W935" t="s">
        <v>139</v>
      </c>
      <c r="X935">
        <v>1929852</v>
      </c>
      <c r="Y935" s="11">
        <v>44782</v>
      </c>
      <c r="Z935" t="s">
        <v>57</v>
      </c>
      <c r="AA935">
        <v>42</v>
      </c>
      <c r="AB935" t="s">
        <v>57</v>
      </c>
      <c r="AD935" t="s">
        <v>57</v>
      </c>
      <c r="AE935" t="s">
        <v>57</v>
      </c>
      <c r="AF935" t="s">
        <v>57</v>
      </c>
      <c r="AG935">
        <v>2</v>
      </c>
      <c r="AH935" t="s">
        <v>57</v>
      </c>
      <c r="AL935" t="s">
        <v>57</v>
      </c>
      <c r="AM935" s="11">
        <v>44782</v>
      </c>
      <c r="AN935" t="s">
        <v>180</v>
      </c>
      <c r="AO935" t="s">
        <v>65</v>
      </c>
      <c r="AP935">
        <v>1205</v>
      </c>
      <c r="AQ935" t="s">
        <v>66</v>
      </c>
      <c r="AR935">
        <v>265528</v>
      </c>
      <c r="AU935" t="s">
        <v>57</v>
      </c>
      <c r="AV935" t="s">
        <v>68</v>
      </c>
      <c r="AX935" t="s">
        <v>57</v>
      </c>
      <c r="AY935">
        <v>631110</v>
      </c>
      <c r="AZ935">
        <v>1205.63111</v>
      </c>
      <c r="BA935" s="23" t="s">
        <v>13</v>
      </c>
    </row>
    <row r="936" spans="1:53" x14ac:dyDescent="0.25">
      <c r="A936" t="s">
        <v>134</v>
      </c>
      <c r="B936" t="s">
        <v>135</v>
      </c>
      <c r="C936">
        <v>22002318</v>
      </c>
      <c r="D936">
        <v>1205</v>
      </c>
      <c r="E936" s="11">
        <v>44782</v>
      </c>
      <c r="F936" t="s">
        <v>179</v>
      </c>
      <c r="G936">
        <v>0.6</v>
      </c>
      <c r="H936">
        <v>0.6</v>
      </c>
      <c r="I936" t="s">
        <v>56</v>
      </c>
      <c r="O936" t="s">
        <v>57</v>
      </c>
      <c r="Q936" t="s">
        <v>57</v>
      </c>
      <c r="R936" t="s">
        <v>137</v>
      </c>
      <c r="T936" t="s">
        <v>59</v>
      </c>
      <c r="U936" t="s">
        <v>60</v>
      </c>
      <c r="V936" t="s">
        <v>138</v>
      </c>
      <c r="W936" t="s">
        <v>139</v>
      </c>
      <c r="X936">
        <v>1929852</v>
      </c>
      <c r="Y936" s="11">
        <v>44782</v>
      </c>
      <c r="Z936" t="s">
        <v>57</v>
      </c>
      <c r="AA936">
        <v>2</v>
      </c>
      <c r="AB936" t="s">
        <v>57</v>
      </c>
      <c r="AD936" t="s">
        <v>57</v>
      </c>
      <c r="AE936" t="s">
        <v>57</v>
      </c>
      <c r="AF936" t="s">
        <v>57</v>
      </c>
      <c r="AG936">
        <v>8</v>
      </c>
      <c r="AH936" t="s">
        <v>57</v>
      </c>
      <c r="AL936" t="s">
        <v>57</v>
      </c>
      <c r="AM936" s="11">
        <v>44782</v>
      </c>
      <c r="AN936" t="s">
        <v>180</v>
      </c>
      <c r="AO936" t="s">
        <v>65</v>
      </c>
      <c r="AP936">
        <v>1205</v>
      </c>
      <c r="AQ936" t="s">
        <v>66</v>
      </c>
      <c r="AR936">
        <v>92908</v>
      </c>
      <c r="AU936" t="s">
        <v>57</v>
      </c>
      <c r="AV936" t="s">
        <v>68</v>
      </c>
      <c r="AX936" t="s">
        <v>57</v>
      </c>
      <c r="AY936">
        <v>631110</v>
      </c>
      <c r="AZ936">
        <v>1205.63111</v>
      </c>
      <c r="BA936" s="23" t="s">
        <v>13</v>
      </c>
    </row>
    <row r="937" spans="1:53" x14ac:dyDescent="0.25">
      <c r="A937" t="s">
        <v>134</v>
      </c>
      <c r="B937" t="s">
        <v>135</v>
      </c>
      <c r="C937">
        <v>22002318</v>
      </c>
      <c r="D937">
        <v>1205</v>
      </c>
      <c r="E937" s="11">
        <v>44782</v>
      </c>
      <c r="F937" t="s">
        <v>179</v>
      </c>
      <c r="G937">
        <v>2.39</v>
      </c>
      <c r="H937">
        <v>2.39</v>
      </c>
      <c r="I937" t="s">
        <v>56</v>
      </c>
      <c r="O937" t="s">
        <v>57</v>
      </c>
      <c r="Q937" t="s">
        <v>57</v>
      </c>
      <c r="R937" t="s">
        <v>137</v>
      </c>
      <c r="T937" t="s">
        <v>59</v>
      </c>
      <c r="U937" t="s">
        <v>60</v>
      </c>
      <c r="V937" t="s">
        <v>138</v>
      </c>
      <c r="W937" t="s">
        <v>139</v>
      </c>
      <c r="X937">
        <v>1929852</v>
      </c>
      <c r="Y937" s="11">
        <v>44782</v>
      </c>
      <c r="Z937" t="s">
        <v>57</v>
      </c>
      <c r="AA937">
        <v>4</v>
      </c>
      <c r="AB937" t="s">
        <v>57</v>
      </c>
      <c r="AD937" t="s">
        <v>57</v>
      </c>
      <c r="AE937" t="s">
        <v>57</v>
      </c>
      <c r="AF937" t="s">
        <v>57</v>
      </c>
      <c r="AG937">
        <v>20</v>
      </c>
      <c r="AH937" t="s">
        <v>57</v>
      </c>
      <c r="AL937" t="s">
        <v>57</v>
      </c>
      <c r="AM937" s="11">
        <v>44782</v>
      </c>
      <c r="AN937" t="s">
        <v>180</v>
      </c>
      <c r="AO937" t="s">
        <v>65</v>
      </c>
      <c r="AP937">
        <v>1205</v>
      </c>
      <c r="AQ937" t="s">
        <v>66</v>
      </c>
      <c r="AR937">
        <v>267860</v>
      </c>
      <c r="AU937" t="s">
        <v>57</v>
      </c>
      <c r="AV937" t="s">
        <v>68</v>
      </c>
      <c r="AX937" t="s">
        <v>57</v>
      </c>
      <c r="AY937">
        <v>631110</v>
      </c>
      <c r="AZ937">
        <v>1205.63111</v>
      </c>
      <c r="BA937" s="23" t="s">
        <v>13</v>
      </c>
    </row>
    <row r="938" spans="1:53" x14ac:dyDescent="0.25">
      <c r="A938" t="s">
        <v>134</v>
      </c>
      <c r="B938" t="s">
        <v>135</v>
      </c>
      <c r="C938">
        <v>22002318</v>
      </c>
      <c r="D938">
        <v>1205</v>
      </c>
      <c r="E938" s="11">
        <v>44782</v>
      </c>
      <c r="F938" t="s">
        <v>179</v>
      </c>
      <c r="G938">
        <v>1.29</v>
      </c>
      <c r="H938">
        <v>1.29</v>
      </c>
      <c r="I938" t="s">
        <v>56</v>
      </c>
      <c r="O938" t="s">
        <v>57</v>
      </c>
      <c r="Q938" t="s">
        <v>57</v>
      </c>
      <c r="R938" t="s">
        <v>137</v>
      </c>
      <c r="T938" t="s">
        <v>59</v>
      </c>
      <c r="U938" t="s">
        <v>60</v>
      </c>
      <c r="V938" t="s">
        <v>138</v>
      </c>
      <c r="W938" t="s">
        <v>139</v>
      </c>
      <c r="X938">
        <v>1929852</v>
      </c>
      <c r="Y938" s="11">
        <v>44782</v>
      </c>
      <c r="Z938" t="s">
        <v>57</v>
      </c>
      <c r="AA938">
        <v>6</v>
      </c>
      <c r="AB938" t="s">
        <v>57</v>
      </c>
      <c r="AD938" t="s">
        <v>57</v>
      </c>
      <c r="AE938" t="s">
        <v>57</v>
      </c>
      <c r="AF938" t="s">
        <v>57</v>
      </c>
      <c r="AG938">
        <v>17</v>
      </c>
      <c r="AH938" t="s">
        <v>57</v>
      </c>
      <c r="AL938" t="s">
        <v>57</v>
      </c>
      <c r="AM938" s="11">
        <v>44782</v>
      </c>
      <c r="AN938" t="s">
        <v>180</v>
      </c>
      <c r="AO938" t="s">
        <v>65</v>
      </c>
      <c r="AP938">
        <v>1205</v>
      </c>
      <c r="AQ938" t="s">
        <v>66</v>
      </c>
      <c r="AR938">
        <v>264688</v>
      </c>
      <c r="AU938" t="s">
        <v>57</v>
      </c>
      <c r="AV938" t="s">
        <v>68</v>
      </c>
      <c r="AX938" t="s">
        <v>57</v>
      </c>
      <c r="AY938">
        <v>631110</v>
      </c>
      <c r="AZ938">
        <v>1205.63111</v>
      </c>
      <c r="BA938" s="23" t="s">
        <v>13</v>
      </c>
    </row>
    <row r="939" spans="1:53" x14ac:dyDescent="0.25">
      <c r="A939" t="s">
        <v>134</v>
      </c>
      <c r="B939" t="s">
        <v>135</v>
      </c>
      <c r="C939">
        <v>22002318</v>
      </c>
      <c r="D939">
        <v>1205</v>
      </c>
      <c r="E939" s="11">
        <v>44782</v>
      </c>
      <c r="F939" t="s">
        <v>179</v>
      </c>
      <c r="G939">
        <v>2.17</v>
      </c>
      <c r="H939">
        <v>2.17</v>
      </c>
      <c r="I939" t="s">
        <v>56</v>
      </c>
      <c r="O939" t="s">
        <v>57</v>
      </c>
      <c r="Q939" t="s">
        <v>57</v>
      </c>
      <c r="R939" t="s">
        <v>137</v>
      </c>
      <c r="T939" t="s">
        <v>59</v>
      </c>
      <c r="U939" t="s">
        <v>60</v>
      </c>
      <c r="V939" t="s">
        <v>138</v>
      </c>
      <c r="W939" t="s">
        <v>139</v>
      </c>
      <c r="X939">
        <v>1929852</v>
      </c>
      <c r="Y939" s="11">
        <v>44782</v>
      </c>
      <c r="Z939" t="s">
        <v>57</v>
      </c>
      <c r="AA939">
        <v>8</v>
      </c>
      <c r="AB939" t="s">
        <v>57</v>
      </c>
      <c r="AD939" t="s">
        <v>57</v>
      </c>
      <c r="AE939" t="s">
        <v>57</v>
      </c>
      <c r="AF939" t="s">
        <v>57</v>
      </c>
      <c r="AG939">
        <v>26</v>
      </c>
      <c r="AH939" t="s">
        <v>57</v>
      </c>
      <c r="AL939" t="s">
        <v>57</v>
      </c>
      <c r="AM939" s="11">
        <v>44782</v>
      </c>
      <c r="AN939" t="s">
        <v>180</v>
      </c>
      <c r="AO939" t="s">
        <v>65</v>
      </c>
      <c r="AP939">
        <v>1205</v>
      </c>
      <c r="AQ939" t="s">
        <v>66</v>
      </c>
      <c r="AR939">
        <v>265878</v>
      </c>
      <c r="AU939" t="s">
        <v>57</v>
      </c>
      <c r="AV939" t="s">
        <v>68</v>
      </c>
      <c r="AX939" t="s">
        <v>57</v>
      </c>
      <c r="AY939">
        <v>631110</v>
      </c>
      <c r="AZ939">
        <v>1205.63111</v>
      </c>
      <c r="BA939" s="23" t="s">
        <v>13</v>
      </c>
    </row>
    <row r="940" spans="1:53" x14ac:dyDescent="0.25">
      <c r="A940" t="s">
        <v>134</v>
      </c>
      <c r="B940" t="s">
        <v>135</v>
      </c>
      <c r="C940">
        <v>22002318</v>
      </c>
      <c r="D940">
        <v>1205</v>
      </c>
      <c r="E940" s="11">
        <v>44782</v>
      </c>
      <c r="F940" t="s">
        <v>179</v>
      </c>
      <c r="G940">
        <v>0.83</v>
      </c>
      <c r="H940">
        <v>0.83</v>
      </c>
      <c r="I940" t="s">
        <v>56</v>
      </c>
      <c r="O940" t="s">
        <v>57</v>
      </c>
      <c r="Q940" t="s">
        <v>57</v>
      </c>
      <c r="R940" t="s">
        <v>137</v>
      </c>
      <c r="T940" t="s">
        <v>59</v>
      </c>
      <c r="U940" t="s">
        <v>60</v>
      </c>
      <c r="V940" t="s">
        <v>138</v>
      </c>
      <c r="W940" t="s">
        <v>139</v>
      </c>
      <c r="X940">
        <v>1929852</v>
      </c>
      <c r="Y940" s="11">
        <v>44782</v>
      </c>
      <c r="Z940" t="s">
        <v>57</v>
      </c>
      <c r="AA940">
        <v>10</v>
      </c>
      <c r="AB940" t="s">
        <v>57</v>
      </c>
      <c r="AD940" t="s">
        <v>57</v>
      </c>
      <c r="AE940" t="s">
        <v>57</v>
      </c>
      <c r="AF940" t="s">
        <v>57</v>
      </c>
      <c r="AG940">
        <v>11</v>
      </c>
      <c r="AH940" t="s">
        <v>57</v>
      </c>
      <c r="AL940" t="s">
        <v>57</v>
      </c>
      <c r="AM940" s="11">
        <v>44782</v>
      </c>
      <c r="AN940" t="s">
        <v>180</v>
      </c>
      <c r="AO940" t="s">
        <v>65</v>
      </c>
      <c r="AP940">
        <v>1205</v>
      </c>
      <c r="AQ940" t="s">
        <v>66</v>
      </c>
      <c r="AR940">
        <v>91479</v>
      </c>
      <c r="AU940" t="s">
        <v>57</v>
      </c>
      <c r="AV940" t="s">
        <v>68</v>
      </c>
      <c r="AX940" t="s">
        <v>57</v>
      </c>
      <c r="AY940">
        <v>631110</v>
      </c>
      <c r="AZ940">
        <v>1205.63111</v>
      </c>
      <c r="BA940" s="23" t="s">
        <v>13</v>
      </c>
    </row>
    <row r="941" spans="1:53" x14ac:dyDescent="0.25">
      <c r="A941" t="s">
        <v>134</v>
      </c>
      <c r="B941" t="s">
        <v>135</v>
      </c>
      <c r="C941">
        <v>22002318</v>
      </c>
      <c r="D941">
        <v>1205</v>
      </c>
      <c r="E941" s="11">
        <v>44782</v>
      </c>
      <c r="F941" t="s">
        <v>179</v>
      </c>
      <c r="G941">
        <v>0.99</v>
      </c>
      <c r="H941">
        <v>0.99</v>
      </c>
      <c r="I941" t="s">
        <v>56</v>
      </c>
      <c r="O941" t="s">
        <v>57</v>
      </c>
      <c r="Q941" t="s">
        <v>57</v>
      </c>
      <c r="R941" t="s">
        <v>137</v>
      </c>
      <c r="T941" t="s">
        <v>59</v>
      </c>
      <c r="U941" t="s">
        <v>60</v>
      </c>
      <c r="V941" t="s">
        <v>138</v>
      </c>
      <c r="W941" t="s">
        <v>139</v>
      </c>
      <c r="X941">
        <v>1929852</v>
      </c>
      <c r="Y941" s="11">
        <v>44782</v>
      </c>
      <c r="Z941" t="s">
        <v>57</v>
      </c>
      <c r="AA941">
        <v>12</v>
      </c>
      <c r="AB941" t="s">
        <v>57</v>
      </c>
      <c r="AD941" t="s">
        <v>57</v>
      </c>
      <c r="AE941" t="s">
        <v>57</v>
      </c>
      <c r="AF941" t="s">
        <v>57</v>
      </c>
      <c r="AG941">
        <v>13</v>
      </c>
      <c r="AH941" t="s">
        <v>57</v>
      </c>
      <c r="AL941" t="s">
        <v>57</v>
      </c>
      <c r="AM941" s="11">
        <v>44782</v>
      </c>
      <c r="AN941" t="s">
        <v>180</v>
      </c>
      <c r="AO941" t="s">
        <v>65</v>
      </c>
      <c r="AP941">
        <v>1205</v>
      </c>
      <c r="AQ941" t="s">
        <v>66</v>
      </c>
      <c r="AR941">
        <v>271795</v>
      </c>
      <c r="AU941" t="s">
        <v>57</v>
      </c>
      <c r="AV941" t="s">
        <v>68</v>
      </c>
      <c r="AX941" t="s">
        <v>57</v>
      </c>
      <c r="AY941">
        <v>631110</v>
      </c>
      <c r="AZ941">
        <v>1205.63111</v>
      </c>
      <c r="BA941" s="23" t="s">
        <v>13</v>
      </c>
    </row>
    <row r="942" spans="1:53" x14ac:dyDescent="0.25">
      <c r="A942" t="s">
        <v>134</v>
      </c>
      <c r="B942" t="s">
        <v>135</v>
      </c>
      <c r="C942">
        <v>22002318</v>
      </c>
      <c r="D942">
        <v>1205</v>
      </c>
      <c r="E942" s="11">
        <v>44782</v>
      </c>
      <c r="F942" t="s">
        <v>179</v>
      </c>
      <c r="G942">
        <v>1.7</v>
      </c>
      <c r="H942">
        <v>1.7</v>
      </c>
      <c r="I942" t="s">
        <v>56</v>
      </c>
      <c r="O942" t="s">
        <v>57</v>
      </c>
      <c r="Q942" t="s">
        <v>57</v>
      </c>
      <c r="R942" t="s">
        <v>137</v>
      </c>
      <c r="T942" t="s">
        <v>59</v>
      </c>
      <c r="U942" t="s">
        <v>60</v>
      </c>
      <c r="V942" t="s">
        <v>138</v>
      </c>
      <c r="W942" t="s">
        <v>139</v>
      </c>
      <c r="X942">
        <v>1929852</v>
      </c>
      <c r="Y942" s="11">
        <v>44782</v>
      </c>
      <c r="Z942" t="s">
        <v>57</v>
      </c>
      <c r="AA942">
        <v>14</v>
      </c>
      <c r="AB942" t="s">
        <v>57</v>
      </c>
      <c r="AD942" t="s">
        <v>57</v>
      </c>
      <c r="AE942" t="s">
        <v>57</v>
      </c>
      <c r="AF942" t="s">
        <v>57</v>
      </c>
      <c r="AG942">
        <v>15</v>
      </c>
      <c r="AH942" t="s">
        <v>57</v>
      </c>
      <c r="AL942" t="s">
        <v>57</v>
      </c>
      <c r="AM942" s="11">
        <v>44782</v>
      </c>
      <c r="AN942" t="s">
        <v>180</v>
      </c>
      <c r="AO942" t="s">
        <v>65</v>
      </c>
      <c r="AP942">
        <v>1205</v>
      </c>
      <c r="AQ942" t="s">
        <v>66</v>
      </c>
      <c r="AR942">
        <v>265889</v>
      </c>
      <c r="AU942" t="s">
        <v>57</v>
      </c>
      <c r="AV942" t="s">
        <v>68</v>
      </c>
      <c r="AX942" t="s">
        <v>57</v>
      </c>
      <c r="AY942">
        <v>631110</v>
      </c>
      <c r="AZ942">
        <v>1205.63111</v>
      </c>
      <c r="BA942" s="23" t="s">
        <v>13</v>
      </c>
    </row>
    <row r="943" spans="1:53" x14ac:dyDescent="0.25">
      <c r="A943" t="s">
        <v>134</v>
      </c>
      <c r="B943" t="s">
        <v>135</v>
      </c>
      <c r="C943">
        <v>22002318</v>
      </c>
      <c r="D943">
        <v>1205</v>
      </c>
      <c r="E943" s="11">
        <v>44782</v>
      </c>
      <c r="F943" t="s">
        <v>179</v>
      </c>
      <c r="G943">
        <v>2.16</v>
      </c>
      <c r="H943">
        <v>2.16</v>
      </c>
      <c r="I943" t="s">
        <v>56</v>
      </c>
      <c r="O943" t="s">
        <v>57</v>
      </c>
      <c r="Q943" t="s">
        <v>57</v>
      </c>
      <c r="R943" t="s">
        <v>137</v>
      </c>
      <c r="T943" t="s">
        <v>59</v>
      </c>
      <c r="U943" t="s">
        <v>60</v>
      </c>
      <c r="V943" t="s">
        <v>138</v>
      </c>
      <c r="W943" t="s">
        <v>139</v>
      </c>
      <c r="X943">
        <v>1929852</v>
      </c>
      <c r="Y943" s="11">
        <v>44782</v>
      </c>
      <c r="Z943" t="s">
        <v>57</v>
      </c>
      <c r="AA943">
        <v>16</v>
      </c>
      <c r="AB943" t="s">
        <v>57</v>
      </c>
      <c r="AD943" t="s">
        <v>57</v>
      </c>
      <c r="AE943" t="s">
        <v>57</v>
      </c>
      <c r="AF943" t="s">
        <v>57</v>
      </c>
      <c r="AG943">
        <v>20</v>
      </c>
      <c r="AH943" t="s">
        <v>57</v>
      </c>
      <c r="AL943" t="s">
        <v>57</v>
      </c>
      <c r="AM943" s="11">
        <v>44782</v>
      </c>
      <c r="AN943" t="s">
        <v>180</v>
      </c>
      <c r="AO943" t="s">
        <v>65</v>
      </c>
      <c r="AP943">
        <v>1205</v>
      </c>
      <c r="AQ943" t="s">
        <v>66</v>
      </c>
      <c r="AR943">
        <v>265267</v>
      </c>
      <c r="AU943" t="s">
        <v>57</v>
      </c>
      <c r="AV943" t="s">
        <v>68</v>
      </c>
      <c r="AX943" t="s">
        <v>57</v>
      </c>
      <c r="AY943">
        <v>631110</v>
      </c>
      <c r="AZ943">
        <v>1205.63111</v>
      </c>
      <c r="BA943" s="23" t="s">
        <v>13</v>
      </c>
    </row>
    <row r="944" spans="1:53" x14ac:dyDescent="0.25">
      <c r="A944" t="s">
        <v>134</v>
      </c>
      <c r="B944" t="s">
        <v>135</v>
      </c>
      <c r="C944">
        <v>22002318</v>
      </c>
      <c r="D944">
        <v>1205</v>
      </c>
      <c r="E944" s="11">
        <v>44782</v>
      </c>
      <c r="F944" t="s">
        <v>179</v>
      </c>
      <c r="G944">
        <v>0.54</v>
      </c>
      <c r="H944">
        <v>0.54</v>
      </c>
      <c r="I944" t="s">
        <v>56</v>
      </c>
      <c r="O944" t="s">
        <v>57</v>
      </c>
      <c r="Q944" t="s">
        <v>57</v>
      </c>
      <c r="R944" t="s">
        <v>137</v>
      </c>
      <c r="T944" t="s">
        <v>59</v>
      </c>
      <c r="U944" t="s">
        <v>60</v>
      </c>
      <c r="V944" t="s">
        <v>138</v>
      </c>
      <c r="W944" t="s">
        <v>139</v>
      </c>
      <c r="X944">
        <v>1929852</v>
      </c>
      <c r="Y944" s="11">
        <v>44782</v>
      </c>
      <c r="Z944" t="s">
        <v>57</v>
      </c>
      <c r="AA944">
        <v>18</v>
      </c>
      <c r="AB944" t="s">
        <v>57</v>
      </c>
      <c r="AD944" t="s">
        <v>57</v>
      </c>
      <c r="AE944" t="s">
        <v>57</v>
      </c>
      <c r="AF944" t="s">
        <v>57</v>
      </c>
      <c r="AG944">
        <v>5</v>
      </c>
      <c r="AH944" t="s">
        <v>57</v>
      </c>
      <c r="AL944" t="s">
        <v>57</v>
      </c>
      <c r="AM944" s="11">
        <v>44782</v>
      </c>
      <c r="AN944" t="s">
        <v>180</v>
      </c>
      <c r="AO944" t="s">
        <v>65</v>
      </c>
      <c r="AP944">
        <v>1205</v>
      </c>
      <c r="AQ944" t="s">
        <v>66</v>
      </c>
      <c r="AR944">
        <v>90435</v>
      </c>
      <c r="AU944" t="s">
        <v>57</v>
      </c>
      <c r="AV944" t="s">
        <v>68</v>
      </c>
      <c r="AX944" t="s">
        <v>57</v>
      </c>
      <c r="AY944">
        <v>631110</v>
      </c>
      <c r="AZ944">
        <v>1205.63111</v>
      </c>
      <c r="BA944" s="23" t="s">
        <v>13</v>
      </c>
    </row>
    <row r="945" spans="1:53" x14ac:dyDescent="0.25">
      <c r="A945" t="s">
        <v>134</v>
      </c>
      <c r="B945" t="s">
        <v>135</v>
      </c>
      <c r="C945">
        <v>22002318</v>
      </c>
      <c r="D945">
        <v>1205</v>
      </c>
      <c r="E945" s="11">
        <v>44782</v>
      </c>
      <c r="F945" t="s">
        <v>179</v>
      </c>
      <c r="G945">
        <v>0.88</v>
      </c>
      <c r="H945">
        <v>0.88</v>
      </c>
      <c r="I945" t="s">
        <v>56</v>
      </c>
      <c r="O945" t="s">
        <v>57</v>
      </c>
      <c r="Q945" t="s">
        <v>57</v>
      </c>
      <c r="R945" t="s">
        <v>137</v>
      </c>
      <c r="T945" t="s">
        <v>59</v>
      </c>
      <c r="U945" t="s">
        <v>60</v>
      </c>
      <c r="V945" t="s">
        <v>138</v>
      </c>
      <c r="W945" t="s">
        <v>139</v>
      </c>
      <c r="X945">
        <v>1929852</v>
      </c>
      <c r="Y945" s="11">
        <v>44782</v>
      </c>
      <c r="Z945" t="s">
        <v>57</v>
      </c>
      <c r="AA945">
        <v>20</v>
      </c>
      <c r="AB945" t="s">
        <v>57</v>
      </c>
      <c r="AD945" t="s">
        <v>57</v>
      </c>
      <c r="AE945" t="s">
        <v>57</v>
      </c>
      <c r="AF945" t="s">
        <v>57</v>
      </c>
      <c r="AG945">
        <v>7</v>
      </c>
      <c r="AH945" t="s">
        <v>57</v>
      </c>
      <c r="AL945" t="s">
        <v>57</v>
      </c>
      <c r="AM945" s="11">
        <v>44782</v>
      </c>
      <c r="AN945" t="s">
        <v>180</v>
      </c>
      <c r="AO945" t="s">
        <v>65</v>
      </c>
      <c r="AP945">
        <v>1205</v>
      </c>
      <c r="AQ945" t="s">
        <v>66</v>
      </c>
      <c r="AR945">
        <v>265216</v>
      </c>
      <c r="AU945" t="s">
        <v>57</v>
      </c>
      <c r="AV945" t="s">
        <v>68</v>
      </c>
      <c r="AX945" t="s">
        <v>57</v>
      </c>
      <c r="AY945">
        <v>631110</v>
      </c>
      <c r="AZ945">
        <v>1205.63111</v>
      </c>
      <c r="BA945" s="23" t="s">
        <v>13</v>
      </c>
    </row>
    <row r="946" spans="1:53" x14ac:dyDescent="0.25">
      <c r="A946" t="s">
        <v>134</v>
      </c>
      <c r="B946" t="s">
        <v>135</v>
      </c>
      <c r="C946">
        <v>22002318</v>
      </c>
      <c r="D946">
        <v>1205</v>
      </c>
      <c r="E946" s="11">
        <v>44782</v>
      </c>
      <c r="F946" t="s">
        <v>179</v>
      </c>
      <c r="G946">
        <v>0.41</v>
      </c>
      <c r="H946">
        <v>0.41</v>
      </c>
      <c r="I946" t="s">
        <v>56</v>
      </c>
      <c r="O946" t="s">
        <v>57</v>
      </c>
      <c r="Q946" t="s">
        <v>57</v>
      </c>
      <c r="R946" t="s">
        <v>137</v>
      </c>
      <c r="T946" t="s">
        <v>59</v>
      </c>
      <c r="U946" t="s">
        <v>60</v>
      </c>
      <c r="V946" t="s">
        <v>138</v>
      </c>
      <c r="W946" t="s">
        <v>139</v>
      </c>
      <c r="X946">
        <v>1929852</v>
      </c>
      <c r="Y946" s="11">
        <v>44782</v>
      </c>
      <c r="Z946" t="s">
        <v>57</v>
      </c>
      <c r="AA946">
        <v>22</v>
      </c>
      <c r="AB946" t="s">
        <v>57</v>
      </c>
      <c r="AD946" t="s">
        <v>57</v>
      </c>
      <c r="AE946" t="s">
        <v>57</v>
      </c>
      <c r="AF946" t="s">
        <v>57</v>
      </c>
      <c r="AG946">
        <v>5</v>
      </c>
      <c r="AH946" t="s">
        <v>57</v>
      </c>
      <c r="AL946" t="s">
        <v>57</v>
      </c>
      <c r="AM946" s="11">
        <v>44782</v>
      </c>
      <c r="AN946" t="s">
        <v>180</v>
      </c>
      <c r="AO946" t="s">
        <v>65</v>
      </c>
      <c r="AP946">
        <v>1205</v>
      </c>
      <c r="AQ946" t="s">
        <v>66</v>
      </c>
      <c r="AR946">
        <v>88642</v>
      </c>
      <c r="AU946" t="s">
        <v>57</v>
      </c>
      <c r="AV946" t="s">
        <v>68</v>
      </c>
      <c r="AX946" t="s">
        <v>57</v>
      </c>
      <c r="AY946">
        <v>631110</v>
      </c>
      <c r="AZ946">
        <v>1205.63111</v>
      </c>
      <c r="BA946" s="23" t="s">
        <v>13</v>
      </c>
    </row>
    <row r="947" spans="1:53" x14ac:dyDescent="0.25">
      <c r="A947" t="s">
        <v>134</v>
      </c>
      <c r="B947" t="s">
        <v>135</v>
      </c>
      <c r="C947">
        <v>22002318</v>
      </c>
      <c r="D947">
        <v>1205</v>
      </c>
      <c r="E947" s="11">
        <v>44782</v>
      </c>
      <c r="F947" t="s">
        <v>179</v>
      </c>
      <c r="G947">
        <v>0.08</v>
      </c>
      <c r="H947">
        <v>0.08</v>
      </c>
      <c r="I947" t="s">
        <v>56</v>
      </c>
      <c r="O947" t="s">
        <v>57</v>
      </c>
      <c r="Q947" t="s">
        <v>57</v>
      </c>
      <c r="R947" t="s">
        <v>137</v>
      </c>
      <c r="T947" t="s">
        <v>59</v>
      </c>
      <c r="U947" t="s">
        <v>60</v>
      </c>
      <c r="V947" t="s">
        <v>138</v>
      </c>
      <c r="W947" t="s">
        <v>139</v>
      </c>
      <c r="X947">
        <v>1929852</v>
      </c>
      <c r="Y947" s="11">
        <v>44782</v>
      </c>
      <c r="Z947" t="s">
        <v>57</v>
      </c>
      <c r="AA947">
        <v>24</v>
      </c>
      <c r="AB947" t="s">
        <v>57</v>
      </c>
      <c r="AD947" t="s">
        <v>57</v>
      </c>
      <c r="AE947" t="s">
        <v>57</v>
      </c>
      <c r="AF947" t="s">
        <v>57</v>
      </c>
      <c r="AG947">
        <v>1</v>
      </c>
      <c r="AH947" t="s">
        <v>57</v>
      </c>
      <c r="AL947" t="s">
        <v>57</v>
      </c>
      <c r="AM947" s="11">
        <v>44782</v>
      </c>
      <c r="AN947" t="s">
        <v>180</v>
      </c>
      <c r="AO947" t="s">
        <v>65</v>
      </c>
      <c r="AP947">
        <v>1205</v>
      </c>
      <c r="AQ947" t="s">
        <v>66</v>
      </c>
      <c r="AR947">
        <v>265517</v>
      </c>
      <c r="AU947" t="s">
        <v>57</v>
      </c>
      <c r="AV947" t="s">
        <v>68</v>
      </c>
      <c r="AX947" t="s">
        <v>57</v>
      </c>
      <c r="AY947">
        <v>631110</v>
      </c>
      <c r="AZ947">
        <v>1205.63111</v>
      </c>
      <c r="BA947" s="23" t="s">
        <v>13</v>
      </c>
    </row>
    <row r="948" spans="1:53" x14ac:dyDescent="0.25">
      <c r="A948" t="s">
        <v>134</v>
      </c>
      <c r="B948" t="s">
        <v>135</v>
      </c>
      <c r="C948">
        <v>22002318</v>
      </c>
      <c r="D948">
        <v>1205</v>
      </c>
      <c r="E948" s="11">
        <v>44782</v>
      </c>
      <c r="F948" t="s">
        <v>179</v>
      </c>
      <c r="G948">
        <v>0.08</v>
      </c>
      <c r="H948">
        <v>0.08</v>
      </c>
      <c r="I948" t="s">
        <v>56</v>
      </c>
      <c r="O948" t="s">
        <v>57</v>
      </c>
      <c r="Q948" t="s">
        <v>57</v>
      </c>
      <c r="R948" t="s">
        <v>137</v>
      </c>
      <c r="T948" t="s">
        <v>59</v>
      </c>
      <c r="U948" t="s">
        <v>60</v>
      </c>
      <c r="V948" t="s">
        <v>138</v>
      </c>
      <c r="W948" t="s">
        <v>139</v>
      </c>
      <c r="X948">
        <v>1929852</v>
      </c>
      <c r="Y948" s="11">
        <v>44782</v>
      </c>
      <c r="Z948" t="s">
        <v>57</v>
      </c>
      <c r="AA948">
        <v>26</v>
      </c>
      <c r="AB948" t="s">
        <v>57</v>
      </c>
      <c r="AD948" t="s">
        <v>57</v>
      </c>
      <c r="AE948" t="s">
        <v>57</v>
      </c>
      <c r="AF948" t="s">
        <v>57</v>
      </c>
      <c r="AG948">
        <v>1</v>
      </c>
      <c r="AH948" t="s">
        <v>57</v>
      </c>
      <c r="AL948" t="s">
        <v>57</v>
      </c>
      <c r="AM948" s="11">
        <v>44782</v>
      </c>
      <c r="AN948" t="s">
        <v>180</v>
      </c>
      <c r="AO948" t="s">
        <v>65</v>
      </c>
      <c r="AP948">
        <v>1205</v>
      </c>
      <c r="AQ948" t="s">
        <v>66</v>
      </c>
      <c r="AR948">
        <v>267129</v>
      </c>
      <c r="AU948" t="s">
        <v>57</v>
      </c>
      <c r="AV948" t="s">
        <v>68</v>
      </c>
      <c r="AX948" t="s">
        <v>57</v>
      </c>
      <c r="AY948">
        <v>631110</v>
      </c>
      <c r="AZ948">
        <v>1205.63111</v>
      </c>
      <c r="BA948" s="23" t="s">
        <v>13</v>
      </c>
    </row>
    <row r="949" spans="1:53" x14ac:dyDescent="0.25">
      <c r="A949" t="s">
        <v>134</v>
      </c>
      <c r="B949" t="s">
        <v>135</v>
      </c>
      <c r="C949">
        <v>22002320</v>
      </c>
      <c r="D949">
        <v>1205</v>
      </c>
      <c r="E949" s="11">
        <v>44783</v>
      </c>
      <c r="F949" t="s">
        <v>181</v>
      </c>
      <c r="G949">
        <v>185.06</v>
      </c>
      <c r="H949">
        <v>185.06</v>
      </c>
      <c r="I949" t="s">
        <v>56</v>
      </c>
      <c r="O949" t="s">
        <v>57</v>
      </c>
      <c r="Q949" t="s">
        <v>57</v>
      </c>
      <c r="R949" t="s">
        <v>137</v>
      </c>
      <c r="T949" t="s">
        <v>59</v>
      </c>
      <c r="U949" t="s">
        <v>60</v>
      </c>
      <c r="V949" t="s">
        <v>138</v>
      </c>
      <c r="W949" t="s">
        <v>139</v>
      </c>
      <c r="X949">
        <v>1929854</v>
      </c>
      <c r="Y949" s="11">
        <v>44783</v>
      </c>
      <c r="Z949" t="s">
        <v>57</v>
      </c>
      <c r="AA949">
        <v>2</v>
      </c>
      <c r="AB949" t="s">
        <v>57</v>
      </c>
      <c r="AD949" t="s">
        <v>57</v>
      </c>
      <c r="AE949" t="s">
        <v>57</v>
      </c>
      <c r="AF949" t="s">
        <v>57</v>
      </c>
      <c r="AG949">
        <v>10</v>
      </c>
      <c r="AH949" t="s">
        <v>57</v>
      </c>
      <c r="AL949" t="s">
        <v>57</v>
      </c>
      <c r="AM949" s="11">
        <v>44783</v>
      </c>
      <c r="AN949" t="s">
        <v>178</v>
      </c>
      <c r="AO949" t="s">
        <v>65</v>
      </c>
      <c r="AP949">
        <v>1205</v>
      </c>
      <c r="AQ949" t="s">
        <v>66</v>
      </c>
      <c r="AR949">
        <v>268408</v>
      </c>
      <c r="AU949" t="s">
        <v>57</v>
      </c>
      <c r="AV949" t="s">
        <v>68</v>
      </c>
      <c r="AX949" t="s">
        <v>57</v>
      </c>
      <c r="AY949">
        <v>631110</v>
      </c>
      <c r="AZ949">
        <v>1205.63111</v>
      </c>
      <c r="BA949" s="23" t="s">
        <v>13</v>
      </c>
    </row>
    <row r="950" spans="1:53" x14ac:dyDescent="0.25">
      <c r="A950" t="s">
        <v>134</v>
      </c>
      <c r="B950" t="s">
        <v>135</v>
      </c>
      <c r="C950">
        <v>22002321</v>
      </c>
      <c r="D950">
        <v>1205</v>
      </c>
      <c r="E950" s="11">
        <v>44783</v>
      </c>
      <c r="F950" t="s">
        <v>174</v>
      </c>
      <c r="G950">
        <v>2.06</v>
      </c>
      <c r="H950">
        <v>2.06</v>
      </c>
      <c r="I950" t="s">
        <v>56</v>
      </c>
      <c r="O950" t="s">
        <v>57</v>
      </c>
      <c r="Q950" t="s">
        <v>57</v>
      </c>
      <c r="R950" t="s">
        <v>137</v>
      </c>
      <c r="T950" t="s">
        <v>59</v>
      </c>
      <c r="U950" t="s">
        <v>60</v>
      </c>
      <c r="V950" t="s">
        <v>138</v>
      </c>
      <c r="W950" t="s">
        <v>139</v>
      </c>
      <c r="X950">
        <v>1929887</v>
      </c>
      <c r="Y950" s="11">
        <v>44783</v>
      </c>
      <c r="Z950" t="s">
        <v>57</v>
      </c>
      <c r="AA950">
        <v>2</v>
      </c>
      <c r="AB950" t="s">
        <v>57</v>
      </c>
      <c r="AD950" t="s">
        <v>57</v>
      </c>
      <c r="AE950" t="s">
        <v>57</v>
      </c>
      <c r="AF950" t="s">
        <v>57</v>
      </c>
      <c r="AG950">
        <v>2</v>
      </c>
      <c r="AH950" t="s">
        <v>57</v>
      </c>
      <c r="AL950" t="s">
        <v>57</v>
      </c>
      <c r="AM950" s="11">
        <v>44783</v>
      </c>
      <c r="AN950" t="s">
        <v>178</v>
      </c>
      <c r="AO950" t="s">
        <v>65</v>
      </c>
      <c r="AP950">
        <v>1205</v>
      </c>
      <c r="AQ950" t="s">
        <v>66</v>
      </c>
      <c r="AR950">
        <v>267456</v>
      </c>
      <c r="AU950" t="s">
        <v>57</v>
      </c>
      <c r="AV950" t="s">
        <v>68</v>
      </c>
      <c r="AX950" t="s">
        <v>57</v>
      </c>
      <c r="AY950">
        <v>631110</v>
      </c>
      <c r="AZ950">
        <v>1205.63111</v>
      </c>
      <c r="BA950" s="23" t="s">
        <v>13</v>
      </c>
    </row>
    <row r="951" spans="1:53" x14ac:dyDescent="0.25">
      <c r="A951" t="s">
        <v>134</v>
      </c>
      <c r="B951" t="s">
        <v>135</v>
      </c>
      <c r="C951">
        <v>22002322</v>
      </c>
      <c r="D951">
        <v>1205</v>
      </c>
      <c r="E951" s="11">
        <v>44783</v>
      </c>
      <c r="F951" t="s">
        <v>174</v>
      </c>
      <c r="G951">
        <v>0.35</v>
      </c>
      <c r="H951">
        <v>0.35</v>
      </c>
      <c r="I951" t="s">
        <v>56</v>
      </c>
      <c r="O951" t="s">
        <v>57</v>
      </c>
      <c r="Q951" t="s">
        <v>57</v>
      </c>
      <c r="R951" t="s">
        <v>137</v>
      </c>
      <c r="T951" t="s">
        <v>59</v>
      </c>
      <c r="U951" t="s">
        <v>60</v>
      </c>
      <c r="V951" t="s">
        <v>138</v>
      </c>
      <c r="W951" t="s">
        <v>139</v>
      </c>
      <c r="X951">
        <v>1930191</v>
      </c>
      <c r="Y951" s="11">
        <v>44783</v>
      </c>
      <c r="Z951" t="s">
        <v>57</v>
      </c>
      <c r="AA951">
        <v>2</v>
      </c>
      <c r="AB951" t="s">
        <v>57</v>
      </c>
      <c r="AD951" t="s">
        <v>57</v>
      </c>
      <c r="AE951" t="s">
        <v>57</v>
      </c>
      <c r="AF951" t="s">
        <v>57</v>
      </c>
      <c r="AG951">
        <v>3</v>
      </c>
      <c r="AH951" t="s">
        <v>57</v>
      </c>
      <c r="AL951" t="s">
        <v>57</v>
      </c>
      <c r="AM951" s="11">
        <v>44783</v>
      </c>
      <c r="AN951" t="s">
        <v>178</v>
      </c>
      <c r="AO951" t="s">
        <v>65</v>
      </c>
      <c r="AP951">
        <v>1205</v>
      </c>
      <c r="AQ951" t="s">
        <v>66</v>
      </c>
      <c r="AR951">
        <v>226150</v>
      </c>
      <c r="AU951" t="s">
        <v>57</v>
      </c>
      <c r="AV951" t="s">
        <v>68</v>
      </c>
      <c r="AX951" t="s">
        <v>57</v>
      </c>
      <c r="AY951">
        <v>631110</v>
      </c>
      <c r="AZ951">
        <v>1205.63111</v>
      </c>
      <c r="BA951" s="23" t="s">
        <v>13</v>
      </c>
    </row>
    <row r="952" spans="1:53" x14ac:dyDescent="0.25">
      <c r="A952" t="s">
        <v>134</v>
      </c>
      <c r="B952" t="s">
        <v>135</v>
      </c>
      <c r="C952">
        <v>22002323</v>
      </c>
      <c r="D952">
        <v>1205</v>
      </c>
      <c r="E952" s="11">
        <v>44783</v>
      </c>
      <c r="F952" t="s">
        <v>174</v>
      </c>
      <c r="G952">
        <v>10.47</v>
      </c>
      <c r="H952">
        <v>10.47</v>
      </c>
      <c r="I952" t="s">
        <v>56</v>
      </c>
      <c r="O952" t="s">
        <v>57</v>
      </c>
      <c r="Q952" t="s">
        <v>57</v>
      </c>
      <c r="R952" t="s">
        <v>137</v>
      </c>
      <c r="T952" t="s">
        <v>59</v>
      </c>
      <c r="U952" t="s">
        <v>60</v>
      </c>
      <c r="V952" t="s">
        <v>138</v>
      </c>
      <c r="W952" t="s">
        <v>139</v>
      </c>
      <c r="X952">
        <v>1930356</v>
      </c>
      <c r="Y952" s="11">
        <v>44783</v>
      </c>
      <c r="Z952" t="s">
        <v>57</v>
      </c>
      <c r="AA952">
        <v>2</v>
      </c>
      <c r="AB952" t="s">
        <v>57</v>
      </c>
      <c r="AD952" t="s">
        <v>57</v>
      </c>
      <c r="AE952" t="s">
        <v>57</v>
      </c>
      <c r="AF952" t="s">
        <v>57</v>
      </c>
      <c r="AG952">
        <v>1</v>
      </c>
      <c r="AH952" t="s">
        <v>57</v>
      </c>
      <c r="AL952" t="s">
        <v>57</v>
      </c>
      <c r="AM952" s="11">
        <v>44783</v>
      </c>
      <c r="AN952" t="s">
        <v>178</v>
      </c>
      <c r="AO952" t="s">
        <v>65</v>
      </c>
      <c r="AP952">
        <v>1205</v>
      </c>
      <c r="AQ952" t="s">
        <v>66</v>
      </c>
      <c r="AR952">
        <v>278540</v>
      </c>
      <c r="AU952" t="s">
        <v>57</v>
      </c>
      <c r="AV952" t="s">
        <v>68</v>
      </c>
      <c r="AX952" t="s">
        <v>57</v>
      </c>
      <c r="AY952">
        <v>631110</v>
      </c>
      <c r="AZ952">
        <v>1205.63111</v>
      </c>
      <c r="BA952" s="23" t="s">
        <v>13</v>
      </c>
    </row>
    <row r="953" spans="1:53" x14ac:dyDescent="0.25">
      <c r="A953" t="s">
        <v>134</v>
      </c>
      <c r="B953" t="s">
        <v>135</v>
      </c>
      <c r="C953">
        <v>22002323</v>
      </c>
      <c r="D953">
        <v>1205</v>
      </c>
      <c r="E953" s="11">
        <v>44783</v>
      </c>
      <c r="F953" t="s">
        <v>174</v>
      </c>
      <c r="G953">
        <v>1.26</v>
      </c>
      <c r="H953">
        <v>1.26</v>
      </c>
      <c r="I953" t="s">
        <v>56</v>
      </c>
      <c r="O953" t="s">
        <v>57</v>
      </c>
      <c r="Q953" t="s">
        <v>57</v>
      </c>
      <c r="R953" t="s">
        <v>137</v>
      </c>
      <c r="T953" t="s">
        <v>59</v>
      </c>
      <c r="U953" t="s">
        <v>60</v>
      </c>
      <c r="V953" t="s">
        <v>138</v>
      </c>
      <c r="W953" t="s">
        <v>139</v>
      </c>
      <c r="X953">
        <v>1930356</v>
      </c>
      <c r="Y953" s="11">
        <v>44783</v>
      </c>
      <c r="Z953" t="s">
        <v>57</v>
      </c>
      <c r="AA953">
        <v>4</v>
      </c>
      <c r="AB953" t="s">
        <v>57</v>
      </c>
      <c r="AD953" t="s">
        <v>57</v>
      </c>
      <c r="AE953" t="s">
        <v>57</v>
      </c>
      <c r="AF953" t="s">
        <v>57</v>
      </c>
      <c r="AG953">
        <v>1</v>
      </c>
      <c r="AH953" t="s">
        <v>57</v>
      </c>
      <c r="AL953" t="s">
        <v>57</v>
      </c>
      <c r="AM953" s="11">
        <v>44783</v>
      </c>
      <c r="AN953" t="s">
        <v>178</v>
      </c>
      <c r="AO953" t="s">
        <v>65</v>
      </c>
      <c r="AP953">
        <v>1205</v>
      </c>
      <c r="AQ953" t="s">
        <v>66</v>
      </c>
      <c r="AR953">
        <v>89785</v>
      </c>
      <c r="AU953" t="s">
        <v>57</v>
      </c>
      <c r="AV953" t="s">
        <v>68</v>
      </c>
      <c r="AX953" t="s">
        <v>57</v>
      </c>
      <c r="AY953">
        <v>631110</v>
      </c>
      <c r="AZ953">
        <v>1205.63111</v>
      </c>
      <c r="BA953" s="23" t="s">
        <v>13</v>
      </c>
    </row>
    <row r="954" spans="1:53" x14ac:dyDescent="0.25">
      <c r="A954" t="s">
        <v>134</v>
      </c>
      <c r="B954" t="s">
        <v>135</v>
      </c>
      <c r="C954">
        <v>22002323</v>
      </c>
      <c r="D954">
        <v>1205</v>
      </c>
      <c r="E954" s="11">
        <v>44783</v>
      </c>
      <c r="F954" t="s">
        <v>174</v>
      </c>
      <c r="G954">
        <v>0.23</v>
      </c>
      <c r="H954">
        <v>0.23</v>
      </c>
      <c r="I954" t="s">
        <v>56</v>
      </c>
      <c r="O954" t="s">
        <v>57</v>
      </c>
      <c r="Q954" t="s">
        <v>57</v>
      </c>
      <c r="R954" t="s">
        <v>137</v>
      </c>
      <c r="T954" t="s">
        <v>59</v>
      </c>
      <c r="U954" t="s">
        <v>60</v>
      </c>
      <c r="V954" t="s">
        <v>138</v>
      </c>
      <c r="W954" t="s">
        <v>139</v>
      </c>
      <c r="X954">
        <v>1930356</v>
      </c>
      <c r="Y954" s="11">
        <v>44783</v>
      </c>
      <c r="Z954" t="s">
        <v>57</v>
      </c>
      <c r="AA954">
        <v>6</v>
      </c>
      <c r="AB954" t="s">
        <v>57</v>
      </c>
      <c r="AD954" t="s">
        <v>57</v>
      </c>
      <c r="AE954" t="s">
        <v>57</v>
      </c>
      <c r="AF954" t="s">
        <v>57</v>
      </c>
      <c r="AG954">
        <v>2</v>
      </c>
      <c r="AH954" t="s">
        <v>57</v>
      </c>
      <c r="AL954" t="s">
        <v>57</v>
      </c>
      <c r="AM954" s="11">
        <v>44783</v>
      </c>
      <c r="AN954" t="s">
        <v>178</v>
      </c>
      <c r="AO954" t="s">
        <v>65</v>
      </c>
      <c r="AP954">
        <v>1205</v>
      </c>
      <c r="AQ954" t="s">
        <v>66</v>
      </c>
      <c r="AR954">
        <v>226150</v>
      </c>
      <c r="AU954" t="s">
        <v>57</v>
      </c>
      <c r="AV954" t="s">
        <v>68</v>
      </c>
      <c r="AX954" t="s">
        <v>57</v>
      </c>
      <c r="AY954">
        <v>631110</v>
      </c>
      <c r="AZ954">
        <v>1205.63111</v>
      </c>
      <c r="BA954" s="23" t="s">
        <v>13</v>
      </c>
    </row>
    <row r="955" spans="1:53" x14ac:dyDescent="0.25">
      <c r="A955" t="s">
        <v>134</v>
      </c>
      <c r="B955" t="s">
        <v>135</v>
      </c>
      <c r="C955">
        <v>22002323</v>
      </c>
      <c r="D955">
        <v>1205</v>
      </c>
      <c r="E955" s="11">
        <v>44783</v>
      </c>
      <c r="F955" t="s">
        <v>174</v>
      </c>
      <c r="G955">
        <v>7.0000000000000007E-2</v>
      </c>
      <c r="H955">
        <v>7.0000000000000007E-2</v>
      </c>
      <c r="I955" t="s">
        <v>56</v>
      </c>
      <c r="O955" t="s">
        <v>57</v>
      </c>
      <c r="Q955" t="s">
        <v>57</v>
      </c>
      <c r="R955" t="s">
        <v>137</v>
      </c>
      <c r="T955" t="s">
        <v>59</v>
      </c>
      <c r="U955" t="s">
        <v>60</v>
      </c>
      <c r="V955" t="s">
        <v>138</v>
      </c>
      <c r="W955" t="s">
        <v>139</v>
      </c>
      <c r="X955">
        <v>1930356</v>
      </c>
      <c r="Y955" s="11">
        <v>44783</v>
      </c>
      <c r="Z955" t="s">
        <v>57</v>
      </c>
      <c r="AA955">
        <v>8</v>
      </c>
      <c r="AB955" t="s">
        <v>57</v>
      </c>
      <c r="AD955" t="s">
        <v>57</v>
      </c>
      <c r="AE955" t="s">
        <v>57</v>
      </c>
      <c r="AF955" t="s">
        <v>57</v>
      </c>
      <c r="AG955">
        <v>1</v>
      </c>
      <c r="AH955" t="s">
        <v>57</v>
      </c>
      <c r="AL955" t="s">
        <v>57</v>
      </c>
      <c r="AM955" s="11">
        <v>44783</v>
      </c>
      <c r="AN955" t="s">
        <v>178</v>
      </c>
      <c r="AO955" t="s">
        <v>65</v>
      </c>
      <c r="AP955">
        <v>1205</v>
      </c>
      <c r="AQ955" t="s">
        <v>66</v>
      </c>
      <c r="AR955">
        <v>88522</v>
      </c>
      <c r="AU955" t="s">
        <v>57</v>
      </c>
      <c r="AV955" t="s">
        <v>68</v>
      </c>
      <c r="AX955" t="s">
        <v>57</v>
      </c>
      <c r="AY955">
        <v>631110</v>
      </c>
      <c r="AZ955">
        <v>1205.63111</v>
      </c>
      <c r="BA955" s="23" t="s">
        <v>13</v>
      </c>
    </row>
    <row r="956" spans="1:53" x14ac:dyDescent="0.25">
      <c r="A956" t="s">
        <v>134</v>
      </c>
      <c r="B956" t="s">
        <v>135</v>
      </c>
      <c r="C956">
        <v>22002323</v>
      </c>
      <c r="D956">
        <v>1205</v>
      </c>
      <c r="E956" s="11">
        <v>44783</v>
      </c>
      <c r="F956" t="s">
        <v>174</v>
      </c>
      <c r="G956">
        <v>0.54</v>
      </c>
      <c r="H956">
        <v>0.54</v>
      </c>
      <c r="I956" t="s">
        <v>56</v>
      </c>
      <c r="O956" t="s">
        <v>57</v>
      </c>
      <c r="Q956" t="s">
        <v>57</v>
      </c>
      <c r="R956" t="s">
        <v>137</v>
      </c>
      <c r="T956" t="s">
        <v>59</v>
      </c>
      <c r="U956" t="s">
        <v>60</v>
      </c>
      <c r="V956" t="s">
        <v>138</v>
      </c>
      <c r="W956" t="s">
        <v>139</v>
      </c>
      <c r="X956">
        <v>1930356</v>
      </c>
      <c r="Y956" s="11">
        <v>44783</v>
      </c>
      <c r="Z956" t="s">
        <v>57</v>
      </c>
      <c r="AA956">
        <v>10</v>
      </c>
      <c r="AB956" t="s">
        <v>57</v>
      </c>
      <c r="AD956" t="s">
        <v>57</v>
      </c>
      <c r="AE956" t="s">
        <v>57</v>
      </c>
      <c r="AF956" t="s">
        <v>57</v>
      </c>
      <c r="AG956">
        <v>1</v>
      </c>
      <c r="AH956" t="s">
        <v>57</v>
      </c>
      <c r="AL956" t="s">
        <v>57</v>
      </c>
      <c r="AM956" s="11">
        <v>44783</v>
      </c>
      <c r="AN956" t="s">
        <v>178</v>
      </c>
      <c r="AO956" t="s">
        <v>65</v>
      </c>
      <c r="AP956">
        <v>1205</v>
      </c>
      <c r="AQ956" t="s">
        <v>66</v>
      </c>
      <c r="AR956">
        <v>89777</v>
      </c>
      <c r="AU956" t="s">
        <v>57</v>
      </c>
      <c r="AV956" t="s">
        <v>68</v>
      </c>
      <c r="AX956" t="s">
        <v>57</v>
      </c>
      <c r="AY956">
        <v>631110</v>
      </c>
      <c r="AZ956">
        <v>1205.63111</v>
      </c>
      <c r="BA956" s="23" t="s">
        <v>13</v>
      </c>
    </row>
    <row r="957" spans="1:53" x14ac:dyDescent="0.25">
      <c r="A957" t="s">
        <v>134</v>
      </c>
      <c r="B957" t="s">
        <v>135</v>
      </c>
      <c r="C957">
        <v>22002323</v>
      </c>
      <c r="D957">
        <v>1205</v>
      </c>
      <c r="E957" s="11">
        <v>44783</v>
      </c>
      <c r="F957" t="s">
        <v>174</v>
      </c>
      <c r="G957">
        <v>0.16</v>
      </c>
      <c r="H957">
        <v>0.16</v>
      </c>
      <c r="I957" t="s">
        <v>56</v>
      </c>
      <c r="O957" t="s">
        <v>57</v>
      </c>
      <c r="Q957" t="s">
        <v>57</v>
      </c>
      <c r="R957" t="s">
        <v>137</v>
      </c>
      <c r="T957" t="s">
        <v>59</v>
      </c>
      <c r="U957" t="s">
        <v>60</v>
      </c>
      <c r="V957" t="s">
        <v>138</v>
      </c>
      <c r="W957" t="s">
        <v>139</v>
      </c>
      <c r="X957">
        <v>1930356</v>
      </c>
      <c r="Y957" s="11">
        <v>44783</v>
      </c>
      <c r="Z957" t="s">
        <v>57</v>
      </c>
      <c r="AA957">
        <v>12</v>
      </c>
      <c r="AB957" t="s">
        <v>57</v>
      </c>
      <c r="AD957" t="s">
        <v>57</v>
      </c>
      <c r="AE957" t="s">
        <v>57</v>
      </c>
      <c r="AF957" t="s">
        <v>57</v>
      </c>
      <c r="AG957">
        <v>1</v>
      </c>
      <c r="AH957" t="s">
        <v>57</v>
      </c>
      <c r="AL957" t="s">
        <v>57</v>
      </c>
      <c r="AM957" s="11">
        <v>44783</v>
      </c>
      <c r="AN957" t="s">
        <v>178</v>
      </c>
      <c r="AO957" t="s">
        <v>65</v>
      </c>
      <c r="AP957">
        <v>1205</v>
      </c>
      <c r="AQ957" t="s">
        <v>66</v>
      </c>
      <c r="AR957">
        <v>88760</v>
      </c>
      <c r="AU957" t="s">
        <v>57</v>
      </c>
      <c r="AV957" t="s">
        <v>68</v>
      </c>
      <c r="AX957" t="s">
        <v>57</v>
      </c>
      <c r="AY957">
        <v>631110</v>
      </c>
      <c r="AZ957">
        <v>1205.63111</v>
      </c>
      <c r="BA957" s="23" t="s">
        <v>13</v>
      </c>
    </row>
    <row r="958" spans="1:53" x14ac:dyDescent="0.25">
      <c r="A958" t="s">
        <v>134</v>
      </c>
      <c r="B958" t="s">
        <v>135</v>
      </c>
      <c r="C958">
        <v>22002323</v>
      </c>
      <c r="D958">
        <v>1205</v>
      </c>
      <c r="E958" s="11">
        <v>44783</v>
      </c>
      <c r="F958" t="s">
        <v>174</v>
      </c>
      <c r="G958">
        <v>1.25</v>
      </c>
      <c r="H958">
        <v>1.25</v>
      </c>
      <c r="I958" t="s">
        <v>56</v>
      </c>
      <c r="O958" t="s">
        <v>57</v>
      </c>
      <c r="Q958" t="s">
        <v>57</v>
      </c>
      <c r="R958" t="s">
        <v>137</v>
      </c>
      <c r="T958" t="s">
        <v>59</v>
      </c>
      <c r="U958" t="s">
        <v>60</v>
      </c>
      <c r="V958" t="s">
        <v>138</v>
      </c>
      <c r="W958" t="s">
        <v>139</v>
      </c>
      <c r="X958">
        <v>1930356</v>
      </c>
      <c r="Y958" s="11">
        <v>44783</v>
      </c>
      <c r="Z958" t="s">
        <v>57</v>
      </c>
      <c r="AA958">
        <v>14</v>
      </c>
      <c r="AB958" t="s">
        <v>57</v>
      </c>
      <c r="AD958" t="s">
        <v>57</v>
      </c>
      <c r="AE958" t="s">
        <v>57</v>
      </c>
      <c r="AF958" t="s">
        <v>57</v>
      </c>
      <c r="AG958">
        <v>2</v>
      </c>
      <c r="AH958" t="s">
        <v>57</v>
      </c>
      <c r="AL958" t="s">
        <v>57</v>
      </c>
      <c r="AM958" s="11">
        <v>44783</v>
      </c>
      <c r="AN958" t="s">
        <v>178</v>
      </c>
      <c r="AO958" t="s">
        <v>65</v>
      </c>
      <c r="AP958">
        <v>1205</v>
      </c>
      <c r="AQ958" t="s">
        <v>66</v>
      </c>
      <c r="AR958">
        <v>220123</v>
      </c>
      <c r="AU958" t="s">
        <v>57</v>
      </c>
      <c r="AV958" t="s">
        <v>68</v>
      </c>
      <c r="AX958" t="s">
        <v>57</v>
      </c>
      <c r="AY958">
        <v>631110</v>
      </c>
      <c r="AZ958">
        <v>1205.63111</v>
      </c>
      <c r="BA958" s="23" t="s">
        <v>13</v>
      </c>
    </row>
    <row r="959" spans="1:53" x14ac:dyDescent="0.25">
      <c r="A959" t="s">
        <v>134</v>
      </c>
      <c r="B959" t="s">
        <v>135</v>
      </c>
      <c r="C959">
        <v>22002323</v>
      </c>
      <c r="D959">
        <v>1205</v>
      </c>
      <c r="E959" s="11">
        <v>44783</v>
      </c>
      <c r="F959" t="s">
        <v>174</v>
      </c>
      <c r="G959">
        <v>1.42</v>
      </c>
      <c r="H959">
        <v>1.42</v>
      </c>
      <c r="I959" t="s">
        <v>56</v>
      </c>
      <c r="O959" t="s">
        <v>57</v>
      </c>
      <c r="Q959" t="s">
        <v>57</v>
      </c>
      <c r="R959" t="s">
        <v>137</v>
      </c>
      <c r="T959" t="s">
        <v>59</v>
      </c>
      <c r="U959" t="s">
        <v>60</v>
      </c>
      <c r="V959" t="s">
        <v>138</v>
      </c>
      <c r="W959" t="s">
        <v>139</v>
      </c>
      <c r="X959">
        <v>1930356</v>
      </c>
      <c r="Y959" s="11">
        <v>44783</v>
      </c>
      <c r="Z959" t="s">
        <v>57</v>
      </c>
      <c r="AA959">
        <v>16</v>
      </c>
      <c r="AB959" t="s">
        <v>57</v>
      </c>
      <c r="AD959" t="s">
        <v>57</v>
      </c>
      <c r="AE959" t="s">
        <v>57</v>
      </c>
      <c r="AF959" t="s">
        <v>57</v>
      </c>
      <c r="AG959">
        <v>1</v>
      </c>
      <c r="AH959" t="s">
        <v>57</v>
      </c>
      <c r="AL959" t="s">
        <v>57</v>
      </c>
      <c r="AM959" s="11">
        <v>44783</v>
      </c>
      <c r="AN959" t="s">
        <v>178</v>
      </c>
      <c r="AO959" t="s">
        <v>65</v>
      </c>
      <c r="AP959">
        <v>1205</v>
      </c>
      <c r="AQ959" t="s">
        <v>66</v>
      </c>
      <c r="AR959">
        <v>88624</v>
      </c>
      <c r="AU959" t="s">
        <v>57</v>
      </c>
      <c r="AV959" t="s">
        <v>68</v>
      </c>
      <c r="AX959" t="s">
        <v>57</v>
      </c>
      <c r="AY959">
        <v>631110</v>
      </c>
      <c r="AZ959">
        <v>1205.63111</v>
      </c>
      <c r="BA959" s="23" t="s">
        <v>13</v>
      </c>
    </row>
    <row r="960" spans="1:53" x14ac:dyDescent="0.25">
      <c r="A960" t="s">
        <v>134</v>
      </c>
      <c r="B960" t="s">
        <v>135</v>
      </c>
      <c r="C960">
        <v>22002323</v>
      </c>
      <c r="D960">
        <v>1205</v>
      </c>
      <c r="E960" s="11">
        <v>44783</v>
      </c>
      <c r="F960" t="s">
        <v>174</v>
      </c>
      <c r="G960">
        <v>0.49</v>
      </c>
      <c r="H960">
        <v>0.49</v>
      </c>
      <c r="I960" t="s">
        <v>56</v>
      </c>
      <c r="O960" t="s">
        <v>57</v>
      </c>
      <c r="Q960" t="s">
        <v>57</v>
      </c>
      <c r="R960" t="s">
        <v>137</v>
      </c>
      <c r="T960" t="s">
        <v>59</v>
      </c>
      <c r="U960" t="s">
        <v>60</v>
      </c>
      <c r="V960" t="s">
        <v>138</v>
      </c>
      <c r="W960" t="s">
        <v>139</v>
      </c>
      <c r="X960">
        <v>1930356</v>
      </c>
      <c r="Y960" s="11">
        <v>44783</v>
      </c>
      <c r="Z960" t="s">
        <v>57</v>
      </c>
      <c r="AA960">
        <v>18</v>
      </c>
      <c r="AB960" t="s">
        <v>57</v>
      </c>
      <c r="AD960" t="s">
        <v>57</v>
      </c>
      <c r="AE960" t="s">
        <v>57</v>
      </c>
      <c r="AF960" t="s">
        <v>57</v>
      </c>
      <c r="AG960">
        <v>1</v>
      </c>
      <c r="AH960" t="s">
        <v>57</v>
      </c>
      <c r="AL960" t="s">
        <v>57</v>
      </c>
      <c r="AM960" s="11">
        <v>44783</v>
      </c>
      <c r="AN960" t="s">
        <v>178</v>
      </c>
      <c r="AO960" t="s">
        <v>65</v>
      </c>
      <c r="AP960">
        <v>1205</v>
      </c>
      <c r="AQ960" t="s">
        <v>66</v>
      </c>
      <c r="AR960">
        <v>228050</v>
      </c>
      <c r="AU960" t="s">
        <v>57</v>
      </c>
      <c r="AV960" t="s">
        <v>68</v>
      </c>
      <c r="AX960" t="s">
        <v>57</v>
      </c>
      <c r="AY960">
        <v>631110</v>
      </c>
      <c r="AZ960">
        <v>1205.63111</v>
      </c>
      <c r="BA960" s="23" t="s">
        <v>13</v>
      </c>
    </row>
    <row r="961" spans="1:53" x14ac:dyDescent="0.25">
      <c r="A961" t="s">
        <v>134</v>
      </c>
      <c r="B961" t="s">
        <v>135</v>
      </c>
      <c r="C961">
        <v>22002323</v>
      </c>
      <c r="D961">
        <v>1205</v>
      </c>
      <c r="E961" s="11">
        <v>44783</v>
      </c>
      <c r="F961" t="s">
        <v>174</v>
      </c>
      <c r="G961">
        <v>6.09</v>
      </c>
      <c r="H961">
        <v>6.09</v>
      </c>
      <c r="I961" t="s">
        <v>56</v>
      </c>
      <c r="O961" t="s">
        <v>57</v>
      </c>
      <c r="Q961" t="s">
        <v>57</v>
      </c>
      <c r="R961" t="s">
        <v>137</v>
      </c>
      <c r="T961" t="s">
        <v>59</v>
      </c>
      <c r="U961" t="s">
        <v>60</v>
      </c>
      <c r="V961" t="s">
        <v>138</v>
      </c>
      <c r="W961" t="s">
        <v>139</v>
      </c>
      <c r="X961">
        <v>1930356</v>
      </c>
      <c r="Y961" s="11">
        <v>44783</v>
      </c>
      <c r="Z961" t="s">
        <v>57</v>
      </c>
      <c r="AA961">
        <v>20</v>
      </c>
      <c r="AB961" t="s">
        <v>57</v>
      </c>
      <c r="AD961" t="s">
        <v>57</v>
      </c>
      <c r="AE961" t="s">
        <v>57</v>
      </c>
      <c r="AF961" t="s">
        <v>57</v>
      </c>
      <c r="AG961">
        <v>2</v>
      </c>
      <c r="AH961" t="s">
        <v>57</v>
      </c>
      <c r="AL961" t="s">
        <v>57</v>
      </c>
      <c r="AM961" s="11">
        <v>44783</v>
      </c>
      <c r="AN961" t="s">
        <v>178</v>
      </c>
      <c r="AO961" t="s">
        <v>65</v>
      </c>
      <c r="AP961">
        <v>1205</v>
      </c>
      <c r="AQ961" t="s">
        <v>66</v>
      </c>
      <c r="AR961">
        <v>246730</v>
      </c>
      <c r="AU961" t="s">
        <v>57</v>
      </c>
      <c r="AV961" t="s">
        <v>68</v>
      </c>
      <c r="AX961" t="s">
        <v>57</v>
      </c>
      <c r="AY961">
        <v>631110</v>
      </c>
      <c r="AZ961">
        <v>1205.63111</v>
      </c>
      <c r="BA961" s="23" t="s">
        <v>13</v>
      </c>
    </row>
    <row r="962" spans="1:53" x14ac:dyDescent="0.25">
      <c r="A962" t="s">
        <v>134</v>
      </c>
      <c r="B962" t="s">
        <v>135</v>
      </c>
      <c r="C962">
        <v>22002323</v>
      </c>
      <c r="D962">
        <v>1205</v>
      </c>
      <c r="E962" s="11">
        <v>44783</v>
      </c>
      <c r="F962" t="s">
        <v>174</v>
      </c>
      <c r="G962">
        <v>0.13</v>
      </c>
      <c r="H962">
        <v>0.13</v>
      </c>
      <c r="I962" t="s">
        <v>56</v>
      </c>
      <c r="O962" t="s">
        <v>57</v>
      </c>
      <c r="Q962" t="s">
        <v>57</v>
      </c>
      <c r="R962" t="s">
        <v>137</v>
      </c>
      <c r="T962" t="s">
        <v>59</v>
      </c>
      <c r="U962" t="s">
        <v>60</v>
      </c>
      <c r="V962" t="s">
        <v>138</v>
      </c>
      <c r="W962" t="s">
        <v>139</v>
      </c>
      <c r="X962">
        <v>1930356</v>
      </c>
      <c r="Y962" s="11">
        <v>44783</v>
      </c>
      <c r="Z962" t="s">
        <v>57</v>
      </c>
      <c r="AA962">
        <v>22</v>
      </c>
      <c r="AB962" t="s">
        <v>57</v>
      </c>
      <c r="AD962" t="s">
        <v>57</v>
      </c>
      <c r="AE962" t="s">
        <v>57</v>
      </c>
      <c r="AF962" t="s">
        <v>57</v>
      </c>
      <c r="AG962">
        <v>2</v>
      </c>
      <c r="AH962" t="s">
        <v>57</v>
      </c>
      <c r="AL962" t="s">
        <v>57</v>
      </c>
      <c r="AM962" s="11">
        <v>44783</v>
      </c>
      <c r="AN962" t="s">
        <v>178</v>
      </c>
      <c r="AO962" t="s">
        <v>65</v>
      </c>
      <c r="AP962">
        <v>1205</v>
      </c>
      <c r="AQ962" t="s">
        <v>66</v>
      </c>
      <c r="AR962">
        <v>88799</v>
      </c>
      <c r="AU962" t="s">
        <v>57</v>
      </c>
      <c r="AV962" t="s">
        <v>68</v>
      </c>
      <c r="AX962" t="s">
        <v>57</v>
      </c>
      <c r="AY962">
        <v>631110</v>
      </c>
      <c r="AZ962">
        <v>1205.63111</v>
      </c>
      <c r="BA962" s="23" t="s">
        <v>13</v>
      </c>
    </row>
    <row r="963" spans="1:53" x14ac:dyDescent="0.25">
      <c r="A963" t="s">
        <v>134</v>
      </c>
      <c r="B963" t="s">
        <v>135</v>
      </c>
      <c r="C963">
        <v>22002324</v>
      </c>
      <c r="D963">
        <v>1205</v>
      </c>
      <c r="E963" s="11">
        <v>44783</v>
      </c>
      <c r="F963" t="s">
        <v>172</v>
      </c>
      <c r="G963">
        <v>7.94</v>
      </c>
      <c r="H963">
        <v>7.94</v>
      </c>
      <c r="I963" t="s">
        <v>56</v>
      </c>
      <c r="O963" t="s">
        <v>57</v>
      </c>
      <c r="Q963" t="s">
        <v>57</v>
      </c>
      <c r="R963" t="s">
        <v>137</v>
      </c>
      <c r="T963" t="s">
        <v>59</v>
      </c>
      <c r="U963" t="s">
        <v>60</v>
      </c>
      <c r="V963" t="s">
        <v>138</v>
      </c>
      <c r="W963" t="s">
        <v>139</v>
      </c>
      <c r="X963">
        <v>1930356</v>
      </c>
      <c r="Y963" s="11">
        <v>44783</v>
      </c>
      <c r="Z963" t="s">
        <v>57</v>
      </c>
      <c r="AA963">
        <v>2</v>
      </c>
      <c r="AB963" t="s">
        <v>57</v>
      </c>
      <c r="AD963" t="s">
        <v>57</v>
      </c>
      <c r="AE963" t="s">
        <v>57</v>
      </c>
      <c r="AF963" t="s">
        <v>57</v>
      </c>
      <c r="AG963">
        <v>1</v>
      </c>
      <c r="AH963" t="s">
        <v>57</v>
      </c>
      <c r="AL963" t="s">
        <v>57</v>
      </c>
      <c r="AM963" s="11">
        <v>44783</v>
      </c>
      <c r="AN963" t="s">
        <v>178</v>
      </c>
      <c r="AO963" t="s">
        <v>65</v>
      </c>
      <c r="AP963">
        <v>1205</v>
      </c>
      <c r="AQ963" t="s">
        <v>66</v>
      </c>
      <c r="AR963">
        <v>227112</v>
      </c>
      <c r="AU963" t="s">
        <v>57</v>
      </c>
      <c r="AV963" t="s">
        <v>68</v>
      </c>
      <c r="AX963" t="s">
        <v>57</v>
      </c>
      <c r="AY963">
        <v>631110</v>
      </c>
      <c r="AZ963">
        <v>1205.63111</v>
      </c>
      <c r="BA963" s="23" t="s">
        <v>13</v>
      </c>
    </row>
    <row r="964" spans="1:53" x14ac:dyDescent="0.25">
      <c r="A964" t="s">
        <v>134</v>
      </c>
      <c r="B964" t="s">
        <v>135</v>
      </c>
      <c r="C964">
        <v>22002325</v>
      </c>
      <c r="D964">
        <v>1205</v>
      </c>
      <c r="E964" s="11">
        <v>44783</v>
      </c>
      <c r="F964" t="s">
        <v>179</v>
      </c>
      <c r="G964">
        <v>0.15</v>
      </c>
      <c r="H964">
        <v>0.15</v>
      </c>
      <c r="I964" t="s">
        <v>56</v>
      </c>
      <c r="O964" t="s">
        <v>57</v>
      </c>
      <c r="Q964" t="s">
        <v>57</v>
      </c>
      <c r="R964" t="s">
        <v>137</v>
      </c>
      <c r="T964" t="s">
        <v>59</v>
      </c>
      <c r="U964" t="s">
        <v>60</v>
      </c>
      <c r="V964" t="s">
        <v>138</v>
      </c>
      <c r="W964" t="s">
        <v>139</v>
      </c>
      <c r="X964">
        <v>1930357</v>
      </c>
      <c r="Y964" s="11">
        <v>44783</v>
      </c>
      <c r="Z964" t="s">
        <v>57</v>
      </c>
      <c r="AA964">
        <v>2</v>
      </c>
      <c r="AB964" t="s">
        <v>57</v>
      </c>
      <c r="AD964" t="s">
        <v>57</v>
      </c>
      <c r="AE964" t="s">
        <v>57</v>
      </c>
      <c r="AF964" t="s">
        <v>57</v>
      </c>
      <c r="AG964">
        <v>2</v>
      </c>
      <c r="AH964" t="s">
        <v>57</v>
      </c>
      <c r="AL964" t="s">
        <v>57</v>
      </c>
      <c r="AM964" s="11">
        <v>44783</v>
      </c>
      <c r="AN964" t="s">
        <v>180</v>
      </c>
      <c r="AO964" t="s">
        <v>65</v>
      </c>
      <c r="AP964">
        <v>1205</v>
      </c>
      <c r="AQ964" t="s">
        <v>66</v>
      </c>
      <c r="AR964">
        <v>92908</v>
      </c>
      <c r="AU964" t="s">
        <v>57</v>
      </c>
      <c r="AV964" t="s">
        <v>68</v>
      </c>
      <c r="AX964" t="s">
        <v>57</v>
      </c>
      <c r="AY964">
        <v>631110</v>
      </c>
      <c r="AZ964">
        <v>1205.63111</v>
      </c>
      <c r="BA964" s="23" t="s">
        <v>13</v>
      </c>
    </row>
    <row r="965" spans="1:53" x14ac:dyDescent="0.25">
      <c r="A965" t="s">
        <v>134</v>
      </c>
      <c r="B965" t="s">
        <v>135</v>
      </c>
      <c r="C965">
        <v>22002325</v>
      </c>
      <c r="D965">
        <v>1205</v>
      </c>
      <c r="E965" s="11">
        <v>44783</v>
      </c>
      <c r="F965" t="s">
        <v>179</v>
      </c>
      <c r="G965">
        <v>1.2</v>
      </c>
      <c r="H965">
        <v>1.2</v>
      </c>
      <c r="I965" t="s">
        <v>56</v>
      </c>
      <c r="O965" t="s">
        <v>57</v>
      </c>
      <c r="Q965" t="s">
        <v>57</v>
      </c>
      <c r="R965" t="s">
        <v>137</v>
      </c>
      <c r="T965" t="s">
        <v>59</v>
      </c>
      <c r="U965" t="s">
        <v>60</v>
      </c>
      <c r="V965" t="s">
        <v>138</v>
      </c>
      <c r="W965" t="s">
        <v>139</v>
      </c>
      <c r="X965">
        <v>1930357</v>
      </c>
      <c r="Y965" s="11">
        <v>44783</v>
      </c>
      <c r="Z965" t="s">
        <v>57</v>
      </c>
      <c r="AA965">
        <v>4</v>
      </c>
      <c r="AB965" t="s">
        <v>57</v>
      </c>
      <c r="AD965" t="s">
        <v>57</v>
      </c>
      <c r="AE965" t="s">
        <v>57</v>
      </c>
      <c r="AF965" t="s">
        <v>57</v>
      </c>
      <c r="AG965">
        <v>10</v>
      </c>
      <c r="AH965" t="s">
        <v>57</v>
      </c>
      <c r="AL965" t="s">
        <v>57</v>
      </c>
      <c r="AM965" s="11">
        <v>44783</v>
      </c>
      <c r="AN965" t="s">
        <v>180</v>
      </c>
      <c r="AO965" t="s">
        <v>65</v>
      </c>
      <c r="AP965">
        <v>1205</v>
      </c>
      <c r="AQ965" t="s">
        <v>66</v>
      </c>
      <c r="AR965">
        <v>267860</v>
      </c>
      <c r="AU965" t="s">
        <v>57</v>
      </c>
      <c r="AV965" t="s">
        <v>68</v>
      </c>
      <c r="AX965" t="s">
        <v>57</v>
      </c>
      <c r="AY965">
        <v>631110</v>
      </c>
      <c r="AZ965">
        <v>1205.63111</v>
      </c>
      <c r="BA965" s="23" t="s">
        <v>13</v>
      </c>
    </row>
    <row r="966" spans="1:53" x14ac:dyDescent="0.25">
      <c r="A966" t="s">
        <v>134</v>
      </c>
      <c r="B966" t="s">
        <v>135</v>
      </c>
      <c r="C966">
        <v>22002325</v>
      </c>
      <c r="D966">
        <v>1205</v>
      </c>
      <c r="E966" s="11">
        <v>44783</v>
      </c>
      <c r="F966" t="s">
        <v>179</v>
      </c>
      <c r="G966">
        <v>0.46</v>
      </c>
      <c r="H966">
        <v>0.46</v>
      </c>
      <c r="I966" t="s">
        <v>56</v>
      </c>
      <c r="O966" t="s">
        <v>57</v>
      </c>
      <c r="Q966" t="s">
        <v>57</v>
      </c>
      <c r="R966" t="s">
        <v>137</v>
      </c>
      <c r="T966" t="s">
        <v>59</v>
      </c>
      <c r="U966" t="s">
        <v>60</v>
      </c>
      <c r="V966" t="s">
        <v>138</v>
      </c>
      <c r="W966" t="s">
        <v>139</v>
      </c>
      <c r="X966">
        <v>1930357</v>
      </c>
      <c r="Y966" s="11">
        <v>44783</v>
      </c>
      <c r="Z966" t="s">
        <v>57</v>
      </c>
      <c r="AA966">
        <v>6</v>
      </c>
      <c r="AB966" t="s">
        <v>57</v>
      </c>
      <c r="AD966" t="s">
        <v>57</v>
      </c>
      <c r="AE966" t="s">
        <v>57</v>
      </c>
      <c r="AF966" t="s">
        <v>57</v>
      </c>
      <c r="AG966">
        <v>6</v>
      </c>
      <c r="AH966" t="s">
        <v>57</v>
      </c>
      <c r="AL966" t="s">
        <v>57</v>
      </c>
      <c r="AM966" s="11">
        <v>44783</v>
      </c>
      <c r="AN966" t="s">
        <v>180</v>
      </c>
      <c r="AO966" t="s">
        <v>65</v>
      </c>
      <c r="AP966">
        <v>1205</v>
      </c>
      <c r="AQ966" t="s">
        <v>66</v>
      </c>
      <c r="AR966">
        <v>264688</v>
      </c>
      <c r="AU966" t="s">
        <v>57</v>
      </c>
      <c r="AV966" t="s">
        <v>68</v>
      </c>
      <c r="AX966" t="s">
        <v>57</v>
      </c>
      <c r="AY966">
        <v>631110</v>
      </c>
      <c r="AZ966">
        <v>1205.63111</v>
      </c>
      <c r="BA966" s="23" t="s">
        <v>13</v>
      </c>
    </row>
    <row r="967" spans="1:53" x14ac:dyDescent="0.25">
      <c r="A967" t="s">
        <v>134</v>
      </c>
      <c r="B967" t="s">
        <v>135</v>
      </c>
      <c r="C967">
        <v>22002325</v>
      </c>
      <c r="D967">
        <v>1205</v>
      </c>
      <c r="E967" s="11">
        <v>44783</v>
      </c>
      <c r="F967" t="s">
        <v>179</v>
      </c>
      <c r="G967">
        <v>0.08</v>
      </c>
      <c r="H967">
        <v>0.08</v>
      </c>
      <c r="I967" t="s">
        <v>56</v>
      </c>
      <c r="O967" t="s">
        <v>57</v>
      </c>
      <c r="Q967" t="s">
        <v>57</v>
      </c>
      <c r="R967" t="s">
        <v>137</v>
      </c>
      <c r="T967" t="s">
        <v>59</v>
      </c>
      <c r="U967" t="s">
        <v>60</v>
      </c>
      <c r="V967" t="s">
        <v>138</v>
      </c>
      <c r="W967" t="s">
        <v>139</v>
      </c>
      <c r="X967">
        <v>1930357</v>
      </c>
      <c r="Y967" s="11">
        <v>44783</v>
      </c>
      <c r="Z967" t="s">
        <v>57</v>
      </c>
      <c r="AA967">
        <v>8</v>
      </c>
      <c r="AB967" t="s">
        <v>57</v>
      </c>
      <c r="AD967" t="s">
        <v>57</v>
      </c>
      <c r="AE967" t="s">
        <v>57</v>
      </c>
      <c r="AF967" t="s">
        <v>57</v>
      </c>
      <c r="AG967">
        <v>1</v>
      </c>
      <c r="AH967" t="s">
        <v>57</v>
      </c>
      <c r="AL967" t="s">
        <v>57</v>
      </c>
      <c r="AM967" s="11">
        <v>44783</v>
      </c>
      <c r="AN967" t="s">
        <v>180</v>
      </c>
      <c r="AO967" t="s">
        <v>65</v>
      </c>
      <c r="AP967">
        <v>1205</v>
      </c>
      <c r="AQ967" t="s">
        <v>66</v>
      </c>
      <c r="AR967">
        <v>265878</v>
      </c>
      <c r="AU967" t="s">
        <v>57</v>
      </c>
      <c r="AV967" t="s">
        <v>68</v>
      </c>
      <c r="AX967" t="s">
        <v>57</v>
      </c>
      <c r="AY967">
        <v>631110</v>
      </c>
      <c r="AZ967">
        <v>1205.63111</v>
      </c>
      <c r="BA967" s="23" t="s">
        <v>13</v>
      </c>
    </row>
    <row r="968" spans="1:53" x14ac:dyDescent="0.25">
      <c r="A968" t="s">
        <v>134</v>
      </c>
      <c r="B968" t="s">
        <v>135</v>
      </c>
      <c r="C968">
        <v>22002325</v>
      </c>
      <c r="D968">
        <v>1205</v>
      </c>
      <c r="E968" s="11">
        <v>44783</v>
      </c>
      <c r="F968" t="s">
        <v>179</v>
      </c>
      <c r="G968">
        <v>0.75</v>
      </c>
      <c r="H968">
        <v>0.75</v>
      </c>
      <c r="I968" t="s">
        <v>56</v>
      </c>
      <c r="O968" t="s">
        <v>57</v>
      </c>
      <c r="Q968" t="s">
        <v>57</v>
      </c>
      <c r="R968" t="s">
        <v>137</v>
      </c>
      <c r="T968" t="s">
        <v>59</v>
      </c>
      <c r="U968" t="s">
        <v>60</v>
      </c>
      <c r="V968" t="s">
        <v>138</v>
      </c>
      <c r="W968" t="s">
        <v>139</v>
      </c>
      <c r="X968">
        <v>1930357</v>
      </c>
      <c r="Y968" s="11">
        <v>44783</v>
      </c>
      <c r="Z968" t="s">
        <v>57</v>
      </c>
      <c r="AA968">
        <v>10</v>
      </c>
      <c r="AB968" t="s">
        <v>57</v>
      </c>
      <c r="AD968" t="s">
        <v>57</v>
      </c>
      <c r="AE968" t="s">
        <v>57</v>
      </c>
      <c r="AF968" t="s">
        <v>57</v>
      </c>
      <c r="AG968">
        <v>10</v>
      </c>
      <c r="AH968" t="s">
        <v>57</v>
      </c>
      <c r="AL968" t="s">
        <v>57</v>
      </c>
      <c r="AM968" s="11">
        <v>44783</v>
      </c>
      <c r="AN968" t="s">
        <v>180</v>
      </c>
      <c r="AO968" t="s">
        <v>65</v>
      </c>
      <c r="AP968">
        <v>1205</v>
      </c>
      <c r="AQ968" t="s">
        <v>66</v>
      </c>
      <c r="AR968">
        <v>91479</v>
      </c>
      <c r="AU968" t="s">
        <v>57</v>
      </c>
      <c r="AV968" t="s">
        <v>68</v>
      </c>
      <c r="AX968" t="s">
        <v>57</v>
      </c>
      <c r="AY968">
        <v>631110</v>
      </c>
      <c r="AZ968">
        <v>1205.63111</v>
      </c>
      <c r="BA968" s="23" t="s">
        <v>13</v>
      </c>
    </row>
    <row r="969" spans="1:53" x14ac:dyDescent="0.25">
      <c r="A969" t="s">
        <v>134</v>
      </c>
      <c r="B969" t="s">
        <v>135</v>
      </c>
      <c r="C969">
        <v>22002325</v>
      </c>
      <c r="D969">
        <v>1205</v>
      </c>
      <c r="E969" s="11">
        <v>44783</v>
      </c>
      <c r="F969" t="s">
        <v>179</v>
      </c>
      <c r="G969">
        <v>0.15</v>
      </c>
      <c r="H969">
        <v>0.15</v>
      </c>
      <c r="I969" t="s">
        <v>56</v>
      </c>
      <c r="O969" t="s">
        <v>57</v>
      </c>
      <c r="Q969" t="s">
        <v>57</v>
      </c>
      <c r="R969" t="s">
        <v>137</v>
      </c>
      <c r="T969" t="s">
        <v>59</v>
      </c>
      <c r="U969" t="s">
        <v>60</v>
      </c>
      <c r="V969" t="s">
        <v>138</v>
      </c>
      <c r="W969" t="s">
        <v>139</v>
      </c>
      <c r="X969">
        <v>1930357</v>
      </c>
      <c r="Y969" s="11">
        <v>44783</v>
      </c>
      <c r="Z969" t="s">
        <v>57</v>
      </c>
      <c r="AA969">
        <v>12</v>
      </c>
      <c r="AB969" t="s">
        <v>57</v>
      </c>
      <c r="AD969" t="s">
        <v>57</v>
      </c>
      <c r="AE969" t="s">
        <v>57</v>
      </c>
      <c r="AF969" t="s">
        <v>57</v>
      </c>
      <c r="AG969">
        <v>2</v>
      </c>
      <c r="AH969" t="s">
        <v>57</v>
      </c>
      <c r="AL969" t="s">
        <v>57</v>
      </c>
      <c r="AM969" s="11">
        <v>44783</v>
      </c>
      <c r="AN969" t="s">
        <v>180</v>
      </c>
      <c r="AO969" t="s">
        <v>65</v>
      </c>
      <c r="AP969">
        <v>1205</v>
      </c>
      <c r="AQ969" t="s">
        <v>66</v>
      </c>
      <c r="AR969">
        <v>271795</v>
      </c>
      <c r="AU969" t="s">
        <v>57</v>
      </c>
      <c r="AV969" t="s">
        <v>68</v>
      </c>
      <c r="AX969" t="s">
        <v>57</v>
      </c>
      <c r="AY969">
        <v>631110</v>
      </c>
      <c r="AZ969">
        <v>1205.63111</v>
      </c>
      <c r="BA969" s="23" t="s">
        <v>13</v>
      </c>
    </row>
    <row r="970" spans="1:53" x14ac:dyDescent="0.25">
      <c r="A970" t="s">
        <v>134</v>
      </c>
      <c r="B970" t="s">
        <v>135</v>
      </c>
      <c r="C970">
        <v>22002325</v>
      </c>
      <c r="D970">
        <v>1205</v>
      </c>
      <c r="E970" s="11">
        <v>44783</v>
      </c>
      <c r="F970" t="s">
        <v>179</v>
      </c>
      <c r="G970">
        <v>0.23</v>
      </c>
      <c r="H970">
        <v>0.23</v>
      </c>
      <c r="I970" t="s">
        <v>56</v>
      </c>
      <c r="O970" t="s">
        <v>57</v>
      </c>
      <c r="Q970" t="s">
        <v>57</v>
      </c>
      <c r="R970" t="s">
        <v>137</v>
      </c>
      <c r="T970" t="s">
        <v>59</v>
      </c>
      <c r="U970" t="s">
        <v>60</v>
      </c>
      <c r="V970" t="s">
        <v>138</v>
      </c>
      <c r="W970" t="s">
        <v>139</v>
      </c>
      <c r="X970">
        <v>1930357</v>
      </c>
      <c r="Y970" s="11">
        <v>44783</v>
      </c>
      <c r="Z970" t="s">
        <v>57</v>
      </c>
      <c r="AA970">
        <v>14</v>
      </c>
      <c r="AB970" t="s">
        <v>57</v>
      </c>
      <c r="AD970" t="s">
        <v>57</v>
      </c>
      <c r="AE970" t="s">
        <v>57</v>
      </c>
      <c r="AF970" t="s">
        <v>57</v>
      </c>
      <c r="AG970">
        <v>2</v>
      </c>
      <c r="AH970" t="s">
        <v>57</v>
      </c>
      <c r="AL970" t="s">
        <v>57</v>
      </c>
      <c r="AM970" s="11">
        <v>44783</v>
      </c>
      <c r="AN970" t="s">
        <v>180</v>
      </c>
      <c r="AO970" t="s">
        <v>65</v>
      </c>
      <c r="AP970">
        <v>1205</v>
      </c>
      <c r="AQ970" t="s">
        <v>66</v>
      </c>
      <c r="AR970">
        <v>265889</v>
      </c>
      <c r="AU970" t="s">
        <v>57</v>
      </c>
      <c r="AV970" t="s">
        <v>68</v>
      </c>
      <c r="AX970" t="s">
        <v>57</v>
      </c>
      <c r="AY970">
        <v>631110</v>
      </c>
      <c r="AZ970">
        <v>1205.63111</v>
      </c>
      <c r="BA970" s="23" t="s">
        <v>13</v>
      </c>
    </row>
    <row r="971" spans="1:53" x14ac:dyDescent="0.25">
      <c r="A971" t="s">
        <v>134</v>
      </c>
      <c r="B971" t="s">
        <v>135</v>
      </c>
      <c r="C971">
        <v>22002325</v>
      </c>
      <c r="D971">
        <v>1205</v>
      </c>
      <c r="E971" s="11">
        <v>44783</v>
      </c>
      <c r="F971" t="s">
        <v>179</v>
      </c>
      <c r="G971">
        <v>1.51</v>
      </c>
      <c r="H971">
        <v>1.51</v>
      </c>
      <c r="I971" t="s">
        <v>56</v>
      </c>
      <c r="O971" t="s">
        <v>57</v>
      </c>
      <c r="Q971" t="s">
        <v>57</v>
      </c>
      <c r="R971" t="s">
        <v>137</v>
      </c>
      <c r="T971" t="s">
        <v>59</v>
      </c>
      <c r="U971" t="s">
        <v>60</v>
      </c>
      <c r="V971" t="s">
        <v>138</v>
      </c>
      <c r="W971" t="s">
        <v>139</v>
      </c>
      <c r="X971">
        <v>1930357</v>
      </c>
      <c r="Y971" s="11">
        <v>44783</v>
      </c>
      <c r="Z971" t="s">
        <v>57</v>
      </c>
      <c r="AA971">
        <v>16</v>
      </c>
      <c r="AB971" t="s">
        <v>57</v>
      </c>
      <c r="AD971" t="s">
        <v>57</v>
      </c>
      <c r="AE971" t="s">
        <v>57</v>
      </c>
      <c r="AF971" t="s">
        <v>57</v>
      </c>
      <c r="AG971">
        <v>14</v>
      </c>
      <c r="AH971" t="s">
        <v>57</v>
      </c>
      <c r="AL971" t="s">
        <v>57</v>
      </c>
      <c r="AM971" s="11">
        <v>44783</v>
      </c>
      <c r="AN971" t="s">
        <v>180</v>
      </c>
      <c r="AO971" t="s">
        <v>65</v>
      </c>
      <c r="AP971">
        <v>1205</v>
      </c>
      <c r="AQ971" t="s">
        <v>66</v>
      </c>
      <c r="AR971">
        <v>265267</v>
      </c>
      <c r="AU971" t="s">
        <v>57</v>
      </c>
      <c r="AV971" t="s">
        <v>68</v>
      </c>
      <c r="AX971" t="s">
        <v>57</v>
      </c>
      <c r="AY971">
        <v>631110</v>
      </c>
      <c r="AZ971">
        <v>1205.63111</v>
      </c>
      <c r="BA971" s="23" t="s">
        <v>13</v>
      </c>
    </row>
    <row r="972" spans="1:53" x14ac:dyDescent="0.25">
      <c r="A972" t="s">
        <v>134</v>
      </c>
      <c r="B972" t="s">
        <v>135</v>
      </c>
      <c r="C972">
        <v>22002325</v>
      </c>
      <c r="D972">
        <v>1205</v>
      </c>
      <c r="E972" s="11">
        <v>44783</v>
      </c>
      <c r="F972" t="s">
        <v>179</v>
      </c>
      <c r="G972">
        <v>0.54</v>
      </c>
      <c r="H972">
        <v>0.54</v>
      </c>
      <c r="I972" t="s">
        <v>56</v>
      </c>
      <c r="O972" t="s">
        <v>57</v>
      </c>
      <c r="Q972" t="s">
        <v>57</v>
      </c>
      <c r="R972" t="s">
        <v>137</v>
      </c>
      <c r="T972" t="s">
        <v>59</v>
      </c>
      <c r="U972" t="s">
        <v>60</v>
      </c>
      <c r="V972" t="s">
        <v>138</v>
      </c>
      <c r="W972" t="s">
        <v>139</v>
      </c>
      <c r="X972">
        <v>1930357</v>
      </c>
      <c r="Y972" s="11">
        <v>44783</v>
      </c>
      <c r="Z972" t="s">
        <v>57</v>
      </c>
      <c r="AA972">
        <v>18</v>
      </c>
      <c r="AB972" t="s">
        <v>57</v>
      </c>
      <c r="AD972" t="s">
        <v>57</v>
      </c>
      <c r="AE972" t="s">
        <v>57</v>
      </c>
      <c r="AF972" t="s">
        <v>57</v>
      </c>
      <c r="AG972">
        <v>5</v>
      </c>
      <c r="AH972" t="s">
        <v>57</v>
      </c>
      <c r="AL972" t="s">
        <v>57</v>
      </c>
      <c r="AM972" s="11">
        <v>44783</v>
      </c>
      <c r="AN972" t="s">
        <v>180</v>
      </c>
      <c r="AO972" t="s">
        <v>65</v>
      </c>
      <c r="AP972">
        <v>1205</v>
      </c>
      <c r="AQ972" t="s">
        <v>66</v>
      </c>
      <c r="AR972">
        <v>90435</v>
      </c>
      <c r="AU972" t="s">
        <v>57</v>
      </c>
      <c r="AV972" t="s">
        <v>68</v>
      </c>
      <c r="AX972" t="s">
        <v>57</v>
      </c>
      <c r="AY972">
        <v>631110</v>
      </c>
      <c r="AZ972">
        <v>1205.63111</v>
      </c>
      <c r="BA972" s="23" t="s">
        <v>13</v>
      </c>
    </row>
    <row r="973" spans="1:53" x14ac:dyDescent="0.25">
      <c r="A973" t="s">
        <v>134</v>
      </c>
      <c r="B973" t="s">
        <v>135</v>
      </c>
      <c r="C973">
        <v>22002325</v>
      </c>
      <c r="D973">
        <v>1205</v>
      </c>
      <c r="E973" s="11">
        <v>44783</v>
      </c>
      <c r="F973" t="s">
        <v>179</v>
      </c>
      <c r="G973">
        <v>0.5</v>
      </c>
      <c r="H973">
        <v>0.5</v>
      </c>
      <c r="I973" t="s">
        <v>56</v>
      </c>
      <c r="O973" t="s">
        <v>57</v>
      </c>
      <c r="Q973" t="s">
        <v>57</v>
      </c>
      <c r="R973" t="s">
        <v>137</v>
      </c>
      <c r="T973" t="s">
        <v>59</v>
      </c>
      <c r="U973" t="s">
        <v>60</v>
      </c>
      <c r="V973" t="s">
        <v>138</v>
      </c>
      <c r="W973" t="s">
        <v>139</v>
      </c>
      <c r="X973">
        <v>1930357</v>
      </c>
      <c r="Y973" s="11">
        <v>44783</v>
      </c>
      <c r="Z973" t="s">
        <v>57</v>
      </c>
      <c r="AA973">
        <v>20</v>
      </c>
      <c r="AB973" t="s">
        <v>57</v>
      </c>
      <c r="AD973" t="s">
        <v>57</v>
      </c>
      <c r="AE973" t="s">
        <v>57</v>
      </c>
      <c r="AF973" t="s">
        <v>57</v>
      </c>
      <c r="AG973">
        <v>4</v>
      </c>
      <c r="AH973" t="s">
        <v>57</v>
      </c>
      <c r="AL973" t="s">
        <v>57</v>
      </c>
      <c r="AM973" s="11">
        <v>44783</v>
      </c>
      <c r="AN973" t="s">
        <v>180</v>
      </c>
      <c r="AO973" t="s">
        <v>65</v>
      </c>
      <c r="AP973">
        <v>1205</v>
      </c>
      <c r="AQ973" t="s">
        <v>66</v>
      </c>
      <c r="AR973">
        <v>265216</v>
      </c>
      <c r="AU973" t="s">
        <v>57</v>
      </c>
      <c r="AV973" t="s">
        <v>68</v>
      </c>
      <c r="AX973" t="s">
        <v>57</v>
      </c>
      <c r="AY973">
        <v>631110</v>
      </c>
      <c r="AZ973">
        <v>1205.63111</v>
      </c>
      <c r="BA973" s="23" t="s">
        <v>13</v>
      </c>
    </row>
    <row r="974" spans="1:53" x14ac:dyDescent="0.25">
      <c r="A974" t="s">
        <v>134</v>
      </c>
      <c r="B974" t="s">
        <v>135</v>
      </c>
      <c r="C974">
        <v>22002325</v>
      </c>
      <c r="D974">
        <v>1205</v>
      </c>
      <c r="E974" s="11">
        <v>44783</v>
      </c>
      <c r="F974" t="s">
        <v>179</v>
      </c>
      <c r="G974">
        <v>0.16</v>
      </c>
      <c r="H974">
        <v>0.16</v>
      </c>
      <c r="I974" t="s">
        <v>56</v>
      </c>
      <c r="O974" t="s">
        <v>57</v>
      </c>
      <c r="Q974" t="s">
        <v>57</v>
      </c>
      <c r="R974" t="s">
        <v>137</v>
      </c>
      <c r="T974" t="s">
        <v>59</v>
      </c>
      <c r="U974" t="s">
        <v>60</v>
      </c>
      <c r="V974" t="s">
        <v>138</v>
      </c>
      <c r="W974" t="s">
        <v>139</v>
      </c>
      <c r="X974">
        <v>1930357</v>
      </c>
      <c r="Y974" s="11">
        <v>44783</v>
      </c>
      <c r="Z974" t="s">
        <v>57</v>
      </c>
      <c r="AA974">
        <v>22</v>
      </c>
      <c r="AB974" t="s">
        <v>57</v>
      </c>
      <c r="AD974" t="s">
        <v>57</v>
      </c>
      <c r="AE974" t="s">
        <v>57</v>
      </c>
      <c r="AF974" t="s">
        <v>57</v>
      </c>
      <c r="AG974">
        <v>2</v>
      </c>
      <c r="AH974" t="s">
        <v>57</v>
      </c>
      <c r="AL974" t="s">
        <v>57</v>
      </c>
      <c r="AM974" s="11">
        <v>44783</v>
      </c>
      <c r="AN974" t="s">
        <v>180</v>
      </c>
      <c r="AO974" t="s">
        <v>65</v>
      </c>
      <c r="AP974">
        <v>1205</v>
      </c>
      <c r="AQ974" t="s">
        <v>66</v>
      </c>
      <c r="AR974">
        <v>88642</v>
      </c>
      <c r="AU974" t="s">
        <v>57</v>
      </c>
      <c r="AV974" t="s">
        <v>68</v>
      </c>
      <c r="AX974" t="s">
        <v>57</v>
      </c>
      <c r="AY974">
        <v>631110</v>
      </c>
      <c r="AZ974">
        <v>1205.63111</v>
      </c>
      <c r="BA974" s="23" t="s">
        <v>13</v>
      </c>
    </row>
    <row r="975" spans="1:53" x14ac:dyDescent="0.25">
      <c r="A975" t="s">
        <v>134</v>
      </c>
      <c r="B975" t="s">
        <v>135</v>
      </c>
      <c r="C975">
        <v>22002325</v>
      </c>
      <c r="D975">
        <v>1205</v>
      </c>
      <c r="E975" s="11">
        <v>44783</v>
      </c>
      <c r="F975" t="s">
        <v>179</v>
      </c>
      <c r="G975">
        <v>0.87</v>
      </c>
      <c r="H975">
        <v>0.87</v>
      </c>
      <c r="I975" t="s">
        <v>56</v>
      </c>
      <c r="O975" t="s">
        <v>57</v>
      </c>
      <c r="Q975" t="s">
        <v>57</v>
      </c>
      <c r="R975" t="s">
        <v>137</v>
      </c>
      <c r="T975" t="s">
        <v>59</v>
      </c>
      <c r="U975" t="s">
        <v>60</v>
      </c>
      <c r="V975" t="s">
        <v>138</v>
      </c>
      <c r="W975" t="s">
        <v>139</v>
      </c>
      <c r="X975">
        <v>1930357</v>
      </c>
      <c r="Y975" s="11">
        <v>44783</v>
      </c>
      <c r="Z975" t="s">
        <v>57</v>
      </c>
      <c r="AA975">
        <v>24</v>
      </c>
      <c r="AB975" t="s">
        <v>57</v>
      </c>
      <c r="AD975" t="s">
        <v>57</v>
      </c>
      <c r="AE975" t="s">
        <v>57</v>
      </c>
      <c r="AF975" t="s">
        <v>57</v>
      </c>
      <c r="AG975">
        <v>7</v>
      </c>
      <c r="AH975" t="s">
        <v>57</v>
      </c>
      <c r="AL975" t="s">
        <v>57</v>
      </c>
      <c r="AM975" s="11">
        <v>44783</v>
      </c>
      <c r="AN975" t="s">
        <v>180</v>
      </c>
      <c r="AO975" t="s">
        <v>65</v>
      </c>
      <c r="AP975">
        <v>1205</v>
      </c>
      <c r="AQ975" t="s">
        <v>66</v>
      </c>
      <c r="AR975">
        <v>265217</v>
      </c>
      <c r="AU975" t="s">
        <v>57</v>
      </c>
      <c r="AV975" t="s">
        <v>68</v>
      </c>
      <c r="AX975" t="s">
        <v>57</v>
      </c>
      <c r="AY975">
        <v>631110</v>
      </c>
      <c r="AZ975">
        <v>1205.63111</v>
      </c>
      <c r="BA975" s="23" t="s">
        <v>13</v>
      </c>
    </row>
    <row r="976" spans="1:53" x14ac:dyDescent="0.25">
      <c r="A976" t="s">
        <v>134</v>
      </c>
      <c r="B976" t="s">
        <v>135</v>
      </c>
      <c r="C976">
        <v>22002325</v>
      </c>
      <c r="D976">
        <v>1205</v>
      </c>
      <c r="E976" s="11">
        <v>44783</v>
      </c>
      <c r="F976" t="s">
        <v>179</v>
      </c>
      <c r="G976">
        <v>1.21</v>
      </c>
      <c r="H976">
        <v>1.21</v>
      </c>
      <c r="I976" t="s">
        <v>56</v>
      </c>
      <c r="O976" t="s">
        <v>57</v>
      </c>
      <c r="Q976" t="s">
        <v>57</v>
      </c>
      <c r="R976" t="s">
        <v>137</v>
      </c>
      <c r="T976" t="s">
        <v>59</v>
      </c>
      <c r="U976" t="s">
        <v>60</v>
      </c>
      <c r="V976" t="s">
        <v>138</v>
      </c>
      <c r="W976" t="s">
        <v>139</v>
      </c>
      <c r="X976">
        <v>1930357</v>
      </c>
      <c r="Y976" s="11">
        <v>44783</v>
      </c>
      <c r="Z976" t="s">
        <v>57</v>
      </c>
      <c r="AA976">
        <v>26</v>
      </c>
      <c r="AB976" t="s">
        <v>57</v>
      </c>
      <c r="AD976" t="s">
        <v>57</v>
      </c>
      <c r="AE976" t="s">
        <v>57</v>
      </c>
      <c r="AF976" t="s">
        <v>57</v>
      </c>
      <c r="AG976">
        <v>10</v>
      </c>
      <c r="AH976" t="s">
        <v>57</v>
      </c>
      <c r="AL976" t="s">
        <v>57</v>
      </c>
      <c r="AM976" s="11">
        <v>44783</v>
      </c>
      <c r="AN976" t="s">
        <v>180</v>
      </c>
      <c r="AO976" t="s">
        <v>65</v>
      </c>
      <c r="AP976">
        <v>1205</v>
      </c>
      <c r="AQ976" t="s">
        <v>66</v>
      </c>
      <c r="AR976">
        <v>88639</v>
      </c>
      <c r="AU976" t="s">
        <v>57</v>
      </c>
      <c r="AV976" t="s">
        <v>68</v>
      </c>
      <c r="AX976" t="s">
        <v>57</v>
      </c>
      <c r="AY976">
        <v>631110</v>
      </c>
      <c r="AZ976">
        <v>1205.63111</v>
      </c>
      <c r="BA976" s="23" t="s">
        <v>13</v>
      </c>
    </row>
    <row r="977" spans="1:53" x14ac:dyDescent="0.25">
      <c r="A977" t="s">
        <v>134</v>
      </c>
      <c r="B977" t="s">
        <v>135</v>
      </c>
      <c r="C977">
        <v>22002325</v>
      </c>
      <c r="D977">
        <v>1205</v>
      </c>
      <c r="E977" s="11">
        <v>44783</v>
      </c>
      <c r="F977" t="s">
        <v>179</v>
      </c>
      <c r="G977">
        <v>0.31</v>
      </c>
      <c r="H977">
        <v>0.31</v>
      </c>
      <c r="I977" t="s">
        <v>56</v>
      </c>
      <c r="O977" t="s">
        <v>57</v>
      </c>
      <c r="Q977" t="s">
        <v>57</v>
      </c>
      <c r="R977" t="s">
        <v>137</v>
      </c>
      <c r="T977" t="s">
        <v>59</v>
      </c>
      <c r="U977" t="s">
        <v>60</v>
      </c>
      <c r="V977" t="s">
        <v>138</v>
      </c>
      <c r="W977" t="s">
        <v>139</v>
      </c>
      <c r="X977">
        <v>1930357</v>
      </c>
      <c r="Y977" s="11">
        <v>44783</v>
      </c>
      <c r="Z977" t="s">
        <v>57</v>
      </c>
      <c r="AA977">
        <v>28</v>
      </c>
      <c r="AB977" t="s">
        <v>57</v>
      </c>
      <c r="AD977" t="s">
        <v>57</v>
      </c>
      <c r="AE977" t="s">
        <v>57</v>
      </c>
      <c r="AF977" t="s">
        <v>57</v>
      </c>
      <c r="AG977">
        <v>2</v>
      </c>
      <c r="AH977" t="s">
        <v>57</v>
      </c>
      <c r="AL977" t="s">
        <v>57</v>
      </c>
      <c r="AM977" s="11">
        <v>44783</v>
      </c>
      <c r="AN977" t="s">
        <v>180</v>
      </c>
      <c r="AO977" t="s">
        <v>65</v>
      </c>
      <c r="AP977">
        <v>1205</v>
      </c>
      <c r="AQ977" t="s">
        <v>66</v>
      </c>
      <c r="AR977">
        <v>265891</v>
      </c>
      <c r="AU977" t="s">
        <v>57</v>
      </c>
      <c r="AV977" t="s">
        <v>68</v>
      </c>
      <c r="AX977" t="s">
        <v>57</v>
      </c>
      <c r="AY977">
        <v>631110</v>
      </c>
      <c r="AZ977">
        <v>1205.63111</v>
      </c>
      <c r="BA977" s="23" t="s">
        <v>13</v>
      </c>
    </row>
    <row r="978" spans="1:53" x14ac:dyDescent="0.25">
      <c r="A978" t="s">
        <v>134</v>
      </c>
      <c r="B978" t="s">
        <v>135</v>
      </c>
      <c r="C978">
        <v>22002325</v>
      </c>
      <c r="D978">
        <v>1205</v>
      </c>
      <c r="E978" s="11">
        <v>44783</v>
      </c>
      <c r="F978" t="s">
        <v>179</v>
      </c>
      <c r="G978">
        <v>1.53</v>
      </c>
      <c r="H978">
        <v>1.53</v>
      </c>
      <c r="I978" t="s">
        <v>56</v>
      </c>
      <c r="O978" t="s">
        <v>57</v>
      </c>
      <c r="Q978" t="s">
        <v>57</v>
      </c>
      <c r="R978" t="s">
        <v>137</v>
      </c>
      <c r="T978" t="s">
        <v>59</v>
      </c>
      <c r="U978" t="s">
        <v>60</v>
      </c>
      <c r="V978" t="s">
        <v>138</v>
      </c>
      <c r="W978" t="s">
        <v>139</v>
      </c>
      <c r="X978">
        <v>1930357</v>
      </c>
      <c r="Y978" s="11">
        <v>44783</v>
      </c>
      <c r="Z978" t="s">
        <v>57</v>
      </c>
      <c r="AA978">
        <v>30</v>
      </c>
      <c r="AB978" t="s">
        <v>57</v>
      </c>
      <c r="AD978" t="s">
        <v>57</v>
      </c>
      <c r="AE978" t="s">
        <v>57</v>
      </c>
      <c r="AF978" t="s">
        <v>57</v>
      </c>
      <c r="AG978">
        <v>10</v>
      </c>
      <c r="AH978" t="s">
        <v>57</v>
      </c>
      <c r="AL978" t="s">
        <v>57</v>
      </c>
      <c r="AM978" s="11">
        <v>44783</v>
      </c>
      <c r="AN978" t="s">
        <v>180</v>
      </c>
      <c r="AO978" t="s">
        <v>65</v>
      </c>
      <c r="AP978">
        <v>1205</v>
      </c>
      <c r="AQ978" t="s">
        <v>66</v>
      </c>
      <c r="AR978">
        <v>89715</v>
      </c>
      <c r="AU978" t="s">
        <v>57</v>
      </c>
      <c r="AV978" t="s">
        <v>68</v>
      </c>
      <c r="AX978" t="s">
        <v>57</v>
      </c>
      <c r="AY978">
        <v>631110</v>
      </c>
      <c r="AZ978">
        <v>1205.63111</v>
      </c>
      <c r="BA978" s="23" t="s">
        <v>13</v>
      </c>
    </row>
    <row r="979" spans="1:53" x14ac:dyDescent="0.25">
      <c r="A979" t="s">
        <v>134</v>
      </c>
      <c r="B979" t="s">
        <v>135</v>
      </c>
      <c r="C979">
        <v>22002325</v>
      </c>
      <c r="D979">
        <v>1205</v>
      </c>
      <c r="E979" s="11">
        <v>44783</v>
      </c>
      <c r="F979" t="s">
        <v>179</v>
      </c>
      <c r="G979">
        <v>1.26</v>
      </c>
      <c r="H979">
        <v>1.26</v>
      </c>
      <c r="I979" t="s">
        <v>56</v>
      </c>
      <c r="O979" t="s">
        <v>57</v>
      </c>
      <c r="Q979" t="s">
        <v>57</v>
      </c>
      <c r="R979" t="s">
        <v>137</v>
      </c>
      <c r="T979" t="s">
        <v>59</v>
      </c>
      <c r="U979" t="s">
        <v>60</v>
      </c>
      <c r="V979" t="s">
        <v>138</v>
      </c>
      <c r="W979" t="s">
        <v>139</v>
      </c>
      <c r="X979">
        <v>1930357</v>
      </c>
      <c r="Y979" s="11">
        <v>44783</v>
      </c>
      <c r="Z979" t="s">
        <v>57</v>
      </c>
      <c r="AA979">
        <v>32</v>
      </c>
      <c r="AB979" t="s">
        <v>57</v>
      </c>
      <c r="AD979" t="s">
        <v>57</v>
      </c>
      <c r="AE979" t="s">
        <v>57</v>
      </c>
      <c r="AF979" t="s">
        <v>57</v>
      </c>
      <c r="AG979">
        <v>5</v>
      </c>
      <c r="AH979" t="s">
        <v>57</v>
      </c>
      <c r="AL979" t="s">
        <v>57</v>
      </c>
      <c r="AM979" s="11">
        <v>44783</v>
      </c>
      <c r="AN979" t="s">
        <v>180</v>
      </c>
      <c r="AO979" t="s">
        <v>65</v>
      </c>
      <c r="AP979">
        <v>1205</v>
      </c>
      <c r="AQ979" t="s">
        <v>66</v>
      </c>
      <c r="AR979">
        <v>88669</v>
      </c>
      <c r="AU979" t="s">
        <v>57</v>
      </c>
      <c r="AV979" t="s">
        <v>68</v>
      </c>
      <c r="AX979" t="s">
        <v>57</v>
      </c>
      <c r="AY979">
        <v>631110</v>
      </c>
      <c r="AZ979">
        <v>1205.63111</v>
      </c>
      <c r="BA979" s="23" t="s">
        <v>13</v>
      </c>
    </row>
    <row r="980" spans="1:53" x14ac:dyDescent="0.25">
      <c r="A980" t="s">
        <v>134</v>
      </c>
      <c r="B980" t="s">
        <v>135</v>
      </c>
      <c r="C980">
        <v>22002325</v>
      </c>
      <c r="D980">
        <v>1205</v>
      </c>
      <c r="E980" s="11">
        <v>44783</v>
      </c>
      <c r="F980" t="s">
        <v>179</v>
      </c>
      <c r="G980">
        <v>2.14</v>
      </c>
      <c r="H980">
        <v>2.14</v>
      </c>
      <c r="I980" t="s">
        <v>56</v>
      </c>
      <c r="O980" t="s">
        <v>57</v>
      </c>
      <c r="Q980" t="s">
        <v>57</v>
      </c>
      <c r="R980" t="s">
        <v>137</v>
      </c>
      <c r="T980" t="s">
        <v>59</v>
      </c>
      <c r="U980" t="s">
        <v>60</v>
      </c>
      <c r="V980" t="s">
        <v>138</v>
      </c>
      <c r="W980" t="s">
        <v>139</v>
      </c>
      <c r="X980">
        <v>1930357</v>
      </c>
      <c r="Y980" s="11">
        <v>44783</v>
      </c>
      <c r="Z980" t="s">
        <v>57</v>
      </c>
      <c r="AA980">
        <v>34</v>
      </c>
      <c r="AB980" t="s">
        <v>57</v>
      </c>
      <c r="AD980" t="s">
        <v>57</v>
      </c>
      <c r="AE980" t="s">
        <v>57</v>
      </c>
      <c r="AF980" t="s">
        <v>57</v>
      </c>
      <c r="AG980">
        <v>10</v>
      </c>
      <c r="AH980" t="s">
        <v>57</v>
      </c>
      <c r="AL980" t="s">
        <v>57</v>
      </c>
      <c r="AM980" s="11">
        <v>44783</v>
      </c>
      <c r="AN980" t="s">
        <v>180</v>
      </c>
      <c r="AO980" t="s">
        <v>65</v>
      </c>
      <c r="AP980">
        <v>1205</v>
      </c>
      <c r="AQ980" t="s">
        <v>66</v>
      </c>
      <c r="AR980">
        <v>89727</v>
      </c>
      <c r="AU980" t="s">
        <v>57</v>
      </c>
      <c r="AV980" t="s">
        <v>68</v>
      </c>
      <c r="AX980" t="s">
        <v>57</v>
      </c>
      <c r="AY980">
        <v>631110</v>
      </c>
      <c r="AZ980">
        <v>1205.63111</v>
      </c>
      <c r="BA980" s="23" t="s">
        <v>13</v>
      </c>
    </row>
    <row r="981" spans="1:53" x14ac:dyDescent="0.25">
      <c r="A981" t="s">
        <v>134</v>
      </c>
      <c r="B981" t="s">
        <v>135</v>
      </c>
      <c r="C981">
        <v>22002325</v>
      </c>
      <c r="D981">
        <v>1205</v>
      </c>
      <c r="E981" s="11">
        <v>44783</v>
      </c>
      <c r="F981" t="s">
        <v>179</v>
      </c>
      <c r="G981">
        <v>1.85</v>
      </c>
      <c r="H981">
        <v>1.85</v>
      </c>
      <c r="I981" t="s">
        <v>56</v>
      </c>
      <c r="O981" t="s">
        <v>57</v>
      </c>
      <c r="Q981" t="s">
        <v>57</v>
      </c>
      <c r="R981" t="s">
        <v>137</v>
      </c>
      <c r="T981" t="s">
        <v>59</v>
      </c>
      <c r="U981" t="s">
        <v>60</v>
      </c>
      <c r="V981" t="s">
        <v>138</v>
      </c>
      <c r="W981" t="s">
        <v>139</v>
      </c>
      <c r="X981">
        <v>1930357</v>
      </c>
      <c r="Y981" s="11">
        <v>44783</v>
      </c>
      <c r="Z981" t="s">
        <v>57</v>
      </c>
      <c r="AA981">
        <v>36</v>
      </c>
      <c r="AB981" t="s">
        <v>57</v>
      </c>
      <c r="AD981" t="s">
        <v>57</v>
      </c>
      <c r="AE981" t="s">
        <v>57</v>
      </c>
      <c r="AF981" t="s">
        <v>57</v>
      </c>
      <c r="AG981">
        <v>12</v>
      </c>
      <c r="AH981" t="s">
        <v>57</v>
      </c>
      <c r="AL981" t="s">
        <v>57</v>
      </c>
      <c r="AM981" s="11">
        <v>44783</v>
      </c>
      <c r="AN981" t="s">
        <v>180</v>
      </c>
      <c r="AO981" t="s">
        <v>65</v>
      </c>
      <c r="AP981">
        <v>1205</v>
      </c>
      <c r="AQ981" t="s">
        <v>66</v>
      </c>
      <c r="AR981">
        <v>89712</v>
      </c>
      <c r="AU981" t="s">
        <v>57</v>
      </c>
      <c r="AV981" t="s">
        <v>68</v>
      </c>
      <c r="AX981" t="s">
        <v>57</v>
      </c>
      <c r="AY981">
        <v>631110</v>
      </c>
      <c r="AZ981">
        <v>1205.63111</v>
      </c>
      <c r="BA981" s="23" t="s">
        <v>13</v>
      </c>
    </row>
    <row r="982" spans="1:53" x14ac:dyDescent="0.25">
      <c r="A982" t="s">
        <v>134</v>
      </c>
      <c r="B982" t="s">
        <v>135</v>
      </c>
      <c r="C982">
        <v>22002325</v>
      </c>
      <c r="D982">
        <v>1205</v>
      </c>
      <c r="E982" s="11">
        <v>44783</v>
      </c>
      <c r="F982" t="s">
        <v>179</v>
      </c>
      <c r="G982">
        <v>0.31</v>
      </c>
      <c r="H982">
        <v>0.31</v>
      </c>
      <c r="I982" t="s">
        <v>56</v>
      </c>
      <c r="O982" t="s">
        <v>57</v>
      </c>
      <c r="Q982" t="s">
        <v>57</v>
      </c>
      <c r="R982" t="s">
        <v>137</v>
      </c>
      <c r="T982" t="s">
        <v>59</v>
      </c>
      <c r="U982" t="s">
        <v>60</v>
      </c>
      <c r="V982" t="s">
        <v>138</v>
      </c>
      <c r="W982" t="s">
        <v>139</v>
      </c>
      <c r="X982">
        <v>1930357</v>
      </c>
      <c r="Y982" s="11">
        <v>44783</v>
      </c>
      <c r="Z982" t="s">
        <v>57</v>
      </c>
      <c r="AA982">
        <v>38</v>
      </c>
      <c r="AB982" t="s">
        <v>57</v>
      </c>
      <c r="AD982" t="s">
        <v>57</v>
      </c>
      <c r="AE982" t="s">
        <v>57</v>
      </c>
      <c r="AF982" t="s">
        <v>57</v>
      </c>
      <c r="AG982">
        <v>2</v>
      </c>
      <c r="AH982" t="s">
        <v>57</v>
      </c>
      <c r="AL982" t="s">
        <v>57</v>
      </c>
      <c r="AM982" s="11">
        <v>44783</v>
      </c>
      <c r="AN982" t="s">
        <v>180</v>
      </c>
      <c r="AO982" t="s">
        <v>65</v>
      </c>
      <c r="AP982">
        <v>1205</v>
      </c>
      <c r="AQ982" t="s">
        <v>66</v>
      </c>
      <c r="AR982">
        <v>265528</v>
      </c>
      <c r="AU982" t="s">
        <v>57</v>
      </c>
      <c r="AV982" t="s">
        <v>68</v>
      </c>
      <c r="AX982" t="s">
        <v>57</v>
      </c>
      <c r="AY982">
        <v>631110</v>
      </c>
      <c r="AZ982">
        <v>1205.63111</v>
      </c>
      <c r="BA982" s="23" t="s">
        <v>13</v>
      </c>
    </row>
    <row r="983" spans="1:53" x14ac:dyDescent="0.25">
      <c r="A983" t="s">
        <v>134</v>
      </c>
      <c r="B983" t="s">
        <v>135</v>
      </c>
      <c r="C983">
        <v>22002338</v>
      </c>
      <c r="D983">
        <v>1205</v>
      </c>
      <c r="E983" s="11">
        <v>44784</v>
      </c>
      <c r="F983" t="s">
        <v>174</v>
      </c>
      <c r="G983">
        <v>0.6</v>
      </c>
      <c r="H983">
        <v>0.6</v>
      </c>
      <c r="I983" t="s">
        <v>56</v>
      </c>
      <c r="O983" t="s">
        <v>57</v>
      </c>
      <c r="Q983" t="s">
        <v>57</v>
      </c>
      <c r="R983" t="s">
        <v>137</v>
      </c>
      <c r="T983" t="s">
        <v>59</v>
      </c>
      <c r="U983" t="s">
        <v>60</v>
      </c>
      <c r="V983" t="s">
        <v>138</v>
      </c>
      <c r="W983" t="s">
        <v>139</v>
      </c>
      <c r="X983">
        <v>1930521</v>
      </c>
      <c r="Y983" s="11">
        <v>44784</v>
      </c>
      <c r="Z983" t="s">
        <v>57</v>
      </c>
      <c r="AA983">
        <v>2</v>
      </c>
      <c r="AB983" t="s">
        <v>57</v>
      </c>
      <c r="AD983" t="s">
        <v>57</v>
      </c>
      <c r="AE983" t="s">
        <v>57</v>
      </c>
      <c r="AF983" t="s">
        <v>57</v>
      </c>
      <c r="AG983">
        <v>1</v>
      </c>
      <c r="AH983" t="s">
        <v>57</v>
      </c>
      <c r="AL983" t="s">
        <v>57</v>
      </c>
      <c r="AM983" s="11">
        <v>44784</v>
      </c>
      <c r="AN983" t="s">
        <v>178</v>
      </c>
      <c r="AO983" t="s">
        <v>65</v>
      </c>
      <c r="AP983">
        <v>1205</v>
      </c>
      <c r="AQ983" t="s">
        <v>66</v>
      </c>
      <c r="AR983">
        <v>208950</v>
      </c>
      <c r="AU983" t="s">
        <v>57</v>
      </c>
      <c r="AV983" t="s">
        <v>68</v>
      </c>
      <c r="AX983" t="s">
        <v>57</v>
      </c>
      <c r="AY983">
        <v>631110</v>
      </c>
      <c r="AZ983">
        <v>1205.63111</v>
      </c>
      <c r="BA983" s="23" t="s">
        <v>13</v>
      </c>
    </row>
    <row r="984" spans="1:53" x14ac:dyDescent="0.25">
      <c r="A984" t="s">
        <v>134</v>
      </c>
      <c r="B984" t="s">
        <v>135</v>
      </c>
      <c r="C984">
        <v>22002338</v>
      </c>
      <c r="D984">
        <v>1205</v>
      </c>
      <c r="E984" s="11">
        <v>44784</v>
      </c>
      <c r="F984" t="s">
        <v>174</v>
      </c>
      <c r="G984">
        <v>124.5</v>
      </c>
      <c r="H984">
        <v>124.5</v>
      </c>
      <c r="I984" t="s">
        <v>56</v>
      </c>
      <c r="O984" t="s">
        <v>57</v>
      </c>
      <c r="Q984" t="s">
        <v>57</v>
      </c>
      <c r="R984" t="s">
        <v>137</v>
      </c>
      <c r="T984" t="s">
        <v>59</v>
      </c>
      <c r="U984" t="s">
        <v>60</v>
      </c>
      <c r="V984" t="s">
        <v>138</v>
      </c>
      <c r="W984" t="s">
        <v>139</v>
      </c>
      <c r="X984">
        <v>1930521</v>
      </c>
      <c r="Y984" s="11">
        <v>44784</v>
      </c>
      <c r="Z984" t="s">
        <v>57</v>
      </c>
      <c r="AA984">
        <v>4</v>
      </c>
      <c r="AB984" t="s">
        <v>57</v>
      </c>
      <c r="AD984" t="s">
        <v>57</v>
      </c>
      <c r="AE984" t="s">
        <v>57</v>
      </c>
      <c r="AF984" t="s">
        <v>57</v>
      </c>
      <c r="AG984">
        <v>4</v>
      </c>
      <c r="AH984" t="s">
        <v>57</v>
      </c>
      <c r="AL984" t="s">
        <v>57</v>
      </c>
      <c r="AM984" s="11">
        <v>44784</v>
      </c>
      <c r="AN984" t="s">
        <v>178</v>
      </c>
      <c r="AO984" t="s">
        <v>65</v>
      </c>
      <c r="AP984">
        <v>1205</v>
      </c>
      <c r="AQ984" t="s">
        <v>66</v>
      </c>
      <c r="AR984">
        <v>227906</v>
      </c>
      <c r="AU984" t="s">
        <v>57</v>
      </c>
      <c r="AV984" t="s">
        <v>68</v>
      </c>
      <c r="AX984" t="s">
        <v>57</v>
      </c>
      <c r="AY984">
        <v>631110</v>
      </c>
      <c r="AZ984">
        <v>1205.63111</v>
      </c>
      <c r="BA984" s="23" t="s">
        <v>13</v>
      </c>
    </row>
    <row r="985" spans="1:53" x14ac:dyDescent="0.25">
      <c r="A985" t="s">
        <v>134</v>
      </c>
      <c r="B985" t="s">
        <v>135</v>
      </c>
      <c r="C985">
        <v>22002338</v>
      </c>
      <c r="D985">
        <v>1205</v>
      </c>
      <c r="E985" s="11">
        <v>44784</v>
      </c>
      <c r="F985" t="s">
        <v>174</v>
      </c>
      <c r="G985">
        <v>3.36</v>
      </c>
      <c r="H985">
        <v>3.36</v>
      </c>
      <c r="I985" t="s">
        <v>56</v>
      </c>
      <c r="O985" t="s">
        <v>57</v>
      </c>
      <c r="Q985" t="s">
        <v>57</v>
      </c>
      <c r="R985" t="s">
        <v>137</v>
      </c>
      <c r="T985" t="s">
        <v>59</v>
      </c>
      <c r="U985" t="s">
        <v>60</v>
      </c>
      <c r="V985" t="s">
        <v>138</v>
      </c>
      <c r="W985" t="s">
        <v>139</v>
      </c>
      <c r="X985">
        <v>1930521</v>
      </c>
      <c r="Y985" s="11">
        <v>44784</v>
      </c>
      <c r="Z985" t="s">
        <v>57</v>
      </c>
      <c r="AA985">
        <v>6</v>
      </c>
      <c r="AB985" t="s">
        <v>57</v>
      </c>
      <c r="AD985" t="s">
        <v>57</v>
      </c>
      <c r="AE985" t="s">
        <v>57</v>
      </c>
      <c r="AF985" t="s">
        <v>57</v>
      </c>
      <c r="AG985">
        <v>1</v>
      </c>
      <c r="AH985" t="s">
        <v>57</v>
      </c>
      <c r="AL985" t="s">
        <v>57</v>
      </c>
      <c r="AM985" s="11">
        <v>44784</v>
      </c>
      <c r="AN985" t="s">
        <v>178</v>
      </c>
      <c r="AO985" t="s">
        <v>65</v>
      </c>
      <c r="AP985">
        <v>1205</v>
      </c>
      <c r="AQ985" t="s">
        <v>66</v>
      </c>
      <c r="AR985">
        <v>206793</v>
      </c>
      <c r="AU985" t="s">
        <v>57</v>
      </c>
      <c r="AV985" t="s">
        <v>68</v>
      </c>
      <c r="AX985" t="s">
        <v>57</v>
      </c>
      <c r="AY985">
        <v>631110</v>
      </c>
      <c r="AZ985">
        <v>1205.63111</v>
      </c>
      <c r="BA985" s="23" t="s">
        <v>13</v>
      </c>
    </row>
    <row r="986" spans="1:53" x14ac:dyDescent="0.25">
      <c r="A986" t="s">
        <v>134</v>
      </c>
      <c r="B986" t="s">
        <v>135</v>
      </c>
      <c r="C986">
        <v>22002338</v>
      </c>
      <c r="D986">
        <v>1205</v>
      </c>
      <c r="E986" s="11">
        <v>44784</v>
      </c>
      <c r="F986" t="s">
        <v>174</v>
      </c>
      <c r="G986">
        <v>0.1</v>
      </c>
      <c r="H986">
        <v>0.1</v>
      </c>
      <c r="I986" t="s">
        <v>56</v>
      </c>
      <c r="O986" t="s">
        <v>57</v>
      </c>
      <c r="Q986" t="s">
        <v>57</v>
      </c>
      <c r="R986" t="s">
        <v>137</v>
      </c>
      <c r="T986" t="s">
        <v>59</v>
      </c>
      <c r="U986" t="s">
        <v>60</v>
      </c>
      <c r="V986" t="s">
        <v>138</v>
      </c>
      <c r="W986" t="s">
        <v>139</v>
      </c>
      <c r="X986">
        <v>1930521</v>
      </c>
      <c r="Y986" s="11">
        <v>44784</v>
      </c>
      <c r="Z986" t="s">
        <v>57</v>
      </c>
      <c r="AA986">
        <v>8</v>
      </c>
      <c r="AB986" t="s">
        <v>57</v>
      </c>
      <c r="AD986" t="s">
        <v>57</v>
      </c>
      <c r="AE986" t="s">
        <v>57</v>
      </c>
      <c r="AF986" t="s">
        <v>57</v>
      </c>
      <c r="AG986">
        <v>2</v>
      </c>
      <c r="AH986" t="s">
        <v>57</v>
      </c>
      <c r="AL986" t="s">
        <v>57</v>
      </c>
      <c r="AM986" s="11">
        <v>44784</v>
      </c>
      <c r="AN986" t="s">
        <v>178</v>
      </c>
      <c r="AO986" t="s">
        <v>65</v>
      </c>
      <c r="AP986">
        <v>1205</v>
      </c>
      <c r="AQ986" t="s">
        <v>66</v>
      </c>
      <c r="AR986">
        <v>88523</v>
      </c>
      <c r="AU986" t="s">
        <v>57</v>
      </c>
      <c r="AV986" t="s">
        <v>68</v>
      </c>
      <c r="AX986" t="s">
        <v>57</v>
      </c>
      <c r="AY986">
        <v>631110</v>
      </c>
      <c r="AZ986">
        <v>1205.63111</v>
      </c>
      <c r="BA986" s="23" t="s">
        <v>13</v>
      </c>
    </row>
    <row r="987" spans="1:53" x14ac:dyDescent="0.25">
      <c r="A987" t="s">
        <v>134</v>
      </c>
      <c r="B987" t="s">
        <v>135</v>
      </c>
      <c r="C987">
        <v>22002338</v>
      </c>
      <c r="D987">
        <v>1205</v>
      </c>
      <c r="E987" s="11">
        <v>44784</v>
      </c>
      <c r="F987" t="s">
        <v>174</v>
      </c>
      <c r="G987">
        <v>0.05</v>
      </c>
      <c r="H987">
        <v>0.05</v>
      </c>
      <c r="I987" t="s">
        <v>56</v>
      </c>
      <c r="O987" t="s">
        <v>57</v>
      </c>
      <c r="Q987" t="s">
        <v>57</v>
      </c>
      <c r="R987" t="s">
        <v>137</v>
      </c>
      <c r="T987" t="s">
        <v>59</v>
      </c>
      <c r="U987" t="s">
        <v>60</v>
      </c>
      <c r="V987" t="s">
        <v>138</v>
      </c>
      <c r="W987" t="s">
        <v>139</v>
      </c>
      <c r="X987">
        <v>1930521</v>
      </c>
      <c r="Y987" s="11">
        <v>44784</v>
      </c>
      <c r="Z987" t="s">
        <v>57</v>
      </c>
      <c r="AA987">
        <v>10</v>
      </c>
      <c r="AB987" t="s">
        <v>57</v>
      </c>
      <c r="AD987" t="s">
        <v>57</v>
      </c>
      <c r="AE987" t="s">
        <v>57</v>
      </c>
      <c r="AF987" t="s">
        <v>57</v>
      </c>
      <c r="AG987">
        <v>1</v>
      </c>
      <c r="AH987" t="s">
        <v>57</v>
      </c>
      <c r="AL987" t="s">
        <v>57</v>
      </c>
      <c r="AM987" s="11">
        <v>44784</v>
      </c>
      <c r="AN987" t="s">
        <v>178</v>
      </c>
      <c r="AO987" t="s">
        <v>65</v>
      </c>
      <c r="AP987">
        <v>1205</v>
      </c>
      <c r="AQ987" t="s">
        <v>66</v>
      </c>
      <c r="AR987">
        <v>90043</v>
      </c>
      <c r="AU987" t="s">
        <v>57</v>
      </c>
      <c r="AV987" t="s">
        <v>68</v>
      </c>
      <c r="AX987" t="s">
        <v>57</v>
      </c>
      <c r="AY987">
        <v>631110</v>
      </c>
      <c r="AZ987">
        <v>1205.63111</v>
      </c>
      <c r="BA987" s="23" t="s">
        <v>13</v>
      </c>
    </row>
    <row r="988" spans="1:53" x14ac:dyDescent="0.25">
      <c r="A988" t="s">
        <v>134</v>
      </c>
      <c r="B988" t="s">
        <v>135</v>
      </c>
      <c r="C988">
        <v>22002338</v>
      </c>
      <c r="D988">
        <v>1205</v>
      </c>
      <c r="E988" s="11">
        <v>44784</v>
      </c>
      <c r="F988" t="s">
        <v>174</v>
      </c>
      <c r="G988">
        <v>0.67</v>
      </c>
      <c r="H988">
        <v>0.67</v>
      </c>
      <c r="I988" t="s">
        <v>56</v>
      </c>
      <c r="O988" t="s">
        <v>57</v>
      </c>
      <c r="Q988" t="s">
        <v>57</v>
      </c>
      <c r="R988" t="s">
        <v>137</v>
      </c>
      <c r="T988" t="s">
        <v>59</v>
      </c>
      <c r="U988" t="s">
        <v>60</v>
      </c>
      <c r="V988" t="s">
        <v>138</v>
      </c>
      <c r="W988" t="s">
        <v>139</v>
      </c>
      <c r="X988">
        <v>1930521</v>
      </c>
      <c r="Y988" s="11">
        <v>44784</v>
      </c>
      <c r="Z988" t="s">
        <v>57</v>
      </c>
      <c r="AA988">
        <v>12</v>
      </c>
      <c r="AB988" t="s">
        <v>57</v>
      </c>
      <c r="AD988" t="s">
        <v>57</v>
      </c>
      <c r="AE988" t="s">
        <v>57</v>
      </c>
      <c r="AF988" t="s">
        <v>57</v>
      </c>
      <c r="AG988">
        <v>1</v>
      </c>
      <c r="AH988" t="s">
        <v>57</v>
      </c>
      <c r="AL988" t="s">
        <v>57</v>
      </c>
      <c r="AM988" s="11">
        <v>44784</v>
      </c>
      <c r="AN988" t="s">
        <v>178</v>
      </c>
      <c r="AO988" t="s">
        <v>65</v>
      </c>
      <c r="AP988">
        <v>1205</v>
      </c>
      <c r="AQ988" t="s">
        <v>66</v>
      </c>
      <c r="AR988">
        <v>88765</v>
      </c>
      <c r="AU988" t="s">
        <v>57</v>
      </c>
      <c r="AV988" t="s">
        <v>68</v>
      </c>
      <c r="AX988" t="s">
        <v>57</v>
      </c>
      <c r="AY988">
        <v>631110</v>
      </c>
      <c r="AZ988">
        <v>1205.63111</v>
      </c>
      <c r="BA988" s="23" t="s">
        <v>13</v>
      </c>
    </row>
    <row r="989" spans="1:53" x14ac:dyDescent="0.25">
      <c r="A989" t="s">
        <v>134</v>
      </c>
      <c r="B989" t="s">
        <v>135</v>
      </c>
      <c r="C989">
        <v>22002338</v>
      </c>
      <c r="D989">
        <v>1205</v>
      </c>
      <c r="E989" s="11">
        <v>44784</v>
      </c>
      <c r="F989" t="s">
        <v>174</v>
      </c>
      <c r="G989">
        <v>1.63</v>
      </c>
      <c r="H989">
        <v>1.63</v>
      </c>
      <c r="I989" t="s">
        <v>56</v>
      </c>
      <c r="O989" t="s">
        <v>57</v>
      </c>
      <c r="Q989" t="s">
        <v>57</v>
      </c>
      <c r="R989" t="s">
        <v>137</v>
      </c>
      <c r="T989" t="s">
        <v>59</v>
      </c>
      <c r="U989" t="s">
        <v>60</v>
      </c>
      <c r="V989" t="s">
        <v>138</v>
      </c>
      <c r="W989" t="s">
        <v>139</v>
      </c>
      <c r="X989">
        <v>1930521</v>
      </c>
      <c r="Y989" s="11">
        <v>44784</v>
      </c>
      <c r="Z989" t="s">
        <v>57</v>
      </c>
      <c r="AA989">
        <v>14</v>
      </c>
      <c r="AB989" t="s">
        <v>57</v>
      </c>
      <c r="AD989" t="s">
        <v>57</v>
      </c>
      <c r="AE989" t="s">
        <v>57</v>
      </c>
      <c r="AF989" t="s">
        <v>57</v>
      </c>
      <c r="AG989">
        <v>3</v>
      </c>
      <c r="AH989" t="s">
        <v>57</v>
      </c>
      <c r="AL989" t="s">
        <v>57</v>
      </c>
      <c r="AM989" s="11">
        <v>44784</v>
      </c>
      <c r="AN989" t="s">
        <v>178</v>
      </c>
      <c r="AO989" t="s">
        <v>65</v>
      </c>
      <c r="AP989">
        <v>1205</v>
      </c>
      <c r="AQ989" t="s">
        <v>66</v>
      </c>
      <c r="AR989">
        <v>89777</v>
      </c>
      <c r="AU989" t="s">
        <v>57</v>
      </c>
      <c r="AV989" t="s">
        <v>68</v>
      </c>
      <c r="AX989" t="s">
        <v>57</v>
      </c>
      <c r="AY989">
        <v>631110</v>
      </c>
      <c r="AZ989">
        <v>1205.63111</v>
      </c>
      <c r="BA989" s="23" t="s">
        <v>13</v>
      </c>
    </row>
    <row r="990" spans="1:53" x14ac:dyDescent="0.25">
      <c r="A990" t="s">
        <v>134</v>
      </c>
      <c r="B990" t="s">
        <v>135</v>
      </c>
      <c r="C990">
        <v>22002338</v>
      </c>
      <c r="D990">
        <v>1205</v>
      </c>
      <c r="E990" s="11">
        <v>44784</v>
      </c>
      <c r="F990" t="s">
        <v>174</v>
      </c>
      <c r="G990">
        <v>3.04</v>
      </c>
      <c r="H990">
        <v>3.04</v>
      </c>
      <c r="I990" t="s">
        <v>56</v>
      </c>
      <c r="O990" t="s">
        <v>57</v>
      </c>
      <c r="Q990" t="s">
        <v>57</v>
      </c>
      <c r="R990" t="s">
        <v>137</v>
      </c>
      <c r="T990" t="s">
        <v>59</v>
      </c>
      <c r="U990" t="s">
        <v>60</v>
      </c>
      <c r="V990" t="s">
        <v>138</v>
      </c>
      <c r="W990" t="s">
        <v>139</v>
      </c>
      <c r="X990">
        <v>1930521</v>
      </c>
      <c r="Y990" s="11">
        <v>44784</v>
      </c>
      <c r="Z990" t="s">
        <v>57</v>
      </c>
      <c r="AA990">
        <v>16</v>
      </c>
      <c r="AB990" t="s">
        <v>57</v>
      </c>
      <c r="AD990" t="s">
        <v>57</v>
      </c>
      <c r="AE990" t="s">
        <v>57</v>
      </c>
      <c r="AF990" t="s">
        <v>57</v>
      </c>
      <c r="AG990">
        <v>1</v>
      </c>
      <c r="AH990" t="s">
        <v>57</v>
      </c>
      <c r="AL990" t="s">
        <v>57</v>
      </c>
      <c r="AM990" s="11">
        <v>44784</v>
      </c>
      <c r="AN990" t="s">
        <v>178</v>
      </c>
      <c r="AO990" t="s">
        <v>65</v>
      </c>
      <c r="AP990">
        <v>1205</v>
      </c>
      <c r="AQ990" t="s">
        <v>66</v>
      </c>
      <c r="AR990">
        <v>90264</v>
      </c>
      <c r="AU990" t="s">
        <v>57</v>
      </c>
      <c r="AV990" t="s">
        <v>68</v>
      </c>
      <c r="AX990" t="s">
        <v>57</v>
      </c>
      <c r="AY990">
        <v>631110</v>
      </c>
      <c r="AZ990">
        <v>1205.63111</v>
      </c>
      <c r="BA990" s="23" t="s">
        <v>13</v>
      </c>
    </row>
    <row r="991" spans="1:53" x14ac:dyDescent="0.25">
      <c r="A991" t="s">
        <v>134</v>
      </c>
      <c r="B991" t="s">
        <v>135</v>
      </c>
      <c r="C991">
        <v>22002338</v>
      </c>
      <c r="D991">
        <v>1205</v>
      </c>
      <c r="E991" s="11">
        <v>44784</v>
      </c>
      <c r="F991" t="s">
        <v>174</v>
      </c>
      <c r="G991">
        <v>0.68</v>
      </c>
      <c r="H991">
        <v>0.68</v>
      </c>
      <c r="I991" t="s">
        <v>56</v>
      </c>
      <c r="O991" t="s">
        <v>57</v>
      </c>
      <c r="Q991" t="s">
        <v>57</v>
      </c>
      <c r="R991" t="s">
        <v>137</v>
      </c>
      <c r="T991" t="s">
        <v>59</v>
      </c>
      <c r="U991" t="s">
        <v>60</v>
      </c>
      <c r="V991" t="s">
        <v>138</v>
      </c>
      <c r="W991" t="s">
        <v>139</v>
      </c>
      <c r="X991">
        <v>1930521</v>
      </c>
      <c r="Y991" s="11">
        <v>44784</v>
      </c>
      <c r="Z991" t="s">
        <v>57</v>
      </c>
      <c r="AA991">
        <v>18</v>
      </c>
      <c r="AB991" t="s">
        <v>57</v>
      </c>
      <c r="AD991" t="s">
        <v>57</v>
      </c>
      <c r="AE991" t="s">
        <v>57</v>
      </c>
      <c r="AF991" t="s">
        <v>57</v>
      </c>
      <c r="AG991">
        <v>1</v>
      </c>
      <c r="AH991" t="s">
        <v>57</v>
      </c>
      <c r="AL991" t="s">
        <v>57</v>
      </c>
      <c r="AM991" s="11">
        <v>44784</v>
      </c>
      <c r="AN991" t="s">
        <v>178</v>
      </c>
      <c r="AO991" t="s">
        <v>65</v>
      </c>
      <c r="AP991">
        <v>1205</v>
      </c>
      <c r="AQ991" t="s">
        <v>66</v>
      </c>
      <c r="AR991">
        <v>89630</v>
      </c>
      <c r="AU991" t="s">
        <v>57</v>
      </c>
      <c r="AV991" t="s">
        <v>68</v>
      </c>
      <c r="AX991" t="s">
        <v>57</v>
      </c>
      <c r="AY991">
        <v>631110</v>
      </c>
      <c r="AZ991">
        <v>1205.63111</v>
      </c>
      <c r="BA991" s="23" t="s">
        <v>13</v>
      </c>
    </row>
    <row r="992" spans="1:53" x14ac:dyDescent="0.25">
      <c r="A992" t="s">
        <v>134</v>
      </c>
      <c r="B992" t="s">
        <v>135</v>
      </c>
      <c r="C992">
        <v>22002338</v>
      </c>
      <c r="D992">
        <v>1205</v>
      </c>
      <c r="E992" s="11">
        <v>44784</v>
      </c>
      <c r="F992" t="s">
        <v>174</v>
      </c>
      <c r="G992">
        <v>0.32</v>
      </c>
      <c r="H992">
        <v>0.32</v>
      </c>
      <c r="I992" t="s">
        <v>56</v>
      </c>
      <c r="O992" t="s">
        <v>57</v>
      </c>
      <c r="Q992" t="s">
        <v>57</v>
      </c>
      <c r="R992" t="s">
        <v>137</v>
      </c>
      <c r="T992" t="s">
        <v>59</v>
      </c>
      <c r="U992" t="s">
        <v>60</v>
      </c>
      <c r="V992" t="s">
        <v>138</v>
      </c>
      <c r="W992" t="s">
        <v>139</v>
      </c>
      <c r="X992">
        <v>1930521</v>
      </c>
      <c r="Y992" s="11">
        <v>44784</v>
      </c>
      <c r="Z992" t="s">
        <v>57</v>
      </c>
      <c r="AA992">
        <v>20</v>
      </c>
      <c r="AB992" t="s">
        <v>57</v>
      </c>
      <c r="AD992" t="s">
        <v>57</v>
      </c>
      <c r="AE992" t="s">
        <v>57</v>
      </c>
      <c r="AF992" t="s">
        <v>57</v>
      </c>
      <c r="AG992">
        <v>2</v>
      </c>
      <c r="AH992" t="s">
        <v>57</v>
      </c>
      <c r="AL992" t="s">
        <v>57</v>
      </c>
      <c r="AM992" s="11">
        <v>44784</v>
      </c>
      <c r="AN992" t="s">
        <v>178</v>
      </c>
      <c r="AO992" t="s">
        <v>65</v>
      </c>
      <c r="AP992">
        <v>1205</v>
      </c>
      <c r="AQ992" t="s">
        <v>66</v>
      </c>
      <c r="AR992">
        <v>88760</v>
      </c>
      <c r="AU992" t="s">
        <v>57</v>
      </c>
      <c r="AV992" t="s">
        <v>68</v>
      </c>
      <c r="AX992" t="s">
        <v>57</v>
      </c>
      <c r="AY992">
        <v>631110</v>
      </c>
      <c r="AZ992">
        <v>1205.63111</v>
      </c>
      <c r="BA992" s="23" t="s">
        <v>13</v>
      </c>
    </row>
    <row r="993" spans="1:53" x14ac:dyDescent="0.25">
      <c r="A993" t="s">
        <v>134</v>
      </c>
      <c r="B993" t="s">
        <v>135</v>
      </c>
      <c r="C993">
        <v>22002338</v>
      </c>
      <c r="D993">
        <v>1205</v>
      </c>
      <c r="E993" s="11">
        <v>44784</v>
      </c>
      <c r="F993" t="s">
        <v>174</v>
      </c>
      <c r="G993">
        <v>0.17</v>
      </c>
      <c r="H993">
        <v>0.17</v>
      </c>
      <c r="I993" t="s">
        <v>56</v>
      </c>
      <c r="O993" t="s">
        <v>57</v>
      </c>
      <c r="Q993" t="s">
        <v>57</v>
      </c>
      <c r="R993" t="s">
        <v>137</v>
      </c>
      <c r="T993" t="s">
        <v>59</v>
      </c>
      <c r="U993" t="s">
        <v>60</v>
      </c>
      <c r="V993" t="s">
        <v>138</v>
      </c>
      <c r="W993" t="s">
        <v>139</v>
      </c>
      <c r="X993">
        <v>1930521</v>
      </c>
      <c r="Y993" s="11">
        <v>44784</v>
      </c>
      <c r="Z993" t="s">
        <v>57</v>
      </c>
      <c r="AA993">
        <v>22</v>
      </c>
      <c r="AB993" t="s">
        <v>57</v>
      </c>
      <c r="AD993" t="s">
        <v>57</v>
      </c>
      <c r="AE993" t="s">
        <v>57</v>
      </c>
      <c r="AF993" t="s">
        <v>57</v>
      </c>
      <c r="AG993">
        <v>1</v>
      </c>
      <c r="AH993" t="s">
        <v>57</v>
      </c>
      <c r="AL993" t="s">
        <v>57</v>
      </c>
      <c r="AM993" s="11">
        <v>44784</v>
      </c>
      <c r="AN993" t="s">
        <v>178</v>
      </c>
      <c r="AO993" t="s">
        <v>65</v>
      </c>
      <c r="AP993">
        <v>1205</v>
      </c>
      <c r="AQ993" t="s">
        <v>66</v>
      </c>
      <c r="AR993">
        <v>88762</v>
      </c>
      <c r="AU993" t="s">
        <v>57</v>
      </c>
      <c r="AV993" t="s">
        <v>68</v>
      </c>
      <c r="AX993" t="s">
        <v>57</v>
      </c>
      <c r="AY993">
        <v>631110</v>
      </c>
      <c r="AZ993">
        <v>1205.63111</v>
      </c>
      <c r="BA993" s="23" t="s">
        <v>13</v>
      </c>
    </row>
    <row r="994" spans="1:53" x14ac:dyDescent="0.25">
      <c r="A994" t="s">
        <v>134</v>
      </c>
      <c r="B994" t="s">
        <v>135</v>
      </c>
      <c r="C994">
        <v>22002338</v>
      </c>
      <c r="D994">
        <v>1205</v>
      </c>
      <c r="E994" s="11">
        <v>44784</v>
      </c>
      <c r="F994" t="s">
        <v>174</v>
      </c>
      <c r="G994">
        <v>7.0000000000000007E-2</v>
      </c>
      <c r="H994">
        <v>7.0000000000000007E-2</v>
      </c>
      <c r="I994" t="s">
        <v>56</v>
      </c>
      <c r="O994" t="s">
        <v>57</v>
      </c>
      <c r="Q994" t="s">
        <v>57</v>
      </c>
      <c r="R994" t="s">
        <v>137</v>
      </c>
      <c r="T994" t="s">
        <v>59</v>
      </c>
      <c r="U994" t="s">
        <v>60</v>
      </c>
      <c r="V994" t="s">
        <v>138</v>
      </c>
      <c r="W994" t="s">
        <v>139</v>
      </c>
      <c r="X994">
        <v>1930521</v>
      </c>
      <c r="Y994" s="11">
        <v>44784</v>
      </c>
      <c r="Z994" t="s">
        <v>57</v>
      </c>
      <c r="AA994">
        <v>24</v>
      </c>
      <c r="AB994" t="s">
        <v>57</v>
      </c>
      <c r="AD994" t="s">
        <v>57</v>
      </c>
      <c r="AE994" t="s">
        <v>57</v>
      </c>
      <c r="AF994" t="s">
        <v>57</v>
      </c>
      <c r="AG994">
        <v>1</v>
      </c>
      <c r="AH994" t="s">
        <v>57</v>
      </c>
      <c r="AL994" t="s">
        <v>57</v>
      </c>
      <c r="AM994" s="11">
        <v>44784</v>
      </c>
      <c r="AN994" t="s">
        <v>178</v>
      </c>
      <c r="AO994" t="s">
        <v>65</v>
      </c>
      <c r="AP994">
        <v>1205</v>
      </c>
      <c r="AQ994" t="s">
        <v>66</v>
      </c>
      <c r="AR994">
        <v>89908</v>
      </c>
      <c r="AU994" t="s">
        <v>57</v>
      </c>
      <c r="AV994" t="s">
        <v>68</v>
      </c>
      <c r="AX994" t="s">
        <v>57</v>
      </c>
      <c r="AY994">
        <v>631110</v>
      </c>
      <c r="AZ994">
        <v>1205.63111</v>
      </c>
      <c r="BA994" s="23" t="s">
        <v>13</v>
      </c>
    </row>
    <row r="995" spans="1:53" x14ac:dyDescent="0.25">
      <c r="A995" t="s">
        <v>134</v>
      </c>
      <c r="B995" t="s">
        <v>135</v>
      </c>
      <c r="C995">
        <v>22002338</v>
      </c>
      <c r="D995">
        <v>1205</v>
      </c>
      <c r="E995" s="11">
        <v>44784</v>
      </c>
      <c r="F995" t="s">
        <v>174</v>
      </c>
      <c r="G995">
        <v>3.5</v>
      </c>
      <c r="H995">
        <v>3.5</v>
      </c>
      <c r="I995" t="s">
        <v>56</v>
      </c>
      <c r="O995" t="s">
        <v>57</v>
      </c>
      <c r="Q995" t="s">
        <v>57</v>
      </c>
      <c r="R995" t="s">
        <v>137</v>
      </c>
      <c r="T995" t="s">
        <v>59</v>
      </c>
      <c r="U995" t="s">
        <v>60</v>
      </c>
      <c r="V995" t="s">
        <v>138</v>
      </c>
      <c r="W995" t="s">
        <v>139</v>
      </c>
      <c r="X995">
        <v>1930521</v>
      </c>
      <c r="Y995" s="11">
        <v>44784</v>
      </c>
      <c r="Z995" t="s">
        <v>57</v>
      </c>
      <c r="AA995">
        <v>26</v>
      </c>
      <c r="AB995" t="s">
        <v>57</v>
      </c>
      <c r="AD995" t="s">
        <v>57</v>
      </c>
      <c r="AE995" t="s">
        <v>57</v>
      </c>
      <c r="AF995" t="s">
        <v>57</v>
      </c>
      <c r="AG995">
        <v>2</v>
      </c>
      <c r="AH995" t="s">
        <v>57</v>
      </c>
      <c r="AL995" t="s">
        <v>57</v>
      </c>
      <c r="AM995" s="11">
        <v>44784</v>
      </c>
      <c r="AN995" t="s">
        <v>178</v>
      </c>
      <c r="AO995" t="s">
        <v>65</v>
      </c>
      <c r="AP995">
        <v>1205</v>
      </c>
      <c r="AQ995" t="s">
        <v>66</v>
      </c>
      <c r="AR995">
        <v>27754</v>
      </c>
      <c r="AU995" t="s">
        <v>57</v>
      </c>
      <c r="AV995" t="s">
        <v>68</v>
      </c>
      <c r="AX995" t="s">
        <v>57</v>
      </c>
      <c r="AY995">
        <v>631110</v>
      </c>
      <c r="AZ995">
        <v>1205.63111</v>
      </c>
      <c r="BA995" s="23" t="s">
        <v>13</v>
      </c>
    </row>
    <row r="996" spans="1:53" x14ac:dyDescent="0.25">
      <c r="A996" t="s">
        <v>134</v>
      </c>
      <c r="B996" t="s">
        <v>135</v>
      </c>
      <c r="C996">
        <v>22002341</v>
      </c>
      <c r="D996">
        <v>1205</v>
      </c>
      <c r="E996" s="11">
        <v>44785</v>
      </c>
      <c r="F996" t="s">
        <v>174</v>
      </c>
      <c r="G996">
        <v>0.04</v>
      </c>
      <c r="H996">
        <v>0.04</v>
      </c>
      <c r="I996" t="s">
        <v>56</v>
      </c>
      <c r="O996" t="s">
        <v>57</v>
      </c>
      <c r="Q996" t="s">
        <v>57</v>
      </c>
      <c r="R996" t="s">
        <v>137</v>
      </c>
      <c r="T996" t="s">
        <v>59</v>
      </c>
      <c r="U996" t="s">
        <v>60</v>
      </c>
      <c r="V996" t="s">
        <v>138</v>
      </c>
      <c r="W996" t="s">
        <v>139</v>
      </c>
      <c r="X996">
        <v>1930742</v>
      </c>
      <c r="Y996" s="11">
        <v>44785</v>
      </c>
      <c r="Z996" t="s">
        <v>57</v>
      </c>
      <c r="AA996">
        <v>2</v>
      </c>
      <c r="AB996" t="s">
        <v>57</v>
      </c>
      <c r="AD996" t="s">
        <v>57</v>
      </c>
      <c r="AE996" t="s">
        <v>57</v>
      </c>
      <c r="AF996" t="s">
        <v>57</v>
      </c>
      <c r="AG996">
        <v>1</v>
      </c>
      <c r="AH996" t="s">
        <v>57</v>
      </c>
      <c r="AL996" t="s">
        <v>57</v>
      </c>
      <c r="AM996" s="11">
        <v>44785</v>
      </c>
      <c r="AN996" t="s">
        <v>178</v>
      </c>
      <c r="AO996" t="s">
        <v>65</v>
      </c>
      <c r="AP996">
        <v>1205</v>
      </c>
      <c r="AQ996" t="s">
        <v>66</v>
      </c>
      <c r="AR996">
        <v>90039</v>
      </c>
      <c r="AU996" t="s">
        <v>57</v>
      </c>
      <c r="AV996" t="s">
        <v>68</v>
      </c>
      <c r="AX996" t="s">
        <v>57</v>
      </c>
      <c r="AY996">
        <v>631110</v>
      </c>
      <c r="AZ996">
        <v>1205.63111</v>
      </c>
      <c r="BA996" s="23" t="s">
        <v>13</v>
      </c>
    </row>
    <row r="997" spans="1:53" x14ac:dyDescent="0.25">
      <c r="A997" t="s">
        <v>134</v>
      </c>
      <c r="B997" t="s">
        <v>135</v>
      </c>
      <c r="C997">
        <v>22002341</v>
      </c>
      <c r="D997">
        <v>1205</v>
      </c>
      <c r="E997" s="11">
        <v>44785</v>
      </c>
      <c r="F997" t="s">
        <v>174</v>
      </c>
      <c r="G997">
        <v>2.1800000000000002</v>
      </c>
      <c r="H997">
        <v>2.1800000000000002</v>
      </c>
      <c r="I997" t="s">
        <v>56</v>
      </c>
      <c r="O997" t="s">
        <v>57</v>
      </c>
      <c r="Q997" t="s">
        <v>57</v>
      </c>
      <c r="R997" t="s">
        <v>137</v>
      </c>
      <c r="T997" t="s">
        <v>59</v>
      </c>
      <c r="U997" t="s">
        <v>60</v>
      </c>
      <c r="V997" t="s">
        <v>138</v>
      </c>
      <c r="W997" t="s">
        <v>139</v>
      </c>
      <c r="X997">
        <v>1930742</v>
      </c>
      <c r="Y997" s="11">
        <v>44785</v>
      </c>
      <c r="Z997" t="s">
        <v>57</v>
      </c>
      <c r="AA997">
        <v>4</v>
      </c>
      <c r="AB997" t="s">
        <v>57</v>
      </c>
      <c r="AD997" t="s">
        <v>57</v>
      </c>
      <c r="AE997" t="s">
        <v>57</v>
      </c>
      <c r="AF997" t="s">
        <v>57</v>
      </c>
      <c r="AG997">
        <v>4</v>
      </c>
      <c r="AH997" t="s">
        <v>57</v>
      </c>
      <c r="AL997" t="s">
        <v>57</v>
      </c>
      <c r="AM997" s="11">
        <v>44785</v>
      </c>
      <c r="AN997" t="s">
        <v>178</v>
      </c>
      <c r="AO997" t="s">
        <v>65</v>
      </c>
      <c r="AP997">
        <v>1205</v>
      </c>
      <c r="AQ997" t="s">
        <v>66</v>
      </c>
      <c r="AR997">
        <v>89777</v>
      </c>
      <c r="AU997" t="s">
        <v>57</v>
      </c>
      <c r="AV997" t="s">
        <v>68</v>
      </c>
      <c r="AX997" t="s">
        <v>57</v>
      </c>
      <c r="AY997">
        <v>631110</v>
      </c>
      <c r="AZ997">
        <v>1205.63111</v>
      </c>
      <c r="BA997" s="23" t="s">
        <v>13</v>
      </c>
    </row>
    <row r="998" spans="1:53" x14ac:dyDescent="0.25">
      <c r="A998" t="s">
        <v>134</v>
      </c>
      <c r="B998" t="s">
        <v>135</v>
      </c>
      <c r="C998">
        <v>22002341</v>
      </c>
      <c r="D998">
        <v>1205</v>
      </c>
      <c r="E998" s="11">
        <v>44785</v>
      </c>
      <c r="F998" t="s">
        <v>174</v>
      </c>
      <c r="G998">
        <v>3.04</v>
      </c>
      <c r="H998">
        <v>3.04</v>
      </c>
      <c r="I998" t="s">
        <v>56</v>
      </c>
      <c r="O998" t="s">
        <v>57</v>
      </c>
      <c r="Q998" t="s">
        <v>57</v>
      </c>
      <c r="R998" t="s">
        <v>137</v>
      </c>
      <c r="T998" t="s">
        <v>59</v>
      </c>
      <c r="U998" t="s">
        <v>60</v>
      </c>
      <c r="V998" t="s">
        <v>138</v>
      </c>
      <c r="W998" t="s">
        <v>139</v>
      </c>
      <c r="X998">
        <v>1930742</v>
      </c>
      <c r="Y998" s="11">
        <v>44785</v>
      </c>
      <c r="Z998" t="s">
        <v>57</v>
      </c>
      <c r="AA998">
        <v>6</v>
      </c>
      <c r="AB998" t="s">
        <v>57</v>
      </c>
      <c r="AD998" t="s">
        <v>57</v>
      </c>
      <c r="AE998" t="s">
        <v>57</v>
      </c>
      <c r="AF998" t="s">
        <v>57</v>
      </c>
      <c r="AG998">
        <v>1</v>
      </c>
      <c r="AH998" t="s">
        <v>57</v>
      </c>
      <c r="AL998" t="s">
        <v>57</v>
      </c>
      <c r="AM998" s="11">
        <v>44785</v>
      </c>
      <c r="AN998" t="s">
        <v>178</v>
      </c>
      <c r="AO998" t="s">
        <v>65</v>
      </c>
      <c r="AP998">
        <v>1205</v>
      </c>
      <c r="AQ998" t="s">
        <v>66</v>
      </c>
      <c r="AR998">
        <v>90264</v>
      </c>
      <c r="AU998" t="s">
        <v>57</v>
      </c>
      <c r="AV998" t="s">
        <v>68</v>
      </c>
      <c r="AX998" t="s">
        <v>57</v>
      </c>
      <c r="AY998">
        <v>631110</v>
      </c>
      <c r="AZ998">
        <v>1205.63111</v>
      </c>
      <c r="BA998" s="23" t="s">
        <v>13</v>
      </c>
    </row>
    <row r="999" spans="1:53" x14ac:dyDescent="0.25">
      <c r="A999" t="s">
        <v>134</v>
      </c>
      <c r="B999" t="s">
        <v>135</v>
      </c>
      <c r="C999">
        <v>22002341</v>
      </c>
      <c r="D999">
        <v>1205</v>
      </c>
      <c r="E999" s="11">
        <v>44785</v>
      </c>
      <c r="F999" t="s">
        <v>174</v>
      </c>
      <c r="G999">
        <v>0.49</v>
      </c>
      <c r="H999">
        <v>0.49</v>
      </c>
      <c r="I999" t="s">
        <v>56</v>
      </c>
      <c r="O999" t="s">
        <v>57</v>
      </c>
      <c r="Q999" t="s">
        <v>57</v>
      </c>
      <c r="R999" t="s">
        <v>137</v>
      </c>
      <c r="T999" t="s">
        <v>59</v>
      </c>
      <c r="U999" t="s">
        <v>60</v>
      </c>
      <c r="V999" t="s">
        <v>138</v>
      </c>
      <c r="W999" t="s">
        <v>139</v>
      </c>
      <c r="X999">
        <v>1930742</v>
      </c>
      <c r="Y999" s="11">
        <v>44785</v>
      </c>
      <c r="Z999" t="s">
        <v>57</v>
      </c>
      <c r="AA999">
        <v>8</v>
      </c>
      <c r="AB999" t="s">
        <v>57</v>
      </c>
      <c r="AD999" t="s">
        <v>57</v>
      </c>
      <c r="AE999" t="s">
        <v>57</v>
      </c>
      <c r="AF999" t="s">
        <v>57</v>
      </c>
      <c r="AG999">
        <v>3</v>
      </c>
      <c r="AH999" t="s">
        <v>57</v>
      </c>
      <c r="AL999" t="s">
        <v>57</v>
      </c>
      <c r="AM999" s="11">
        <v>44785</v>
      </c>
      <c r="AN999" t="s">
        <v>178</v>
      </c>
      <c r="AO999" t="s">
        <v>65</v>
      </c>
      <c r="AP999">
        <v>1205</v>
      </c>
      <c r="AQ999" t="s">
        <v>66</v>
      </c>
      <c r="AR999">
        <v>88760</v>
      </c>
      <c r="AU999" t="s">
        <v>57</v>
      </c>
      <c r="AV999" t="s">
        <v>68</v>
      </c>
      <c r="AX999" t="s">
        <v>57</v>
      </c>
      <c r="AY999">
        <v>631110</v>
      </c>
      <c r="AZ999">
        <v>1205.63111</v>
      </c>
      <c r="BA999" s="23" t="s">
        <v>13</v>
      </c>
    </row>
    <row r="1000" spans="1:53" x14ac:dyDescent="0.25">
      <c r="A1000" t="s">
        <v>134</v>
      </c>
      <c r="B1000" t="s">
        <v>135</v>
      </c>
      <c r="C1000">
        <v>22002341</v>
      </c>
      <c r="D1000">
        <v>1205</v>
      </c>
      <c r="E1000" s="11">
        <v>44785</v>
      </c>
      <c r="F1000" t="s">
        <v>174</v>
      </c>
      <c r="G1000">
        <v>7.0000000000000007E-2</v>
      </c>
      <c r="H1000">
        <v>7.0000000000000007E-2</v>
      </c>
      <c r="I1000" t="s">
        <v>56</v>
      </c>
      <c r="O1000" t="s">
        <v>57</v>
      </c>
      <c r="Q1000" t="s">
        <v>57</v>
      </c>
      <c r="R1000" t="s">
        <v>137</v>
      </c>
      <c r="T1000" t="s">
        <v>59</v>
      </c>
      <c r="U1000" t="s">
        <v>60</v>
      </c>
      <c r="V1000" t="s">
        <v>138</v>
      </c>
      <c r="W1000" t="s">
        <v>139</v>
      </c>
      <c r="X1000">
        <v>1930742</v>
      </c>
      <c r="Y1000" s="11">
        <v>44785</v>
      </c>
      <c r="Z1000" t="s">
        <v>57</v>
      </c>
      <c r="AA1000">
        <v>10</v>
      </c>
      <c r="AB1000" t="s">
        <v>57</v>
      </c>
      <c r="AD1000" t="s">
        <v>57</v>
      </c>
      <c r="AE1000" t="s">
        <v>57</v>
      </c>
      <c r="AF1000" t="s">
        <v>57</v>
      </c>
      <c r="AG1000">
        <v>1</v>
      </c>
      <c r="AH1000" t="s">
        <v>57</v>
      </c>
      <c r="AL1000" t="s">
        <v>57</v>
      </c>
      <c r="AM1000" s="11">
        <v>44785</v>
      </c>
      <c r="AN1000" t="s">
        <v>178</v>
      </c>
      <c r="AO1000" t="s">
        <v>65</v>
      </c>
      <c r="AP1000">
        <v>1205</v>
      </c>
      <c r="AQ1000" t="s">
        <v>66</v>
      </c>
      <c r="AR1000">
        <v>88799</v>
      </c>
      <c r="AU1000" t="s">
        <v>57</v>
      </c>
      <c r="AV1000" t="s">
        <v>68</v>
      </c>
      <c r="AX1000" t="s">
        <v>57</v>
      </c>
      <c r="AY1000">
        <v>631110</v>
      </c>
      <c r="AZ1000">
        <v>1205.63111</v>
      </c>
      <c r="BA1000" s="23" t="s">
        <v>13</v>
      </c>
    </row>
    <row r="1001" spans="1:53" x14ac:dyDescent="0.25">
      <c r="A1001" t="s">
        <v>134</v>
      </c>
      <c r="B1001" t="s">
        <v>135</v>
      </c>
      <c r="C1001">
        <v>22002341</v>
      </c>
      <c r="D1001">
        <v>1205</v>
      </c>
      <c r="E1001" s="11">
        <v>44785</v>
      </c>
      <c r="F1001" t="s">
        <v>174</v>
      </c>
      <c r="G1001">
        <v>1.01</v>
      </c>
      <c r="H1001">
        <v>1.01</v>
      </c>
      <c r="I1001" t="s">
        <v>56</v>
      </c>
      <c r="O1001" t="s">
        <v>57</v>
      </c>
      <c r="Q1001" t="s">
        <v>57</v>
      </c>
      <c r="R1001" t="s">
        <v>137</v>
      </c>
      <c r="T1001" t="s">
        <v>59</v>
      </c>
      <c r="U1001" t="s">
        <v>60</v>
      </c>
      <c r="V1001" t="s">
        <v>138</v>
      </c>
      <c r="W1001" t="s">
        <v>139</v>
      </c>
      <c r="X1001">
        <v>1930742</v>
      </c>
      <c r="Y1001" s="11">
        <v>44785</v>
      </c>
      <c r="Z1001" t="s">
        <v>57</v>
      </c>
      <c r="AA1001">
        <v>12</v>
      </c>
      <c r="AB1001" t="s">
        <v>57</v>
      </c>
      <c r="AD1001" t="s">
        <v>57</v>
      </c>
      <c r="AE1001" t="s">
        <v>57</v>
      </c>
      <c r="AF1001" t="s">
        <v>57</v>
      </c>
      <c r="AG1001">
        <v>2</v>
      </c>
      <c r="AH1001" t="s">
        <v>57</v>
      </c>
      <c r="AL1001" t="s">
        <v>57</v>
      </c>
      <c r="AM1001" s="11">
        <v>44785</v>
      </c>
      <c r="AN1001" t="s">
        <v>178</v>
      </c>
      <c r="AO1001" t="s">
        <v>65</v>
      </c>
      <c r="AP1001">
        <v>1205</v>
      </c>
      <c r="AQ1001" t="s">
        <v>66</v>
      </c>
      <c r="AR1001">
        <v>88702</v>
      </c>
      <c r="AU1001" t="s">
        <v>57</v>
      </c>
      <c r="AV1001" t="s">
        <v>68</v>
      </c>
      <c r="AX1001" t="s">
        <v>57</v>
      </c>
      <c r="AY1001">
        <v>631110</v>
      </c>
      <c r="AZ1001">
        <v>1205.63111</v>
      </c>
      <c r="BA1001" s="23" t="s">
        <v>13</v>
      </c>
    </row>
    <row r="1002" spans="1:53" x14ac:dyDescent="0.25">
      <c r="A1002" t="s">
        <v>134</v>
      </c>
      <c r="B1002" t="s">
        <v>135</v>
      </c>
      <c r="C1002">
        <v>22002341</v>
      </c>
      <c r="D1002">
        <v>1205</v>
      </c>
      <c r="E1002" s="11">
        <v>44785</v>
      </c>
      <c r="F1002" t="s">
        <v>174</v>
      </c>
      <c r="G1002">
        <v>3.36</v>
      </c>
      <c r="H1002">
        <v>3.36</v>
      </c>
      <c r="I1002" t="s">
        <v>56</v>
      </c>
      <c r="O1002" t="s">
        <v>57</v>
      </c>
      <c r="Q1002" t="s">
        <v>57</v>
      </c>
      <c r="R1002" t="s">
        <v>137</v>
      </c>
      <c r="T1002" t="s">
        <v>59</v>
      </c>
      <c r="U1002" t="s">
        <v>60</v>
      </c>
      <c r="V1002" t="s">
        <v>138</v>
      </c>
      <c r="W1002" t="s">
        <v>139</v>
      </c>
      <c r="X1002">
        <v>1930742</v>
      </c>
      <c r="Y1002" s="11">
        <v>44785</v>
      </c>
      <c r="Z1002" t="s">
        <v>57</v>
      </c>
      <c r="AA1002">
        <v>14</v>
      </c>
      <c r="AB1002" t="s">
        <v>57</v>
      </c>
      <c r="AD1002" t="s">
        <v>57</v>
      </c>
      <c r="AE1002" t="s">
        <v>57</v>
      </c>
      <c r="AF1002" t="s">
        <v>57</v>
      </c>
      <c r="AG1002">
        <v>1</v>
      </c>
      <c r="AH1002" t="s">
        <v>57</v>
      </c>
      <c r="AL1002" t="s">
        <v>57</v>
      </c>
      <c r="AM1002" s="11">
        <v>44785</v>
      </c>
      <c r="AN1002" t="s">
        <v>178</v>
      </c>
      <c r="AO1002" t="s">
        <v>65</v>
      </c>
      <c r="AP1002">
        <v>1205</v>
      </c>
      <c r="AQ1002" t="s">
        <v>66</v>
      </c>
      <c r="AR1002">
        <v>206793</v>
      </c>
      <c r="AU1002" t="s">
        <v>57</v>
      </c>
      <c r="AV1002" t="s">
        <v>68</v>
      </c>
      <c r="AX1002" t="s">
        <v>57</v>
      </c>
      <c r="AY1002">
        <v>631110</v>
      </c>
      <c r="AZ1002">
        <v>1205.63111</v>
      </c>
      <c r="BA1002" s="23" t="s">
        <v>13</v>
      </c>
    </row>
    <row r="1003" spans="1:53" x14ac:dyDescent="0.25">
      <c r="A1003" t="s">
        <v>134</v>
      </c>
      <c r="B1003" t="s">
        <v>135</v>
      </c>
      <c r="C1003">
        <v>22002341</v>
      </c>
      <c r="D1003">
        <v>1205</v>
      </c>
      <c r="E1003" s="11">
        <v>44785</v>
      </c>
      <c r="F1003" t="s">
        <v>174</v>
      </c>
      <c r="G1003">
        <v>13.05</v>
      </c>
      <c r="H1003">
        <v>13.05</v>
      </c>
      <c r="I1003" t="s">
        <v>56</v>
      </c>
      <c r="O1003" t="s">
        <v>57</v>
      </c>
      <c r="Q1003" t="s">
        <v>57</v>
      </c>
      <c r="R1003" t="s">
        <v>137</v>
      </c>
      <c r="T1003" t="s">
        <v>59</v>
      </c>
      <c r="U1003" t="s">
        <v>60</v>
      </c>
      <c r="V1003" t="s">
        <v>138</v>
      </c>
      <c r="W1003" t="s">
        <v>139</v>
      </c>
      <c r="X1003">
        <v>1930742</v>
      </c>
      <c r="Y1003" s="11">
        <v>44785</v>
      </c>
      <c r="Z1003" t="s">
        <v>57</v>
      </c>
      <c r="AA1003">
        <v>16</v>
      </c>
      <c r="AB1003" t="s">
        <v>57</v>
      </c>
      <c r="AD1003" t="s">
        <v>57</v>
      </c>
      <c r="AE1003" t="s">
        <v>57</v>
      </c>
      <c r="AF1003" t="s">
        <v>57</v>
      </c>
      <c r="AG1003">
        <v>1</v>
      </c>
      <c r="AH1003" t="s">
        <v>57</v>
      </c>
      <c r="AL1003" t="s">
        <v>57</v>
      </c>
      <c r="AM1003" s="11">
        <v>44785</v>
      </c>
      <c r="AN1003" t="s">
        <v>178</v>
      </c>
      <c r="AO1003" t="s">
        <v>65</v>
      </c>
      <c r="AP1003">
        <v>1205</v>
      </c>
      <c r="AQ1003" t="s">
        <v>66</v>
      </c>
      <c r="AR1003">
        <v>125611</v>
      </c>
      <c r="AU1003" t="s">
        <v>57</v>
      </c>
      <c r="AV1003" t="s">
        <v>68</v>
      </c>
      <c r="AX1003" t="s">
        <v>57</v>
      </c>
      <c r="AY1003">
        <v>631110</v>
      </c>
      <c r="AZ1003">
        <v>1205.63111</v>
      </c>
      <c r="BA1003" s="23" t="s">
        <v>13</v>
      </c>
    </row>
    <row r="1004" spans="1:53" x14ac:dyDescent="0.25">
      <c r="A1004" t="s">
        <v>134</v>
      </c>
      <c r="B1004" t="s">
        <v>135</v>
      </c>
      <c r="C1004">
        <v>22002341</v>
      </c>
      <c r="D1004">
        <v>1205</v>
      </c>
      <c r="E1004" s="11">
        <v>44785</v>
      </c>
      <c r="F1004" t="s">
        <v>174</v>
      </c>
      <c r="G1004">
        <v>0.05</v>
      </c>
      <c r="H1004">
        <v>0.05</v>
      </c>
      <c r="I1004" t="s">
        <v>56</v>
      </c>
      <c r="O1004" t="s">
        <v>57</v>
      </c>
      <c r="Q1004" t="s">
        <v>57</v>
      </c>
      <c r="R1004" t="s">
        <v>137</v>
      </c>
      <c r="T1004" t="s">
        <v>59</v>
      </c>
      <c r="U1004" t="s">
        <v>60</v>
      </c>
      <c r="V1004" t="s">
        <v>138</v>
      </c>
      <c r="W1004" t="s">
        <v>139</v>
      </c>
      <c r="X1004">
        <v>1930742</v>
      </c>
      <c r="Y1004" s="11">
        <v>44785</v>
      </c>
      <c r="Z1004" t="s">
        <v>57</v>
      </c>
      <c r="AA1004">
        <v>18</v>
      </c>
      <c r="AB1004" t="s">
        <v>57</v>
      </c>
      <c r="AD1004" t="s">
        <v>57</v>
      </c>
      <c r="AE1004" t="s">
        <v>57</v>
      </c>
      <c r="AF1004" t="s">
        <v>57</v>
      </c>
      <c r="AG1004">
        <v>1</v>
      </c>
      <c r="AH1004" t="s">
        <v>57</v>
      </c>
      <c r="AL1004" t="s">
        <v>57</v>
      </c>
      <c r="AM1004" s="11">
        <v>44785</v>
      </c>
      <c r="AN1004" t="s">
        <v>178</v>
      </c>
      <c r="AO1004" t="s">
        <v>65</v>
      </c>
      <c r="AP1004">
        <v>1205</v>
      </c>
      <c r="AQ1004" t="s">
        <v>66</v>
      </c>
      <c r="AR1004">
        <v>88525</v>
      </c>
      <c r="AU1004" t="s">
        <v>57</v>
      </c>
      <c r="AV1004" t="s">
        <v>68</v>
      </c>
      <c r="AX1004" t="s">
        <v>57</v>
      </c>
      <c r="AY1004">
        <v>631110</v>
      </c>
      <c r="AZ1004">
        <v>1205.63111</v>
      </c>
      <c r="BA1004" s="23" t="s">
        <v>13</v>
      </c>
    </row>
    <row r="1005" spans="1:53" x14ac:dyDescent="0.25">
      <c r="A1005" t="s">
        <v>134</v>
      </c>
      <c r="B1005" t="s">
        <v>135</v>
      </c>
      <c r="C1005">
        <v>22002341</v>
      </c>
      <c r="D1005">
        <v>1205</v>
      </c>
      <c r="E1005" s="11">
        <v>44785</v>
      </c>
      <c r="F1005" t="s">
        <v>174</v>
      </c>
      <c r="G1005">
        <v>25.07</v>
      </c>
      <c r="H1005">
        <v>25.07</v>
      </c>
      <c r="I1005" t="s">
        <v>56</v>
      </c>
      <c r="O1005" t="s">
        <v>57</v>
      </c>
      <c r="Q1005" t="s">
        <v>57</v>
      </c>
      <c r="R1005" t="s">
        <v>137</v>
      </c>
      <c r="T1005" t="s">
        <v>59</v>
      </c>
      <c r="U1005" t="s">
        <v>60</v>
      </c>
      <c r="V1005" t="s">
        <v>138</v>
      </c>
      <c r="W1005" t="s">
        <v>139</v>
      </c>
      <c r="X1005">
        <v>1930742</v>
      </c>
      <c r="Y1005" s="11">
        <v>44785</v>
      </c>
      <c r="Z1005" t="s">
        <v>57</v>
      </c>
      <c r="AA1005">
        <v>20</v>
      </c>
      <c r="AB1005" t="s">
        <v>57</v>
      </c>
      <c r="AD1005" t="s">
        <v>57</v>
      </c>
      <c r="AE1005" t="s">
        <v>57</v>
      </c>
      <c r="AF1005" t="s">
        <v>57</v>
      </c>
      <c r="AG1005">
        <v>36</v>
      </c>
      <c r="AH1005" t="s">
        <v>57</v>
      </c>
      <c r="AL1005" t="s">
        <v>57</v>
      </c>
      <c r="AM1005" s="11">
        <v>44785</v>
      </c>
      <c r="AN1005" t="s">
        <v>178</v>
      </c>
      <c r="AO1005" t="s">
        <v>65</v>
      </c>
      <c r="AP1005">
        <v>1205</v>
      </c>
      <c r="AQ1005" t="s">
        <v>66</v>
      </c>
      <c r="AR1005">
        <v>88732</v>
      </c>
      <c r="AU1005" t="s">
        <v>57</v>
      </c>
      <c r="AV1005" t="s">
        <v>68</v>
      </c>
      <c r="AX1005" t="s">
        <v>57</v>
      </c>
      <c r="AY1005">
        <v>631110</v>
      </c>
      <c r="AZ1005">
        <v>1205.63111</v>
      </c>
      <c r="BA1005" s="23" t="s">
        <v>13</v>
      </c>
    </row>
    <row r="1006" spans="1:53" x14ac:dyDescent="0.25">
      <c r="A1006" t="s">
        <v>134</v>
      </c>
      <c r="B1006" t="s">
        <v>135</v>
      </c>
      <c r="C1006">
        <v>22002341</v>
      </c>
      <c r="D1006">
        <v>1205</v>
      </c>
      <c r="E1006" s="11">
        <v>44785</v>
      </c>
      <c r="F1006" t="s">
        <v>174</v>
      </c>
      <c r="G1006">
        <v>0.28000000000000003</v>
      </c>
      <c r="H1006">
        <v>0.28000000000000003</v>
      </c>
      <c r="I1006" t="s">
        <v>56</v>
      </c>
      <c r="O1006" t="s">
        <v>57</v>
      </c>
      <c r="Q1006" t="s">
        <v>57</v>
      </c>
      <c r="R1006" t="s">
        <v>137</v>
      </c>
      <c r="T1006" t="s">
        <v>59</v>
      </c>
      <c r="U1006" t="s">
        <v>60</v>
      </c>
      <c r="V1006" t="s">
        <v>138</v>
      </c>
      <c r="W1006" t="s">
        <v>139</v>
      </c>
      <c r="X1006">
        <v>1930742</v>
      </c>
      <c r="Y1006" s="11">
        <v>44785</v>
      </c>
      <c r="Z1006" t="s">
        <v>57</v>
      </c>
      <c r="AA1006">
        <v>22</v>
      </c>
      <c r="AB1006" t="s">
        <v>57</v>
      </c>
      <c r="AD1006" t="s">
        <v>57</v>
      </c>
      <c r="AE1006" t="s">
        <v>57</v>
      </c>
      <c r="AF1006" t="s">
        <v>57</v>
      </c>
      <c r="AG1006">
        <v>4</v>
      </c>
      <c r="AH1006" t="s">
        <v>57</v>
      </c>
      <c r="AL1006" t="s">
        <v>57</v>
      </c>
      <c r="AM1006" s="11">
        <v>44785</v>
      </c>
      <c r="AN1006" t="s">
        <v>178</v>
      </c>
      <c r="AO1006" t="s">
        <v>65</v>
      </c>
      <c r="AP1006">
        <v>1205</v>
      </c>
      <c r="AQ1006" t="s">
        <v>66</v>
      </c>
      <c r="AR1006">
        <v>89908</v>
      </c>
      <c r="AU1006" t="s">
        <v>57</v>
      </c>
      <c r="AV1006" t="s">
        <v>68</v>
      </c>
      <c r="AX1006" t="s">
        <v>57</v>
      </c>
      <c r="AY1006">
        <v>631110</v>
      </c>
      <c r="AZ1006">
        <v>1205.63111</v>
      </c>
      <c r="BA1006" s="23" t="s">
        <v>13</v>
      </c>
    </row>
    <row r="1007" spans="1:53" x14ac:dyDescent="0.25">
      <c r="A1007" t="s">
        <v>134</v>
      </c>
      <c r="B1007" t="s">
        <v>135</v>
      </c>
      <c r="C1007">
        <v>22002341</v>
      </c>
      <c r="D1007">
        <v>1205</v>
      </c>
      <c r="E1007" s="11">
        <v>44785</v>
      </c>
      <c r="F1007" t="s">
        <v>174</v>
      </c>
      <c r="G1007">
        <v>4.37</v>
      </c>
      <c r="H1007">
        <v>4.37</v>
      </c>
      <c r="I1007" t="s">
        <v>56</v>
      </c>
      <c r="O1007" t="s">
        <v>57</v>
      </c>
      <c r="Q1007" t="s">
        <v>57</v>
      </c>
      <c r="R1007" t="s">
        <v>137</v>
      </c>
      <c r="T1007" t="s">
        <v>59</v>
      </c>
      <c r="U1007" t="s">
        <v>60</v>
      </c>
      <c r="V1007" t="s">
        <v>138</v>
      </c>
      <c r="W1007" t="s">
        <v>139</v>
      </c>
      <c r="X1007">
        <v>1930742</v>
      </c>
      <c r="Y1007" s="11">
        <v>44785</v>
      </c>
      <c r="Z1007" t="s">
        <v>57</v>
      </c>
      <c r="AA1007">
        <v>24</v>
      </c>
      <c r="AB1007" t="s">
        <v>57</v>
      </c>
      <c r="AD1007" t="s">
        <v>57</v>
      </c>
      <c r="AE1007" t="s">
        <v>57</v>
      </c>
      <c r="AF1007" t="s">
        <v>57</v>
      </c>
      <c r="AG1007">
        <v>1</v>
      </c>
      <c r="AH1007" t="s">
        <v>57</v>
      </c>
      <c r="AL1007" t="s">
        <v>57</v>
      </c>
      <c r="AM1007" s="11">
        <v>44785</v>
      </c>
      <c r="AN1007" t="s">
        <v>178</v>
      </c>
      <c r="AO1007" t="s">
        <v>65</v>
      </c>
      <c r="AP1007">
        <v>1205</v>
      </c>
      <c r="AQ1007" t="s">
        <v>66</v>
      </c>
      <c r="AR1007">
        <v>279692</v>
      </c>
      <c r="AU1007" t="s">
        <v>57</v>
      </c>
      <c r="AV1007" t="s">
        <v>68</v>
      </c>
      <c r="AX1007" t="s">
        <v>57</v>
      </c>
      <c r="AY1007">
        <v>631110</v>
      </c>
      <c r="AZ1007">
        <v>1205.63111</v>
      </c>
      <c r="BA1007" s="23" t="s">
        <v>13</v>
      </c>
    </row>
    <row r="1008" spans="1:53" x14ac:dyDescent="0.25">
      <c r="A1008" t="s">
        <v>134</v>
      </c>
      <c r="B1008" t="s">
        <v>135</v>
      </c>
      <c r="C1008">
        <v>22002342</v>
      </c>
      <c r="D1008">
        <v>1205</v>
      </c>
      <c r="E1008" s="11">
        <v>44785</v>
      </c>
      <c r="F1008" t="s">
        <v>179</v>
      </c>
      <c r="G1008">
        <v>0.38</v>
      </c>
      <c r="H1008">
        <v>0.38</v>
      </c>
      <c r="I1008" t="s">
        <v>56</v>
      </c>
      <c r="O1008" t="s">
        <v>57</v>
      </c>
      <c r="Q1008" t="s">
        <v>57</v>
      </c>
      <c r="R1008" t="s">
        <v>137</v>
      </c>
      <c r="T1008" t="s">
        <v>59</v>
      </c>
      <c r="U1008" t="s">
        <v>60</v>
      </c>
      <c r="V1008" t="s">
        <v>138</v>
      </c>
      <c r="W1008" t="s">
        <v>139</v>
      </c>
      <c r="X1008">
        <v>1930745</v>
      </c>
      <c r="Y1008" s="11">
        <v>44785</v>
      </c>
      <c r="Z1008" t="s">
        <v>57</v>
      </c>
      <c r="AA1008">
        <v>2</v>
      </c>
      <c r="AB1008" t="s">
        <v>57</v>
      </c>
      <c r="AD1008" t="s">
        <v>57</v>
      </c>
      <c r="AE1008" t="s">
        <v>57</v>
      </c>
      <c r="AF1008" t="s">
        <v>57</v>
      </c>
      <c r="AG1008">
        <v>5</v>
      </c>
      <c r="AH1008" t="s">
        <v>57</v>
      </c>
      <c r="AL1008" t="s">
        <v>57</v>
      </c>
      <c r="AM1008" s="11">
        <v>44785</v>
      </c>
      <c r="AN1008" t="s">
        <v>180</v>
      </c>
      <c r="AO1008" t="s">
        <v>65</v>
      </c>
      <c r="AP1008">
        <v>1205</v>
      </c>
      <c r="AQ1008" t="s">
        <v>66</v>
      </c>
      <c r="AR1008">
        <v>92908</v>
      </c>
      <c r="AU1008" t="s">
        <v>57</v>
      </c>
      <c r="AV1008" t="s">
        <v>68</v>
      </c>
      <c r="AX1008" t="s">
        <v>57</v>
      </c>
      <c r="AY1008">
        <v>631110</v>
      </c>
      <c r="AZ1008">
        <v>1205.63111</v>
      </c>
      <c r="BA1008" s="23" t="s">
        <v>13</v>
      </c>
    </row>
    <row r="1009" spans="1:53" x14ac:dyDescent="0.25">
      <c r="A1009" t="s">
        <v>134</v>
      </c>
      <c r="B1009" t="s">
        <v>135</v>
      </c>
      <c r="C1009">
        <v>22002342</v>
      </c>
      <c r="D1009">
        <v>1205</v>
      </c>
      <c r="E1009" s="11">
        <v>44785</v>
      </c>
      <c r="F1009" t="s">
        <v>179</v>
      </c>
      <c r="G1009">
        <v>1.56</v>
      </c>
      <c r="H1009">
        <v>1.56</v>
      </c>
      <c r="I1009" t="s">
        <v>56</v>
      </c>
      <c r="O1009" t="s">
        <v>57</v>
      </c>
      <c r="Q1009" t="s">
        <v>57</v>
      </c>
      <c r="R1009" t="s">
        <v>137</v>
      </c>
      <c r="T1009" t="s">
        <v>59</v>
      </c>
      <c r="U1009" t="s">
        <v>60</v>
      </c>
      <c r="V1009" t="s">
        <v>138</v>
      </c>
      <c r="W1009" t="s">
        <v>139</v>
      </c>
      <c r="X1009">
        <v>1930745</v>
      </c>
      <c r="Y1009" s="11">
        <v>44785</v>
      </c>
      <c r="Z1009" t="s">
        <v>57</v>
      </c>
      <c r="AA1009">
        <v>4</v>
      </c>
      <c r="AB1009" t="s">
        <v>57</v>
      </c>
      <c r="AD1009" t="s">
        <v>57</v>
      </c>
      <c r="AE1009" t="s">
        <v>57</v>
      </c>
      <c r="AF1009" t="s">
        <v>57</v>
      </c>
      <c r="AG1009">
        <v>13</v>
      </c>
      <c r="AH1009" t="s">
        <v>57</v>
      </c>
      <c r="AL1009" t="s">
        <v>57</v>
      </c>
      <c r="AM1009" s="11">
        <v>44785</v>
      </c>
      <c r="AN1009" t="s">
        <v>180</v>
      </c>
      <c r="AO1009" t="s">
        <v>65</v>
      </c>
      <c r="AP1009">
        <v>1205</v>
      </c>
      <c r="AQ1009" t="s">
        <v>66</v>
      </c>
      <c r="AR1009">
        <v>267860</v>
      </c>
      <c r="AU1009" t="s">
        <v>57</v>
      </c>
      <c r="AV1009" t="s">
        <v>68</v>
      </c>
      <c r="AX1009" t="s">
        <v>57</v>
      </c>
      <c r="AY1009">
        <v>631110</v>
      </c>
      <c r="AZ1009">
        <v>1205.63111</v>
      </c>
      <c r="BA1009" s="23" t="s">
        <v>13</v>
      </c>
    </row>
    <row r="1010" spans="1:53" x14ac:dyDescent="0.25">
      <c r="A1010" t="s">
        <v>134</v>
      </c>
      <c r="B1010" t="s">
        <v>135</v>
      </c>
      <c r="C1010">
        <v>22002342</v>
      </c>
      <c r="D1010">
        <v>1205</v>
      </c>
      <c r="E1010" s="11">
        <v>44785</v>
      </c>
      <c r="F1010" t="s">
        <v>179</v>
      </c>
      <c r="G1010">
        <v>1.37</v>
      </c>
      <c r="H1010">
        <v>1.37</v>
      </c>
      <c r="I1010" t="s">
        <v>56</v>
      </c>
      <c r="O1010" t="s">
        <v>57</v>
      </c>
      <c r="Q1010" t="s">
        <v>57</v>
      </c>
      <c r="R1010" t="s">
        <v>137</v>
      </c>
      <c r="T1010" t="s">
        <v>59</v>
      </c>
      <c r="U1010" t="s">
        <v>60</v>
      </c>
      <c r="V1010" t="s">
        <v>138</v>
      </c>
      <c r="W1010" t="s">
        <v>139</v>
      </c>
      <c r="X1010">
        <v>1930745</v>
      </c>
      <c r="Y1010" s="11">
        <v>44785</v>
      </c>
      <c r="Z1010" t="s">
        <v>57</v>
      </c>
      <c r="AA1010">
        <v>6</v>
      </c>
      <c r="AB1010" t="s">
        <v>57</v>
      </c>
      <c r="AD1010" t="s">
        <v>57</v>
      </c>
      <c r="AE1010" t="s">
        <v>57</v>
      </c>
      <c r="AF1010" t="s">
        <v>57</v>
      </c>
      <c r="AG1010">
        <v>18</v>
      </c>
      <c r="AH1010" t="s">
        <v>57</v>
      </c>
      <c r="AL1010" t="s">
        <v>57</v>
      </c>
      <c r="AM1010" s="11">
        <v>44785</v>
      </c>
      <c r="AN1010" t="s">
        <v>180</v>
      </c>
      <c r="AO1010" t="s">
        <v>65</v>
      </c>
      <c r="AP1010">
        <v>1205</v>
      </c>
      <c r="AQ1010" t="s">
        <v>66</v>
      </c>
      <c r="AR1010">
        <v>264688</v>
      </c>
      <c r="AU1010" t="s">
        <v>57</v>
      </c>
      <c r="AV1010" t="s">
        <v>68</v>
      </c>
      <c r="AX1010" t="s">
        <v>57</v>
      </c>
      <c r="AY1010">
        <v>631110</v>
      </c>
      <c r="AZ1010">
        <v>1205.63111</v>
      </c>
      <c r="BA1010" s="23" t="s">
        <v>13</v>
      </c>
    </row>
    <row r="1011" spans="1:53" x14ac:dyDescent="0.25">
      <c r="A1011" t="s">
        <v>134</v>
      </c>
      <c r="B1011" t="s">
        <v>135</v>
      </c>
      <c r="C1011">
        <v>22002342</v>
      </c>
      <c r="D1011">
        <v>1205</v>
      </c>
      <c r="E1011" s="11">
        <v>44785</v>
      </c>
      <c r="F1011" t="s">
        <v>179</v>
      </c>
      <c r="G1011">
        <v>1.08</v>
      </c>
      <c r="H1011">
        <v>1.08</v>
      </c>
      <c r="I1011" t="s">
        <v>56</v>
      </c>
      <c r="O1011" t="s">
        <v>57</v>
      </c>
      <c r="Q1011" t="s">
        <v>57</v>
      </c>
      <c r="R1011" t="s">
        <v>137</v>
      </c>
      <c r="T1011" t="s">
        <v>59</v>
      </c>
      <c r="U1011" t="s">
        <v>60</v>
      </c>
      <c r="V1011" t="s">
        <v>138</v>
      </c>
      <c r="W1011" t="s">
        <v>139</v>
      </c>
      <c r="X1011">
        <v>1930745</v>
      </c>
      <c r="Y1011" s="11">
        <v>44785</v>
      </c>
      <c r="Z1011" t="s">
        <v>57</v>
      </c>
      <c r="AA1011">
        <v>8</v>
      </c>
      <c r="AB1011" t="s">
        <v>57</v>
      </c>
      <c r="AD1011" t="s">
        <v>57</v>
      </c>
      <c r="AE1011" t="s">
        <v>57</v>
      </c>
      <c r="AF1011" t="s">
        <v>57</v>
      </c>
      <c r="AG1011">
        <v>13</v>
      </c>
      <c r="AH1011" t="s">
        <v>57</v>
      </c>
      <c r="AL1011" t="s">
        <v>57</v>
      </c>
      <c r="AM1011" s="11">
        <v>44785</v>
      </c>
      <c r="AN1011" t="s">
        <v>180</v>
      </c>
      <c r="AO1011" t="s">
        <v>65</v>
      </c>
      <c r="AP1011">
        <v>1205</v>
      </c>
      <c r="AQ1011" t="s">
        <v>66</v>
      </c>
      <c r="AR1011">
        <v>265878</v>
      </c>
      <c r="AU1011" t="s">
        <v>57</v>
      </c>
      <c r="AV1011" t="s">
        <v>68</v>
      </c>
      <c r="AX1011" t="s">
        <v>57</v>
      </c>
      <c r="AY1011">
        <v>631110</v>
      </c>
      <c r="AZ1011">
        <v>1205.63111</v>
      </c>
      <c r="BA1011" s="23" t="s">
        <v>13</v>
      </c>
    </row>
    <row r="1012" spans="1:53" x14ac:dyDescent="0.25">
      <c r="A1012" t="s">
        <v>134</v>
      </c>
      <c r="B1012" t="s">
        <v>135</v>
      </c>
      <c r="C1012">
        <v>22002342</v>
      </c>
      <c r="D1012">
        <v>1205</v>
      </c>
      <c r="E1012" s="11">
        <v>44785</v>
      </c>
      <c r="F1012" t="s">
        <v>179</v>
      </c>
      <c r="G1012">
        <v>1.51</v>
      </c>
      <c r="H1012">
        <v>1.51</v>
      </c>
      <c r="I1012" t="s">
        <v>56</v>
      </c>
      <c r="O1012" t="s">
        <v>57</v>
      </c>
      <c r="Q1012" t="s">
        <v>57</v>
      </c>
      <c r="R1012" t="s">
        <v>137</v>
      </c>
      <c r="T1012" t="s">
        <v>59</v>
      </c>
      <c r="U1012" t="s">
        <v>60</v>
      </c>
      <c r="V1012" t="s">
        <v>138</v>
      </c>
      <c r="W1012" t="s">
        <v>139</v>
      </c>
      <c r="X1012">
        <v>1930745</v>
      </c>
      <c r="Y1012" s="11">
        <v>44785</v>
      </c>
      <c r="Z1012" t="s">
        <v>57</v>
      </c>
      <c r="AA1012">
        <v>10</v>
      </c>
      <c r="AB1012" t="s">
        <v>57</v>
      </c>
      <c r="AD1012" t="s">
        <v>57</v>
      </c>
      <c r="AE1012" t="s">
        <v>57</v>
      </c>
      <c r="AF1012" t="s">
        <v>57</v>
      </c>
      <c r="AG1012">
        <v>20</v>
      </c>
      <c r="AH1012" t="s">
        <v>57</v>
      </c>
      <c r="AL1012" t="s">
        <v>57</v>
      </c>
      <c r="AM1012" s="11">
        <v>44785</v>
      </c>
      <c r="AN1012" t="s">
        <v>180</v>
      </c>
      <c r="AO1012" t="s">
        <v>65</v>
      </c>
      <c r="AP1012">
        <v>1205</v>
      </c>
      <c r="AQ1012" t="s">
        <v>66</v>
      </c>
      <c r="AR1012">
        <v>91479</v>
      </c>
      <c r="AU1012" t="s">
        <v>57</v>
      </c>
      <c r="AV1012" t="s">
        <v>68</v>
      </c>
      <c r="AX1012" t="s">
        <v>57</v>
      </c>
      <c r="AY1012">
        <v>631110</v>
      </c>
      <c r="AZ1012">
        <v>1205.63111</v>
      </c>
      <c r="BA1012" s="23" t="s">
        <v>13</v>
      </c>
    </row>
    <row r="1013" spans="1:53" x14ac:dyDescent="0.25">
      <c r="A1013" t="s">
        <v>134</v>
      </c>
      <c r="B1013" t="s">
        <v>135</v>
      </c>
      <c r="C1013">
        <v>22002342</v>
      </c>
      <c r="D1013">
        <v>1205</v>
      </c>
      <c r="E1013" s="11">
        <v>44785</v>
      </c>
      <c r="F1013" t="s">
        <v>179</v>
      </c>
      <c r="G1013">
        <v>0.91</v>
      </c>
      <c r="H1013">
        <v>0.91</v>
      </c>
      <c r="I1013" t="s">
        <v>56</v>
      </c>
      <c r="O1013" t="s">
        <v>57</v>
      </c>
      <c r="Q1013" t="s">
        <v>57</v>
      </c>
      <c r="R1013" t="s">
        <v>137</v>
      </c>
      <c r="T1013" t="s">
        <v>59</v>
      </c>
      <c r="U1013" t="s">
        <v>60</v>
      </c>
      <c r="V1013" t="s">
        <v>138</v>
      </c>
      <c r="W1013" t="s">
        <v>139</v>
      </c>
      <c r="X1013">
        <v>1930745</v>
      </c>
      <c r="Y1013" s="11">
        <v>44785</v>
      </c>
      <c r="Z1013" t="s">
        <v>57</v>
      </c>
      <c r="AA1013">
        <v>12</v>
      </c>
      <c r="AB1013" t="s">
        <v>57</v>
      </c>
      <c r="AD1013" t="s">
        <v>57</v>
      </c>
      <c r="AE1013" t="s">
        <v>57</v>
      </c>
      <c r="AF1013" t="s">
        <v>57</v>
      </c>
      <c r="AG1013">
        <v>12</v>
      </c>
      <c r="AH1013" t="s">
        <v>57</v>
      </c>
      <c r="AL1013" t="s">
        <v>57</v>
      </c>
      <c r="AM1013" s="11">
        <v>44785</v>
      </c>
      <c r="AN1013" t="s">
        <v>180</v>
      </c>
      <c r="AO1013" t="s">
        <v>65</v>
      </c>
      <c r="AP1013">
        <v>1205</v>
      </c>
      <c r="AQ1013" t="s">
        <v>66</v>
      </c>
      <c r="AR1013">
        <v>271795</v>
      </c>
      <c r="AU1013" t="s">
        <v>57</v>
      </c>
      <c r="AV1013" t="s">
        <v>68</v>
      </c>
      <c r="AX1013" t="s">
        <v>57</v>
      </c>
      <c r="AY1013">
        <v>631110</v>
      </c>
      <c r="AZ1013">
        <v>1205.63111</v>
      </c>
      <c r="BA1013" s="23" t="s">
        <v>13</v>
      </c>
    </row>
    <row r="1014" spans="1:53" x14ac:dyDescent="0.25">
      <c r="A1014" t="s">
        <v>134</v>
      </c>
      <c r="B1014" t="s">
        <v>135</v>
      </c>
      <c r="C1014">
        <v>22002342</v>
      </c>
      <c r="D1014">
        <v>1205</v>
      </c>
      <c r="E1014" s="11">
        <v>44785</v>
      </c>
      <c r="F1014" t="s">
        <v>179</v>
      </c>
      <c r="G1014">
        <v>1.81</v>
      </c>
      <c r="H1014">
        <v>1.81</v>
      </c>
      <c r="I1014" t="s">
        <v>56</v>
      </c>
      <c r="O1014" t="s">
        <v>57</v>
      </c>
      <c r="Q1014" t="s">
        <v>57</v>
      </c>
      <c r="R1014" t="s">
        <v>137</v>
      </c>
      <c r="T1014" t="s">
        <v>59</v>
      </c>
      <c r="U1014" t="s">
        <v>60</v>
      </c>
      <c r="V1014" t="s">
        <v>138</v>
      </c>
      <c r="W1014" t="s">
        <v>139</v>
      </c>
      <c r="X1014">
        <v>1930745</v>
      </c>
      <c r="Y1014" s="11">
        <v>44785</v>
      </c>
      <c r="Z1014" t="s">
        <v>57</v>
      </c>
      <c r="AA1014">
        <v>14</v>
      </c>
      <c r="AB1014" t="s">
        <v>57</v>
      </c>
      <c r="AD1014" t="s">
        <v>57</v>
      </c>
      <c r="AE1014" t="s">
        <v>57</v>
      </c>
      <c r="AF1014" t="s">
        <v>57</v>
      </c>
      <c r="AG1014">
        <v>16</v>
      </c>
      <c r="AH1014" t="s">
        <v>57</v>
      </c>
      <c r="AL1014" t="s">
        <v>57</v>
      </c>
      <c r="AM1014" s="11">
        <v>44785</v>
      </c>
      <c r="AN1014" t="s">
        <v>180</v>
      </c>
      <c r="AO1014" t="s">
        <v>65</v>
      </c>
      <c r="AP1014">
        <v>1205</v>
      </c>
      <c r="AQ1014" t="s">
        <v>66</v>
      </c>
      <c r="AR1014">
        <v>265889</v>
      </c>
      <c r="AU1014" t="s">
        <v>57</v>
      </c>
      <c r="AV1014" t="s">
        <v>68</v>
      </c>
      <c r="AX1014" t="s">
        <v>57</v>
      </c>
      <c r="AY1014">
        <v>631110</v>
      </c>
      <c r="AZ1014">
        <v>1205.63111</v>
      </c>
      <c r="BA1014" s="23" t="s">
        <v>13</v>
      </c>
    </row>
    <row r="1015" spans="1:53" x14ac:dyDescent="0.25">
      <c r="A1015" t="s">
        <v>134</v>
      </c>
      <c r="B1015" t="s">
        <v>135</v>
      </c>
      <c r="C1015">
        <v>22002342</v>
      </c>
      <c r="D1015">
        <v>1205</v>
      </c>
      <c r="E1015" s="11">
        <v>44785</v>
      </c>
      <c r="F1015" t="s">
        <v>179</v>
      </c>
      <c r="G1015">
        <v>2.71</v>
      </c>
      <c r="H1015">
        <v>2.71</v>
      </c>
      <c r="I1015" t="s">
        <v>56</v>
      </c>
      <c r="O1015" t="s">
        <v>57</v>
      </c>
      <c r="Q1015" t="s">
        <v>57</v>
      </c>
      <c r="R1015" t="s">
        <v>137</v>
      </c>
      <c r="T1015" t="s">
        <v>59</v>
      </c>
      <c r="U1015" t="s">
        <v>60</v>
      </c>
      <c r="V1015" t="s">
        <v>138</v>
      </c>
      <c r="W1015" t="s">
        <v>139</v>
      </c>
      <c r="X1015">
        <v>1930745</v>
      </c>
      <c r="Y1015" s="11">
        <v>44785</v>
      </c>
      <c r="Z1015" t="s">
        <v>57</v>
      </c>
      <c r="AA1015">
        <v>16</v>
      </c>
      <c r="AB1015" t="s">
        <v>57</v>
      </c>
      <c r="AD1015" t="s">
        <v>57</v>
      </c>
      <c r="AE1015" t="s">
        <v>57</v>
      </c>
      <c r="AF1015" t="s">
        <v>57</v>
      </c>
      <c r="AG1015">
        <v>25</v>
      </c>
      <c r="AH1015" t="s">
        <v>57</v>
      </c>
      <c r="AL1015" t="s">
        <v>57</v>
      </c>
      <c r="AM1015" s="11">
        <v>44785</v>
      </c>
      <c r="AN1015" t="s">
        <v>180</v>
      </c>
      <c r="AO1015" t="s">
        <v>65</v>
      </c>
      <c r="AP1015">
        <v>1205</v>
      </c>
      <c r="AQ1015" t="s">
        <v>66</v>
      </c>
      <c r="AR1015">
        <v>265267</v>
      </c>
      <c r="AU1015" t="s">
        <v>57</v>
      </c>
      <c r="AV1015" t="s">
        <v>68</v>
      </c>
      <c r="AX1015" t="s">
        <v>57</v>
      </c>
      <c r="AY1015">
        <v>631110</v>
      </c>
      <c r="AZ1015">
        <v>1205.63111</v>
      </c>
      <c r="BA1015" s="23" t="s">
        <v>13</v>
      </c>
    </row>
    <row r="1016" spans="1:53" x14ac:dyDescent="0.25">
      <c r="A1016" t="s">
        <v>134</v>
      </c>
      <c r="B1016" t="s">
        <v>135</v>
      </c>
      <c r="C1016">
        <v>22002342</v>
      </c>
      <c r="D1016">
        <v>1205</v>
      </c>
      <c r="E1016" s="11">
        <v>44785</v>
      </c>
      <c r="F1016" t="s">
        <v>179</v>
      </c>
      <c r="G1016">
        <v>1.85</v>
      </c>
      <c r="H1016">
        <v>1.85</v>
      </c>
      <c r="I1016" t="s">
        <v>56</v>
      </c>
      <c r="O1016" t="s">
        <v>57</v>
      </c>
      <c r="Q1016" t="s">
        <v>57</v>
      </c>
      <c r="R1016" t="s">
        <v>137</v>
      </c>
      <c r="T1016" t="s">
        <v>59</v>
      </c>
      <c r="U1016" t="s">
        <v>60</v>
      </c>
      <c r="V1016" t="s">
        <v>138</v>
      </c>
      <c r="W1016" t="s">
        <v>139</v>
      </c>
      <c r="X1016">
        <v>1930745</v>
      </c>
      <c r="Y1016" s="11">
        <v>44785</v>
      </c>
      <c r="Z1016" t="s">
        <v>57</v>
      </c>
      <c r="AA1016">
        <v>18</v>
      </c>
      <c r="AB1016" t="s">
        <v>57</v>
      </c>
      <c r="AD1016" t="s">
        <v>57</v>
      </c>
      <c r="AE1016" t="s">
        <v>57</v>
      </c>
      <c r="AF1016" t="s">
        <v>57</v>
      </c>
      <c r="AG1016">
        <v>17</v>
      </c>
      <c r="AH1016" t="s">
        <v>57</v>
      </c>
      <c r="AL1016" t="s">
        <v>57</v>
      </c>
      <c r="AM1016" s="11">
        <v>44785</v>
      </c>
      <c r="AN1016" t="s">
        <v>180</v>
      </c>
      <c r="AO1016" t="s">
        <v>65</v>
      </c>
      <c r="AP1016">
        <v>1205</v>
      </c>
      <c r="AQ1016" t="s">
        <v>66</v>
      </c>
      <c r="AR1016">
        <v>90435</v>
      </c>
      <c r="AU1016" t="s">
        <v>57</v>
      </c>
      <c r="AV1016" t="s">
        <v>68</v>
      </c>
      <c r="AX1016" t="s">
        <v>57</v>
      </c>
      <c r="AY1016">
        <v>631110</v>
      </c>
      <c r="AZ1016">
        <v>1205.63111</v>
      </c>
      <c r="BA1016" s="23" t="s">
        <v>13</v>
      </c>
    </row>
    <row r="1017" spans="1:53" x14ac:dyDescent="0.25">
      <c r="A1017" t="s">
        <v>134</v>
      </c>
      <c r="B1017" t="s">
        <v>135</v>
      </c>
      <c r="C1017">
        <v>22002342</v>
      </c>
      <c r="D1017">
        <v>1205</v>
      </c>
      <c r="E1017" s="11">
        <v>44785</v>
      </c>
      <c r="F1017" t="s">
        <v>179</v>
      </c>
      <c r="G1017">
        <v>0.88</v>
      </c>
      <c r="H1017">
        <v>0.88</v>
      </c>
      <c r="I1017" t="s">
        <v>56</v>
      </c>
      <c r="O1017" t="s">
        <v>57</v>
      </c>
      <c r="Q1017" t="s">
        <v>57</v>
      </c>
      <c r="R1017" t="s">
        <v>137</v>
      </c>
      <c r="T1017" t="s">
        <v>59</v>
      </c>
      <c r="U1017" t="s">
        <v>60</v>
      </c>
      <c r="V1017" t="s">
        <v>138</v>
      </c>
      <c r="W1017" t="s">
        <v>139</v>
      </c>
      <c r="X1017">
        <v>1930745</v>
      </c>
      <c r="Y1017" s="11">
        <v>44785</v>
      </c>
      <c r="Z1017" t="s">
        <v>57</v>
      </c>
      <c r="AA1017">
        <v>20</v>
      </c>
      <c r="AB1017" t="s">
        <v>57</v>
      </c>
      <c r="AD1017" t="s">
        <v>57</v>
      </c>
      <c r="AE1017" t="s">
        <v>57</v>
      </c>
      <c r="AF1017" t="s">
        <v>57</v>
      </c>
      <c r="AG1017">
        <v>7</v>
      </c>
      <c r="AH1017" t="s">
        <v>57</v>
      </c>
      <c r="AL1017" t="s">
        <v>57</v>
      </c>
      <c r="AM1017" s="11">
        <v>44785</v>
      </c>
      <c r="AN1017" t="s">
        <v>180</v>
      </c>
      <c r="AO1017" t="s">
        <v>65</v>
      </c>
      <c r="AP1017">
        <v>1205</v>
      </c>
      <c r="AQ1017" t="s">
        <v>66</v>
      </c>
      <c r="AR1017">
        <v>265216</v>
      </c>
      <c r="AU1017" t="s">
        <v>57</v>
      </c>
      <c r="AV1017" t="s">
        <v>68</v>
      </c>
      <c r="AX1017" t="s">
        <v>57</v>
      </c>
      <c r="AY1017">
        <v>631110</v>
      </c>
      <c r="AZ1017">
        <v>1205.63111</v>
      </c>
      <c r="BA1017" s="23" t="s">
        <v>13</v>
      </c>
    </row>
    <row r="1018" spans="1:53" x14ac:dyDescent="0.25">
      <c r="A1018" t="s">
        <v>134</v>
      </c>
      <c r="B1018" t="s">
        <v>135</v>
      </c>
      <c r="C1018">
        <v>22002342</v>
      </c>
      <c r="D1018">
        <v>1205</v>
      </c>
      <c r="E1018" s="11">
        <v>44785</v>
      </c>
      <c r="F1018" t="s">
        <v>179</v>
      </c>
      <c r="G1018">
        <v>0.16</v>
      </c>
      <c r="H1018">
        <v>0.16</v>
      </c>
      <c r="I1018" t="s">
        <v>56</v>
      </c>
      <c r="O1018" t="s">
        <v>57</v>
      </c>
      <c r="Q1018" t="s">
        <v>57</v>
      </c>
      <c r="R1018" t="s">
        <v>137</v>
      </c>
      <c r="T1018" t="s">
        <v>59</v>
      </c>
      <c r="U1018" t="s">
        <v>60</v>
      </c>
      <c r="V1018" t="s">
        <v>138</v>
      </c>
      <c r="W1018" t="s">
        <v>139</v>
      </c>
      <c r="X1018">
        <v>1930745</v>
      </c>
      <c r="Y1018" s="11">
        <v>44785</v>
      </c>
      <c r="Z1018" t="s">
        <v>57</v>
      </c>
      <c r="AA1018">
        <v>22</v>
      </c>
      <c r="AB1018" t="s">
        <v>57</v>
      </c>
      <c r="AD1018" t="s">
        <v>57</v>
      </c>
      <c r="AE1018" t="s">
        <v>57</v>
      </c>
      <c r="AF1018" t="s">
        <v>57</v>
      </c>
      <c r="AG1018">
        <v>2</v>
      </c>
      <c r="AH1018" t="s">
        <v>57</v>
      </c>
      <c r="AL1018" t="s">
        <v>57</v>
      </c>
      <c r="AM1018" s="11">
        <v>44785</v>
      </c>
      <c r="AN1018" t="s">
        <v>180</v>
      </c>
      <c r="AO1018" t="s">
        <v>65</v>
      </c>
      <c r="AP1018">
        <v>1205</v>
      </c>
      <c r="AQ1018" t="s">
        <v>66</v>
      </c>
      <c r="AR1018">
        <v>88642</v>
      </c>
      <c r="AU1018" t="s">
        <v>57</v>
      </c>
      <c r="AV1018" t="s">
        <v>68</v>
      </c>
      <c r="AX1018" t="s">
        <v>57</v>
      </c>
      <c r="AY1018">
        <v>631110</v>
      </c>
      <c r="AZ1018">
        <v>1205.63111</v>
      </c>
      <c r="BA1018" s="23" t="s">
        <v>13</v>
      </c>
    </row>
    <row r="1019" spans="1:53" x14ac:dyDescent="0.25">
      <c r="A1019" t="s">
        <v>134</v>
      </c>
      <c r="B1019" t="s">
        <v>135</v>
      </c>
      <c r="C1019">
        <v>22002342</v>
      </c>
      <c r="D1019">
        <v>1205</v>
      </c>
      <c r="E1019" s="11">
        <v>44785</v>
      </c>
      <c r="F1019" t="s">
        <v>179</v>
      </c>
      <c r="G1019">
        <v>0.25</v>
      </c>
      <c r="H1019">
        <v>0.25</v>
      </c>
      <c r="I1019" t="s">
        <v>56</v>
      </c>
      <c r="O1019" t="s">
        <v>57</v>
      </c>
      <c r="Q1019" t="s">
        <v>57</v>
      </c>
      <c r="R1019" t="s">
        <v>137</v>
      </c>
      <c r="T1019" t="s">
        <v>59</v>
      </c>
      <c r="U1019" t="s">
        <v>60</v>
      </c>
      <c r="V1019" t="s">
        <v>138</v>
      </c>
      <c r="W1019" t="s">
        <v>139</v>
      </c>
      <c r="X1019">
        <v>1930745</v>
      </c>
      <c r="Y1019" s="11">
        <v>44785</v>
      </c>
      <c r="Z1019" t="s">
        <v>57</v>
      </c>
      <c r="AA1019">
        <v>24</v>
      </c>
      <c r="AB1019" t="s">
        <v>57</v>
      </c>
      <c r="AD1019" t="s">
        <v>57</v>
      </c>
      <c r="AE1019" t="s">
        <v>57</v>
      </c>
      <c r="AF1019" t="s">
        <v>57</v>
      </c>
      <c r="AG1019">
        <v>2</v>
      </c>
      <c r="AH1019" t="s">
        <v>57</v>
      </c>
      <c r="AL1019" t="s">
        <v>57</v>
      </c>
      <c r="AM1019" s="11">
        <v>44785</v>
      </c>
      <c r="AN1019" t="s">
        <v>180</v>
      </c>
      <c r="AO1019" t="s">
        <v>65</v>
      </c>
      <c r="AP1019">
        <v>1205</v>
      </c>
      <c r="AQ1019" t="s">
        <v>66</v>
      </c>
      <c r="AR1019">
        <v>265217</v>
      </c>
      <c r="AU1019" t="s">
        <v>57</v>
      </c>
      <c r="AV1019" t="s">
        <v>68</v>
      </c>
      <c r="AX1019" t="s">
        <v>57</v>
      </c>
      <c r="AY1019">
        <v>631110</v>
      </c>
      <c r="AZ1019">
        <v>1205.63111</v>
      </c>
      <c r="BA1019" s="23" t="s">
        <v>13</v>
      </c>
    </row>
    <row r="1020" spans="1:53" x14ac:dyDescent="0.25">
      <c r="A1020" t="s">
        <v>134</v>
      </c>
      <c r="B1020" t="s">
        <v>135</v>
      </c>
      <c r="C1020">
        <v>22002342</v>
      </c>
      <c r="D1020">
        <v>1205</v>
      </c>
      <c r="E1020" s="11">
        <v>44785</v>
      </c>
      <c r="F1020" t="s">
        <v>179</v>
      </c>
      <c r="G1020">
        <v>1.53</v>
      </c>
      <c r="H1020">
        <v>1.53</v>
      </c>
      <c r="I1020" t="s">
        <v>56</v>
      </c>
      <c r="O1020" t="s">
        <v>57</v>
      </c>
      <c r="Q1020" t="s">
        <v>57</v>
      </c>
      <c r="R1020" t="s">
        <v>137</v>
      </c>
      <c r="T1020" t="s">
        <v>59</v>
      </c>
      <c r="U1020" t="s">
        <v>60</v>
      </c>
      <c r="V1020" t="s">
        <v>138</v>
      </c>
      <c r="W1020" t="s">
        <v>139</v>
      </c>
      <c r="X1020">
        <v>1930745</v>
      </c>
      <c r="Y1020" s="11">
        <v>44785</v>
      </c>
      <c r="Z1020" t="s">
        <v>57</v>
      </c>
      <c r="AA1020">
        <v>26</v>
      </c>
      <c r="AB1020" t="s">
        <v>57</v>
      </c>
      <c r="AD1020" t="s">
        <v>57</v>
      </c>
      <c r="AE1020" t="s">
        <v>57</v>
      </c>
      <c r="AF1020" t="s">
        <v>57</v>
      </c>
      <c r="AG1020">
        <v>10</v>
      </c>
      <c r="AH1020" t="s">
        <v>57</v>
      </c>
      <c r="AL1020" t="s">
        <v>57</v>
      </c>
      <c r="AM1020" s="11">
        <v>44785</v>
      </c>
      <c r="AN1020" t="s">
        <v>180</v>
      </c>
      <c r="AO1020" t="s">
        <v>65</v>
      </c>
      <c r="AP1020">
        <v>1205</v>
      </c>
      <c r="AQ1020" t="s">
        <v>66</v>
      </c>
      <c r="AR1020">
        <v>89715</v>
      </c>
      <c r="AU1020" t="s">
        <v>57</v>
      </c>
      <c r="AV1020" t="s">
        <v>68</v>
      </c>
      <c r="AX1020" t="s">
        <v>57</v>
      </c>
      <c r="AY1020">
        <v>631110</v>
      </c>
      <c r="AZ1020">
        <v>1205.63111</v>
      </c>
      <c r="BA1020" s="23" t="s">
        <v>13</v>
      </c>
    </row>
    <row r="1021" spans="1:53" x14ac:dyDescent="0.25">
      <c r="A1021" t="s">
        <v>134</v>
      </c>
      <c r="B1021" t="s">
        <v>135</v>
      </c>
      <c r="C1021">
        <v>22002342</v>
      </c>
      <c r="D1021">
        <v>1205</v>
      </c>
      <c r="E1021" s="11">
        <v>44785</v>
      </c>
      <c r="F1021" t="s">
        <v>179</v>
      </c>
      <c r="G1021">
        <v>1.51</v>
      </c>
      <c r="H1021">
        <v>1.51</v>
      </c>
      <c r="I1021" t="s">
        <v>56</v>
      </c>
      <c r="O1021" t="s">
        <v>57</v>
      </c>
      <c r="Q1021" t="s">
        <v>57</v>
      </c>
      <c r="R1021" t="s">
        <v>137</v>
      </c>
      <c r="T1021" t="s">
        <v>59</v>
      </c>
      <c r="U1021" t="s">
        <v>60</v>
      </c>
      <c r="V1021" t="s">
        <v>138</v>
      </c>
      <c r="W1021" t="s">
        <v>139</v>
      </c>
      <c r="X1021">
        <v>1930745</v>
      </c>
      <c r="Y1021" s="11">
        <v>44785</v>
      </c>
      <c r="Z1021" t="s">
        <v>57</v>
      </c>
      <c r="AA1021">
        <v>28</v>
      </c>
      <c r="AB1021" t="s">
        <v>57</v>
      </c>
      <c r="AD1021" t="s">
        <v>57</v>
      </c>
      <c r="AE1021" t="s">
        <v>57</v>
      </c>
      <c r="AF1021" t="s">
        <v>57</v>
      </c>
      <c r="AG1021">
        <v>6</v>
      </c>
      <c r="AH1021" t="s">
        <v>57</v>
      </c>
      <c r="AL1021" t="s">
        <v>57</v>
      </c>
      <c r="AM1021" s="11">
        <v>44785</v>
      </c>
      <c r="AN1021" t="s">
        <v>180</v>
      </c>
      <c r="AO1021" t="s">
        <v>65</v>
      </c>
      <c r="AP1021">
        <v>1205</v>
      </c>
      <c r="AQ1021" t="s">
        <v>66</v>
      </c>
      <c r="AR1021">
        <v>88669</v>
      </c>
      <c r="AU1021" t="s">
        <v>57</v>
      </c>
      <c r="AV1021" t="s">
        <v>68</v>
      </c>
      <c r="AX1021" t="s">
        <v>57</v>
      </c>
      <c r="AY1021">
        <v>631110</v>
      </c>
      <c r="AZ1021">
        <v>1205.63111</v>
      </c>
      <c r="BA1021" s="23" t="s">
        <v>13</v>
      </c>
    </row>
    <row r="1022" spans="1:53" x14ac:dyDescent="0.25">
      <c r="A1022" t="s">
        <v>134</v>
      </c>
      <c r="B1022" t="s">
        <v>135</v>
      </c>
      <c r="C1022">
        <v>22002342</v>
      </c>
      <c r="D1022">
        <v>1205</v>
      </c>
      <c r="E1022" s="11">
        <v>44785</v>
      </c>
      <c r="F1022" t="s">
        <v>179</v>
      </c>
      <c r="G1022">
        <v>0.5</v>
      </c>
      <c r="H1022">
        <v>0.5</v>
      </c>
      <c r="I1022" t="s">
        <v>56</v>
      </c>
      <c r="O1022" t="s">
        <v>57</v>
      </c>
      <c r="Q1022" t="s">
        <v>57</v>
      </c>
      <c r="R1022" t="s">
        <v>137</v>
      </c>
      <c r="T1022" t="s">
        <v>59</v>
      </c>
      <c r="U1022" t="s">
        <v>60</v>
      </c>
      <c r="V1022" t="s">
        <v>138</v>
      </c>
      <c r="W1022" t="s">
        <v>139</v>
      </c>
      <c r="X1022">
        <v>1930745</v>
      </c>
      <c r="Y1022" s="11">
        <v>44785</v>
      </c>
      <c r="Z1022" t="s">
        <v>57</v>
      </c>
      <c r="AA1022">
        <v>30</v>
      </c>
      <c r="AB1022" t="s">
        <v>57</v>
      </c>
      <c r="AD1022" t="s">
        <v>57</v>
      </c>
      <c r="AE1022" t="s">
        <v>57</v>
      </c>
      <c r="AF1022" t="s">
        <v>57</v>
      </c>
      <c r="AG1022">
        <v>2</v>
      </c>
      <c r="AH1022" t="s">
        <v>57</v>
      </c>
      <c r="AL1022" t="s">
        <v>57</v>
      </c>
      <c r="AM1022" s="11">
        <v>44785</v>
      </c>
      <c r="AN1022" t="s">
        <v>180</v>
      </c>
      <c r="AO1022" t="s">
        <v>65</v>
      </c>
      <c r="AP1022">
        <v>1205</v>
      </c>
      <c r="AQ1022" t="s">
        <v>66</v>
      </c>
      <c r="AR1022">
        <v>265536</v>
      </c>
      <c r="AU1022" t="s">
        <v>57</v>
      </c>
      <c r="AV1022" t="s">
        <v>68</v>
      </c>
      <c r="AX1022" t="s">
        <v>57</v>
      </c>
      <c r="AY1022">
        <v>631110</v>
      </c>
      <c r="AZ1022">
        <v>1205.63111</v>
      </c>
      <c r="BA1022" s="23" t="s">
        <v>13</v>
      </c>
    </row>
    <row r="1023" spans="1:53" x14ac:dyDescent="0.25">
      <c r="A1023" t="s">
        <v>134</v>
      </c>
      <c r="B1023" t="s">
        <v>135</v>
      </c>
      <c r="C1023">
        <v>22002342</v>
      </c>
      <c r="D1023">
        <v>1205</v>
      </c>
      <c r="E1023" s="11">
        <v>44785</v>
      </c>
      <c r="F1023" t="s">
        <v>179</v>
      </c>
      <c r="G1023">
        <v>3.4</v>
      </c>
      <c r="H1023">
        <v>3.4</v>
      </c>
      <c r="I1023" t="s">
        <v>56</v>
      </c>
      <c r="O1023" t="s">
        <v>57</v>
      </c>
      <c r="Q1023" t="s">
        <v>57</v>
      </c>
      <c r="R1023" t="s">
        <v>137</v>
      </c>
      <c r="T1023" t="s">
        <v>59</v>
      </c>
      <c r="U1023" t="s">
        <v>60</v>
      </c>
      <c r="V1023" t="s">
        <v>138</v>
      </c>
      <c r="W1023" t="s">
        <v>139</v>
      </c>
      <c r="X1023">
        <v>1930745</v>
      </c>
      <c r="Y1023" s="11">
        <v>44785</v>
      </c>
      <c r="Z1023" t="s">
        <v>57</v>
      </c>
      <c r="AA1023">
        <v>32</v>
      </c>
      <c r="AB1023" t="s">
        <v>57</v>
      </c>
      <c r="AD1023" t="s">
        <v>57</v>
      </c>
      <c r="AE1023" t="s">
        <v>57</v>
      </c>
      <c r="AF1023" t="s">
        <v>57</v>
      </c>
      <c r="AG1023">
        <v>22</v>
      </c>
      <c r="AH1023" t="s">
        <v>57</v>
      </c>
      <c r="AL1023" t="s">
        <v>57</v>
      </c>
      <c r="AM1023" s="11">
        <v>44785</v>
      </c>
      <c r="AN1023" t="s">
        <v>180</v>
      </c>
      <c r="AO1023" t="s">
        <v>65</v>
      </c>
      <c r="AP1023">
        <v>1205</v>
      </c>
      <c r="AQ1023" t="s">
        <v>66</v>
      </c>
      <c r="AR1023">
        <v>89712</v>
      </c>
      <c r="AU1023" t="s">
        <v>57</v>
      </c>
      <c r="AV1023" t="s">
        <v>68</v>
      </c>
      <c r="AX1023" t="s">
        <v>57</v>
      </c>
      <c r="AY1023">
        <v>631110</v>
      </c>
      <c r="AZ1023">
        <v>1205.63111</v>
      </c>
      <c r="BA1023" s="23" t="s">
        <v>13</v>
      </c>
    </row>
    <row r="1024" spans="1:53" x14ac:dyDescent="0.25">
      <c r="A1024" t="s">
        <v>134</v>
      </c>
      <c r="B1024" t="s">
        <v>135</v>
      </c>
      <c r="C1024">
        <v>22002316</v>
      </c>
      <c r="D1024">
        <v>1205</v>
      </c>
      <c r="E1024" s="11">
        <v>44788</v>
      </c>
      <c r="F1024" t="s">
        <v>174</v>
      </c>
      <c r="G1024">
        <v>-0.21</v>
      </c>
      <c r="I1024" t="s">
        <v>56</v>
      </c>
      <c r="K1024">
        <v>-0.21</v>
      </c>
      <c r="O1024" t="s">
        <v>57</v>
      </c>
      <c r="Q1024" t="s">
        <v>57</v>
      </c>
      <c r="R1024" t="s">
        <v>137</v>
      </c>
      <c r="T1024" t="s">
        <v>59</v>
      </c>
      <c r="U1024" t="s">
        <v>60</v>
      </c>
      <c r="V1024" t="s">
        <v>138</v>
      </c>
      <c r="W1024" t="s">
        <v>139</v>
      </c>
      <c r="X1024">
        <v>1929847</v>
      </c>
      <c r="Y1024" s="11">
        <v>44782</v>
      </c>
      <c r="Z1024" t="s">
        <v>57</v>
      </c>
      <c r="AA1024">
        <v>2</v>
      </c>
      <c r="AB1024" t="s">
        <v>57</v>
      </c>
      <c r="AD1024" t="s">
        <v>57</v>
      </c>
      <c r="AE1024" t="s">
        <v>57</v>
      </c>
      <c r="AF1024" t="s">
        <v>57</v>
      </c>
      <c r="AG1024">
        <v>-1</v>
      </c>
      <c r="AH1024" t="s">
        <v>57</v>
      </c>
      <c r="AL1024" t="s">
        <v>57</v>
      </c>
      <c r="AM1024" s="11">
        <v>44788</v>
      </c>
      <c r="AN1024" t="s">
        <v>178</v>
      </c>
      <c r="AO1024" t="s">
        <v>65</v>
      </c>
      <c r="AP1024">
        <v>1205</v>
      </c>
      <c r="AQ1024" t="s">
        <v>66</v>
      </c>
      <c r="AR1024">
        <v>88778</v>
      </c>
      <c r="AU1024" t="s">
        <v>57</v>
      </c>
      <c r="AV1024" t="s">
        <v>68</v>
      </c>
      <c r="AX1024" t="s">
        <v>57</v>
      </c>
      <c r="AY1024">
        <v>631110</v>
      </c>
      <c r="AZ1024">
        <v>1205.63111</v>
      </c>
      <c r="BA1024" s="23" t="s">
        <v>13</v>
      </c>
    </row>
    <row r="1025" spans="1:53" x14ac:dyDescent="0.25">
      <c r="A1025" t="s">
        <v>134</v>
      </c>
      <c r="B1025" t="s">
        <v>135</v>
      </c>
      <c r="C1025">
        <v>22002345</v>
      </c>
      <c r="D1025">
        <v>1205</v>
      </c>
      <c r="E1025" s="11">
        <v>44788</v>
      </c>
      <c r="F1025" t="s">
        <v>174</v>
      </c>
      <c r="G1025">
        <v>13.32</v>
      </c>
      <c r="H1025">
        <v>13.32</v>
      </c>
      <c r="I1025" t="s">
        <v>56</v>
      </c>
      <c r="O1025" t="s">
        <v>57</v>
      </c>
      <c r="Q1025" t="s">
        <v>57</v>
      </c>
      <c r="R1025" t="s">
        <v>137</v>
      </c>
      <c r="T1025" t="s">
        <v>59</v>
      </c>
      <c r="U1025" t="s">
        <v>60</v>
      </c>
      <c r="V1025" t="s">
        <v>138</v>
      </c>
      <c r="W1025" t="s">
        <v>139</v>
      </c>
      <c r="X1025">
        <v>1931709</v>
      </c>
      <c r="Y1025" s="11">
        <v>44788</v>
      </c>
      <c r="Z1025" t="s">
        <v>57</v>
      </c>
      <c r="AA1025">
        <v>2</v>
      </c>
      <c r="AB1025" t="s">
        <v>57</v>
      </c>
      <c r="AD1025" t="s">
        <v>57</v>
      </c>
      <c r="AE1025" t="s">
        <v>57</v>
      </c>
      <c r="AF1025" t="s">
        <v>57</v>
      </c>
      <c r="AG1025">
        <v>6</v>
      </c>
      <c r="AH1025" t="s">
        <v>57</v>
      </c>
      <c r="AL1025" t="s">
        <v>57</v>
      </c>
      <c r="AM1025" s="11">
        <v>44788</v>
      </c>
      <c r="AN1025" t="s">
        <v>178</v>
      </c>
      <c r="AO1025" t="s">
        <v>65</v>
      </c>
      <c r="AP1025">
        <v>1205</v>
      </c>
      <c r="AQ1025" t="s">
        <v>66</v>
      </c>
      <c r="AR1025">
        <v>227904</v>
      </c>
      <c r="AU1025" t="s">
        <v>57</v>
      </c>
      <c r="AV1025" t="s">
        <v>68</v>
      </c>
      <c r="AX1025" t="s">
        <v>57</v>
      </c>
      <c r="AY1025">
        <v>631110</v>
      </c>
      <c r="AZ1025">
        <v>1205.63111</v>
      </c>
      <c r="BA1025" s="23" t="s">
        <v>13</v>
      </c>
    </row>
    <row r="1026" spans="1:53" x14ac:dyDescent="0.25">
      <c r="A1026" t="s">
        <v>134</v>
      </c>
      <c r="B1026" t="s">
        <v>135</v>
      </c>
      <c r="C1026">
        <v>22002345</v>
      </c>
      <c r="D1026">
        <v>1205</v>
      </c>
      <c r="E1026" s="11">
        <v>44788</v>
      </c>
      <c r="F1026" t="s">
        <v>174</v>
      </c>
      <c r="G1026">
        <v>62.17</v>
      </c>
      <c r="H1026">
        <v>62.17</v>
      </c>
      <c r="I1026" t="s">
        <v>56</v>
      </c>
      <c r="O1026" t="s">
        <v>57</v>
      </c>
      <c r="Q1026" t="s">
        <v>57</v>
      </c>
      <c r="R1026" t="s">
        <v>137</v>
      </c>
      <c r="T1026" t="s">
        <v>59</v>
      </c>
      <c r="U1026" t="s">
        <v>60</v>
      </c>
      <c r="V1026" t="s">
        <v>138</v>
      </c>
      <c r="W1026" t="s">
        <v>139</v>
      </c>
      <c r="X1026">
        <v>1931709</v>
      </c>
      <c r="Y1026" s="11">
        <v>44788</v>
      </c>
      <c r="Z1026" t="s">
        <v>57</v>
      </c>
      <c r="AA1026">
        <v>4</v>
      </c>
      <c r="AB1026" t="s">
        <v>57</v>
      </c>
      <c r="AD1026" t="s">
        <v>57</v>
      </c>
      <c r="AE1026" t="s">
        <v>57</v>
      </c>
      <c r="AF1026" t="s">
        <v>57</v>
      </c>
      <c r="AG1026">
        <v>2</v>
      </c>
      <c r="AH1026" t="s">
        <v>57</v>
      </c>
      <c r="AL1026" t="s">
        <v>57</v>
      </c>
      <c r="AM1026" s="11">
        <v>44788</v>
      </c>
      <c r="AN1026" t="s">
        <v>178</v>
      </c>
      <c r="AO1026" t="s">
        <v>65</v>
      </c>
      <c r="AP1026">
        <v>1205</v>
      </c>
      <c r="AQ1026" t="s">
        <v>66</v>
      </c>
      <c r="AR1026">
        <v>227906</v>
      </c>
      <c r="AU1026" t="s">
        <v>57</v>
      </c>
      <c r="AV1026" t="s">
        <v>68</v>
      </c>
      <c r="AX1026" t="s">
        <v>57</v>
      </c>
      <c r="AY1026">
        <v>631110</v>
      </c>
      <c r="AZ1026">
        <v>1205.63111</v>
      </c>
      <c r="BA1026" s="23" t="s">
        <v>13</v>
      </c>
    </row>
    <row r="1027" spans="1:53" x14ac:dyDescent="0.25">
      <c r="A1027" t="s">
        <v>134</v>
      </c>
      <c r="B1027" t="s">
        <v>135</v>
      </c>
      <c r="C1027">
        <v>22002345</v>
      </c>
      <c r="D1027">
        <v>1205</v>
      </c>
      <c r="E1027" s="11">
        <v>44788</v>
      </c>
      <c r="F1027" t="s">
        <v>174</v>
      </c>
      <c r="G1027">
        <v>31.13</v>
      </c>
      <c r="H1027">
        <v>31.13</v>
      </c>
      <c r="I1027" t="s">
        <v>56</v>
      </c>
      <c r="O1027" t="s">
        <v>57</v>
      </c>
      <c r="Q1027" t="s">
        <v>57</v>
      </c>
      <c r="R1027" t="s">
        <v>137</v>
      </c>
      <c r="T1027" t="s">
        <v>59</v>
      </c>
      <c r="U1027" t="s">
        <v>60</v>
      </c>
      <c r="V1027" t="s">
        <v>138</v>
      </c>
      <c r="W1027" t="s">
        <v>139</v>
      </c>
      <c r="X1027">
        <v>1931709</v>
      </c>
      <c r="Y1027" s="11">
        <v>44788</v>
      </c>
      <c r="Z1027" t="s">
        <v>57</v>
      </c>
      <c r="AA1027">
        <v>6</v>
      </c>
      <c r="AB1027" t="s">
        <v>57</v>
      </c>
      <c r="AD1027" t="s">
        <v>57</v>
      </c>
      <c r="AE1027" t="s">
        <v>57</v>
      </c>
      <c r="AF1027" t="s">
        <v>57</v>
      </c>
      <c r="AG1027">
        <v>1</v>
      </c>
      <c r="AH1027" t="s">
        <v>57</v>
      </c>
      <c r="AL1027" t="s">
        <v>57</v>
      </c>
      <c r="AM1027" s="11">
        <v>44788</v>
      </c>
      <c r="AN1027" t="s">
        <v>178</v>
      </c>
      <c r="AO1027" t="s">
        <v>65</v>
      </c>
      <c r="AP1027">
        <v>1205</v>
      </c>
      <c r="AQ1027" t="s">
        <v>66</v>
      </c>
      <c r="AR1027">
        <v>227906</v>
      </c>
      <c r="AU1027" t="s">
        <v>57</v>
      </c>
      <c r="AV1027" t="s">
        <v>68</v>
      </c>
      <c r="AX1027" t="s">
        <v>57</v>
      </c>
      <c r="AY1027">
        <v>631110</v>
      </c>
      <c r="AZ1027">
        <v>1205.63111</v>
      </c>
      <c r="BA1027" s="23" t="s">
        <v>13</v>
      </c>
    </row>
    <row r="1028" spans="1:53" x14ac:dyDescent="0.25">
      <c r="A1028" t="s">
        <v>134</v>
      </c>
      <c r="B1028" t="s">
        <v>135</v>
      </c>
      <c r="C1028">
        <v>22002345</v>
      </c>
      <c r="D1028">
        <v>1205</v>
      </c>
      <c r="E1028" s="11">
        <v>44788</v>
      </c>
      <c r="F1028" t="s">
        <v>174</v>
      </c>
      <c r="G1028">
        <v>12.65</v>
      </c>
      <c r="H1028">
        <v>12.65</v>
      </c>
      <c r="I1028" t="s">
        <v>56</v>
      </c>
      <c r="O1028" t="s">
        <v>57</v>
      </c>
      <c r="Q1028" t="s">
        <v>57</v>
      </c>
      <c r="R1028" t="s">
        <v>137</v>
      </c>
      <c r="T1028" t="s">
        <v>59</v>
      </c>
      <c r="U1028" t="s">
        <v>60</v>
      </c>
      <c r="V1028" t="s">
        <v>138</v>
      </c>
      <c r="W1028" t="s">
        <v>139</v>
      </c>
      <c r="X1028">
        <v>1931709</v>
      </c>
      <c r="Y1028" s="11">
        <v>44788</v>
      </c>
      <c r="Z1028" t="s">
        <v>57</v>
      </c>
      <c r="AA1028">
        <v>8</v>
      </c>
      <c r="AB1028" t="s">
        <v>57</v>
      </c>
      <c r="AD1028" t="s">
        <v>57</v>
      </c>
      <c r="AE1028" t="s">
        <v>57</v>
      </c>
      <c r="AF1028" t="s">
        <v>57</v>
      </c>
      <c r="AG1028">
        <v>3</v>
      </c>
      <c r="AH1028" t="s">
        <v>57</v>
      </c>
      <c r="AL1028" t="s">
        <v>57</v>
      </c>
      <c r="AM1028" s="11">
        <v>44788</v>
      </c>
      <c r="AN1028" t="s">
        <v>178</v>
      </c>
      <c r="AO1028" t="s">
        <v>65</v>
      </c>
      <c r="AP1028">
        <v>1205</v>
      </c>
      <c r="AQ1028" t="s">
        <v>66</v>
      </c>
      <c r="AR1028">
        <v>227905</v>
      </c>
      <c r="AU1028" t="s">
        <v>57</v>
      </c>
      <c r="AV1028" t="s">
        <v>68</v>
      </c>
      <c r="AX1028" t="s">
        <v>57</v>
      </c>
      <c r="AY1028">
        <v>631110</v>
      </c>
      <c r="AZ1028">
        <v>1205.63111</v>
      </c>
      <c r="BA1028" s="23" t="s">
        <v>13</v>
      </c>
    </row>
    <row r="1029" spans="1:53" x14ac:dyDescent="0.25">
      <c r="A1029" t="s">
        <v>134</v>
      </c>
      <c r="B1029" t="s">
        <v>135</v>
      </c>
      <c r="C1029">
        <v>22002345</v>
      </c>
      <c r="D1029">
        <v>1205</v>
      </c>
      <c r="E1029" s="11">
        <v>44788</v>
      </c>
      <c r="F1029" t="s">
        <v>174</v>
      </c>
      <c r="G1029">
        <v>-31.13</v>
      </c>
      <c r="I1029" t="s">
        <v>56</v>
      </c>
      <c r="K1029">
        <v>-31.13</v>
      </c>
      <c r="O1029" t="s">
        <v>57</v>
      </c>
      <c r="Q1029" t="s">
        <v>57</v>
      </c>
      <c r="R1029" t="s">
        <v>137</v>
      </c>
      <c r="T1029" t="s">
        <v>59</v>
      </c>
      <c r="U1029" t="s">
        <v>60</v>
      </c>
      <c r="V1029" t="s">
        <v>138</v>
      </c>
      <c r="W1029" t="s">
        <v>139</v>
      </c>
      <c r="X1029">
        <v>1931709</v>
      </c>
      <c r="Y1029" s="11">
        <v>44788</v>
      </c>
      <c r="Z1029" t="s">
        <v>57</v>
      </c>
      <c r="AA1029">
        <v>10</v>
      </c>
      <c r="AB1029" t="s">
        <v>57</v>
      </c>
      <c r="AD1029" t="s">
        <v>57</v>
      </c>
      <c r="AE1029" t="s">
        <v>57</v>
      </c>
      <c r="AF1029" t="s">
        <v>57</v>
      </c>
      <c r="AG1029">
        <v>-1</v>
      </c>
      <c r="AH1029" t="s">
        <v>57</v>
      </c>
      <c r="AL1029" t="s">
        <v>57</v>
      </c>
      <c r="AM1029" s="11">
        <v>44788</v>
      </c>
      <c r="AN1029" t="s">
        <v>178</v>
      </c>
      <c r="AO1029" t="s">
        <v>65</v>
      </c>
      <c r="AP1029">
        <v>1205</v>
      </c>
      <c r="AQ1029" t="s">
        <v>66</v>
      </c>
      <c r="AR1029">
        <v>227906</v>
      </c>
      <c r="AU1029" t="s">
        <v>57</v>
      </c>
      <c r="AV1029" t="s">
        <v>68</v>
      </c>
      <c r="AX1029" t="s">
        <v>57</v>
      </c>
      <c r="AY1029">
        <v>631110</v>
      </c>
      <c r="AZ1029">
        <v>1205.63111</v>
      </c>
      <c r="BA1029" s="23" t="s">
        <v>13</v>
      </c>
    </row>
    <row r="1030" spans="1:53" x14ac:dyDescent="0.25">
      <c r="A1030" t="s">
        <v>134</v>
      </c>
      <c r="B1030" t="s">
        <v>135</v>
      </c>
      <c r="C1030">
        <v>22002345</v>
      </c>
      <c r="D1030">
        <v>1205</v>
      </c>
      <c r="E1030" s="11">
        <v>44788</v>
      </c>
      <c r="F1030" t="s">
        <v>174</v>
      </c>
      <c r="G1030">
        <v>-2.2200000000000002</v>
      </c>
      <c r="I1030" t="s">
        <v>56</v>
      </c>
      <c r="K1030">
        <v>-2.2200000000000002</v>
      </c>
      <c r="O1030" t="s">
        <v>57</v>
      </c>
      <c r="Q1030" t="s">
        <v>57</v>
      </c>
      <c r="R1030" t="s">
        <v>137</v>
      </c>
      <c r="T1030" t="s">
        <v>59</v>
      </c>
      <c r="U1030" t="s">
        <v>60</v>
      </c>
      <c r="V1030" t="s">
        <v>138</v>
      </c>
      <c r="W1030" t="s">
        <v>139</v>
      </c>
      <c r="X1030">
        <v>1931709</v>
      </c>
      <c r="Y1030" s="11">
        <v>44788</v>
      </c>
      <c r="Z1030" t="s">
        <v>57</v>
      </c>
      <c r="AA1030">
        <v>12</v>
      </c>
      <c r="AB1030" t="s">
        <v>57</v>
      </c>
      <c r="AD1030" t="s">
        <v>57</v>
      </c>
      <c r="AE1030" t="s">
        <v>57</v>
      </c>
      <c r="AF1030" t="s">
        <v>57</v>
      </c>
      <c r="AG1030">
        <v>-1</v>
      </c>
      <c r="AH1030" t="s">
        <v>57</v>
      </c>
      <c r="AL1030" t="s">
        <v>57</v>
      </c>
      <c r="AM1030" s="11">
        <v>44788</v>
      </c>
      <c r="AN1030" t="s">
        <v>178</v>
      </c>
      <c r="AO1030" t="s">
        <v>65</v>
      </c>
      <c r="AP1030">
        <v>1205</v>
      </c>
      <c r="AQ1030" t="s">
        <v>66</v>
      </c>
      <c r="AR1030">
        <v>227904</v>
      </c>
      <c r="AU1030" t="s">
        <v>57</v>
      </c>
      <c r="AV1030" t="s">
        <v>68</v>
      </c>
      <c r="AX1030" t="s">
        <v>57</v>
      </c>
      <c r="AY1030">
        <v>631110</v>
      </c>
      <c r="AZ1030">
        <v>1205.63111</v>
      </c>
      <c r="BA1030" s="23" t="s">
        <v>13</v>
      </c>
    </row>
    <row r="1031" spans="1:53" x14ac:dyDescent="0.25">
      <c r="A1031" t="s">
        <v>134</v>
      </c>
      <c r="B1031" t="s">
        <v>135</v>
      </c>
      <c r="C1031">
        <v>22002346</v>
      </c>
      <c r="D1031">
        <v>1205</v>
      </c>
      <c r="E1031" s="11">
        <v>44788</v>
      </c>
      <c r="F1031" t="s">
        <v>174</v>
      </c>
      <c r="G1031">
        <v>25.1</v>
      </c>
      <c r="H1031">
        <v>25.1</v>
      </c>
      <c r="I1031" t="s">
        <v>56</v>
      </c>
      <c r="O1031" t="s">
        <v>57</v>
      </c>
      <c r="Q1031" t="s">
        <v>57</v>
      </c>
      <c r="R1031" t="s">
        <v>137</v>
      </c>
      <c r="T1031" t="s">
        <v>59</v>
      </c>
      <c r="U1031" t="s">
        <v>60</v>
      </c>
      <c r="V1031" t="s">
        <v>138</v>
      </c>
      <c r="W1031" t="s">
        <v>139</v>
      </c>
      <c r="X1031">
        <v>1931711</v>
      </c>
      <c r="Y1031" s="11">
        <v>44788</v>
      </c>
      <c r="Z1031" t="s">
        <v>57</v>
      </c>
      <c r="AA1031">
        <v>2</v>
      </c>
      <c r="AB1031" t="s">
        <v>57</v>
      </c>
      <c r="AD1031" t="s">
        <v>57</v>
      </c>
      <c r="AE1031" t="s">
        <v>57</v>
      </c>
      <c r="AF1031" t="s">
        <v>57</v>
      </c>
      <c r="AG1031">
        <v>1</v>
      </c>
      <c r="AH1031" t="s">
        <v>57</v>
      </c>
      <c r="AL1031" t="s">
        <v>57</v>
      </c>
      <c r="AM1031" s="11">
        <v>44788</v>
      </c>
      <c r="AN1031" t="s">
        <v>178</v>
      </c>
      <c r="AO1031" t="s">
        <v>65</v>
      </c>
      <c r="AP1031">
        <v>1205</v>
      </c>
      <c r="AQ1031" t="s">
        <v>66</v>
      </c>
      <c r="AR1031">
        <v>103860</v>
      </c>
      <c r="AU1031" t="s">
        <v>57</v>
      </c>
      <c r="AV1031" t="s">
        <v>68</v>
      </c>
      <c r="AX1031" t="s">
        <v>57</v>
      </c>
      <c r="AY1031">
        <v>631110</v>
      </c>
      <c r="AZ1031">
        <v>1205.63111</v>
      </c>
      <c r="BA1031" s="23" t="s">
        <v>13</v>
      </c>
    </row>
    <row r="1032" spans="1:53" x14ac:dyDescent="0.25">
      <c r="A1032" t="s">
        <v>134</v>
      </c>
      <c r="B1032" t="s">
        <v>135</v>
      </c>
      <c r="C1032">
        <v>22002347</v>
      </c>
      <c r="D1032">
        <v>1205</v>
      </c>
      <c r="E1032" s="11">
        <v>44788</v>
      </c>
      <c r="F1032" t="s">
        <v>174</v>
      </c>
      <c r="G1032">
        <v>16.010000000000002</v>
      </c>
      <c r="H1032">
        <v>16.010000000000002</v>
      </c>
      <c r="I1032" t="s">
        <v>56</v>
      </c>
      <c r="O1032" t="s">
        <v>57</v>
      </c>
      <c r="Q1032" t="s">
        <v>57</v>
      </c>
      <c r="R1032" t="s">
        <v>137</v>
      </c>
      <c r="T1032" t="s">
        <v>59</v>
      </c>
      <c r="U1032" t="s">
        <v>60</v>
      </c>
      <c r="V1032" t="s">
        <v>138</v>
      </c>
      <c r="W1032" t="s">
        <v>139</v>
      </c>
      <c r="X1032">
        <v>1931711</v>
      </c>
      <c r="Y1032" s="11">
        <v>44788</v>
      </c>
      <c r="Z1032" t="s">
        <v>57</v>
      </c>
      <c r="AA1032">
        <v>2</v>
      </c>
      <c r="AB1032" t="s">
        <v>57</v>
      </c>
      <c r="AD1032" t="s">
        <v>57</v>
      </c>
      <c r="AE1032" t="s">
        <v>57</v>
      </c>
      <c r="AF1032" t="s">
        <v>57</v>
      </c>
      <c r="AG1032">
        <v>2</v>
      </c>
      <c r="AH1032" t="s">
        <v>57</v>
      </c>
      <c r="AL1032" t="s">
        <v>57</v>
      </c>
      <c r="AM1032" s="11">
        <v>44788</v>
      </c>
      <c r="AN1032" t="s">
        <v>178</v>
      </c>
      <c r="AO1032" t="s">
        <v>65</v>
      </c>
      <c r="AP1032">
        <v>1205</v>
      </c>
      <c r="AQ1032" t="s">
        <v>66</v>
      </c>
      <c r="AR1032">
        <v>281047</v>
      </c>
      <c r="AU1032" t="s">
        <v>57</v>
      </c>
      <c r="AV1032" t="s">
        <v>68</v>
      </c>
      <c r="AX1032" t="s">
        <v>57</v>
      </c>
      <c r="AY1032">
        <v>631110</v>
      </c>
      <c r="AZ1032">
        <v>1205.63111</v>
      </c>
      <c r="BA1032" s="23" t="s">
        <v>13</v>
      </c>
    </row>
    <row r="1033" spans="1:53" x14ac:dyDescent="0.25">
      <c r="A1033" t="s">
        <v>134</v>
      </c>
      <c r="B1033" t="s">
        <v>135</v>
      </c>
      <c r="C1033">
        <v>22002348</v>
      </c>
      <c r="D1033">
        <v>1205</v>
      </c>
      <c r="E1033" s="11">
        <v>44788</v>
      </c>
      <c r="F1033" t="s">
        <v>172</v>
      </c>
      <c r="G1033">
        <v>7.94</v>
      </c>
      <c r="H1033">
        <v>7.94</v>
      </c>
      <c r="I1033" t="s">
        <v>56</v>
      </c>
      <c r="O1033" t="s">
        <v>57</v>
      </c>
      <c r="Q1033" t="s">
        <v>57</v>
      </c>
      <c r="R1033" t="s">
        <v>137</v>
      </c>
      <c r="T1033" t="s">
        <v>59</v>
      </c>
      <c r="U1033" t="s">
        <v>60</v>
      </c>
      <c r="V1033" t="s">
        <v>138</v>
      </c>
      <c r="W1033" t="s">
        <v>139</v>
      </c>
      <c r="X1033">
        <v>1931711</v>
      </c>
      <c r="Y1033" s="11">
        <v>44788</v>
      </c>
      <c r="Z1033" t="s">
        <v>57</v>
      </c>
      <c r="AA1033">
        <v>2</v>
      </c>
      <c r="AB1033" t="s">
        <v>57</v>
      </c>
      <c r="AD1033" t="s">
        <v>57</v>
      </c>
      <c r="AE1033" t="s">
        <v>57</v>
      </c>
      <c r="AF1033" t="s">
        <v>57</v>
      </c>
      <c r="AG1033">
        <v>1</v>
      </c>
      <c r="AH1033" t="s">
        <v>57</v>
      </c>
      <c r="AL1033" t="s">
        <v>57</v>
      </c>
      <c r="AM1033" s="11">
        <v>44788</v>
      </c>
      <c r="AN1033" t="s">
        <v>178</v>
      </c>
      <c r="AO1033" t="s">
        <v>65</v>
      </c>
      <c r="AP1033">
        <v>1205</v>
      </c>
      <c r="AQ1033" t="s">
        <v>66</v>
      </c>
      <c r="AR1033">
        <v>227112</v>
      </c>
      <c r="AU1033" t="s">
        <v>57</v>
      </c>
      <c r="AV1033" t="s">
        <v>68</v>
      </c>
      <c r="AX1033" t="s">
        <v>57</v>
      </c>
      <c r="AY1033">
        <v>631110</v>
      </c>
      <c r="AZ1033">
        <v>1205.63111</v>
      </c>
      <c r="BA1033" s="23" t="s">
        <v>13</v>
      </c>
    </row>
    <row r="1034" spans="1:53" x14ac:dyDescent="0.25">
      <c r="A1034" t="s">
        <v>134</v>
      </c>
      <c r="B1034" t="s">
        <v>135</v>
      </c>
      <c r="C1034">
        <v>22002349</v>
      </c>
      <c r="D1034">
        <v>1205</v>
      </c>
      <c r="E1034" s="11">
        <v>44788</v>
      </c>
      <c r="F1034" t="s">
        <v>174</v>
      </c>
      <c r="G1034">
        <v>15.31</v>
      </c>
      <c r="H1034">
        <v>15.31</v>
      </c>
      <c r="I1034" t="s">
        <v>56</v>
      </c>
      <c r="O1034" t="s">
        <v>57</v>
      </c>
      <c r="Q1034" t="s">
        <v>57</v>
      </c>
      <c r="R1034" t="s">
        <v>137</v>
      </c>
      <c r="T1034" t="s">
        <v>59</v>
      </c>
      <c r="U1034" t="s">
        <v>60</v>
      </c>
      <c r="V1034" t="s">
        <v>138</v>
      </c>
      <c r="W1034" t="s">
        <v>139</v>
      </c>
      <c r="X1034">
        <v>1931719</v>
      </c>
      <c r="Y1034" s="11">
        <v>44788</v>
      </c>
      <c r="Z1034" t="s">
        <v>57</v>
      </c>
      <c r="AA1034">
        <v>2</v>
      </c>
      <c r="AB1034" t="s">
        <v>57</v>
      </c>
      <c r="AD1034" t="s">
        <v>57</v>
      </c>
      <c r="AE1034" t="s">
        <v>57</v>
      </c>
      <c r="AF1034" t="s">
        <v>57</v>
      </c>
      <c r="AG1034">
        <v>5</v>
      </c>
      <c r="AH1034" t="s">
        <v>57</v>
      </c>
      <c r="AL1034" t="s">
        <v>57</v>
      </c>
      <c r="AM1034" s="11">
        <v>44788</v>
      </c>
      <c r="AN1034" t="s">
        <v>178</v>
      </c>
      <c r="AO1034" t="s">
        <v>65</v>
      </c>
      <c r="AP1034">
        <v>1205</v>
      </c>
      <c r="AQ1034" t="s">
        <v>66</v>
      </c>
      <c r="AR1034">
        <v>90503</v>
      </c>
      <c r="AU1034" t="s">
        <v>57</v>
      </c>
      <c r="AV1034" t="s">
        <v>68</v>
      </c>
      <c r="AX1034" t="s">
        <v>57</v>
      </c>
      <c r="AY1034">
        <v>631110</v>
      </c>
      <c r="AZ1034">
        <v>1205.63111</v>
      </c>
      <c r="BA1034" s="23" t="s">
        <v>13</v>
      </c>
    </row>
    <row r="1035" spans="1:53" x14ac:dyDescent="0.25">
      <c r="A1035" t="s">
        <v>134</v>
      </c>
      <c r="B1035" t="s">
        <v>135</v>
      </c>
      <c r="C1035">
        <v>22002350</v>
      </c>
      <c r="D1035">
        <v>1205</v>
      </c>
      <c r="E1035" s="11">
        <v>44788</v>
      </c>
      <c r="F1035" t="s">
        <v>174</v>
      </c>
      <c r="G1035">
        <v>8.44</v>
      </c>
      <c r="H1035">
        <v>8.44</v>
      </c>
      <c r="I1035" t="s">
        <v>56</v>
      </c>
      <c r="O1035" t="s">
        <v>57</v>
      </c>
      <c r="Q1035" t="s">
        <v>57</v>
      </c>
      <c r="R1035" t="s">
        <v>137</v>
      </c>
      <c r="T1035" t="s">
        <v>59</v>
      </c>
      <c r="U1035" t="s">
        <v>60</v>
      </c>
      <c r="V1035" t="s">
        <v>138</v>
      </c>
      <c r="W1035" t="s">
        <v>139</v>
      </c>
      <c r="X1035">
        <v>1931833</v>
      </c>
      <c r="Y1035" s="11">
        <v>44788</v>
      </c>
      <c r="Z1035" t="s">
        <v>57</v>
      </c>
      <c r="AA1035">
        <v>2</v>
      </c>
      <c r="AB1035" t="s">
        <v>57</v>
      </c>
      <c r="AD1035" t="s">
        <v>57</v>
      </c>
      <c r="AE1035" t="s">
        <v>57</v>
      </c>
      <c r="AF1035" t="s">
        <v>57</v>
      </c>
      <c r="AG1035">
        <v>2</v>
      </c>
      <c r="AH1035" t="s">
        <v>57</v>
      </c>
      <c r="AL1035" t="s">
        <v>57</v>
      </c>
      <c r="AM1035" s="11">
        <v>44788</v>
      </c>
      <c r="AN1035" t="s">
        <v>178</v>
      </c>
      <c r="AO1035" t="s">
        <v>65</v>
      </c>
      <c r="AP1035">
        <v>1205</v>
      </c>
      <c r="AQ1035" t="s">
        <v>66</v>
      </c>
      <c r="AR1035">
        <v>227905</v>
      </c>
      <c r="AU1035" t="s">
        <v>57</v>
      </c>
      <c r="AV1035" t="s">
        <v>68</v>
      </c>
      <c r="AX1035" t="s">
        <v>57</v>
      </c>
      <c r="AY1035">
        <v>631110</v>
      </c>
      <c r="AZ1035">
        <v>1205.63111</v>
      </c>
      <c r="BA1035" s="23" t="s">
        <v>13</v>
      </c>
    </row>
    <row r="1036" spans="1:53" x14ac:dyDescent="0.25">
      <c r="A1036" t="s">
        <v>134</v>
      </c>
      <c r="B1036" t="s">
        <v>135</v>
      </c>
      <c r="C1036">
        <v>22002351</v>
      </c>
      <c r="D1036">
        <v>1205</v>
      </c>
      <c r="E1036" s="11">
        <v>44788</v>
      </c>
      <c r="F1036" t="s">
        <v>181</v>
      </c>
      <c r="G1036">
        <v>185.06</v>
      </c>
      <c r="H1036">
        <v>185.06</v>
      </c>
      <c r="I1036" t="s">
        <v>56</v>
      </c>
      <c r="O1036" t="s">
        <v>57</v>
      </c>
      <c r="Q1036" t="s">
        <v>57</v>
      </c>
      <c r="R1036" t="s">
        <v>137</v>
      </c>
      <c r="T1036" t="s">
        <v>59</v>
      </c>
      <c r="U1036" t="s">
        <v>60</v>
      </c>
      <c r="V1036" t="s">
        <v>138</v>
      </c>
      <c r="W1036" t="s">
        <v>139</v>
      </c>
      <c r="X1036">
        <v>1932181</v>
      </c>
      <c r="Y1036" s="11">
        <v>44788</v>
      </c>
      <c r="Z1036" t="s">
        <v>57</v>
      </c>
      <c r="AA1036">
        <v>2</v>
      </c>
      <c r="AB1036" t="s">
        <v>57</v>
      </c>
      <c r="AD1036" t="s">
        <v>57</v>
      </c>
      <c r="AE1036" t="s">
        <v>57</v>
      </c>
      <c r="AF1036" t="s">
        <v>57</v>
      </c>
      <c r="AG1036">
        <v>10</v>
      </c>
      <c r="AH1036" t="s">
        <v>57</v>
      </c>
      <c r="AL1036" t="s">
        <v>57</v>
      </c>
      <c r="AM1036" s="11">
        <v>44788</v>
      </c>
      <c r="AN1036" t="s">
        <v>178</v>
      </c>
      <c r="AO1036" t="s">
        <v>65</v>
      </c>
      <c r="AP1036">
        <v>1205</v>
      </c>
      <c r="AQ1036" t="s">
        <v>66</v>
      </c>
      <c r="AR1036">
        <v>268408</v>
      </c>
      <c r="AU1036" t="s">
        <v>57</v>
      </c>
      <c r="AV1036" t="s">
        <v>68</v>
      </c>
      <c r="AX1036" t="s">
        <v>57</v>
      </c>
      <c r="AY1036">
        <v>631110</v>
      </c>
      <c r="AZ1036">
        <v>1205.63111</v>
      </c>
      <c r="BA1036" s="23" t="s">
        <v>13</v>
      </c>
    </row>
    <row r="1037" spans="1:53" x14ac:dyDescent="0.25">
      <c r="A1037" t="s">
        <v>134</v>
      </c>
      <c r="B1037" t="s">
        <v>135</v>
      </c>
      <c r="C1037">
        <v>22002352</v>
      </c>
      <c r="D1037">
        <v>1205</v>
      </c>
      <c r="E1037" s="11">
        <v>44788</v>
      </c>
      <c r="F1037" t="s">
        <v>174</v>
      </c>
      <c r="G1037">
        <v>0.48</v>
      </c>
      <c r="H1037">
        <v>0.48</v>
      </c>
      <c r="I1037" t="s">
        <v>56</v>
      </c>
      <c r="O1037" t="s">
        <v>57</v>
      </c>
      <c r="Q1037" t="s">
        <v>57</v>
      </c>
      <c r="R1037" t="s">
        <v>137</v>
      </c>
      <c r="T1037" t="s">
        <v>59</v>
      </c>
      <c r="U1037" t="s">
        <v>60</v>
      </c>
      <c r="V1037" t="s">
        <v>138</v>
      </c>
      <c r="W1037" t="s">
        <v>139</v>
      </c>
      <c r="X1037">
        <v>1932181</v>
      </c>
      <c r="Y1037" s="11">
        <v>44788</v>
      </c>
      <c r="Z1037" t="s">
        <v>57</v>
      </c>
      <c r="AA1037">
        <v>2</v>
      </c>
      <c r="AB1037" t="s">
        <v>57</v>
      </c>
      <c r="AD1037" t="s">
        <v>57</v>
      </c>
      <c r="AE1037" t="s">
        <v>57</v>
      </c>
      <c r="AF1037" t="s">
        <v>57</v>
      </c>
      <c r="AG1037">
        <v>1</v>
      </c>
      <c r="AH1037" t="s">
        <v>57</v>
      </c>
      <c r="AL1037" t="s">
        <v>57</v>
      </c>
      <c r="AM1037" s="11">
        <v>44788</v>
      </c>
      <c r="AN1037" t="s">
        <v>178</v>
      </c>
      <c r="AO1037" t="s">
        <v>65</v>
      </c>
      <c r="AP1037">
        <v>1205</v>
      </c>
      <c r="AQ1037" t="s">
        <v>66</v>
      </c>
      <c r="AR1037">
        <v>90122</v>
      </c>
      <c r="AU1037" t="s">
        <v>57</v>
      </c>
      <c r="AV1037" t="s">
        <v>68</v>
      </c>
      <c r="AX1037" t="s">
        <v>57</v>
      </c>
      <c r="AY1037">
        <v>631110</v>
      </c>
      <c r="AZ1037">
        <v>1205.63111</v>
      </c>
      <c r="BA1037" s="23" t="s">
        <v>13</v>
      </c>
    </row>
    <row r="1038" spans="1:53" x14ac:dyDescent="0.25">
      <c r="A1038" t="s">
        <v>134</v>
      </c>
      <c r="B1038" t="s">
        <v>135</v>
      </c>
      <c r="C1038">
        <v>22002353</v>
      </c>
      <c r="D1038">
        <v>1205</v>
      </c>
      <c r="E1038" s="11">
        <v>44788</v>
      </c>
      <c r="F1038" t="s">
        <v>174</v>
      </c>
      <c r="G1038">
        <v>31.13</v>
      </c>
      <c r="H1038">
        <v>31.13</v>
      </c>
      <c r="I1038" t="s">
        <v>56</v>
      </c>
      <c r="O1038" t="s">
        <v>57</v>
      </c>
      <c r="Q1038" t="s">
        <v>57</v>
      </c>
      <c r="R1038" t="s">
        <v>137</v>
      </c>
      <c r="T1038" t="s">
        <v>59</v>
      </c>
      <c r="U1038" t="s">
        <v>60</v>
      </c>
      <c r="V1038" t="s">
        <v>138</v>
      </c>
      <c r="W1038" t="s">
        <v>139</v>
      </c>
      <c r="X1038">
        <v>1932237</v>
      </c>
      <c r="Y1038" s="11">
        <v>44788</v>
      </c>
      <c r="Z1038" t="s">
        <v>57</v>
      </c>
      <c r="AA1038">
        <v>2</v>
      </c>
      <c r="AB1038" t="s">
        <v>57</v>
      </c>
      <c r="AD1038" t="s">
        <v>57</v>
      </c>
      <c r="AE1038" t="s">
        <v>57</v>
      </c>
      <c r="AF1038" t="s">
        <v>57</v>
      </c>
      <c r="AG1038">
        <v>1</v>
      </c>
      <c r="AH1038" t="s">
        <v>57</v>
      </c>
      <c r="AL1038" t="s">
        <v>57</v>
      </c>
      <c r="AM1038" s="11">
        <v>44788</v>
      </c>
      <c r="AN1038" t="s">
        <v>178</v>
      </c>
      <c r="AO1038" t="s">
        <v>65</v>
      </c>
      <c r="AP1038">
        <v>1205</v>
      </c>
      <c r="AQ1038" t="s">
        <v>66</v>
      </c>
      <c r="AR1038">
        <v>227906</v>
      </c>
      <c r="AU1038" t="s">
        <v>57</v>
      </c>
      <c r="AV1038" t="s">
        <v>68</v>
      </c>
      <c r="AX1038" t="s">
        <v>57</v>
      </c>
      <c r="AY1038">
        <v>631110</v>
      </c>
      <c r="AZ1038">
        <v>1205.63111</v>
      </c>
      <c r="BA1038" s="23" t="s">
        <v>13</v>
      </c>
    </row>
    <row r="1039" spans="1:53" x14ac:dyDescent="0.25">
      <c r="A1039" t="s">
        <v>134</v>
      </c>
      <c r="B1039" t="s">
        <v>135</v>
      </c>
      <c r="C1039">
        <v>22002354</v>
      </c>
      <c r="D1039">
        <v>1205</v>
      </c>
      <c r="E1039" s="11">
        <v>44788</v>
      </c>
      <c r="F1039" t="s">
        <v>174</v>
      </c>
      <c r="G1039">
        <v>3.73</v>
      </c>
      <c r="H1039">
        <v>3.73</v>
      </c>
      <c r="I1039" t="s">
        <v>56</v>
      </c>
      <c r="O1039" t="s">
        <v>57</v>
      </c>
      <c r="Q1039" t="s">
        <v>57</v>
      </c>
      <c r="R1039" t="s">
        <v>137</v>
      </c>
      <c r="T1039" t="s">
        <v>59</v>
      </c>
      <c r="U1039" t="s">
        <v>60</v>
      </c>
      <c r="V1039" t="s">
        <v>138</v>
      </c>
      <c r="W1039" t="s">
        <v>139</v>
      </c>
      <c r="X1039">
        <v>1932339</v>
      </c>
      <c r="Y1039" s="11">
        <v>44788</v>
      </c>
      <c r="Z1039" t="s">
        <v>57</v>
      </c>
      <c r="AA1039">
        <v>2</v>
      </c>
      <c r="AB1039" t="s">
        <v>57</v>
      </c>
      <c r="AD1039" t="s">
        <v>57</v>
      </c>
      <c r="AE1039" t="s">
        <v>57</v>
      </c>
      <c r="AF1039" t="s">
        <v>57</v>
      </c>
      <c r="AG1039">
        <v>2</v>
      </c>
      <c r="AH1039" t="s">
        <v>57</v>
      </c>
      <c r="AL1039" t="s">
        <v>57</v>
      </c>
      <c r="AM1039" s="11">
        <v>44788</v>
      </c>
      <c r="AN1039" t="s">
        <v>178</v>
      </c>
      <c r="AO1039" t="s">
        <v>65</v>
      </c>
      <c r="AP1039">
        <v>1205</v>
      </c>
      <c r="AQ1039" t="s">
        <v>66</v>
      </c>
      <c r="AR1039">
        <v>270192</v>
      </c>
      <c r="AU1039" t="s">
        <v>57</v>
      </c>
      <c r="AV1039" t="s">
        <v>68</v>
      </c>
      <c r="AX1039" t="s">
        <v>57</v>
      </c>
      <c r="AY1039">
        <v>631110</v>
      </c>
      <c r="AZ1039">
        <v>1205.63111</v>
      </c>
      <c r="BA1039" s="23" t="s">
        <v>13</v>
      </c>
    </row>
    <row r="1040" spans="1:53" x14ac:dyDescent="0.25">
      <c r="A1040" t="s">
        <v>134</v>
      </c>
      <c r="B1040" t="s">
        <v>135</v>
      </c>
      <c r="C1040">
        <v>22002356</v>
      </c>
      <c r="D1040">
        <v>1205</v>
      </c>
      <c r="E1040" s="11">
        <v>44789</v>
      </c>
      <c r="F1040" t="s">
        <v>174</v>
      </c>
      <c r="G1040">
        <v>0.05</v>
      </c>
      <c r="H1040">
        <v>0.05</v>
      </c>
      <c r="I1040" t="s">
        <v>56</v>
      </c>
      <c r="O1040" t="s">
        <v>57</v>
      </c>
      <c r="Q1040" t="s">
        <v>57</v>
      </c>
      <c r="R1040" t="s">
        <v>137</v>
      </c>
      <c r="T1040" t="s">
        <v>59</v>
      </c>
      <c r="U1040" t="s">
        <v>60</v>
      </c>
      <c r="V1040" t="s">
        <v>138</v>
      </c>
      <c r="W1040" t="s">
        <v>139</v>
      </c>
      <c r="X1040">
        <v>1933128</v>
      </c>
      <c r="Y1040" s="11">
        <v>44789</v>
      </c>
      <c r="Z1040" t="s">
        <v>57</v>
      </c>
      <c r="AA1040">
        <v>2</v>
      </c>
      <c r="AB1040" t="s">
        <v>57</v>
      </c>
      <c r="AD1040" t="s">
        <v>57</v>
      </c>
      <c r="AE1040" t="s">
        <v>57</v>
      </c>
      <c r="AF1040" t="s">
        <v>57</v>
      </c>
      <c r="AG1040">
        <v>1</v>
      </c>
      <c r="AH1040" t="s">
        <v>57</v>
      </c>
      <c r="AL1040" t="s">
        <v>57</v>
      </c>
      <c r="AM1040" s="11">
        <v>44789</v>
      </c>
      <c r="AN1040" t="s">
        <v>178</v>
      </c>
      <c r="AO1040" t="s">
        <v>65</v>
      </c>
      <c r="AP1040">
        <v>1205</v>
      </c>
      <c r="AQ1040" t="s">
        <v>66</v>
      </c>
      <c r="AR1040">
        <v>88523</v>
      </c>
      <c r="AU1040" t="s">
        <v>57</v>
      </c>
      <c r="AV1040" t="s">
        <v>68</v>
      </c>
      <c r="AX1040" t="s">
        <v>57</v>
      </c>
      <c r="AY1040">
        <v>631110</v>
      </c>
      <c r="AZ1040">
        <v>1205.63111</v>
      </c>
      <c r="BA1040" s="23" t="s">
        <v>13</v>
      </c>
    </row>
    <row r="1041" spans="1:53" x14ac:dyDescent="0.25">
      <c r="A1041" t="s">
        <v>134</v>
      </c>
      <c r="B1041" t="s">
        <v>135</v>
      </c>
      <c r="C1041">
        <v>22002356</v>
      </c>
      <c r="D1041">
        <v>1205</v>
      </c>
      <c r="E1041" s="11">
        <v>44789</v>
      </c>
      <c r="F1041" t="s">
        <v>174</v>
      </c>
      <c r="G1041">
        <v>0.05</v>
      </c>
      <c r="H1041">
        <v>0.05</v>
      </c>
      <c r="I1041" t="s">
        <v>56</v>
      </c>
      <c r="O1041" t="s">
        <v>57</v>
      </c>
      <c r="Q1041" t="s">
        <v>57</v>
      </c>
      <c r="R1041" t="s">
        <v>137</v>
      </c>
      <c r="T1041" t="s">
        <v>59</v>
      </c>
      <c r="U1041" t="s">
        <v>60</v>
      </c>
      <c r="V1041" t="s">
        <v>138</v>
      </c>
      <c r="W1041" t="s">
        <v>139</v>
      </c>
      <c r="X1041">
        <v>1933128</v>
      </c>
      <c r="Y1041" s="11">
        <v>44789</v>
      </c>
      <c r="Z1041" t="s">
        <v>57</v>
      </c>
      <c r="AA1041">
        <v>4</v>
      </c>
      <c r="AB1041" t="s">
        <v>57</v>
      </c>
      <c r="AD1041" t="s">
        <v>57</v>
      </c>
      <c r="AE1041" t="s">
        <v>57</v>
      </c>
      <c r="AF1041" t="s">
        <v>57</v>
      </c>
      <c r="AG1041">
        <v>1</v>
      </c>
      <c r="AH1041" t="s">
        <v>57</v>
      </c>
      <c r="AL1041" t="s">
        <v>57</v>
      </c>
      <c r="AM1041" s="11">
        <v>44789</v>
      </c>
      <c r="AN1041" t="s">
        <v>178</v>
      </c>
      <c r="AO1041" t="s">
        <v>65</v>
      </c>
      <c r="AP1041">
        <v>1205</v>
      </c>
      <c r="AQ1041" t="s">
        <v>66</v>
      </c>
      <c r="AR1041">
        <v>90043</v>
      </c>
      <c r="AU1041" t="s">
        <v>57</v>
      </c>
      <c r="AV1041" t="s">
        <v>68</v>
      </c>
      <c r="AX1041" t="s">
        <v>57</v>
      </c>
      <c r="AY1041">
        <v>631110</v>
      </c>
      <c r="AZ1041">
        <v>1205.63111</v>
      </c>
      <c r="BA1041" s="23" t="s">
        <v>13</v>
      </c>
    </row>
    <row r="1042" spans="1:53" x14ac:dyDescent="0.25">
      <c r="A1042" t="s">
        <v>134</v>
      </c>
      <c r="B1042" t="s">
        <v>135</v>
      </c>
      <c r="C1042">
        <v>22002356</v>
      </c>
      <c r="D1042">
        <v>1205</v>
      </c>
      <c r="E1042" s="11">
        <v>44789</v>
      </c>
      <c r="F1042" t="s">
        <v>174</v>
      </c>
      <c r="G1042">
        <v>0.45</v>
      </c>
      <c r="H1042">
        <v>0.45</v>
      </c>
      <c r="I1042" t="s">
        <v>56</v>
      </c>
      <c r="O1042" t="s">
        <v>57</v>
      </c>
      <c r="Q1042" t="s">
        <v>57</v>
      </c>
      <c r="R1042" t="s">
        <v>137</v>
      </c>
      <c r="T1042" t="s">
        <v>59</v>
      </c>
      <c r="U1042" t="s">
        <v>60</v>
      </c>
      <c r="V1042" t="s">
        <v>138</v>
      </c>
      <c r="W1042" t="s">
        <v>139</v>
      </c>
      <c r="X1042">
        <v>1933128</v>
      </c>
      <c r="Y1042" s="11">
        <v>44789</v>
      </c>
      <c r="Z1042" t="s">
        <v>57</v>
      </c>
      <c r="AA1042">
        <v>6</v>
      </c>
      <c r="AB1042" t="s">
        <v>57</v>
      </c>
      <c r="AD1042" t="s">
        <v>57</v>
      </c>
      <c r="AE1042" t="s">
        <v>57</v>
      </c>
      <c r="AF1042" t="s">
        <v>57</v>
      </c>
      <c r="AG1042">
        <v>1</v>
      </c>
      <c r="AH1042" t="s">
        <v>57</v>
      </c>
      <c r="AL1042" t="s">
        <v>57</v>
      </c>
      <c r="AM1042" s="11">
        <v>44789</v>
      </c>
      <c r="AN1042" t="s">
        <v>178</v>
      </c>
      <c r="AO1042" t="s">
        <v>65</v>
      </c>
      <c r="AP1042">
        <v>1205</v>
      </c>
      <c r="AQ1042" t="s">
        <v>66</v>
      </c>
      <c r="AR1042">
        <v>89866</v>
      </c>
      <c r="AU1042" t="s">
        <v>57</v>
      </c>
      <c r="AV1042" t="s">
        <v>68</v>
      </c>
      <c r="AX1042" t="s">
        <v>57</v>
      </c>
      <c r="AY1042">
        <v>631110</v>
      </c>
      <c r="AZ1042">
        <v>1205.63111</v>
      </c>
      <c r="BA1042" s="23" t="s">
        <v>13</v>
      </c>
    </row>
    <row r="1043" spans="1:53" x14ac:dyDescent="0.25">
      <c r="A1043" t="s">
        <v>134</v>
      </c>
      <c r="B1043" t="s">
        <v>135</v>
      </c>
      <c r="C1043">
        <v>22002356</v>
      </c>
      <c r="D1043">
        <v>1205</v>
      </c>
      <c r="E1043" s="11">
        <v>44789</v>
      </c>
      <c r="F1043" t="s">
        <v>174</v>
      </c>
      <c r="G1043">
        <v>0.46</v>
      </c>
      <c r="H1043">
        <v>0.46</v>
      </c>
      <c r="I1043" t="s">
        <v>56</v>
      </c>
      <c r="O1043" t="s">
        <v>57</v>
      </c>
      <c r="Q1043" t="s">
        <v>57</v>
      </c>
      <c r="R1043" t="s">
        <v>137</v>
      </c>
      <c r="T1043" t="s">
        <v>59</v>
      </c>
      <c r="U1043" t="s">
        <v>60</v>
      </c>
      <c r="V1043" t="s">
        <v>138</v>
      </c>
      <c r="W1043" t="s">
        <v>139</v>
      </c>
      <c r="X1043">
        <v>1933128</v>
      </c>
      <c r="Y1043" s="11">
        <v>44789</v>
      </c>
      <c r="Z1043" t="s">
        <v>57</v>
      </c>
      <c r="AA1043">
        <v>8</v>
      </c>
      <c r="AB1043" t="s">
        <v>57</v>
      </c>
      <c r="AD1043" t="s">
        <v>57</v>
      </c>
      <c r="AE1043" t="s">
        <v>57</v>
      </c>
      <c r="AF1043" t="s">
        <v>57</v>
      </c>
      <c r="AG1043">
        <v>1</v>
      </c>
      <c r="AH1043" t="s">
        <v>57</v>
      </c>
      <c r="AL1043" t="s">
        <v>57</v>
      </c>
      <c r="AM1043" s="11">
        <v>44789</v>
      </c>
      <c r="AN1043" t="s">
        <v>178</v>
      </c>
      <c r="AO1043" t="s">
        <v>65</v>
      </c>
      <c r="AP1043">
        <v>1205</v>
      </c>
      <c r="AQ1043" t="s">
        <v>66</v>
      </c>
      <c r="AR1043">
        <v>89868</v>
      </c>
      <c r="AU1043" t="s">
        <v>57</v>
      </c>
      <c r="AV1043" t="s">
        <v>68</v>
      </c>
      <c r="AX1043" t="s">
        <v>57</v>
      </c>
      <c r="AY1043">
        <v>631110</v>
      </c>
      <c r="AZ1043">
        <v>1205.63111</v>
      </c>
      <c r="BA1043" s="23" t="s">
        <v>13</v>
      </c>
    </row>
    <row r="1044" spans="1:53" x14ac:dyDescent="0.25">
      <c r="A1044" t="s">
        <v>134</v>
      </c>
      <c r="B1044" t="s">
        <v>135</v>
      </c>
      <c r="C1044">
        <v>22002356</v>
      </c>
      <c r="D1044">
        <v>1205</v>
      </c>
      <c r="E1044" s="11">
        <v>44789</v>
      </c>
      <c r="F1044" t="s">
        <v>174</v>
      </c>
      <c r="G1044">
        <v>3.36</v>
      </c>
      <c r="H1044">
        <v>3.36</v>
      </c>
      <c r="I1044" t="s">
        <v>56</v>
      </c>
      <c r="O1044" t="s">
        <v>57</v>
      </c>
      <c r="Q1044" t="s">
        <v>57</v>
      </c>
      <c r="R1044" t="s">
        <v>137</v>
      </c>
      <c r="T1044" t="s">
        <v>59</v>
      </c>
      <c r="U1044" t="s">
        <v>60</v>
      </c>
      <c r="V1044" t="s">
        <v>138</v>
      </c>
      <c r="W1044" t="s">
        <v>139</v>
      </c>
      <c r="X1044">
        <v>1933128</v>
      </c>
      <c r="Y1044" s="11">
        <v>44789</v>
      </c>
      <c r="Z1044" t="s">
        <v>57</v>
      </c>
      <c r="AA1044">
        <v>14</v>
      </c>
      <c r="AB1044" t="s">
        <v>57</v>
      </c>
      <c r="AD1044" t="s">
        <v>57</v>
      </c>
      <c r="AE1044" t="s">
        <v>57</v>
      </c>
      <c r="AF1044" t="s">
        <v>57</v>
      </c>
      <c r="AG1044">
        <v>1</v>
      </c>
      <c r="AH1044" t="s">
        <v>57</v>
      </c>
      <c r="AL1044" t="s">
        <v>57</v>
      </c>
      <c r="AM1044" s="11">
        <v>44789</v>
      </c>
      <c r="AN1044" t="s">
        <v>178</v>
      </c>
      <c r="AO1044" t="s">
        <v>65</v>
      </c>
      <c r="AP1044">
        <v>1205</v>
      </c>
      <c r="AQ1044" t="s">
        <v>66</v>
      </c>
      <c r="AR1044">
        <v>206793</v>
      </c>
      <c r="AU1044" t="s">
        <v>57</v>
      </c>
      <c r="AV1044" t="s">
        <v>68</v>
      </c>
      <c r="AX1044" t="s">
        <v>57</v>
      </c>
      <c r="AY1044">
        <v>631110</v>
      </c>
      <c r="AZ1044">
        <v>1205.63111</v>
      </c>
      <c r="BA1044" s="23" t="s">
        <v>13</v>
      </c>
    </row>
    <row r="1045" spans="1:53" x14ac:dyDescent="0.25">
      <c r="A1045" t="s">
        <v>134</v>
      </c>
      <c r="B1045" t="s">
        <v>135</v>
      </c>
      <c r="C1045">
        <v>22002356</v>
      </c>
      <c r="D1045">
        <v>1205</v>
      </c>
      <c r="E1045" s="11">
        <v>44789</v>
      </c>
      <c r="F1045" t="s">
        <v>174</v>
      </c>
      <c r="G1045">
        <v>0.21</v>
      </c>
      <c r="H1045">
        <v>0.21</v>
      </c>
      <c r="I1045" t="s">
        <v>56</v>
      </c>
      <c r="O1045" t="s">
        <v>57</v>
      </c>
      <c r="Q1045" t="s">
        <v>57</v>
      </c>
      <c r="R1045" t="s">
        <v>137</v>
      </c>
      <c r="T1045" t="s">
        <v>59</v>
      </c>
      <c r="U1045" t="s">
        <v>60</v>
      </c>
      <c r="V1045" t="s">
        <v>138</v>
      </c>
      <c r="W1045" t="s">
        <v>139</v>
      </c>
      <c r="X1045">
        <v>1933128</v>
      </c>
      <c r="Y1045" s="11">
        <v>44789</v>
      </c>
      <c r="Z1045" t="s">
        <v>57</v>
      </c>
      <c r="AA1045">
        <v>16</v>
      </c>
      <c r="AB1045" t="s">
        <v>57</v>
      </c>
      <c r="AD1045" t="s">
        <v>57</v>
      </c>
      <c r="AE1045" t="s">
        <v>57</v>
      </c>
      <c r="AF1045" t="s">
        <v>57</v>
      </c>
      <c r="AG1045">
        <v>1</v>
      </c>
      <c r="AH1045" t="s">
        <v>57</v>
      </c>
      <c r="AL1045" t="s">
        <v>57</v>
      </c>
      <c r="AM1045" s="11">
        <v>44789</v>
      </c>
      <c r="AN1045" t="s">
        <v>178</v>
      </c>
      <c r="AO1045" t="s">
        <v>65</v>
      </c>
      <c r="AP1045">
        <v>1205</v>
      </c>
      <c r="AQ1045" t="s">
        <v>66</v>
      </c>
      <c r="AR1045">
        <v>89653</v>
      </c>
      <c r="AU1045" t="s">
        <v>57</v>
      </c>
      <c r="AV1045" t="s">
        <v>68</v>
      </c>
      <c r="AX1045" t="s">
        <v>57</v>
      </c>
      <c r="AY1045">
        <v>631110</v>
      </c>
      <c r="AZ1045">
        <v>1205.63111</v>
      </c>
      <c r="BA1045" s="23" t="s">
        <v>13</v>
      </c>
    </row>
    <row r="1046" spans="1:53" x14ac:dyDescent="0.25">
      <c r="A1046" t="s">
        <v>134</v>
      </c>
      <c r="B1046" t="s">
        <v>135</v>
      </c>
      <c r="C1046">
        <v>22002356</v>
      </c>
      <c r="D1046">
        <v>1205</v>
      </c>
      <c r="E1046" s="11">
        <v>44789</v>
      </c>
      <c r="F1046" t="s">
        <v>174</v>
      </c>
      <c r="G1046">
        <v>41.54</v>
      </c>
      <c r="H1046">
        <v>41.54</v>
      </c>
      <c r="I1046" t="s">
        <v>56</v>
      </c>
      <c r="O1046" t="s">
        <v>57</v>
      </c>
      <c r="Q1046" t="s">
        <v>57</v>
      </c>
      <c r="R1046" t="s">
        <v>137</v>
      </c>
      <c r="T1046" t="s">
        <v>59</v>
      </c>
      <c r="U1046" t="s">
        <v>60</v>
      </c>
      <c r="V1046" t="s">
        <v>138</v>
      </c>
      <c r="W1046" t="s">
        <v>139</v>
      </c>
      <c r="X1046">
        <v>1933128</v>
      </c>
      <c r="Y1046" s="11">
        <v>44789</v>
      </c>
      <c r="Z1046" t="s">
        <v>57</v>
      </c>
      <c r="AA1046">
        <v>10</v>
      </c>
      <c r="AB1046" t="s">
        <v>57</v>
      </c>
      <c r="AD1046" t="s">
        <v>57</v>
      </c>
      <c r="AE1046" t="s">
        <v>57</v>
      </c>
      <c r="AF1046" t="s">
        <v>57</v>
      </c>
      <c r="AG1046">
        <v>1</v>
      </c>
      <c r="AH1046" t="s">
        <v>57</v>
      </c>
      <c r="AL1046" t="s">
        <v>57</v>
      </c>
      <c r="AM1046" s="11">
        <v>44789</v>
      </c>
      <c r="AN1046" t="s">
        <v>178</v>
      </c>
      <c r="AO1046" t="s">
        <v>65</v>
      </c>
      <c r="AP1046">
        <v>1205</v>
      </c>
      <c r="AQ1046" t="s">
        <v>66</v>
      </c>
      <c r="AR1046">
        <v>216340</v>
      </c>
      <c r="AU1046" t="s">
        <v>57</v>
      </c>
      <c r="AV1046" t="s">
        <v>68</v>
      </c>
      <c r="AX1046" t="s">
        <v>57</v>
      </c>
      <c r="AY1046">
        <v>631110</v>
      </c>
      <c r="AZ1046">
        <v>1205.63111</v>
      </c>
      <c r="BA1046" s="23" t="s">
        <v>13</v>
      </c>
    </row>
    <row r="1047" spans="1:53" x14ac:dyDescent="0.25">
      <c r="A1047" t="s">
        <v>134</v>
      </c>
      <c r="B1047" t="s">
        <v>135</v>
      </c>
      <c r="C1047">
        <v>22002356</v>
      </c>
      <c r="D1047">
        <v>1205</v>
      </c>
      <c r="E1047" s="11">
        <v>44789</v>
      </c>
      <c r="F1047" t="s">
        <v>174</v>
      </c>
      <c r="G1047">
        <v>3.94</v>
      </c>
      <c r="H1047">
        <v>3.94</v>
      </c>
      <c r="I1047" t="s">
        <v>56</v>
      </c>
      <c r="O1047" t="s">
        <v>57</v>
      </c>
      <c r="Q1047" t="s">
        <v>57</v>
      </c>
      <c r="R1047" t="s">
        <v>137</v>
      </c>
      <c r="T1047" t="s">
        <v>59</v>
      </c>
      <c r="U1047" t="s">
        <v>60</v>
      </c>
      <c r="V1047" t="s">
        <v>138</v>
      </c>
      <c r="W1047" t="s">
        <v>139</v>
      </c>
      <c r="X1047">
        <v>1933128</v>
      </c>
      <c r="Y1047" s="11">
        <v>44789</v>
      </c>
      <c r="Z1047" t="s">
        <v>57</v>
      </c>
      <c r="AA1047">
        <v>12</v>
      </c>
      <c r="AB1047" t="s">
        <v>57</v>
      </c>
      <c r="AD1047" t="s">
        <v>57</v>
      </c>
      <c r="AE1047" t="s">
        <v>57</v>
      </c>
      <c r="AF1047" t="s">
        <v>57</v>
      </c>
      <c r="AG1047">
        <v>1</v>
      </c>
      <c r="AH1047" t="s">
        <v>57</v>
      </c>
      <c r="AL1047" t="s">
        <v>57</v>
      </c>
      <c r="AM1047" s="11">
        <v>44789</v>
      </c>
      <c r="AN1047" t="s">
        <v>178</v>
      </c>
      <c r="AO1047" t="s">
        <v>65</v>
      </c>
      <c r="AP1047">
        <v>1205</v>
      </c>
      <c r="AQ1047" t="s">
        <v>66</v>
      </c>
      <c r="AR1047">
        <v>220122</v>
      </c>
      <c r="AU1047" t="s">
        <v>57</v>
      </c>
      <c r="AV1047" t="s">
        <v>68</v>
      </c>
      <c r="AX1047" t="s">
        <v>57</v>
      </c>
      <c r="AY1047">
        <v>631110</v>
      </c>
      <c r="AZ1047">
        <v>1205.63111</v>
      </c>
      <c r="BA1047" s="23" t="s">
        <v>13</v>
      </c>
    </row>
    <row r="1048" spans="1:53" x14ac:dyDescent="0.25">
      <c r="A1048" t="s">
        <v>134</v>
      </c>
      <c r="B1048" t="s">
        <v>135</v>
      </c>
      <c r="C1048">
        <v>22002357</v>
      </c>
      <c r="D1048">
        <v>1205</v>
      </c>
      <c r="E1048" s="11">
        <v>44789</v>
      </c>
      <c r="F1048" t="s">
        <v>174</v>
      </c>
      <c r="G1048">
        <v>3.36</v>
      </c>
      <c r="H1048">
        <v>3.36</v>
      </c>
      <c r="I1048" t="s">
        <v>56</v>
      </c>
      <c r="O1048" t="s">
        <v>57</v>
      </c>
      <c r="Q1048" t="s">
        <v>57</v>
      </c>
      <c r="R1048" t="s">
        <v>137</v>
      </c>
      <c r="T1048" t="s">
        <v>59</v>
      </c>
      <c r="U1048" t="s">
        <v>60</v>
      </c>
      <c r="V1048" t="s">
        <v>138</v>
      </c>
      <c r="W1048" t="s">
        <v>139</v>
      </c>
      <c r="X1048">
        <v>1933130</v>
      </c>
      <c r="Y1048" s="11">
        <v>44789</v>
      </c>
      <c r="Z1048" t="s">
        <v>57</v>
      </c>
      <c r="AA1048">
        <v>2</v>
      </c>
      <c r="AB1048" t="s">
        <v>57</v>
      </c>
      <c r="AD1048" t="s">
        <v>57</v>
      </c>
      <c r="AE1048" t="s">
        <v>57</v>
      </c>
      <c r="AF1048" t="s">
        <v>57</v>
      </c>
      <c r="AG1048">
        <v>1</v>
      </c>
      <c r="AH1048" t="s">
        <v>57</v>
      </c>
      <c r="AL1048" t="s">
        <v>57</v>
      </c>
      <c r="AM1048" s="11">
        <v>44789</v>
      </c>
      <c r="AN1048" t="s">
        <v>178</v>
      </c>
      <c r="AO1048" t="s">
        <v>65</v>
      </c>
      <c r="AP1048">
        <v>1205</v>
      </c>
      <c r="AQ1048" t="s">
        <v>66</v>
      </c>
      <c r="AR1048">
        <v>206793</v>
      </c>
      <c r="AU1048" t="s">
        <v>57</v>
      </c>
      <c r="AV1048" t="s">
        <v>68</v>
      </c>
      <c r="AX1048" t="s">
        <v>57</v>
      </c>
      <c r="AY1048">
        <v>631110</v>
      </c>
      <c r="AZ1048">
        <v>1205.63111</v>
      </c>
      <c r="BA1048" s="23" t="s">
        <v>13</v>
      </c>
    </row>
    <row r="1049" spans="1:53" x14ac:dyDescent="0.25">
      <c r="A1049" t="s">
        <v>134</v>
      </c>
      <c r="B1049" t="s">
        <v>135</v>
      </c>
      <c r="C1049">
        <v>22002358</v>
      </c>
      <c r="D1049">
        <v>1205</v>
      </c>
      <c r="E1049" s="11">
        <v>44789</v>
      </c>
      <c r="F1049" t="s">
        <v>174</v>
      </c>
      <c r="G1049">
        <v>1.41</v>
      </c>
      <c r="H1049">
        <v>1.41</v>
      </c>
      <c r="I1049" t="s">
        <v>56</v>
      </c>
      <c r="O1049" t="s">
        <v>57</v>
      </c>
      <c r="Q1049" t="s">
        <v>57</v>
      </c>
      <c r="R1049" t="s">
        <v>137</v>
      </c>
      <c r="T1049" t="s">
        <v>59</v>
      </c>
      <c r="U1049" t="s">
        <v>60</v>
      </c>
      <c r="V1049" t="s">
        <v>138</v>
      </c>
      <c r="W1049" t="s">
        <v>139</v>
      </c>
      <c r="X1049">
        <v>1933165</v>
      </c>
      <c r="Y1049" s="11">
        <v>44789</v>
      </c>
      <c r="Z1049" t="s">
        <v>57</v>
      </c>
      <c r="AA1049">
        <v>2</v>
      </c>
      <c r="AB1049" t="s">
        <v>57</v>
      </c>
      <c r="AD1049" t="s">
        <v>57</v>
      </c>
      <c r="AE1049" t="s">
        <v>57</v>
      </c>
      <c r="AF1049" t="s">
        <v>57</v>
      </c>
      <c r="AG1049">
        <v>1</v>
      </c>
      <c r="AH1049" t="s">
        <v>57</v>
      </c>
      <c r="AL1049" t="s">
        <v>57</v>
      </c>
      <c r="AM1049" s="11">
        <v>44789</v>
      </c>
      <c r="AN1049" t="s">
        <v>178</v>
      </c>
      <c r="AO1049" t="s">
        <v>65</v>
      </c>
      <c r="AP1049">
        <v>1205</v>
      </c>
      <c r="AQ1049" t="s">
        <v>66</v>
      </c>
      <c r="AR1049">
        <v>88624</v>
      </c>
      <c r="AU1049" t="s">
        <v>57</v>
      </c>
      <c r="AV1049" t="s">
        <v>68</v>
      </c>
      <c r="AX1049" t="s">
        <v>57</v>
      </c>
      <c r="AY1049">
        <v>631110</v>
      </c>
      <c r="AZ1049">
        <v>1205.63111</v>
      </c>
      <c r="BA1049" s="23" t="s">
        <v>13</v>
      </c>
    </row>
    <row r="1050" spans="1:53" x14ac:dyDescent="0.25">
      <c r="A1050" t="s">
        <v>134</v>
      </c>
      <c r="B1050" t="s">
        <v>135</v>
      </c>
      <c r="C1050">
        <v>22002359</v>
      </c>
      <c r="D1050">
        <v>1205</v>
      </c>
      <c r="E1050" s="11">
        <v>44789</v>
      </c>
      <c r="F1050" t="s">
        <v>174</v>
      </c>
      <c r="G1050">
        <v>0.21</v>
      </c>
      <c r="H1050">
        <v>0.21</v>
      </c>
      <c r="I1050" t="s">
        <v>56</v>
      </c>
      <c r="O1050" t="s">
        <v>57</v>
      </c>
      <c r="Q1050" t="s">
        <v>57</v>
      </c>
      <c r="R1050" t="s">
        <v>137</v>
      </c>
      <c r="T1050" t="s">
        <v>59</v>
      </c>
      <c r="U1050" t="s">
        <v>60</v>
      </c>
      <c r="V1050" t="s">
        <v>138</v>
      </c>
      <c r="W1050" t="s">
        <v>139</v>
      </c>
      <c r="X1050">
        <v>1933171</v>
      </c>
      <c r="Y1050" s="11">
        <v>44789</v>
      </c>
      <c r="Z1050" t="s">
        <v>57</v>
      </c>
      <c r="AA1050">
        <v>2</v>
      </c>
      <c r="AB1050" t="s">
        <v>57</v>
      </c>
      <c r="AD1050" t="s">
        <v>57</v>
      </c>
      <c r="AE1050" t="s">
        <v>57</v>
      </c>
      <c r="AF1050" t="s">
        <v>57</v>
      </c>
      <c r="AG1050">
        <v>1</v>
      </c>
      <c r="AH1050" t="s">
        <v>57</v>
      </c>
      <c r="AL1050" t="s">
        <v>57</v>
      </c>
      <c r="AM1050" s="11">
        <v>44789</v>
      </c>
      <c r="AN1050" t="s">
        <v>178</v>
      </c>
      <c r="AO1050" t="s">
        <v>65</v>
      </c>
      <c r="AP1050">
        <v>1205</v>
      </c>
      <c r="AQ1050" t="s">
        <v>66</v>
      </c>
      <c r="AR1050">
        <v>90569</v>
      </c>
      <c r="AU1050" t="s">
        <v>57</v>
      </c>
      <c r="AV1050" t="s">
        <v>68</v>
      </c>
      <c r="AX1050" t="s">
        <v>57</v>
      </c>
      <c r="AY1050">
        <v>631110</v>
      </c>
      <c r="AZ1050">
        <v>1205.63111</v>
      </c>
      <c r="BA1050" s="23" t="s">
        <v>13</v>
      </c>
    </row>
    <row r="1051" spans="1:53" x14ac:dyDescent="0.25">
      <c r="A1051" t="s">
        <v>134</v>
      </c>
      <c r="B1051" t="s">
        <v>135</v>
      </c>
      <c r="C1051">
        <v>22002360</v>
      </c>
      <c r="D1051">
        <v>1205</v>
      </c>
      <c r="E1051" s="11">
        <v>44789</v>
      </c>
      <c r="F1051" t="s">
        <v>307</v>
      </c>
      <c r="G1051">
        <v>0.68</v>
      </c>
      <c r="H1051">
        <v>0.68</v>
      </c>
      <c r="I1051" t="s">
        <v>56</v>
      </c>
      <c r="O1051" t="s">
        <v>57</v>
      </c>
      <c r="Q1051" t="s">
        <v>57</v>
      </c>
      <c r="R1051" t="s">
        <v>137</v>
      </c>
      <c r="T1051" t="s">
        <v>59</v>
      </c>
      <c r="U1051" t="s">
        <v>60</v>
      </c>
      <c r="V1051" t="s">
        <v>138</v>
      </c>
      <c r="W1051" t="s">
        <v>139</v>
      </c>
      <c r="X1051">
        <v>1933172</v>
      </c>
      <c r="Y1051" s="11">
        <v>44789</v>
      </c>
      <c r="Z1051" t="s">
        <v>57</v>
      </c>
      <c r="AA1051">
        <v>2</v>
      </c>
      <c r="AB1051" t="s">
        <v>57</v>
      </c>
      <c r="AD1051" t="s">
        <v>57</v>
      </c>
      <c r="AE1051" t="s">
        <v>57</v>
      </c>
      <c r="AF1051" t="s">
        <v>57</v>
      </c>
      <c r="AG1051">
        <v>9</v>
      </c>
      <c r="AH1051" t="s">
        <v>57</v>
      </c>
      <c r="AL1051" t="s">
        <v>57</v>
      </c>
      <c r="AM1051" s="11">
        <v>44789</v>
      </c>
      <c r="AN1051" t="s">
        <v>180</v>
      </c>
      <c r="AO1051" t="s">
        <v>65</v>
      </c>
      <c r="AP1051">
        <v>1205</v>
      </c>
      <c r="AQ1051" t="s">
        <v>66</v>
      </c>
      <c r="AR1051">
        <v>92908</v>
      </c>
      <c r="AU1051" t="s">
        <v>57</v>
      </c>
      <c r="AV1051" t="s">
        <v>68</v>
      </c>
      <c r="AX1051" t="s">
        <v>57</v>
      </c>
      <c r="AY1051">
        <v>631110</v>
      </c>
      <c r="AZ1051">
        <v>1205.63111</v>
      </c>
      <c r="BA1051" s="23" t="s">
        <v>13</v>
      </c>
    </row>
    <row r="1052" spans="1:53" x14ac:dyDescent="0.25">
      <c r="A1052" t="s">
        <v>134</v>
      </c>
      <c r="B1052" t="s">
        <v>135</v>
      </c>
      <c r="C1052">
        <v>22002360</v>
      </c>
      <c r="D1052">
        <v>1205</v>
      </c>
      <c r="E1052" s="11">
        <v>44789</v>
      </c>
      <c r="F1052" t="s">
        <v>307</v>
      </c>
      <c r="G1052">
        <v>2.75</v>
      </c>
      <c r="H1052">
        <v>2.75</v>
      </c>
      <c r="I1052" t="s">
        <v>56</v>
      </c>
      <c r="O1052" t="s">
        <v>57</v>
      </c>
      <c r="Q1052" t="s">
        <v>57</v>
      </c>
      <c r="R1052" t="s">
        <v>137</v>
      </c>
      <c r="T1052" t="s">
        <v>59</v>
      </c>
      <c r="U1052" t="s">
        <v>60</v>
      </c>
      <c r="V1052" t="s">
        <v>138</v>
      </c>
      <c r="W1052" t="s">
        <v>139</v>
      </c>
      <c r="X1052">
        <v>1933172</v>
      </c>
      <c r="Y1052" s="11">
        <v>44789</v>
      </c>
      <c r="Z1052" t="s">
        <v>57</v>
      </c>
      <c r="AA1052">
        <v>4</v>
      </c>
      <c r="AB1052" t="s">
        <v>57</v>
      </c>
      <c r="AD1052" t="s">
        <v>57</v>
      </c>
      <c r="AE1052" t="s">
        <v>57</v>
      </c>
      <c r="AF1052" t="s">
        <v>57</v>
      </c>
      <c r="AG1052">
        <v>23</v>
      </c>
      <c r="AH1052" t="s">
        <v>57</v>
      </c>
      <c r="AL1052" t="s">
        <v>57</v>
      </c>
      <c r="AM1052" s="11">
        <v>44789</v>
      </c>
      <c r="AN1052" t="s">
        <v>180</v>
      </c>
      <c r="AO1052" t="s">
        <v>65</v>
      </c>
      <c r="AP1052">
        <v>1205</v>
      </c>
      <c r="AQ1052" t="s">
        <v>66</v>
      </c>
      <c r="AR1052">
        <v>267860</v>
      </c>
      <c r="AU1052" t="s">
        <v>57</v>
      </c>
      <c r="AV1052" t="s">
        <v>68</v>
      </c>
      <c r="AX1052" t="s">
        <v>57</v>
      </c>
      <c r="AY1052">
        <v>631110</v>
      </c>
      <c r="AZ1052">
        <v>1205.63111</v>
      </c>
      <c r="BA1052" s="23" t="s">
        <v>13</v>
      </c>
    </row>
    <row r="1053" spans="1:53" x14ac:dyDescent="0.25">
      <c r="A1053" t="s">
        <v>134</v>
      </c>
      <c r="B1053" t="s">
        <v>135</v>
      </c>
      <c r="C1053">
        <v>22002360</v>
      </c>
      <c r="D1053">
        <v>1205</v>
      </c>
      <c r="E1053" s="11">
        <v>44789</v>
      </c>
      <c r="F1053" t="s">
        <v>307</v>
      </c>
      <c r="G1053">
        <v>1.29</v>
      </c>
      <c r="H1053">
        <v>1.29</v>
      </c>
      <c r="I1053" t="s">
        <v>56</v>
      </c>
      <c r="O1053" t="s">
        <v>57</v>
      </c>
      <c r="Q1053" t="s">
        <v>57</v>
      </c>
      <c r="R1053" t="s">
        <v>137</v>
      </c>
      <c r="T1053" t="s">
        <v>59</v>
      </c>
      <c r="U1053" t="s">
        <v>60</v>
      </c>
      <c r="V1053" t="s">
        <v>138</v>
      </c>
      <c r="W1053" t="s">
        <v>139</v>
      </c>
      <c r="X1053">
        <v>1933172</v>
      </c>
      <c r="Y1053" s="11">
        <v>44789</v>
      </c>
      <c r="Z1053" t="s">
        <v>57</v>
      </c>
      <c r="AA1053">
        <v>6</v>
      </c>
      <c r="AB1053" t="s">
        <v>57</v>
      </c>
      <c r="AD1053" t="s">
        <v>57</v>
      </c>
      <c r="AE1053" t="s">
        <v>57</v>
      </c>
      <c r="AF1053" t="s">
        <v>57</v>
      </c>
      <c r="AG1053">
        <v>17</v>
      </c>
      <c r="AH1053" t="s">
        <v>57</v>
      </c>
      <c r="AL1053" t="s">
        <v>57</v>
      </c>
      <c r="AM1053" s="11">
        <v>44789</v>
      </c>
      <c r="AN1053" t="s">
        <v>180</v>
      </c>
      <c r="AO1053" t="s">
        <v>65</v>
      </c>
      <c r="AP1053">
        <v>1205</v>
      </c>
      <c r="AQ1053" t="s">
        <v>66</v>
      </c>
      <c r="AR1053">
        <v>264688</v>
      </c>
      <c r="AU1053" t="s">
        <v>57</v>
      </c>
      <c r="AV1053" t="s">
        <v>68</v>
      </c>
      <c r="AX1053" t="s">
        <v>57</v>
      </c>
      <c r="AY1053">
        <v>631110</v>
      </c>
      <c r="AZ1053">
        <v>1205.63111</v>
      </c>
      <c r="BA1053" s="23" t="s">
        <v>13</v>
      </c>
    </row>
    <row r="1054" spans="1:53" x14ac:dyDescent="0.25">
      <c r="A1054" t="s">
        <v>134</v>
      </c>
      <c r="B1054" t="s">
        <v>135</v>
      </c>
      <c r="C1054">
        <v>22002360</v>
      </c>
      <c r="D1054">
        <v>1205</v>
      </c>
      <c r="E1054" s="11">
        <v>44789</v>
      </c>
      <c r="F1054" t="s">
        <v>307</v>
      </c>
      <c r="G1054">
        <v>1</v>
      </c>
      <c r="H1054">
        <v>1</v>
      </c>
      <c r="I1054" t="s">
        <v>56</v>
      </c>
      <c r="O1054" t="s">
        <v>57</v>
      </c>
      <c r="Q1054" t="s">
        <v>57</v>
      </c>
      <c r="R1054" t="s">
        <v>137</v>
      </c>
      <c r="T1054" t="s">
        <v>59</v>
      </c>
      <c r="U1054" t="s">
        <v>60</v>
      </c>
      <c r="V1054" t="s">
        <v>138</v>
      </c>
      <c r="W1054" t="s">
        <v>139</v>
      </c>
      <c r="X1054">
        <v>1933172</v>
      </c>
      <c r="Y1054" s="11">
        <v>44789</v>
      </c>
      <c r="Z1054" t="s">
        <v>57</v>
      </c>
      <c r="AA1054">
        <v>8</v>
      </c>
      <c r="AB1054" t="s">
        <v>57</v>
      </c>
      <c r="AD1054" t="s">
        <v>57</v>
      </c>
      <c r="AE1054" t="s">
        <v>57</v>
      </c>
      <c r="AF1054" t="s">
        <v>57</v>
      </c>
      <c r="AG1054">
        <v>12</v>
      </c>
      <c r="AH1054" t="s">
        <v>57</v>
      </c>
      <c r="AL1054" t="s">
        <v>57</v>
      </c>
      <c r="AM1054" s="11">
        <v>44789</v>
      </c>
      <c r="AN1054" t="s">
        <v>180</v>
      </c>
      <c r="AO1054" t="s">
        <v>65</v>
      </c>
      <c r="AP1054">
        <v>1205</v>
      </c>
      <c r="AQ1054" t="s">
        <v>66</v>
      </c>
      <c r="AR1054">
        <v>265878</v>
      </c>
      <c r="AU1054" t="s">
        <v>57</v>
      </c>
      <c r="AV1054" t="s">
        <v>68</v>
      </c>
      <c r="AX1054" t="s">
        <v>57</v>
      </c>
      <c r="AY1054">
        <v>631110</v>
      </c>
      <c r="AZ1054">
        <v>1205.63111</v>
      </c>
      <c r="BA1054" s="23" t="s">
        <v>13</v>
      </c>
    </row>
    <row r="1055" spans="1:53" x14ac:dyDescent="0.25">
      <c r="A1055" t="s">
        <v>134</v>
      </c>
      <c r="B1055" t="s">
        <v>135</v>
      </c>
      <c r="C1055">
        <v>22002360</v>
      </c>
      <c r="D1055">
        <v>1205</v>
      </c>
      <c r="E1055" s="11">
        <v>44789</v>
      </c>
      <c r="F1055" t="s">
        <v>307</v>
      </c>
      <c r="G1055">
        <v>0.83</v>
      </c>
      <c r="H1055">
        <v>0.83</v>
      </c>
      <c r="I1055" t="s">
        <v>56</v>
      </c>
      <c r="O1055" t="s">
        <v>57</v>
      </c>
      <c r="Q1055" t="s">
        <v>57</v>
      </c>
      <c r="R1055" t="s">
        <v>137</v>
      </c>
      <c r="T1055" t="s">
        <v>59</v>
      </c>
      <c r="U1055" t="s">
        <v>60</v>
      </c>
      <c r="V1055" t="s">
        <v>138</v>
      </c>
      <c r="W1055" t="s">
        <v>139</v>
      </c>
      <c r="X1055">
        <v>1933172</v>
      </c>
      <c r="Y1055" s="11">
        <v>44789</v>
      </c>
      <c r="Z1055" t="s">
        <v>57</v>
      </c>
      <c r="AA1055">
        <v>10</v>
      </c>
      <c r="AB1055" t="s">
        <v>57</v>
      </c>
      <c r="AD1055" t="s">
        <v>57</v>
      </c>
      <c r="AE1055" t="s">
        <v>57</v>
      </c>
      <c r="AF1055" t="s">
        <v>57</v>
      </c>
      <c r="AG1055">
        <v>11</v>
      </c>
      <c r="AH1055" t="s">
        <v>57</v>
      </c>
      <c r="AL1055" t="s">
        <v>57</v>
      </c>
      <c r="AM1055" s="11">
        <v>44789</v>
      </c>
      <c r="AN1055" t="s">
        <v>180</v>
      </c>
      <c r="AO1055" t="s">
        <v>65</v>
      </c>
      <c r="AP1055">
        <v>1205</v>
      </c>
      <c r="AQ1055" t="s">
        <v>66</v>
      </c>
      <c r="AR1055">
        <v>91479</v>
      </c>
      <c r="AU1055" t="s">
        <v>57</v>
      </c>
      <c r="AV1055" t="s">
        <v>68</v>
      </c>
      <c r="AX1055" t="s">
        <v>57</v>
      </c>
      <c r="AY1055">
        <v>631110</v>
      </c>
      <c r="AZ1055">
        <v>1205.63111</v>
      </c>
      <c r="BA1055" s="23" t="s">
        <v>13</v>
      </c>
    </row>
    <row r="1056" spans="1:53" x14ac:dyDescent="0.25">
      <c r="A1056" t="s">
        <v>134</v>
      </c>
      <c r="B1056" t="s">
        <v>135</v>
      </c>
      <c r="C1056">
        <v>22002360</v>
      </c>
      <c r="D1056">
        <v>1205</v>
      </c>
      <c r="E1056" s="11">
        <v>44789</v>
      </c>
      <c r="F1056" t="s">
        <v>307</v>
      </c>
      <c r="G1056">
        <v>0.08</v>
      </c>
      <c r="H1056">
        <v>0.08</v>
      </c>
      <c r="I1056" t="s">
        <v>56</v>
      </c>
      <c r="O1056" t="s">
        <v>57</v>
      </c>
      <c r="Q1056" t="s">
        <v>57</v>
      </c>
      <c r="R1056" t="s">
        <v>137</v>
      </c>
      <c r="T1056" t="s">
        <v>59</v>
      </c>
      <c r="U1056" t="s">
        <v>60</v>
      </c>
      <c r="V1056" t="s">
        <v>138</v>
      </c>
      <c r="W1056" t="s">
        <v>139</v>
      </c>
      <c r="X1056">
        <v>1933172</v>
      </c>
      <c r="Y1056" s="11">
        <v>44789</v>
      </c>
      <c r="Z1056" t="s">
        <v>57</v>
      </c>
      <c r="AA1056">
        <v>12</v>
      </c>
      <c r="AB1056" t="s">
        <v>57</v>
      </c>
      <c r="AD1056" t="s">
        <v>57</v>
      </c>
      <c r="AE1056" t="s">
        <v>57</v>
      </c>
      <c r="AF1056" t="s">
        <v>57</v>
      </c>
      <c r="AG1056">
        <v>1</v>
      </c>
      <c r="AH1056" t="s">
        <v>57</v>
      </c>
      <c r="AL1056" t="s">
        <v>57</v>
      </c>
      <c r="AM1056" s="11">
        <v>44789</v>
      </c>
      <c r="AN1056" t="s">
        <v>180</v>
      </c>
      <c r="AO1056" t="s">
        <v>65</v>
      </c>
      <c r="AP1056">
        <v>1205</v>
      </c>
      <c r="AQ1056" t="s">
        <v>66</v>
      </c>
      <c r="AR1056">
        <v>271795</v>
      </c>
      <c r="AU1056" t="s">
        <v>57</v>
      </c>
      <c r="AV1056" t="s">
        <v>68</v>
      </c>
      <c r="AX1056" t="s">
        <v>57</v>
      </c>
      <c r="AY1056">
        <v>631110</v>
      </c>
      <c r="AZ1056">
        <v>1205.63111</v>
      </c>
      <c r="BA1056" s="23" t="s">
        <v>13</v>
      </c>
    </row>
    <row r="1057" spans="1:53" x14ac:dyDescent="0.25">
      <c r="A1057" t="s">
        <v>134</v>
      </c>
      <c r="B1057" t="s">
        <v>135</v>
      </c>
      <c r="C1057">
        <v>22002360</v>
      </c>
      <c r="D1057">
        <v>1205</v>
      </c>
      <c r="E1057" s="11">
        <v>44789</v>
      </c>
      <c r="F1057" t="s">
        <v>307</v>
      </c>
      <c r="G1057">
        <v>0.45</v>
      </c>
      <c r="H1057">
        <v>0.45</v>
      </c>
      <c r="I1057" t="s">
        <v>56</v>
      </c>
      <c r="O1057" t="s">
        <v>57</v>
      </c>
      <c r="Q1057" t="s">
        <v>57</v>
      </c>
      <c r="R1057" t="s">
        <v>137</v>
      </c>
      <c r="T1057" t="s">
        <v>59</v>
      </c>
      <c r="U1057" t="s">
        <v>60</v>
      </c>
      <c r="V1057" t="s">
        <v>138</v>
      </c>
      <c r="W1057" t="s">
        <v>139</v>
      </c>
      <c r="X1057">
        <v>1933172</v>
      </c>
      <c r="Y1057" s="11">
        <v>44789</v>
      </c>
      <c r="Z1057" t="s">
        <v>57</v>
      </c>
      <c r="AA1057">
        <v>14</v>
      </c>
      <c r="AB1057" t="s">
        <v>57</v>
      </c>
      <c r="AD1057" t="s">
        <v>57</v>
      </c>
      <c r="AE1057" t="s">
        <v>57</v>
      </c>
      <c r="AF1057" t="s">
        <v>57</v>
      </c>
      <c r="AG1057">
        <v>4</v>
      </c>
      <c r="AH1057" t="s">
        <v>57</v>
      </c>
      <c r="AL1057" t="s">
        <v>57</v>
      </c>
      <c r="AM1057" s="11">
        <v>44789</v>
      </c>
      <c r="AN1057" t="s">
        <v>180</v>
      </c>
      <c r="AO1057" t="s">
        <v>65</v>
      </c>
      <c r="AP1057">
        <v>1205</v>
      </c>
      <c r="AQ1057" t="s">
        <v>66</v>
      </c>
      <c r="AR1057">
        <v>265889</v>
      </c>
      <c r="AU1057" t="s">
        <v>57</v>
      </c>
      <c r="AV1057" t="s">
        <v>68</v>
      </c>
      <c r="AX1057" t="s">
        <v>57</v>
      </c>
      <c r="AY1057">
        <v>631110</v>
      </c>
      <c r="AZ1057">
        <v>1205.63111</v>
      </c>
      <c r="BA1057" s="23" t="s">
        <v>13</v>
      </c>
    </row>
    <row r="1058" spans="1:53" x14ac:dyDescent="0.25">
      <c r="A1058" t="s">
        <v>134</v>
      </c>
      <c r="B1058" t="s">
        <v>135</v>
      </c>
      <c r="C1058">
        <v>22002360</v>
      </c>
      <c r="D1058">
        <v>1205</v>
      </c>
      <c r="E1058" s="11">
        <v>44789</v>
      </c>
      <c r="F1058" t="s">
        <v>307</v>
      </c>
      <c r="G1058">
        <v>5.52</v>
      </c>
      <c r="H1058">
        <v>5.52</v>
      </c>
      <c r="I1058" t="s">
        <v>56</v>
      </c>
      <c r="O1058" t="s">
        <v>57</v>
      </c>
      <c r="Q1058" t="s">
        <v>57</v>
      </c>
      <c r="R1058" t="s">
        <v>137</v>
      </c>
      <c r="T1058" t="s">
        <v>59</v>
      </c>
      <c r="U1058" t="s">
        <v>60</v>
      </c>
      <c r="V1058" t="s">
        <v>138</v>
      </c>
      <c r="W1058" t="s">
        <v>139</v>
      </c>
      <c r="X1058">
        <v>1933172</v>
      </c>
      <c r="Y1058" s="11">
        <v>44789</v>
      </c>
      <c r="Z1058" t="s">
        <v>57</v>
      </c>
      <c r="AA1058">
        <v>16</v>
      </c>
      <c r="AB1058" t="s">
        <v>57</v>
      </c>
      <c r="AD1058" t="s">
        <v>57</v>
      </c>
      <c r="AE1058" t="s">
        <v>57</v>
      </c>
      <c r="AF1058" t="s">
        <v>57</v>
      </c>
      <c r="AG1058">
        <v>51</v>
      </c>
      <c r="AH1058" t="s">
        <v>57</v>
      </c>
      <c r="AL1058" t="s">
        <v>57</v>
      </c>
      <c r="AM1058" s="11">
        <v>44789</v>
      </c>
      <c r="AN1058" t="s">
        <v>180</v>
      </c>
      <c r="AO1058" t="s">
        <v>65</v>
      </c>
      <c r="AP1058">
        <v>1205</v>
      </c>
      <c r="AQ1058" t="s">
        <v>66</v>
      </c>
      <c r="AR1058">
        <v>265267</v>
      </c>
      <c r="AU1058" t="s">
        <v>57</v>
      </c>
      <c r="AV1058" t="s">
        <v>68</v>
      </c>
      <c r="AX1058" t="s">
        <v>57</v>
      </c>
      <c r="AY1058">
        <v>631110</v>
      </c>
      <c r="AZ1058">
        <v>1205.63111</v>
      </c>
      <c r="BA1058" s="23" t="s">
        <v>13</v>
      </c>
    </row>
    <row r="1059" spans="1:53" x14ac:dyDescent="0.25">
      <c r="A1059" t="s">
        <v>134</v>
      </c>
      <c r="B1059" t="s">
        <v>135</v>
      </c>
      <c r="C1059">
        <v>22002360</v>
      </c>
      <c r="D1059">
        <v>1205</v>
      </c>
      <c r="E1059" s="11">
        <v>44789</v>
      </c>
      <c r="F1059" t="s">
        <v>307</v>
      </c>
      <c r="G1059">
        <v>1.85</v>
      </c>
      <c r="H1059">
        <v>1.85</v>
      </c>
      <c r="I1059" t="s">
        <v>56</v>
      </c>
      <c r="O1059" t="s">
        <v>57</v>
      </c>
      <c r="Q1059" t="s">
        <v>57</v>
      </c>
      <c r="R1059" t="s">
        <v>137</v>
      </c>
      <c r="T1059" t="s">
        <v>59</v>
      </c>
      <c r="U1059" t="s">
        <v>60</v>
      </c>
      <c r="V1059" t="s">
        <v>138</v>
      </c>
      <c r="W1059" t="s">
        <v>139</v>
      </c>
      <c r="X1059">
        <v>1933172</v>
      </c>
      <c r="Y1059" s="11">
        <v>44789</v>
      </c>
      <c r="Z1059" t="s">
        <v>57</v>
      </c>
      <c r="AA1059">
        <v>18</v>
      </c>
      <c r="AB1059" t="s">
        <v>57</v>
      </c>
      <c r="AD1059" t="s">
        <v>57</v>
      </c>
      <c r="AE1059" t="s">
        <v>57</v>
      </c>
      <c r="AF1059" t="s">
        <v>57</v>
      </c>
      <c r="AG1059">
        <v>17</v>
      </c>
      <c r="AH1059" t="s">
        <v>57</v>
      </c>
      <c r="AL1059" t="s">
        <v>57</v>
      </c>
      <c r="AM1059" s="11">
        <v>44789</v>
      </c>
      <c r="AN1059" t="s">
        <v>180</v>
      </c>
      <c r="AO1059" t="s">
        <v>65</v>
      </c>
      <c r="AP1059">
        <v>1205</v>
      </c>
      <c r="AQ1059" t="s">
        <v>66</v>
      </c>
      <c r="AR1059">
        <v>90435</v>
      </c>
      <c r="AU1059" t="s">
        <v>57</v>
      </c>
      <c r="AV1059" t="s">
        <v>68</v>
      </c>
      <c r="AX1059" t="s">
        <v>57</v>
      </c>
      <c r="AY1059">
        <v>631110</v>
      </c>
      <c r="AZ1059">
        <v>1205.63111</v>
      </c>
      <c r="BA1059" s="23" t="s">
        <v>13</v>
      </c>
    </row>
    <row r="1060" spans="1:53" x14ac:dyDescent="0.25">
      <c r="A1060" t="s">
        <v>134</v>
      </c>
      <c r="B1060" t="s">
        <v>135</v>
      </c>
      <c r="C1060">
        <v>22002360</v>
      </c>
      <c r="D1060">
        <v>1205</v>
      </c>
      <c r="E1060" s="11">
        <v>44789</v>
      </c>
      <c r="F1060" t="s">
        <v>307</v>
      </c>
      <c r="G1060">
        <v>0.38</v>
      </c>
      <c r="H1060">
        <v>0.38</v>
      </c>
      <c r="I1060" t="s">
        <v>56</v>
      </c>
      <c r="O1060" t="s">
        <v>57</v>
      </c>
      <c r="Q1060" t="s">
        <v>57</v>
      </c>
      <c r="R1060" t="s">
        <v>137</v>
      </c>
      <c r="T1060" t="s">
        <v>59</v>
      </c>
      <c r="U1060" t="s">
        <v>60</v>
      </c>
      <c r="V1060" t="s">
        <v>138</v>
      </c>
      <c r="W1060" t="s">
        <v>139</v>
      </c>
      <c r="X1060">
        <v>1933172</v>
      </c>
      <c r="Y1060" s="11">
        <v>44789</v>
      </c>
      <c r="Z1060" t="s">
        <v>57</v>
      </c>
      <c r="AA1060">
        <v>20</v>
      </c>
      <c r="AB1060" t="s">
        <v>57</v>
      </c>
      <c r="AD1060" t="s">
        <v>57</v>
      </c>
      <c r="AE1060" t="s">
        <v>57</v>
      </c>
      <c r="AF1060" t="s">
        <v>57</v>
      </c>
      <c r="AG1060">
        <v>3</v>
      </c>
      <c r="AH1060" t="s">
        <v>57</v>
      </c>
      <c r="AL1060" t="s">
        <v>57</v>
      </c>
      <c r="AM1060" s="11">
        <v>44789</v>
      </c>
      <c r="AN1060" t="s">
        <v>180</v>
      </c>
      <c r="AO1060" t="s">
        <v>65</v>
      </c>
      <c r="AP1060">
        <v>1205</v>
      </c>
      <c r="AQ1060" t="s">
        <v>66</v>
      </c>
      <c r="AR1060">
        <v>265216</v>
      </c>
      <c r="AU1060" t="s">
        <v>57</v>
      </c>
      <c r="AV1060" t="s">
        <v>68</v>
      </c>
      <c r="AX1060" t="s">
        <v>57</v>
      </c>
      <c r="AY1060">
        <v>631110</v>
      </c>
      <c r="AZ1060">
        <v>1205.63111</v>
      </c>
      <c r="BA1060" s="23" t="s">
        <v>13</v>
      </c>
    </row>
    <row r="1061" spans="1:53" x14ac:dyDescent="0.25">
      <c r="A1061" t="s">
        <v>134</v>
      </c>
      <c r="B1061" t="s">
        <v>135</v>
      </c>
      <c r="C1061">
        <v>22002360</v>
      </c>
      <c r="D1061">
        <v>1205</v>
      </c>
      <c r="E1061" s="11">
        <v>44789</v>
      </c>
      <c r="F1061" t="s">
        <v>307</v>
      </c>
      <c r="G1061">
        <v>0.16</v>
      </c>
      <c r="H1061">
        <v>0.16</v>
      </c>
      <c r="I1061" t="s">
        <v>56</v>
      </c>
      <c r="O1061" t="s">
        <v>57</v>
      </c>
      <c r="Q1061" t="s">
        <v>57</v>
      </c>
      <c r="R1061" t="s">
        <v>137</v>
      </c>
      <c r="T1061" t="s">
        <v>59</v>
      </c>
      <c r="U1061" t="s">
        <v>60</v>
      </c>
      <c r="V1061" t="s">
        <v>138</v>
      </c>
      <c r="W1061" t="s">
        <v>139</v>
      </c>
      <c r="X1061">
        <v>1933172</v>
      </c>
      <c r="Y1061" s="11">
        <v>44789</v>
      </c>
      <c r="Z1061" t="s">
        <v>57</v>
      </c>
      <c r="AA1061">
        <v>22</v>
      </c>
      <c r="AB1061" t="s">
        <v>57</v>
      </c>
      <c r="AD1061" t="s">
        <v>57</v>
      </c>
      <c r="AE1061" t="s">
        <v>57</v>
      </c>
      <c r="AF1061" t="s">
        <v>57</v>
      </c>
      <c r="AG1061">
        <v>2</v>
      </c>
      <c r="AH1061" t="s">
        <v>57</v>
      </c>
      <c r="AL1061" t="s">
        <v>57</v>
      </c>
      <c r="AM1061" s="11">
        <v>44789</v>
      </c>
      <c r="AN1061" t="s">
        <v>180</v>
      </c>
      <c r="AO1061" t="s">
        <v>65</v>
      </c>
      <c r="AP1061">
        <v>1205</v>
      </c>
      <c r="AQ1061" t="s">
        <v>66</v>
      </c>
      <c r="AR1061">
        <v>88642</v>
      </c>
      <c r="AU1061" t="s">
        <v>57</v>
      </c>
      <c r="AV1061" t="s">
        <v>68</v>
      </c>
      <c r="AX1061" t="s">
        <v>57</v>
      </c>
      <c r="AY1061">
        <v>631110</v>
      </c>
      <c r="AZ1061">
        <v>1205.63111</v>
      </c>
      <c r="BA1061" s="23" t="s">
        <v>13</v>
      </c>
    </row>
    <row r="1062" spans="1:53" x14ac:dyDescent="0.25">
      <c r="A1062" t="s">
        <v>134</v>
      </c>
      <c r="B1062" t="s">
        <v>135</v>
      </c>
      <c r="C1062">
        <v>22002360</v>
      </c>
      <c r="D1062">
        <v>1205</v>
      </c>
      <c r="E1062" s="11">
        <v>44789</v>
      </c>
      <c r="F1062" t="s">
        <v>307</v>
      </c>
      <c r="G1062">
        <v>1.21</v>
      </c>
      <c r="H1062">
        <v>1.21</v>
      </c>
      <c r="I1062" t="s">
        <v>56</v>
      </c>
      <c r="O1062" t="s">
        <v>57</v>
      </c>
      <c r="Q1062" t="s">
        <v>57</v>
      </c>
      <c r="R1062" t="s">
        <v>137</v>
      </c>
      <c r="T1062" t="s">
        <v>59</v>
      </c>
      <c r="U1062" t="s">
        <v>60</v>
      </c>
      <c r="V1062" t="s">
        <v>138</v>
      </c>
      <c r="W1062" t="s">
        <v>139</v>
      </c>
      <c r="X1062">
        <v>1933172</v>
      </c>
      <c r="Y1062" s="11">
        <v>44789</v>
      </c>
      <c r="Z1062" t="s">
        <v>57</v>
      </c>
      <c r="AA1062">
        <v>24</v>
      </c>
      <c r="AB1062" t="s">
        <v>57</v>
      </c>
      <c r="AD1062" t="s">
        <v>57</v>
      </c>
      <c r="AE1062" t="s">
        <v>57</v>
      </c>
      <c r="AF1062" t="s">
        <v>57</v>
      </c>
      <c r="AG1062">
        <v>10</v>
      </c>
      <c r="AH1062" t="s">
        <v>57</v>
      </c>
      <c r="AL1062" t="s">
        <v>57</v>
      </c>
      <c r="AM1062" s="11">
        <v>44789</v>
      </c>
      <c r="AN1062" t="s">
        <v>180</v>
      </c>
      <c r="AO1062" t="s">
        <v>65</v>
      </c>
      <c r="AP1062">
        <v>1205</v>
      </c>
      <c r="AQ1062" t="s">
        <v>66</v>
      </c>
      <c r="AR1062">
        <v>267735</v>
      </c>
      <c r="AU1062" t="s">
        <v>57</v>
      </c>
      <c r="AV1062" t="s">
        <v>68</v>
      </c>
      <c r="AX1062" t="s">
        <v>57</v>
      </c>
      <c r="AY1062">
        <v>631110</v>
      </c>
      <c r="AZ1062">
        <v>1205.63111</v>
      </c>
      <c r="BA1062" s="23" t="s">
        <v>13</v>
      </c>
    </row>
    <row r="1063" spans="1:53" x14ac:dyDescent="0.25">
      <c r="A1063" t="s">
        <v>134</v>
      </c>
      <c r="B1063" t="s">
        <v>135</v>
      </c>
      <c r="C1063">
        <v>22002360</v>
      </c>
      <c r="D1063">
        <v>1205</v>
      </c>
      <c r="E1063" s="11">
        <v>44789</v>
      </c>
      <c r="F1063" t="s">
        <v>307</v>
      </c>
      <c r="G1063">
        <v>1</v>
      </c>
      <c r="H1063">
        <v>1</v>
      </c>
      <c r="I1063" t="s">
        <v>56</v>
      </c>
      <c r="O1063" t="s">
        <v>57</v>
      </c>
      <c r="Q1063" t="s">
        <v>57</v>
      </c>
      <c r="R1063" t="s">
        <v>137</v>
      </c>
      <c r="T1063" t="s">
        <v>59</v>
      </c>
      <c r="U1063" t="s">
        <v>60</v>
      </c>
      <c r="V1063" t="s">
        <v>138</v>
      </c>
      <c r="W1063" t="s">
        <v>139</v>
      </c>
      <c r="X1063">
        <v>1933172</v>
      </c>
      <c r="Y1063" s="11">
        <v>44789</v>
      </c>
      <c r="Z1063" t="s">
        <v>57</v>
      </c>
      <c r="AA1063">
        <v>26</v>
      </c>
      <c r="AB1063" t="s">
        <v>57</v>
      </c>
      <c r="AD1063" t="s">
        <v>57</v>
      </c>
      <c r="AE1063" t="s">
        <v>57</v>
      </c>
      <c r="AF1063" t="s">
        <v>57</v>
      </c>
      <c r="AG1063">
        <v>8</v>
      </c>
      <c r="AH1063" t="s">
        <v>57</v>
      </c>
      <c r="AL1063" t="s">
        <v>57</v>
      </c>
      <c r="AM1063" s="11">
        <v>44789</v>
      </c>
      <c r="AN1063" t="s">
        <v>180</v>
      </c>
      <c r="AO1063" t="s">
        <v>65</v>
      </c>
      <c r="AP1063">
        <v>1205</v>
      </c>
      <c r="AQ1063" t="s">
        <v>66</v>
      </c>
      <c r="AR1063">
        <v>265217</v>
      </c>
      <c r="AU1063" t="s">
        <v>57</v>
      </c>
      <c r="AV1063" t="s">
        <v>68</v>
      </c>
      <c r="AX1063" t="s">
        <v>57</v>
      </c>
      <c r="AY1063">
        <v>631110</v>
      </c>
      <c r="AZ1063">
        <v>1205.63111</v>
      </c>
      <c r="BA1063" s="23" t="s">
        <v>13</v>
      </c>
    </row>
    <row r="1064" spans="1:53" x14ac:dyDescent="0.25">
      <c r="A1064" t="s">
        <v>134</v>
      </c>
      <c r="B1064" t="s">
        <v>135</v>
      </c>
      <c r="C1064">
        <v>22002360</v>
      </c>
      <c r="D1064">
        <v>1205</v>
      </c>
      <c r="E1064" s="11">
        <v>44789</v>
      </c>
      <c r="F1064" t="s">
        <v>307</v>
      </c>
      <c r="G1064">
        <v>1.21</v>
      </c>
      <c r="H1064">
        <v>1.21</v>
      </c>
      <c r="I1064" t="s">
        <v>56</v>
      </c>
      <c r="O1064" t="s">
        <v>57</v>
      </c>
      <c r="Q1064" t="s">
        <v>57</v>
      </c>
      <c r="R1064" t="s">
        <v>137</v>
      </c>
      <c r="T1064" t="s">
        <v>59</v>
      </c>
      <c r="U1064" t="s">
        <v>60</v>
      </c>
      <c r="V1064" t="s">
        <v>138</v>
      </c>
      <c r="W1064" t="s">
        <v>139</v>
      </c>
      <c r="X1064">
        <v>1933172</v>
      </c>
      <c r="Y1064" s="11">
        <v>44789</v>
      </c>
      <c r="Z1064" t="s">
        <v>57</v>
      </c>
      <c r="AA1064">
        <v>28</v>
      </c>
      <c r="AB1064" t="s">
        <v>57</v>
      </c>
      <c r="AD1064" t="s">
        <v>57</v>
      </c>
      <c r="AE1064" t="s">
        <v>57</v>
      </c>
      <c r="AF1064" t="s">
        <v>57</v>
      </c>
      <c r="AG1064">
        <v>10</v>
      </c>
      <c r="AH1064" t="s">
        <v>57</v>
      </c>
      <c r="AL1064" t="s">
        <v>57</v>
      </c>
      <c r="AM1064" s="11">
        <v>44789</v>
      </c>
      <c r="AN1064" t="s">
        <v>180</v>
      </c>
      <c r="AO1064" t="s">
        <v>65</v>
      </c>
      <c r="AP1064">
        <v>1205</v>
      </c>
      <c r="AQ1064" t="s">
        <v>66</v>
      </c>
      <c r="AR1064">
        <v>88639</v>
      </c>
      <c r="AU1064" t="s">
        <v>57</v>
      </c>
      <c r="AV1064" t="s">
        <v>68</v>
      </c>
      <c r="AX1064" t="s">
        <v>57</v>
      </c>
      <c r="AY1064">
        <v>631110</v>
      </c>
      <c r="AZ1064">
        <v>1205.63111</v>
      </c>
      <c r="BA1064" s="23" t="s">
        <v>13</v>
      </c>
    </row>
    <row r="1065" spans="1:53" x14ac:dyDescent="0.25">
      <c r="A1065" t="s">
        <v>134</v>
      </c>
      <c r="B1065" t="s">
        <v>135</v>
      </c>
      <c r="C1065">
        <v>22002360</v>
      </c>
      <c r="D1065">
        <v>1205</v>
      </c>
      <c r="E1065" s="11">
        <v>44789</v>
      </c>
      <c r="F1065" t="s">
        <v>307</v>
      </c>
      <c r="G1065">
        <v>0.15</v>
      </c>
      <c r="H1065">
        <v>0.15</v>
      </c>
      <c r="I1065" t="s">
        <v>56</v>
      </c>
      <c r="O1065" t="s">
        <v>57</v>
      </c>
      <c r="Q1065" t="s">
        <v>57</v>
      </c>
      <c r="R1065" t="s">
        <v>137</v>
      </c>
      <c r="T1065" t="s">
        <v>59</v>
      </c>
      <c r="U1065" t="s">
        <v>60</v>
      </c>
      <c r="V1065" t="s">
        <v>138</v>
      </c>
      <c r="W1065" t="s">
        <v>139</v>
      </c>
      <c r="X1065">
        <v>1933172</v>
      </c>
      <c r="Y1065" s="11">
        <v>44789</v>
      </c>
      <c r="Z1065" t="s">
        <v>57</v>
      </c>
      <c r="AA1065">
        <v>30</v>
      </c>
      <c r="AB1065" t="s">
        <v>57</v>
      </c>
      <c r="AD1065" t="s">
        <v>57</v>
      </c>
      <c r="AE1065" t="s">
        <v>57</v>
      </c>
      <c r="AF1065" t="s">
        <v>57</v>
      </c>
      <c r="AG1065">
        <v>1</v>
      </c>
      <c r="AH1065" t="s">
        <v>57</v>
      </c>
      <c r="AL1065" t="s">
        <v>57</v>
      </c>
      <c r="AM1065" s="11">
        <v>44789</v>
      </c>
      <c r="AN1065" t="s">
        <v>180</v>
      </c>
      <c r="AO1065" t="s">
        <v>65</v>
      </c>
      <c r="AP1065">
        <v>1205</v>
      </c>
      <c r="AQ1065" t="s">
        <v>66</v>
      </c>
      <c r="AR1065">
        <v>89715</v>
      </c>
      <c r="AU1065" t="s">
        <v>57</v>
      </c>
      <c r="AV1065" t="s">
        <v>68</v>
      </c>
      <c r="AX1065" t="s">
        <v>57</v>
      </c>
      <c r="AY1065">
        <v>631110</v>
      </c>
      <c r="AZ1065">
        <v>1205.63111</v>
      </c>
      <c r="BA1065" s="23" t="s">
        <v>13</v>
      </c>
    </row>
    <row r="1066" spans="1:53" x14ac:dyDescent="0.25">
      <c r="A1066" t="s">
        <v>134</v>
      </c>
      <c r="B1066" t="s">
        <v>135</v>
      </c>
      <c r="C1066">
        <v>22002360</v>
      </c>
      <c r="D1066">
        <v>1205</v>
      </c>
      <c r="E1066" s="11">
        <v>44789</v>
      </c>
      <c r="F1066" t="s">
        <v>307</v>
      </c>
      <c r="G1066">
        <v>4.79</v>
      </c>
      <c r="H1066">
        <v>4.79</v>
      </c>
      <c r="I1066" t="s">
        <v>56</v>
      </c>
      <c r="O1066" t="s">
        <v>57</v>
      </c>
      <c r="Q1066" t="s">
        <v>57</v>
      </c>
      <c r="R1066" t="s">
        <v>137</v>
      </c>
      <c r="T1066" t="s">
        <v>59</v>
      </c>
      <c r="U1066" t="s">
        <v>60</v>
      </c>
      <c r="V1066" t="s">
        <v>138</v>
      </c>
      <c r="W1066" t="s">
        <v>139</v>
      </c>
      <c r="X1066">
        <v>1933172</v>
      </c>
      <c r="Y1066" s="11">
        <v>44789</v>
      </c>
      <c r="Z1066" t="s">
        <v>57</v>
      </c>
      <c r="AA1066">
        <v>32</v>
      </c>
      <c r="AB1066" t="s">
        <v>57</v>
      </c>
      <c r="AD1066" t="s">
        <v>57</v>
      </c>
      <c r="AE1066" t="s">
        <v>57</v>
      </c>
      <c r="AF1066" t="s">
        <v>57</v>
      </c>
      <c r="AG1066">
        <v>19</v>
      </c>
      <c r="AH1066" t="s">
        <v>57</v>
      </c>
      <c r="AL1066" t="s">
        <v>57</v>
      </c>
      <c r="AM1066" s="11">
        <v>44789</v>
      </c>
      <c r="AN1066" t="s">
        <v>180</v>
      </c>
      <c r="AO1066" t="s">
        <v>65</v>
      </c>
      <c r="AP1066">
        <v>1205</v>
      </c>
      <c r="AQ1066" t="s">
        <v>66</v>
      </c>
      <c r="AR1066">
        <v>88669</v>
      </c>
      <c r="AU1066" t="s">
        <v>57</v>
      </c>
      <c r="AV1066" t="s">
        <v>68</v>
      </c>
      <c r="AX1066" t="s">
        <v>57</v>
      </c>
      <c r="AY1066">
        <v>631110</v>
      </c>
      <c r="AZ1066">
        <v>1205.63111</v>
      </c>
      <c r="BA1066" s="23" t="s">
        <v>13</v>
      </c>
    </row>
    <row r="1067" spans="1:53" x14ac:dyDescent="0.25">
      <c r="A1067" t="s">
        <v>134</v>
      </c>
      <c r="B1067" t="s">
        <v>135</v>
      </c>
      <c r="C1067">
        <v>22002360</v>
      </c>
      <c r="D1067">
        <v>1205</v>
      </c>
      <c r="E1067" s="11">
        <v>44789</v>
      </c>
      <c r="F1067" t="s">
        <v>307</v>
      </c>
      <c r="G1067">
        <v>2.14</v>
      </c>
      <c r="H1067">
        <v>2.14</v>
      </c>
      <c r="I1067" t="s">
        <v>56</v>
      </c>
      <c r="O1067" t="s">
        <v>57</v>
      </c>
      <c r="Q1067" t="s">
        <v>57</v>
      </c>
      <c r="R1067" t="s">
        <v>137</v>
      </c>
      <c r="T1067" t="s">
        <v>59</v>
      </c>
      <c r="U1067" t="s">
        <v>60</v>
      </c>
      <c r="V1067" t="s">
        <v>138</v>
      </c>
      <c r="W1067" t="s">
        <v>139</v>
      </c>
      <c r="X1067">
        <v>1933172</v>
      </c>
      <c r="Y1067" s="11">
        <v>44789</v>
      </c>
      <c r="Z1067" t="s">
        <v>57</v>
      </c>
      <c r="AA1067">
        <v>34</v>
      </c>
      <c r="AB1067" t="s">
        <v>57</v>
      </c>
      <c r="AD1067" t="s">
        <v>57</v>
      </c>
      <c r="AE1067" t="s">
        <v>57</v>
      </c>
      <c r="AF1067" t="s">
        <v>57</v>
      </c>
      <c r="AG1067">
        <v>10</v>
      </c>
      <c r="AH1067" t="s">
        <v>57</v>
      </c>
      <c r="AL1067" t="s">
        <v>57</v>
      </c>
      <c r="AM1067" s="11">
        <v>44789</v>
      </c>
      <c r="AN1067" t="s">
        <v>180</v>
      </c>
      <c r="AO1067" t="s">
        <v>65</v>
      </c>
      <c r="AP1067">
        <v>1205</v>
      </c>
      <c r="AQ1067" t="s">
        <v>66</v>
      </c>
      <c r="AR1067">
        <v>89727</v>
      </c>
      <c r="AU1067" t="s">
        <v>57</v>
      </c>
      <c r="AV1067" t="s">
        <v>68</v>
      </c>
      <c r="AX1067" t="s">
        <v>57</v>
      </c>
      <c r="AY1067">
        <v>631110</v>
      </c>
      <c r="AZ1067">
        <v>1205.63111</v>
      </c>
      <c r="BA1067" s="23" t="s">
        <v>13</v>
      </c>
    </row>
    <row r="1068" spans="1:53" x14ac:dyDescent="0.25">
      <c r="A1068" t="s">
        <v>134</v>
      </c>
      <c r="B1068" t="s">
        <v>135</v>
      </c>
      <c r="C1068">
        <v>22002360</v>
      </c>
      <c r="D1068">
        <v>1205</v>
      </c>
      <c r="E1068" s="11">
        <v>44789</v>
      </c>
      <c r="F1068" t="s">
        <v>307</v>
      </c>
      <c r="G1068">
        <v>0.93</v>
      </c>
      <c r="H1068">
        <v>0.93</v>
      </c>
      <c r="I1068" t="s">
        <v>56</v>
      </c>
      <c r="O1068" t="s">
        <v>57</v>
      </c>
      <c r="Q1068" t="s">
        <v>57</v>
      </c>
      <c r="R1068" t="s">
        <v>137</v>
      </c>
      <c r="T1068" t="s">
        <v>59</v>
      </c>
      <c r="U1068" t="s">
        <v>60</v>
      </c>
      <c r="V1068" t="s">
        <v>138</v>
      </c>
      <c r="W1068" t="s">
        <v>139</v>
      </c>
      <c r="X1068">
        <v>1933172</v>
      </c>
      <c r="Y1068" s="11">
        <v>44789</v>
      </c>
      <c r="Z1068" t="s">
        <v>57</v>
      </c>
      <c r="AA1068">
        <v>36</v>
      </c>
      <c r="AB1068" t="s">
        <v>57</v>
      </c>
      <c r="AD1068" t="s">
        <v>57</v>
      </c>
      <c r="AE1068" t="s">
        <v>57</v>
      </c>
      <c r="AF1068" t="s">
        <v>57</v>
      </c>
      <c r="AG1068">
        <v>6</v>
      </c>
      <c r="AH1068" t="s">
        <v>57</v>
      </c>
      <c r="AL1068" t="s">
        <v>57</v>
      </c>
      <c r="AM1068" s="11">
        <v>44789</v>
      </c>
      <c r="AN1068" t="s">
        <v>180</v>
      </c>
      <c r="AO1068" t="s">
        <v>65</v>
      </c>
      <c r="AP1068">
        <v>1205</v>
      </c>
      <c r="AQ1068" t="s">
        <v>66</v>
      </c>
      <c r="AR1068">
        <v>89712</v>
      </c>
      <c r="AU1068" t="s">
        <v>57</v>
      </c>
      <c r="AV1068" t="s">
        <v>68</v>
      </c>
      <c r="AX1068" t="s">
        <v>57</v>
      </c>
      <c r="AY1068">
        <v>631110</v>
      </c>
      <c r="AZ1068">
        <v>1205.63111</v>
      </c>
      <c r="BA1068" s="23" t="s">
        <v>13</v>
      </c>
    </row>
    <row r="1069" spans="1:53" x14ac:dyDescent="0.25">
      <c r="A1069" t="s">
        <v>134</v>
      </c>
      <c r="B1069" t="s">
        <v>135</v>
      </c>
      <c r="C1069">
        <v>22002360</v>
      </c>
      <c r="D1069">
        <v>1205</v>
      </c>
      <c r="E1069" s="11">
        <v>44789</v>
      </c>
      <c r="F1069" t="s">
        <v>307</v>
      </c>
      <c r="G1069">
        <v>1.53</v>
      </c>
      <c r="H1069">
        <v>1.53</v>
      </c>
      <c r="I1069" t="s">
        <v>56</v>
      </c>
      <c r="O1069" t="s">
        <v>57</v>
      </c>
      <c r="Q1069" t="s">
        <v>57</v>
      </c>
      <c r="R1069" t="s">
        <v>137</v>
      </c>
      <c r="T1069" t="s">
        <v>59</v>
      </c>
      <c r="U1069" t="s">
        <v>60</v>
      </c>
      <c r="V1069" t="s">
        <v>138</v>
      </c>
      <c r="W1069" t="s">
        <v>139</v>
      </c>
      <c r="X1069">
        <v>1933172</v>
      </c>
      <c r="Y1069" s="11">
        <v>44789</v>
      </c>
      <c r="Z1069" t="s">
        <v>57</v>
      </c>
      <c r="AA1069">
        <v>38</v>
      </c>
      <c r="AB1069" t="s">
        <v>57</v>
      </c>
      <c r="AD1069" t="s">
        <v>57</v>
      </c>
      <c r="AE1069" t="s">
        <v>57</v>
      </c>
      <c r="AF1069" t="s">
        <v>57</v>
      </c>
      <c r="AG1069">
        <v>10</v>
      </c>
      <c r="AH1069" t="s">
        <v>57</v>
      </c>
      <c r="AL1069" t="s">
        <v>57</v>
      </c>
      <c r="AM1069" s="11">
        <v>44789</v>
      </c>
      <c r="AN1069" t="s">
        <v>180</v>
      </c>
      <c r="AO1069" t="s">
        <v>65</v>
      </c>
      <c r="AP1069">
        <v>1205</v>
      </c>
      <c r="AQ1069" t="s">
        <v>66</v>
      </c>
      <c r="AR1069">
        <v>285413</v>
      </c>
      <c r="AU1069" t="s">
        <v>57</v>
      </c>
      <c r="AV1069" t="s">
        <v>68</v>
      </c>
      <c r="AX1069" t="s">
        <v>57</v>
      </c>
      <c r="AY1069">
        <v>631110</v>
      </c>
      <c r="AZ1069">
        <v>1205.63111</v>
      </c>
      <c r="BA1069" s="23" t="s">
        <v>13</v>
      </c>
    </row>
    <row r="1070" spans="1:53" x14ac:dyDescent="0.25">
      <c r="A1070" t="s">
        <v>134</v>
      </c>
      <c r="B1070" t="s">
        <v>135</v>
      </c>
      <c r="C1070">
        <v>22002366</v>
      </c>
      <c r="D1070">
        <v>1205</v>
      </c>
      <c r="E1070" s="11">
        <v>44791</v>
      </c>
      <c r="F1070" t="s">
        <v>174</v>
      </c>
      <c r="G1070">
        <v>7.0000000000000007E-2</v>
      </c>
      <c r="H1070">
        <v>7.0000000000000007E-2</v>
      </c>
      <c r="I1070" t="s">
        <v>56</v>
      </c>
      <c r="O1070" t="s">
        <v>57</v>
      </c>
      <c r="Q1070" t="s">
        <v>57</v>
      </c>
      <c r="R1070" t="s">
        <v>137</v>
      </c>
      <c r="T1070" t="s">
        <v>59</v>
      </c>
      <c r="U1070" t="s">
        <v>60</v>
      </c>
      <c r="V1070" t="s">
        <v>138</v>
      </c>
      <c r="W1070" t="s">
        <v>139</v>
      </c>
      <c r="X1070">
        <v>1933538</v>
      </c>
      <c r="Y1070" s="11">
        <v>44791</v>
      </c>
      <c r="Z1070" t="s">
        <v>57</v>
      </c>
      <c r="AA1070">
        <v>12</v>
      </c>
      <c r="AB1070" t="s">
        <v>57</v>
      </c>
      <c r="AD1070" t="s">
        <v>57</v>
      </c>
      <c r="AE1070" t="s">
        <v>57</v>
      </c>
      <c r="AF1070" t="s">
        <v>57</v>
      </c>
      <c r="AG1070">
        <v>1</v>
      </c>
      <c r="AH1070" t="s">
        <v>57</v>
      </c>
      <c r="AL1070" t="s">
        <v>57</v>
      </c>
      <c r="AM1070" s="11">
        <v>44791</v>
      </c>
      <c r="AN1070" t="s">
        <v>178</v>
      </c>
      <c r="AO1070" t="s">
        <v>65</v>
      </c>
      <c r="AP1070">
        <v>1205</v>
      </c>
      <c r="AQ1070" t="s">
        <v>66</v>
      </c>
      <c r="AR1070">
        <v>88799</v>
      </c>
      <c r="AU1070" t="s">
        <v>57</v>
      </c>
      <c r="AV1070" t="s">
        <v>68</v>
      </c>
      <c r="AX1070" t="s">
        <v>57</v>
      </c>
      <c r="AY1070">
        <v>631110</v>
      </c>
      <c r="AZ1070">
        <v>1205.63111</v>
      </c>
      <c r="BA1070" s="23" t="s">
        <v>13</v>
      </c>
    </row>
    <row r="1071" spans="1:53" x14ac:dyDescent="0.25">
      <c r="A1071" t="s">
        <v>134</v>
      </c>
      <c r="B1071" t="s">
        <v>135</v>
      </c>
      <c r="C1071">
        <v>22002366</v>
      </c>
      <c r="D1071">
        <v>1205</v>
      </c>
      <c r="E1071" s="11">
        <v>44791</v>
      </c>
      <c r="F1071" t="s">
        <v>174</v>
      </c>
      <c r="G1071">
        <v>3.94</v>
      </c>
      <c r="H1071">
        <v>3.94</v>
      </c>
      <c r="I1071" t="s">
        <v>56</v>
      </c>
      <c r="O1071" t="s">
        <v>57</v>
      </c>
      <c r="Q1071" t="s">
        <v>57</v>
      </c>
      <c r="R1071" t="s">
        <v>137</v>
      </c>
      <c r="T1071" t="s">
        <v>59</v>
      </c>
      <c r="U1071" t="s">
        <v>60</v>
      </c>
      <c r="V1071" t="s">
        <v>138</v>
      </c>
      <c r="W1071" t="s">
        <v>139</v>
      </c>
      <c r="X1071">
        <v>1933538</v>
      </c>
      <c r="Y1071" s="11">
        <v>44791</v>
      </c>
      <c r="Z1071" t="s">
        <v>57</v>
      </c>
      <c r="AA1071">
        <v>14</v>
      </c>
      <c r="AB1071" t="s">
        <v>57</v>
      </c>
      <c r="AD1071" t="s">
        <v>57</v>
      </c>
      <c r="AE1071" t="s">
        <v>57</v>
      </c>
      <c r="AF1071" t="s">
        <v>57</v>
      </c>
      <c r="AG1071">
        <v>1</v>
      </c>
      <c r="AH1071" t="s">
        <v>57</v>
      </c>
      <c r="AL1071" t="s">
        <v>57</v>
      </c>
      <c r="AM1071" s="11">
        <v>44791</v>
      </c>
      <c r="AN1071" t="s">
        <v>178</v>
      </c>
      <c r="AO1071" t="s">
        <v>65</v>
      </c>
      <c r="AP1071">
        <v>1205</v>
      </c>
      <c r="AQ1071" t="s">
        <v>66</v>
      </c>
      <c r="AR1071">
        <v>220122</v>
      </c>
      <c r="AU1071" t="s">
        <v>57</v>
      </c>
      <c r="AV1071" t="s">
        <v>68</v>
      </c>
      <c r="AX1071" t="s">
        <v>57</v>
      </c>
      <c r="AY1071">
        <v>631110</v>
      </c>
      <c r="AZ1071">
        <v>1205.63111</v>
      </c>
      <c r="BA1071" s="23" t="s">
        <v>13</v>
      </c>
    </row>
    <row r="1072" spans="1:53" x14ac:dyDescent="0.25">
      <c r="A1072" t="s">
        <v>134</v>
      </c>
      <c r="B1072" t="s">
        <v>135</v>
      </c>
      <c r="C1072">
        <v>22002366</v>
      </c>
      <c r="D1072">
        <v>1205</v>
      </c>
      <c r="E1072" s="11">
        <v>44791</v>
      </c>
      <c r="F1072" t="s">
        <v>174</v>
      </c>
      <c r="G1072">
        <v>1.32</v>
      </c>
      <c r="H1072">
        <v>1.32</v>
      </c>
      <c r="I1072" t="s">
        <v>56</v>
      </c>
      <c r="O1072" t="s">
        <v>57</v>
      </c>
      <c r="Q1072" t="s">
        <v>57</v>
      </c>
      <c r="R1072" t="s">
        <v>137</v>
      </c>
      <c r="T1072" t="s">
        <v>59</v>
      </c>
      <c r="U1072" t="s">
        <v>60</v>
      </c>
      <c r="V1072" t="s">
        <v>138</v>
      </c>
      <c r="W1072" t="s">
        <v>139</v>
      </c>
      <c r="X1072">
        <v>1933538</v>
      </c>
      <c r="Y1072" s="11">
        <v>44791</v>
      </c>
      <c r="Z1072" t="s">
        <v>57</v>
      </c>
      <c r="AA1072">
        <v>16</v>
      </c>
      <c r="AB1072" t="s">
        <v>57</v>
      </c>
      <c r="AD1072" t="s">
        <v>57</v>
      </c>
      <c r="AE1072" t="s">
        <v>57</v>
      </c>
      <c r="AF1072" t="s">
        <v>57</v>
      </c>
      <c r="AG1072">
        <v>1</v>
      </c>
      <c r="AH1072" t="s">
        <v>57</v>
      </c>
      <c r="AL1072" t="s">
        <v>57</v>
      </c>
      <c r="AM1072" s="11">
        <v>44791</v>
      </c>
      <c r="AN1072" t="s">
        <v>178</v>
      </c>
      <c r="AO1072" t="s">
        <v>65</v>
      </c>
      <c r="AP1072">
        <v>1205</v>
      </c>
      <c r="AQ1072" t="s">
        <v>66</v>
      </c>
      <c r="AR1072">
        <v>205698</v>
      </c>
      <c r="AU1072" t="s">
        <v>57</v>
      </c>
      <c r="AV1072" t="s">
        <v>68</v>
      </c>
      <c r="AX1072" t="s">
        <v>57</v>
      </c>
      <c r="AY1072">
        <v>631110</v>
      </c>
      <c r="AZ1072">
        <v>1205.63111</v>
      </c>
      <c r="BA1072" s="23" t="s">
        <v>13</v>
      </c>
    </row>
    <row r="1073" spans="1:53" x14ac:dyDescent="0.25">
      <c r="A1073" t="s">
        <v>134</v>
      </c>
      <c r="B1073" t="s">
        <v>135</v>
      </c>
      <c r="C1073">
        <v>22002366</v>
      </c>
      <c r="D1073">
        <v>1205</v>
      </c>
      <c r="E1073" s="11">
        <v>44791</v>
      </c>
      <c r="F1073" t="s">
        <v>174</v>
      </c>
      <c r="G1073">
        <v>2.0299999999999998</v>
      </c>
      <c r="H1073">
        <v>2.0299999999999998</v>
      </c>
      <c r="I1073" t="s">
        <v>56</v>
      </c>
      <c r="O1073" t="s">
        <v>57</v>
      </c>
      <c r="Q1073" t="s">
        <v>57</v>
      </c>
      <c r="R1073" t="s">
        <v>137</v>
      </c>
      <c r="T1073" t="s">
        <v>59</v>
      </c>
      <c r="U1073" t="s">
        <v>60</v>
      </c>
      <c r="V1073" t="s">
        <v>138</v>
      </c>
      <c r="W1073" t="s">
        <v>139</v>
      </c>
      <c r="X1073">
        <v>1933538</v>
      </c>
      <c r="Y1073" s="11">
        <v>44791</v>
      </c>
      <c r="Z1073" t="s">
        <v>57</v>
      </c>
      <c r="AA1073">
        <v>2</v>
      </c>
      <c r="AB1073" t="s">
        <v>57</v>
      </c>
      <c r="AD1073" t="s">
        <v>57</v>
      </c>
      <c r="AE1073" t="s">
        <v>57</v>
      </c>
      <c r="AF1073" t="s">
        <v>57</v>
      </c>
      <c r="AG1073">
        <v>2</v>
      </c>
      <c r="AH1073" t="s">
        <v>57</v>
      </c>
      <c r="AL1073" t="s">
        <v>57</v>
      </c>
      <c r="AM1073" s="11">
        <v>44791</v>
      </c>
      <c r="AN1073" t="s">
        <v>178</v>
      </c>
      <c r="AO1073" t="s">
        <v>65</v>
      </c>
      <c r="AP1073">
        <v>1205</v>
      </c>
      <c r="AQ1073" t="s">
        <v>66</v>
      </c>
      <c r="AR1073">
        <v>88782</v>
      </c>
      <c r="AU1073" t="s">
        <v>57</v>
      </c>
      <c r="AV1073" t="s">
        <v>68</v>
      </c>
      <c r="AX1073" t="s">
        <v>57</v>
      </c>
      <c r="AY1073">
        <v>631110</v>
      </c>
      <c r="AZ1073">
        <v>1205.63111</v>
      </c>
      <c r="BA1073" s="23" t="s">
        <v>13</v>
      </c>
    </row>
    <row r="1074" spans="1:53" x14ac:dyDescent="0.25">
      <c r="A1074" t="s">
        <v>134</v>
      </c>
      <c r="B1074" t="s">
        <v>135</v>
      </c>
      <c r="C1074">
        <v>22002366</v>
      </c>
      <c r="D1074">
        <v>1205</v>
      </c>
      <c r="E1074" s="11">
        <v>44791</v>
      </c>
      <c r="F1074" t="s">
        <v>174</v>
      </c>
      <c r="G1074">
        <v>1.03</v>
      </c>
      <c r="H1074">
        <v>1.03</v>
      </c>
      <c r="I1074" t="s">
        <v>56</v>
      </c>
      <c r="O1074" t="s">
        <v>57</v>
      </c>
      <c r="Q1074" t="s">
        <v>57</v>
      </c>
      <c r="R1074" t="s">
        <v>137</v>
      </c>
      <c r="T1074" t="s">
        <v>59</v>
      </c>
      <c r="U1074" t="s">
        <v>60</v>
      </c>
      <c r="V1074" t="s">
        <v>138</v>
      </c>
      <c r="W1074" t="s">
        <v>139</v>
      </c>
      <c r="X1074">
        <v>1933538</v>
      </c>
      <c r="Y1074" s="11">
        <v>44791</v>
      </c>
      <c r="Z1074" t="s">
        <v>57</v>
      </c>
      <c r="AA1074">
        <v>4</v>
      </c>
      <c r="AB1074" t="s">
        <v>57</v>
      </c>
      <c r="AD1074" t="s">
        <v>57</v>
      </c>
      <c r="AE1074" t="s">
        <v>57</v>
      </c>
      <c r="AF1074" t="s">
        <v>57</v>
      </c>
      <c r="AG1074">
        <v>1</v>
      </c>
      <c r="AH1074" t="s">
        <v>57</v>
      </c>
      <c r="AL1074" t="s">
        <v>57</v>
      </c>
      <c r="AM1074" s="11">
        <v>44791</v>
      </c>
      <c r="AN1074" t="s">
        <v>178</v>
      </c>
      <c r="AO1074" t="s">
        <v>65</v>
      </c>
      <c r="AP1074">
        <v>1205</v>
      </c>
      <c r="AQ1074" t="s">
        <v>66</v>
      </c>
      <c r="AR1074">
        <v>88592</v>
      </c>
      <c r="AU1074" t="s">
        <v>57</v>
      </c>
      <c r="AV1074" t="s">
        <v>68</v>
      </c>
      <c r="AX1074" t="s">
        <v>57</v>
      </c>
      <c r="AY1074">
        <v>631110</v>
      </c>
      <c r="AZ1074">
        <v>1205.63111</v>
      </c>
      <c r="BA1074" s="23" t="s">
        <v>13</v>
      </c>
    </row>
    <row r="1075" spans="1:53" x14ac:dyDescent="0.25">
      <c r="A1075" t="s">
        <v>134</v>
      </c>
      <c r="B1075" t="s">
        <v>135</v>
      </c>
      <c r="C1075">
        <v>22002366</v>
      </c>
      <c r="D1075">
        <v>1205</v>
      </c>
      <c r="E1075" s="11">
        <v>44791</v>
      </c>
      <c r="F1075" t="s">
        <v>174</v>
      </c>
      <c r="G1075">
        <v>15.31</v>
      </c>
      <c r="H1075">
        <v>15.31</v>
      </c>
      <c r="I1075" t="s">
        <v>56</v>
      </c>
      <c r="O1075" t="s">
        <v>57</v>
      </c>
      <c r="Q1075" t="s">
        <v>57</v>
      </c>
      <c r="R1075" t="s">
        <v>137</v>
      </c>
      <c r="T1075" t="s">
        <v>59</v>
      </c>
      <c r="U1075" t="s">
        <v>60</v>
      </c>
      <c r="V1075" t="s">
        <v>138</v>
      </c>
      <c r="W1075" t="s">
        <v>139</v>
      </c>
      <c r="X1075">
        <v>1933538</v>
      </c>
      <c r="Y1075" s="11">
        <v>44791</v>
      </c>
      <c r="Z1075" t="s">
        <v>57</v>
      </c>
      <c r="AA1075">
        <v>6</v>
      </c>
      <c r="AB1075" t="s">
        <v>57</v>
      </c>
      <c r="AD1075" t="s">
        <v>57</v>
      </c>
      <c r="AE1075" t="s">
        <v>57</v>
      </c>
      <c r="AF1075" t="s">
        <v>57</v>
      </c>
      <c r="AG1075">
        <v>5</v>
      </c>
      <c r="AH1075" t="s">
        <v>57</v>
      </c>
      <c r="AL1075" t="s">
        <v>57</v>
      </c>
      <c r="AM1075" s="11">
        <v>44791</v>
      </c>
      <c r="AN1075" t="s">
        <v>178</v>
      </c>
      <c r="AO1075" t="s">
        <v>65</v>
      </c>
      <c r="AP1075">
        <v>1205</v>
      </c>
      <c r="AQ1075" t="s">
        <v>66</v>
      </c>
      <c r="AR1075">
        <v>90503</v>
      </c>
      <c r="AU1075" t="s">
        <v>57</v>
      </c>
      <c r="AV1075" t="s">
        <v>68</v>
      </c>
      <c r="AX1075" t="s">
        <v>57</v>
      </c>
      <c r="AY1075">
        <v>631110</v>
      </c>
      <c r="AZ1075">
        <v>1205.63111</v>
      </c>
      <c r="BA1075" s="23" t="s">
        <v>13</v>
      </c>
    </row>
    <row r="1076" spans="1:53" x14ac:dyDescent="0.25">
      <c r="A1076" t="s">
        <v>134</v>
      </c>
      <c r="B1076" t="s">
        <v>135</v>
      </c>
      <c r="C1076">
        <v>22002366</v>
      </c>
      <c r="D1076">
        <v>1205</v>
      </c>
      <c r="E1076" s="11">
        <v>44791</v>
      </c>
      <c r="F1076" t="s">
        <v>174</v>
      </c>
      <c r="G1076">
        <v>0.34</v>
      </c>
      <c r="H1076">
        <v>0.34</v>
      </c>
      <c r="I1076" t="s">
        <v>56</v>
      </c>
      <c r="O1076" t="s">
        <v>57</v>
      </c>
      <c r="Q1076" t="s">
        <v>57</v>
      </c>
      <c r="R1076" t="s">
        <v>137</v>
      </c>
      <c r="T1076" t="s">
        <v>59</v>
      </c>
      <c r="U1076" t="s">
        <v>60</v>
      </c>
      <c r="V1076" t="s">
        <v>138</v>
      </c>
      <c r="W1076" t="s">
        <v>139</v>
      </c>
      <c r="X1076">
        <v>1933538</v>
      </c>
      <c r="Y1076" s="11">
        <v>44791</v>
      </c>
      <c r="Z1076" t="s">
        <v>57</v>
      </c>
      <c r="AA1076">
        <v>18</v>
      </c>
      <c r="AB1076" t="s">
        <v>57</v>
      </c>
      <c r="AD1076" t="s">
        <v>57</v>
      </c>
      <c r="AE1076" t="s">
        <v>57</v>
      </c>
      <c r="AF1076" t="s">
        <v>57</v>
      </c>
      <c r="AG1076">
        <v>1</v>
      </c>
      <c r="AH1076" t="s">
        <v>57</v>
      </c>
      <c r="AL1076" t="s">
        <v>57</v>
      </c>
      <c r="AM1076" s="11">
        <v>44791</v>
      </c>
      <c r="AN1076" t="s">
        <v>178</v>
      </c>
      <c r="AO1076" t="s">
        <v>65</v>
      </c>
      <c r="AP1076">
        <v>1205</v>
      </c>
      <c r="AQ1076" t="s">
        <v>66</v>
      </c>
      <c r="AR1076">
        <v>239312</v>
      </c>
      <c r="AU1076" t="s">
        <v>57</v>
      </c>
      <c r="AV1076" t="s">
        <v>68</v>
      </c>
      <c r="AX1076" t="s">
        <v>57</v>
      </c>
      <c r="AY1076">
        <v>631110</v>
      </c>
      <c r="AZ1076">
        <v>1205.63111</v>
      </c>
      <c r="BA1076" s="23" t="s">
        <v>13</v>
      </c>
    </row>
    <row r="1077" spans="1:53" x14ac:dyDescent="0.25">
      <c r="A1077" t="s">
        <v>134</v>
      </c>
      <c r="B1077" t="s">
        <v>135</v>
      </c>
      <c r="C1077">
        <v>22002366</v>
      </c>
      <c r="D1077">
        <v>1205</v>
      </c>
      <c r="E1077" s="11">
        <v>44791</v>
      </c>
      <c r="F1077" t="s">
        <v>174</v>
      </c>
      <c r="G1077">
        <v>5.22</v>
      </c>
      <c r="H1077">
        <v>5.22</v>
      </c>
      <c r="I1077" t="s">
        <v>56</v>
      </c>
      <c r="O1077" t="s">
        <v>57</v>
      </c>
      <c r="Q1077" t="s">
        <v>57</v>
      </c>
      <c r="R1077" t="s">
        <v>137</v>
      </c>
      <c r="T1077" t="s">
        <v>59</v>
      </c>
      <c r="U1077" t="s">
        <v>60</v>
      </c>
      <c r="V1077" t="s">
        <v>138</v>
      </c>
      <c r="W1077" t="s">
        <v>139</v>
      </c>
      <c r="X1077">
        <v>1933538</v>
      </c>
      <c r="Y1077" s="11">
        <v>44791</v>
      </c>
      <c r="Z1077" t="s">
        <v>57</v>
      </c>
      <c r="AA1077">
        <v>8</v>
      </c>
      <c r="AB1077" t="s">
        <v>57</v>
      </c>
      <c r="AD1077" t="s">
        <v>57</v>
      </c>
      <c r="AE1077" t="s">
        <v>57</v>
      </c>
      <c r="AF1077" t="s">
        <v>57</v>
      </c>
      <c r="AG1077">
        <v>3</v>
      </c>
      <c r="AH1077" t="s">
        <v>57</v>
      </c>
      <c r="AL1077" t="s">
        <v>57</v>
      </c>
      <c r="AM1077" s="11">
        <v>44791</v>
      </c>
      <c r="AN1077" t="s">
        <v>178</v>
      </c>
      <c r="AO1077" t="s">
        <v>65</v>
      </c>
      <c r="AP1077">
        <v>1205</v>
      </c>
      <c r="AQ1077" t="s">
        <v>66</v>
      </c>
      <c r="AR1077">
        <v>213580</v>
      </c>
      <c r="AU1077" t="s">
        <v>57</v>
      </c>
      <c r="AV1077" t="s">
        <v>68</v>
      </c>
      <c r="AX1077" t="s">
        <v>57</v>
      </c>
      <c r="AY1077">
        <v>631110</v>
      </c>
      <c r="AZ1077">
        <v>1205.63111</v>
      </c>
      <c r="BA1077" s="23" t="s">
        <v>13</v>
      </c>
    </row>
    <row r="1078" spans="1:53" x14ac:dyDescent="0.25">
      <c r="A1078" t="s">
        <v>134</v>
      </c>
      <c r="B1078" t="s">
        <v>135</v>
      </c>
      <c r="C1078">
        <v>22002366</v>
      </c>
      <c r="D1078">
        <v>1205</v>
      </c>
      <c r="E1078" s="11">
        <v>44791</v>
      </c>
      <c r="F1078" t="s">
        <v>174</v>
      </c>
      <c r="G1078">
        <v>2.74</v>
      </c>
      <c r="H1078">
        <v>2.74</v>
      </c>
      <c r="I1078" t="s">
        <v>56</v>
      </c>
      <c r="O1078" t="s">
        <v>57</v>
      </c>
      <c r="Q1078" t="s">
        <v>57</v>
      </c>
      <c r="R1078" t="s">
        <v>137</v>
      </c>
      <c r="T1078" t="s">
        <v>59</v>
      </c>
      <c r="U1078" t="s">
        <v>60</v>
      </c>
      <c r="V1078" t="s">
        <v>138</v>
      </c>
      <c r="W1078" t="s">
        <v>139</v>
      </c>
      <c r="X1078">
        <v>1933538</v>
      </c>
      <c r="Y1078" s="11">
        <v>44791</v>
      </c>
      <c r="Z1078" t="s">
        <v>57</v>
      </c>
      <c r="AA1078">
        <v>10</v>
      </c>
      <c r="AB1078" t="s">
        <v>57</v>
      </c>
      <c r="AD1078" t="s">
        <v>57</v>
      </c>
      <c r="AE1078" t="s">
        <v>57</v>
      </c>
      <c r="AF1078" t="s">
        <v>57</v>
      </c>
      <c r="AG1078">
        <v>1</v>
      </c>
      <c r="AH1078" t="s">
        <v>57</v>
      </c>
      <c r="AL1078" t="s">
        <v>57</v>
      </c>
      <c r="AM1078" s="11">
        <v>44791</v>
      </c>
      <c r="AN1078" t="s">
        <v>178</v>
      </c>
      <c r="AO1078" t="s">
        <v>65</v>
      </c>
      <c r="AP1078">
        <v>1205</v>
      </c>
      <c r="AQ1078" t="s">
        <v>66</v>
      </c>
      <c r="AR1078">
        <v>96581</v>
      </c>
      <c r="AU1078" t="s">
        <v>57</v>
      </c>
      <c r="AV1078" t="s">
        <v>68</v>
      </c>
      <c r="AX1078" t="s">
        <v>57</v>
      </c>
      <c r="AY1078">
        <v>631110</v>
      </c>
      <c r="AZ1078">
        <v>1205.63111</v>
      </c>
      <c r="BA1078" s="23" t="s">
        <v>13</v>
      </c>
    </row>
    <row r="1079" spans="1:53" x14ac:dyDescent="0.25">
      <c r="A1079" t="s">
        <v>134</v>
      </c>
      <c r="B1079" t="s">
        <v>135</v>
      </c>
      <c r="C1079">
        <v>22002367</v>
      </c>
      <c r="D1079">
        <v>1205</v>
      </c>
      <c r="E1079" s="11">
        <v>44791</v>
      </c>
      <c r="F1079" t="s">
        <v>174</v>
      </c>
      <c r="G1079">
        <v>942.74</v>
      </c>
      <c r="H1079">
        <v>942.74</v>
      </c>
      <c r="I1079" t="s">
        <v>56</v>
      </c>
      <c r="O1079" t="s">
        <v>57</v>
      </c>
      <c r="Q1079" t="s">
        <v>57</v>
      </c>
      <c r="R1079" t="s">
        <v>137</v>
      </c>
      <c r="T1079" t="s">
        <v>59</v>
      </c>
      <c r="U1079" t="s">
        <v>60</v>
      </c>
      <c r="V1079" t="s">
        <v>138</v>
      </c>
      <c r="W1079" t="s">
        <v>139</v>
      </c>
      <c r="X1079">
        <v>1933538</v>
      </c>
      <c r="Y1079" s="11">
        <v>44791</v>
      </c>
      <c r="Z1079" t="s">
        <v>57</v>
      </c>
      <c r="AA1079">
        <v>2</v>
      </c>
      <c r="AB1079" t="s">
        <v>57</v>
      </c>
      <c r="AD1079" t="s">
        <v>57</v>
      </c>
      <c r="AE1079" t="s">
        <v>57</v>
      </c>
      <c r="AF1079" t="s">
        <v>57</v>
      </c>
      <c r="AG1079">
        <v>1</v>
      </c>
      <c r="AH1079" t="s">
        <v>57</v>
      </c>
      <c r="AL1079" t="s">
        <v>57</v>
      </c>
      <c r="AM1079" s="11">
        <v>44791</v>
      </c>
      <c r="AN1079" t="s">
        <v>178</v>
      </c>
      <c r="AO1079" t="s">
        <v>65</v>
      </c>
      <c r="AP1079">
        <v>1205</v>
      </c>
      <c r="AQ1079" t="s">
        <v>66</v>
      </c>
      <c r="AR1079">
        <v>275460</v>
      </c>
      <c r="AU1079" t="s">
        <v>57</v>
      </c>
      <c r="AV1079" t="s">
        <v>68</v>
      </c>
      <c r="AX1079" t="s">
        <v>57</v>
      </c>
      <c r="AY1079">
        <v>631110</v>
      </c>
      <c r="AZ1079">
        <v>1205.63111</v>
      </c>
      <c r="BA1079" s="23" t="s">
        <v>13</v>
      </c>
    </row>
    <row r="1080" spans="1:53" x14ac:dyDescent="0.25">
      <c r="A1080" t="s">
        <v>134</v>
      </c>
      <c r="B1080" t="s">
        <v>135</v>
      </c>
      <c r="C1080">
        <v>22002368</v>
      </c>
      <c r="D1080">
        <v>1205</v>
      </c>
      <c r="E1080" s="11">
        <v>44791</v>
      </c>
      <c r="F1080" t="s">
        <v>159</v>
      </c>
      <c r="G1080">
        <v>0.31</v>
      </c>
      <c r="H1080">
        <v>0.31</v>
      </c>
      <c r="I1080" t="s">
        <v>56</v>
      </c>
      <c r="O1080" t="s">
        <v>57</v>
      </c>
      <c r="Q1080" t="s">
        <v>57</v>
      </c>
      <c r="R1080" t="s">
        <v>137</v>
      </c>
      <c r="T1080" t="s">
        <v>59</v>
      </c>
      <c r="U1080" t="s">
        <v>60</v>
      </c>
      <c r="V1080" t="s">
        <v>138</v>
      </c>
      <c r="W1080" t="s">
        <v>139</v>
      </c>
      <c r="X1080">
        <v>1933538</v>
      </c>
      <c r="Y1080" s="11">
        <v>44791</v>
      </c>
      <c r="Z1080" t="s">
        <v>57</v>
      </c>
      <c r="AA1080">
        <v>2</v>
      </c>
      <c r="AB1080" t="s">
        <v>57</v>
      </c>
      <c r="AD1080" t="s">
        <v>57</v>
      </c>
      <c r="AE1080" t="s">
        <v>57</v>
      </c>
      <c r="AF1080" t="s">
        <v>57</v>
      </c>
      <c r="AG1080">
        <v>1</v>
      </c>
      <c r="AH1080" t="s">
        <v>57</v>
      </c>
      <c r="AL1080" t="s">
        <v>57</v>
      </c>
      <c r="AM1080" s="11">
        <v>44791</v>
      </c>
      <c r="AN1080" t="s">
        <v>178</v>
      </c>
      <c r="AO1080" t="s">
        <v>65</v>
      </c>
      <c r="AP1080">
        <v>1205</v>
      </c>
      <c r="AQ1080" t="s">
        <v>66</v>
      </c>
      <c r="AR1080">
        <v>89830</v>
      </c>
      <c r="AU1080" t="s">
        <v>57</v>
      </c>
      <c r="AV1080" t="s">
        <v>68</v>
      </c>
      <c r="AX1080" t="s">
        <v>57</v>
      </c>
      <c r="AY1080">
        <v>631110</v>
      </c>
      <c r="AZ1080">
        <v>1205.63111</v>
      </c>
      <c r="BA1080" s="23" t="s">
        <v>13</v>
      </c>
    </row>
    <row r="1081" spans="1:53" x14ac:dyDescent="0.25">
      <c r="A1081" t="s">
        <v>134</v>
      </c>
      <c r="B1081" t="s">
        <v>135</v>
      </c>
      <c r="C1081">
        <v>22002369</v>
      </c>
      <c r="D1081">
        <v>1205</v>
      </c>
      <c r="E1081" s="11">
        <v>44791</v>
      </c>
      <c r="F1081" t="s">
        <v>174</v>
      </c>
      <c r="G1081">
        <v>0.36</v>
      </c>
      <c r="H1081">
        <v>0.36</v>
      </c>
      <c r="I1081" t="s">
        <v>56</v>
      </c>
      <c r="O1081" t="s">
        <v>57</v>
      </c>
      <c r="Q1081" t="s">
        <v>57</v>
      </c>
      <c r="R1081" t="s">
        <v>137</v>
      </c>
      <c r="T1081" t="s">
        <v>59</v>
      </c>
      <c r="U1081" t="s">
        <v>60</v>
      </c>
      <c r="V1081" t="s">
        <v>138</v>
      </c>
      <c r="W1081" t="s">
        <v>139</v>
      </c>
      <c r="X1081">
        <v>1933539</v>
      </c>
      <c r="Y1081" s="11">
        <v>44791</v>
      </c>
      <c r="Z1081" t="s">
        <v>57</v>
      </c>
      <c r="AA1081">
        <v>2</v>
      </c>
      <c r="AB1081" t="s">
        <v>57</v>
      </c>
      <c r="AD1081" t="s">
        <v>57</v>
      </c>
      <c r="AE1081" t="s">
        <v>57</v>
      </c>
      <c r="AF1081" t="s">
        <v>57</v>
      </c>
      <c r="AG1081">
        <v>1</v>
      </c>
      <c r="AH1081" t="s">
        <v>57</v>
      </c>
      <c r="AL1081" t="s">
        <v>57</v>
      </c>
      <c r="AM1081" s="11">
        <v>44791</v>
      </c>
      <c r="AN1081" t="s">
        <v>178</v>
      </c>
      <c r="AO1081" t="s">
        <v>65</v>
      </c>
      <c r="AP1081">
        <v>1205</v>
      </c>
      <c r="AQ1081" t="s">
        <v>66</v>
      </c>
      <c r="AR1081">
        <v>227903</v>
      </c>
      <c r="AU1081" t="s">
        <v>57</v>
      </c>
      <c r="AV1081" t="s">
        <v>68</v>
      </c>
      <c r="AX1081" t="s">
        <v>57</v>
      </c>
      <c r="AY1081">
        <v>631110</v>
      </c>
      <c r="AZ1081">
        <v>1205.63111</v>
      </c>
      <c r="BA1081" s="23" t="s">
        <v>13</v>
      </c>
    </row>
    <row r="1082" spans="1:53" x14ac:dyDescent="0.25">
      <c r="A1082" t="s">
        <v>134</v>
      </c>
      <c r="B1082" t="s">
        <v>135</v>
      </c>
      <c r="C1082">
        <v>22002370</v>
      </c>
      <c r="D1082">
        <v>1205</v>
      </c>
      <c r="E1082" s="11">
        <v>44791</v>
      </c>
      <c r="F1082" t="s">
        <v>174</v>
      </c>
      <c r="G1082">
        <v>2.09</v>
      </c>
      <c r="H1082">
        <v>2.09</v>
      </c>
      <c r="I1082" t="s">
        <v>56</v>
      </c>
      <c r="O1082" t="s">
        <v>57</v>
      </c>
      <c r="Q1082" t="s">
        <v>57</v>
      </c>
      <c r="R1082" t="s">
        <v>137</v>
      </c>
      <c r="T1082" t="s">
        <v>59</v>
      </c>
      <c r="U1082" t="s">
        <v>60</v>
      </c>
      <c r="V1082" t="s">
        <v>138</v>
      </c>
      <c r="W1082" t="s">
        <v>139</v>
      </c>
      <c r="X1082">
        <v>1933540</v>
      </c>
      <c r="Y1082" s="11">
        <v>44791</v>
      </c>
      <c r="Z1082" t="s">
        <v>57</v>
      </c>
      <c r="AA1082">
        <v>2</v>
      </c>
      <c r="AB1082" t="s">
        <v>57</v>
      </c>
      <c r="AD1082" t="s">
        <v>57</v>
      </c>
      <c r="AE1082" t="s">
        <v>57</v>
      </c>
      <c r="AF1082" t="s">
        <v>57</v>
      </c>
      <c r="AG1082">
        <v>1</v>
      </c>
      <c r="AH1082" t="s">
        <v>57</v>
      </c>
      <c r="AL1082" t="s">
        <v>57</v>
      </c>
      <c r="AM1082" s="11">
        <v>44791</v>
      </c>
      <c r="AN1082" t="s">
        <v>178</v>
      </c>
      <c r="AO1082" t="s">
        <v>65</v>
      </c>
      <c r="AP1082">
        <v>1205</v>
      </c>
      <c r="AQ1082" t="s">
        <v>66</v>
      </c>
      <c r="AR1082">
        <v>88783</v>
      </c>
      <c r="AU1082" t="s">
        <v>57</v>
      </c>
      <c r="AV1082" t="s">
        <v>68</v>
      </c>
      <c r="AX1082" t="s">
        <v>57</v>
      </c>
      <c r="AY1082">
        <v>631110</v>
      </c>
      <c r="AZ1082">
        <v>1205.63111</v>
      </c>
      <c r="BA1082" s="23" t="s">
        <v>13</v>
      </c>
    </row>
    <row r="1083" spans="1:53" x14ac:dyDescent="0.25">
      <c r="A1083" t="s">
        <v>134</v>
      </c>
      <c r="B1083" t="s">
        <v>135</v>
      </c>
      <c r="C1083">
        <v>22002371</v>
      </c>
      <c r="D1083">
        <v>1205</v>
      </c>
      <c r="E1083" s="11">
        <v>44791</v>
      </c>
      <c r="F1083" t="s">
        <v>174</v>
      </c>
      <c r="G1083">
        <v>8.77</v>
      </c>
      <c r="H1083">
        <v>8.77</v>
      </c>
      <c r="I1083" t="s">
        <v>56</v>
      </c>
      <c r="O1083" t="s">
        <v>57</v>
      </c>
      <c r="Q1083" t="s">
        <v>57</v>
      </c>
      <c r="R1083" t="s">
        <v>137</v>
      </c>
      <c r="T1083" t="s">
        <v>59</v>
      </c>
      <c r="U1083" t="s">
        <v>60</v>
      </c>
      <c r="V1083" t="s">
        <v>138</v>
      </c>
      <c r="W1083" t="s">
        <v>139</v>
      </c>
      <c r="X1083">
        <v>1933541</v>
      </c>
      <c r="Y1083" s="11">
        <v>44791</v>
      </c>
      <c r="Z1083" t="s">
        <v>57</v>
      </c>
      <c r="AA1083">
        <v>2</v>
      </c>
      <c r="AB1083" t="s">
        <v>57</v>
      </c>
      <c r="AD1083" t="s">
        <v>57</v>
      </c>
      <c r="AE1083" t="s">
        <v>57</v>
      </c>
      <c r="AF1083" t="s">
        <v>57</v>
      </c>
      <c r="AG1083">
        <v>1</v>
      </c>
      <c r="AH1083" t="s">
        <v>57</v>
      </c>
      <c r="AL1083" t="s">
        <v>57</v>
      </c>
      <c r="AM1083" s="11">
        <v>44791</v>
      </c>
      <c r="AN1083" t="s">
        <v>178</v>
      </c>
      <c r="AO1083" t="s">
        <v>65</v>
      </c>
      <c r="AP1083">
        <v>1205</v>
      </c>
      <c r="AQ1083" t="s">
        <v>66</v>
      </c>
      <c r="AR1083">
        <v>208958</v>
      </c>
      <c r="AU1083" t="s">
        <v>57</v>
      </c>
      <c r="AV1083" t="s">
        <v>68</v>
      </c>
      <c r="AX1083" t="s">
        <v>57</v>
      </c>
      <c r="AY1083">
        <v>631110</v>
      </c>
      <c r="AZ1083">
        <v>1205.63111</v>
      </c>
      <c r="BA1083" s="23" t="s">
        <v>13</v>
      </c>
    </row>
    <row r="1084" spans="1:53" x14ac:dyDescent="0.25">
      <c r="A1084" t="s">
        <v>134</v>
      </c>
      <c r="B1084" t="s">
        <v>135</v>
      </c>
      <c r="C1084">
        <v>22002372</v>
      </c>
      <c r="D1084">
        <v>1205</v>
      </c>
      <c r="E1084" s="11">
        <v>44791</v>
      </c>
      <c r="F1084" t="s">
        <v>179</v>
      </c>
      <c r="G1084">
        <v>0.15</v>
      </c>
      <c r="H1084">
        <v>0.15</v>
      </c>
      <c r="I1084" t="s">
        <v>56</v>
      </c>
      <c r="O1084" t="s">
        <v>57</v>
      </c>
      <c r="Q1084" t="s">
        <v>57</v>
      </c>
      <c r="R1084" t="s">
        <v>137</v>
      </c>
      <c r="T1084" t="s">
        <v>59</v>
      </c>
      <c r="U1084" t="s">
        <v>60</v>
      </c>
      <c r="V1084" t="s">
        <v>138</v>
      </c>
      <c r="W1084" t="s">
        <v>139</v>
      </c>
      <c r="X1084">
        <v>1933543</v>
      </c>
      <c r="Y1084" s="11">
        <v>44791</v>
      </c>
      <c r="Z1084" t="s">
        <v>57</v>
      </c>
      <c r="AA1084">
        <v>2</v>
      </c>
      <c r="AB1084" t="s">
        <v>57</v>
      </c>
      <c r="AD1084" t="s">
        <v>57</v>
      </c>
      <c r="AE1084" t="s">
        <v>57</v>
      </c>
      <c r="AF1084" t="s">
        <v>57</v>
      </c>
      <c r="AG1084">
        <v>2</v>
      </c>
      <c r="AH1084" t="s">
        <v>57</v>
      </c>
      <c r="AL1084" t="s">
        <v>57</v>
      </c>
      <c r="AM1084" s="11">
        <v>44791</v>
      </c>
      <c r="AN1084" t="s">
        <v>180</v>
      </c>
      <c r="AO1084" t="s">
        <v>65</v>
      </c>
      <c r="AP1084">
        <v>1205</v>
      </c>
      <c r="AQ1084" t="s">
        <v>66</v>
      </c>
      <c r="AR1084">
        <v>92908</v>
      </c>
      <c r="AU1084" t="s">
        <v>57</v>
      </c>
      <c r="AV1084" t="s">
        <v>68</v>
      </c>
      <c r="AX1084" t="s">
        <v>57</v>
      </c>
      <c r="AY1084">
        <v>631110</v>
      </c>
      <c r="AZ1084">
        <v>1205.63111</v>
      </c>
      <c r="BA1084" s="23" t="s">
        <v>13</v>
      </c>
    </row>
    <row r="1085" spans="1:53" x14ac:dyDescent="0.25">
      <c r="A1085" t="s">
        <v>134</v>
      </c>
      <c r="B1085" t="s">
        <v>135</v>
      </c>
      <c r="C1085">
        <v>22002372</v>
      </c>
      <c r="D1085">
        <v>1205</v>
      </c>
      <c r="E1085" s="11">
        <v>44791</v>
      </c>
      <c r="F1085" t="s">
        <v>179</v>
      </c>
      <c r="G1085">
        <v>2.39</v>
      </c>
      <c r="H1085">
        <v>2.39</v>
      </c>
      <c r="I1085" t="s">
        <v>56</v>
      </c>
      <c r="O1085" t="s">
        <v>57</v>
      </c>
      <c r="Q1085" t="s">
        <v>57</v>
      </c>
      <c r="R1085" t="s">
        <v>137</v>
      </c>
      <c r="T1085" t="s">
        <v>59</v>
      </c>
      <c r="U1085" t="s">
        <v>60</v>
      </c>
      <c r="V1085" t="s">
        <v>138</v>
      </c>
      <c r="W1085" t="s">
        <v>139</v>
      </c>
      <c r="X1085">
        <v>1933543</v>
      </c>
      <c r="Y1085" s="11">
        <v>44791</v>
      </c>
      <c r="Z1085" t="s">
        <v>57</v>
      </c>
      <c r="AA1085">
        <v>4</v>
      </c>
      <c r="AB1085" t="s">
        <v>57</v>
      </c>
      <c r="AD1085" t="s">
        <v>57</v>
      </c>
      <c r="AE1085" t="s">
        <v>57</v>
      </c>
      <c r="AF1085" t="s">
        <v>57</v>
      </c>
      <c r="AG1085">
        <v>20</v>
      </c>
      <c r="AH1085" t="s">
        <v>57</v>
      </c>
      <c r="AL1085" t="s">
        <v>57</v>
      </c>
      <c r="AM1085" s="11">
        <v>44791</v>
      </c>
      <c r="AN1085" t="s">
        <v>180</v>
      </c>
      <c r="AO1085" t="s">
        <v>65</v>
      </c>
      <c r="AP1085">
        <v>1205</v>
      </c>
      <c r="AQ1085" t="s">
        <v>66</v>
      </c>
      <c r="AR1085">
        <v>267860</v>
      </c>
      <c r="AU1085" t="s">
        <v>57</v>
      </c>
      <c r="AV1085" t="s">
        <v>68</v>
      </c>
      <c r="AX1085" t="s">
        <v>57</v>
      </c>
      <c r="AY1085">
        <v>631110</v>
      </c>
      <c r="AZ1085">
        <v>1205.63111</v>
      </c>
      <c r="BA1085" s="23" t="s">
        <v>13</v>
      </c>
    </row>
    <row r="1086" spans="1:53" x14ac:dyDescent="0.25">
      <c r="A1086" t="s">
        <v>134</v>
      </c>
      <c r="B1086" t="s">
        <v>135</v>
      </c>
      <c r="C1086">
        <v>22002372</v>
      </c>
      <c r="D1086">
        <v>1205</v>
      </c>
      <c r="E1086" s="11">
        <v>44791</v>
      </c>
      <c r="F1086" t="s">
        <v>179</v>
      </c>
      <c r="G1086">
        <v>0.61</v>
      </c>
      <c r="H1086">
        <v>0.61</v>
      </c>
      <c r="I1086" t="s">
        <v>56</v>
      </c>
      <c r="O1086" t="s">
        <v>57</v>
      </c>
      <c r="Q1086" t="s">
        <v>57</v>
      </c>
      <c r="R1086" t="s">
        <v>137</v>
      </c>
      <c r="T1086" t="s">
        <v>59</v>
      </c>
      <c r="U1086" t="s">
        <v>60</v>
      </c>
      <c r="V1086" t="s">
        <v>138</v>
      </c>
      <c r="W1086" t="s">
        <v>139</v>
      </c>
      <c r="X1086">
        <v>1933543</v>
      </c>
      <c r="Y1086" s="11">
        <v>44791</v>
      </c>
      <c r="Z1086" t="s">
        <v>57</v>
      </c>
      <c r="AA1086">
        <v>6</v>
      </c>
      <c r="AB1086" t="s">
        <v>57</v>
      </c>
      <c r="AD1086" t="s">
        <v>57</v>
      </c>
      <c r="AE1086" t="s">
        <v>57</v>
      </c>
      <c r="AF1086" t="s">
        <v>57</v>
      </c>
      <c r="AG1086">
        <v>8</v>
      </c>
      <c r="AH1086" t="s">
        <v>57</v>
      </c>
      <c r="AL1086" t="s">
        <v>57</v>
      </c>
      <c r="AM1086" s="11">
        <v>44791</v>
      </c>
      <c r="AN1086" t="s">
        <v>180</v>
      </c>
      <c r="AO1086" t="s">
        <v>65</v>
      </c>
      <c r="AP1086">
        <v>1205</v>
      </c>
      <c r="AQ1086" t="s">
        <v>66</v>
      </c>
      <c r="AR1086">
        <v>264688</v>
      </c>
      <c r="AU1086" t="s">
        <v>57</v>
      </c>
      <c r="AV1086" t="s">
        <v>68</v>
      </c>
      <c r="AX1086" t="s">
        <v>57</v>
      </c>
      <c r="AY1086">
        <v>631110</v>
      </c>
      <c r="AZ1086">
        <v>1205.63111</v>
      </c>
      <c r="BA1086" s="23" t="s">
        <v>13</v>
      </c>
    </row>
    <row r="1087" spans="1:53" x14ac:dyDescent="0.25">
      <c r="A1087" t="s">
        <v>134</v>
      </c>
      <c r="B1087" t="s">
        <v>135</v>
      </c>
      <c r="C1087">
        <v>22002372</v>
      </c>
      <c r="D1087">
        <v>1205</v>
      </c>
      <c r="E1087" s="11">
        <v>44791</v>
      </c>
      <c r="F1087" t="s">
        <v>179</v>
      </c>
      <c r="G1087">
        <v>0.5</v>
      </c>
      <c r="H1087">
        <v>0.5</v>
      </c>
      <c r="I1087" t="s">
        <v>56</v>
      </c>
      <c r="O1087" t="s">
        <v>57</v>
      </c>
      <c r="Q1087" t="s">
        <v>57</v>
      </c>
      <c r="R1087" t="s">
        <v>137</v>
      </c>
      <c r="T1087" t="s">
        <v>59</v>
      </c>
      <c r="U1087" t="s">
        <v>60</v>
      </c>
      <c r="V1087" t="s">
        <v>138</v>
      </c>
      <c r="W1087" t="s">
        <v>139</v>
      </c>
      <c r="X1087">
        <v>1933543</v>
      </c>
      <c r="Y1087" s="11">
        <v>44791</v>
      </c>
      <c r="Z1087" t="s">
        <v>57</v>
      </c>
      <c r="AA1087">
        <v>8</v>
      </c>
      <c r="AB1087" t="s">
        <v>57</v>
      </c>
      <c r="AD1087" t="s">
        <v>57</v>
      </c>
      <c r="AE1087" t="s">
        <v>57</v>
      </c>
      <c r="AF1087" t="s">
        <v>57</v>
      </c>
      <c r="AG1087">
        <v>6</v>
      </c>
      <c r="AH1087" t="s">
        <v>57</v>
      </c>
      <c r="AL1087" t="s">
        <v>57</v>
      </c>
      <c r="AM1087" s="11">
        <v>44791</v>
      </c>
      <c r="AN1087" t="s">
        <v>180</v>
      </c>
      <c r="AO1087" t="s">
        <v>65</v>
      </c>
      <c r="AP1087">
        <v>1205</v>
      </c>
      <c r="AQ1087" t="s">
        <v>66</v>
      </c>
      <c r="AR1087">
        <v>265878</v>
      </c>
      <c r="AU1087" t="s">
        <v>57</v>
      </c>
      <c r="AV1087" t="s">
        <v>68</v>
      </c>
      <c r="AX1087" t="s">
        <v>57</v>
      </c>
      <c r="AY1087">
        <v>631110</v>
      </c>
      <c r="AZ1087">
        <v>1205.63111</v>
      </c>
      <c r="BA1087" s="23" t="s">
        <v>13</v>
      </c>
    </row>
    <row r="1088" spans="1:53" x14ac:dyDescent="0.25">
      <c r="A1088" t="s">
        <v>134</v>
      </c>
      <c r="B1088" t="s">
        <v>135</v>
      </c>
      <c r="C1088">
        <v>22002372</v>
      </c>
      <c r="D1088">
        <v>1205</v>
      </c>
      <c r="E1088" s="11">
        <v>44791</v>
      </c>
      <c r="F1088" t="s">
        <v>179</v>
      </c>
      <c r="G1088">
        <v>0.75</v>
      </c>
      <c r="H1088">
        <v>0.75</v>
      </c>
      <c r="I1088" t="s">
        <v>56</v>
      </c>
      <c r="O1088" t="s">
        <v>57</v>
      </c>
      <c r="Q1088" t="s">
        <v>57</v>
      </c>
      <c r="R1088" t="s">
        <v>137</v>
      </c>
      <c r="T1088" t="s">
        <v>59</v>
      </c>
      <c r="U1088" t="s">
        <v>60</v>
      </c>
      <c r="V1088" t="s">
        <v>138</v>
      </c>
      <c r="W1088" t="s">
        <v>139</v>
      </c>
      <c r="X1088">
        <v>1933543</v>
      </c>
      <c r="Y1088" s="11">
        <v>44791</v>
      </c>
      <c r="Z1088" t="s">
        <v>57</v>
      </c>
      <c r="AA1088">
        <v>10</v>
      </c>
      <c r="AB1088" t="s">
        <v>57</v>
      </c>
      <c r="AD1088" t="s">
        <v>57</v>
      </c>
      <c r="AE1088" t="s">
        <v>57</v>
      </c>
      <c r="AF1088" t="s">
        <v>57</v>
      </c>
      <c r="AG1088">
        <v>10</v>
      </c>
      <c r="AH1088" t="s">
        <v>57</v>
      </c>
      <c r="AL1088" t="s">
        <v>57</v>
      </c>
      <c r="AM1088" s="11">
        <v>44791</v>
      </c>
      <c r="AN1088" t="s">
        <v>180</v>
      </c>
      <c r="AO1088" t="s">
        <v>65</v>
      </c>
      <c r="AP1088">
        <v>1205</v>
      </c>
      <c r="AQ1088" t="s">
        <v>66</v>
      </c>
      <c r="AR1088">
        <v>91479</v>
      </c>
      <c r="AU1088" t="s">
        <v>57</v>
      </c>
      <c r="AV1088" t="s">
        <v>68</v>
      </c>
      <c r="AX1088" t="s">
        <v>57</v>
      </c>
      <c r="AY1088">
        <v>631110</v>
      </c>
      <c r="AZ1088">
        <v>1205.63111</v>
      </c>
      <c r="BA1088" s="23" t="s">
        <v>13</v>
      </c>
    </row>
    <row r="1089" spans="1:53" x14ac:dyDescent="0.25">
      <c r="A1089" t="s">
        <v>134</v>
      </c>
      <c r="B1089" t="s">
        <v>135</v>
      </c>
      <c r="C1089">
        <v>22002372</v>
      </c>
      <c r="D1089">
        <v>1205</v>
      </c>
      <c r="E1089" s="11">
        <v>44791</v>
      </c>
      <c r="F1089" t="s">
        <v>179</v>
      </c>
      <c r="G1089">
        <v>0.76</v>
      </c>
      <c r="H1089">
        <v>0.76</v>
      </c>
      <c r="I1089" t="s">
        <v>56</v>
      </c>
      <c r="O1089" t="s">
        <v>57</v>
      </c>
      <c r="Q1089" t="s">
        <v>57</v>
      </c>
      <c r="R1089" t="s">
        <v>137</v>
      </c>
      <c r="T1089" t="s">
        <v>59</v>
      </c>
      <c r="U1089" t="s">
        <v>60</v>
      </c>
      <c r="V1089" t="s">
        <v>138</v>
      </c>
      <c r="W1089" t="s">
        <v>139</v>
      </c>
      <c r="X1089">
        <v>1933543</v>
      </c>
      <c r="Y1089" s="11">
        <v>44791</v>
      </c>
      <c r="Z1089" t="s">
        <v>57</v>
      </c>
      <c r="AA1089">
        <v>12</v>
      </c>
      <c r="AB1089" t="s">
        <v>57</v>
      </c>
      <c r="AD1089" t="s">
        <v>57</v>
      </c>
      <c r="AE1089" t="s">
        <v>57</v>
      </c>
      <c r="AF1089" t="s">
        <v>57</v>
      </c>
      <c r="AG1089">
        <v>10</v>
      </c>
      <c r="AH1089" t="s">
        <v>57</v>
      </c>
      <c r="AL1089" t="s">
        <v>57</v>
      </c>
      <c r="AM1089" s="11">
        <v>44791</v>
      </c>
      <c r="AN1089" t="s">
        <v>180</v>
      </c>
      <c r="AO1089" t="s">
        <v>65</v>
      </c>
      <c r="AP1089">
        <v>1205</v>
      </c>
      <c r="AQ1089" t="s">
        <v>66</v>
      </c>
      <c r="AR1089">
        <v>271795</v>
      </c>
      <c r="AU1089" t="s">
        <v>57</v>
      </c>
      <c r="AV1089" t="s">
        <v>68</v>
      </c>
      <c r="AX1089" t="s">
        <v>57</v>
      </c>
      <c r="AY1089">
        <v>631110</v>
      </c>
      <c r="AZ1089">
        <v>1205.63111</v>
      </c>
      <c r="BA1089" s="23" t="s">
        <v>13</v>
      </c>
    </row>
    <row r="1090" spans="1:53" x14ac:dyDescent="0.25">
      <c r="A1090" t="s">
        <v>134</v>
      </c>
      <c r="B1090" t="s">
        <v>135</v>
      </c>
      <c r="C1090">
        <v>22002372</v>
      </c>
      <c r="D1090">
        <v>1205</v>
      </c>
      <c r="E1090" s="11">
        <v>44791</v>
      </c>
      <c r="F1090" t="s">
        <v>179</v>
      </c>
      <c r="G1090">
        <v>1.7</v>
      </c>
      <c r="H1090">
        <v>1.7</v>
      </c>
      <c r="I1090" t="s">
        <v>56</v>
      </c>
      <c r="O1090" t="s">
        <v>57</v>
      </c>
      <c r="Q1090" t="s">
        <v>57</v>
      </c>
      <c r="R1090" t="s">
        <v>137</v>
      </c>
      <c r="T1090" t="s">
        <v>59</v>
      </c>
      <c r="U1090" t="s">
        <v>60</v>
      </c>
      <c r="V1090" t="s">
        <v>138</v>
      </c>
      <c r="W1090" t="s">
        <v>139</v>
      </c>
      <c r="X1090">
        <v>1933543</v>
      </c>
      <c r="Y1090" s="11">
        <v>44791</v>
      </c>
      <c r="Z1090" t="s">
        <v>57</v>
      </c>
      <c r="AA1090">
        <v>14</v>
      </c>
      <c r="AB1090" t="s">
        <v>57</v>
      </c>
      <c r="AD1090" t="s">
        <v>57</v>
      </c>
      <c r="AE1090" t="s">
        <v>57</v>
      </c>
      <c r="AF1090" t="s">
        <v>57</v>
      </c>
      <c r="AG1090">
        <v>15</v>
      </c>
      <c r="AH1090" t="s">
        <v>57</v>
      </c>
      <c r="AL1090" t="s">
        <v>57</v>
      </c>
      <c r="AM1090" s="11">
        <v>44791</v>
      </c>
      <c r="AN1090" t="s">
        <v>180</v>
      </c>
      <c r="AO1090" t="s">
        <v>65</v>
      </c>
      <c r="AP1090">
        <v>1205</v>
      </c>
      <c r="AQ1090" t="s">
        <v>66</v>
      </c>
      <c r="AR1090">
        <v>265889</v>
      </c>
      <c r="AU1090" t="s">
        <v>57</v>
      </c>
      <c r="AV1090" t="s">
        <v>68</v>
      </c>
      <c r="AX1090" t="s">
        <v>57</v>
      </c>
      <c r="AY1090">
        <v>631110</v>
      </c>
      <c r="AZ1090">
        <v>1205.63111</v>
      </c>
      <c r="BA1090" s="23" t="s">
        <v>13</v>
      </c>
    </row>
    <row r="1091" spans="1:53" x14ac:dyDescent="0.25">
      <c r="A1091" t="s">
        <v>134</v>
      </c>
      <c r="B1091" t="s">
        <v>135</v>
      </c>
      <c r="C1091">
        <v>22002372</v>
      </c>
      <c r="D1091">
        <v>1205</v>
      </c>
      <c r="E1091" s="11">
        <v>44791</v>
      </c>
      <c r="F1091" t="s">
        <v>179</v>
      </c>
      <c r="G1091">
        <v>1.08</v>
      </c>
      <c r="H1091">
        <v>1.08</v>
      </c>
      <c r="I1091" t="s">
        <v>56</v>
      </c>
      <c r="O1091" t="s">
        <v>57</v>
      </c>
      <c r="Q1091" t="s">
        <v>57</v>
      </c>
      <c r="R1091" t="s">
        <v>137</v>
      </c>
      <c r="T1091" t="s">
        <v>59</v>
      </c>
      <c r="U1091" t="s">
        <v>60</v>
      </c>
      <c r="V1091" t="s">
        <v>138</v>
      </c>
      <c r="W1091" t="s">
        <v>139</v>
      </c>
      <c r="X1091">
        <v>1933543</v>
      </c>
      <c r="Y1091" s="11">
        <v>44791</v>
      </c>
      <c r="Z1091" t="s">
        <v>57</v>
      </c>
      <c r="AA1091">
        <v>16</v>
      </c>
      <c r="AB1091" t="s">
        <v>57</v>
      </c>
      <c r="AD1091" t="s">
        <v>57</v>
      </c>
      <c r="AE1091" t="s">
        <v>57</v>
      </c>
      <c r="AF1091" t="s">
        <v>57</v>
      </c>
      <c r="AG1091">
        <v>10</v>
      </c>
      <c r="AH1091" t="s">
        <v>57</v>
      </c>
      <c r="AL1091" t="s">
        <v>57</v>
      </c>
      <c r="AM1091" s="11">
        <v>44791</v>
      </c>
      <c r="AN1091" t="s">
        <v>180</v>
      </c>
      <c r="AO1091" t="s">
        <v>65</v>
      </c>
      <c r="AP1091">
        <v>1205</v>
      </c>
      <c r="AQ1091" t="s">
        <v>66</v>
      </c>
      <c r="AR1091">
        <v>265267</v>
      </c>
      <c r="AU1091" t="s">
        <v>57</v>
      </c>
      <c r="AV1091" t="s">
        <v>68</v>
      </c>
      <c r="AX1091" t="s">
        <v>57</v>
      </c>
      <c r="AY1091">
        <v>631110</v>
      </c>
      <c r="AZ1091">
        <v>1205.63111</v>
      </c>
      <c r="BA1091" s="23" t="s">
        <v>13</v>
      </c>
    </row>
    <row r="1092" spans="1:53" x14ac:dyDescent="0.25">
      <c r="A1092" t="s">
        <v>134</v>
      </c>
      <c r="B1092" t="s">
        <v>135</v>
      </c>
      <c r="C1092">
        <v>22002372</v>
      </c>
      <c r="D1092">
        <v>1205</v>
      </c>
      <c r="E1092" s="11">
        <v>44791</v>
      </c>
      <c r="F1092" t="s">
        <v>179</v>
      </c>
      <c r="G1092">
        <v>0.13</v>
      </c>
      <c r="H1092">
        <v>0.13</v>
      </c>
      <c r="I1092" t="s">
        <v>56</v>
      </c>
      <c r="O1092" t="s">
        <v>57</v>
      </c>
      <c r="Q1092" t="s">
        <v>57</v>
      </c>
      <c r="R1092" t="s">
        <v>137</v>
      </c>
      <c r="T1092" t="s">
        <v>59</v>
      </c>
      <c r="U1092" t="s">
        <v>60</v>
      </c>
      <c r="V1092" t="s">
        <v>138</v>
      </c>
      <c r="W1092" t="s">
        <v>139</v>
      </c>
      <c r="X1092">
        <v>1933543</v>
      </c>
      <c r="Y1092" s="11">
        <v>44791</v>
      </c>
      <c r="Z1092" t="s">
        <v>57</v>
      </c>
      <c r="AA1092">
        <v>18</v>
      </c>
      <c r="AB1092" t="s">
        <v>57</v>
      </c>
      <c r="AD1092" t="s">
        <v>57</v>
      </c>
      <c r="AE1092" t="s">
        <v>57</v>
      </c>
      <c r="AF1092" t="s">
        <v>57</v>
      </c>
      <c r="AG1092">
        <v>1</v>
      </c>
      <c r="AH1092" t="s">
        <v>57</v>
      </c>
      <c r="AL1092" t="s">
        <v>57</v>
      </c>
      <c r="AM1092" s="11">
        <v>44791</v>
      </c>
      <c r="AN1092" t="s">
        <v>180</v>
      </c>
      <c r="AO1092" t="s">
        <v>65</v>
      </c>
      <c r="AP1092">
        <v>1205</v>
      </c>
      <c r="AQ1092" t="s">
        <v>66</v>
      </c>
      <c r="AR1092">
        <v>265216</v>
      </c>
      <c r="AU1092" t="s">
        <v>57</v>
      </c>
      <c r="AV1092" t="s">
        <v>68</v>
      </c>
      <c r="AX1092" t="s">
        <v>57</v>
      </c>
      <c r="AY1092">
        <v>631110</v>
      </c>
      <c r="AZ1092">
        <v>1205.63111</v>
      </c>
      <c r="BA1092" s="23" t="s">
        <v>13</v>
      </c>
    </row>
    <row r="1093" spans="1:53" x14ac:dyDescent="0.25">
      <c r="A1093" t="s">
        <v>134</v>
      </c>
      <c r="B1093" t="s">
        <v>135</v>
      </c>
      <c r="C1093">
        <v>22002372</v>
      </c>
      <c r="D1093">
        <v>1205</v>
      </c>
      <c r="E1093" s="11">
        <v>44791</v>
      </c>
      <c r="F1093" t="s">
        <v>179</v>
      </c>
      <c r="G1093">
        <v>0.08</v>
      </c>
      <c r="H1093">
        <v>0.08</v>
      </c>
      <c r="I1093" t="s">
        <v>56</v>
      </c>
      <c r="O1093" t="s">
        <v>57</v>
      </c>
      <c r="Q1093" t="s">
        <v>57</v>
      </c>
      <c r="R1093" t="s">
        <v>137</v>
      </c>
      <c r="T1093" t="s">
        <v>59</v>
      </c>
      <c r="U1093" t="s">
        <v>60</v>
      </c>
      <c r="V1093" t="s">
        <v>138</v>
      </c>
      <c r="W1093" t="s">
        <v>139</v>
      </c>
      <c r="X1093">
        <v>1933543</v>
      </c>
      <c r="Y1093" s="11">
        <v>44791</v>
      </c>
      <c r="Z1093" t="s">
        <v>57</v>
      </c>
      <c r="AA1093">
        <v>20</v>
      </c>
      <c r="AB1093" t="s">
        <v>57</v>
      </c>
      <c r="AD1093" t="s">
        <v>57</v>
      </c>
      <c r="AE1093" t="s">
        <v>57</v>
      </c>
      <c r="AF1093" t="s">
        <v>57</v>
      </c>
      <c r="AG1093">
        <v>1</v>
      </c>
      <c r="AH1093" t="s">
        <v>57</v>
      </c>
      <c r="AL1093" t="s">
        <v>57</v>
      </c>
      <c r="AM1093" s="11">
        <v>44791</v>
      </c>
      <c r="AN1093" t="s">
        <v>180</v>
      </c>
      <c r="AO1093" t="s">
        <v>65</v>
      </c>
      <c r="AP1093">
        <v>1205</v>
      </c>
      <c r="AQ1093" t="s">
        <v>66</v>
      </c>
      <c r="AR1093">
        <v>88642</v>
      </c>
      <c r="AU1093" t="s">
        <v>57</v>
      </c>
      <c r="AV1093" t="s">
        <v>68</v>
      </c>
      <c r="AX1093" t="s">
        <v>57</v>
      </c>
      <c r="AY1093">
        <v>631110</v>
      </c>
      <c r="AZ1093">
        <v>1205.63111</v>
      </c>
      <c r="BA1093" s="23" t="s">
        <v>13</v>
      </c>
    </row>
    <row r="1094" spans="1:53" x14ac:dyDescent="0.25">
      <c r="A1094" t="s">
        <v>134</v>
      </c>
      <c r="B1094" t="s">
        <v>135</v>
      </c>
      <c r="C1094">
        <v>22002372</v>
      </c>
      <c r="D1094">
        <v>1205</v>
      </c>
      <c r="E1094" s="11">
        <v>44791</v>
      </c>
      <c r="F1094" t="s">
        <v>179</v>
      </c>
      <c r="G1094">
        <v>0.16</v>
      </c>
      <c r="H1094">
        <v>0.16</v>
      </c>
      <c r="I1094" t="s">
        <v>56</v>
      </c>
      <c r="O1094" t="s">
        <v>57</v>
      </c>
      <c r="Q1094" t="s">
        <v>57</v>
      </c>
      <c r="R1094" t="s">
        <v>137</v>
      </c>
      <c r="T1094" t="s">
        <v>59</v>
      </c>
      <c r="U1094" t="s">
        <v>60</v>
      </c>
      <c r="V1094" t="s">
        <v>138</v>
      </c>
      <c r="W1094" t="s">
        <v>139</v>
      </c>
      <c r="X1094">
        <v>1933543</v>
      </c>
      <c r="Y1094" s="11">
        <v>44791</v>
      </c>
      <c r="Z1094" t="s">
        <v>57</v>
      </c>
      <c r="AA1094">
        <v>22</v>
      </c>
      <c r="AB1094" t="s">
        <v>57</v>
      </c>
      <c r="AD1094" t="s">
        <v>57</v>
      </c>
      <c r="AE1094" t="s">
        <v>57</v>
      </c>
      <c r="AF1094" t="s">
        <v>57</v>
      </c>
      <c r="AG1094">
        <v>2</v>
      </c>
      <c r="AH1094" t="s">
        <v>57</v>
      </c>
      <c r="AL1094" t="s">
        <v>57</v>
      </c>
      <c r="AM1094" s="11">
        <v>44791</v>
      </c>
      <c r="AN1094" t="s">
        <v>180</v>
      </c>
      <c r="AO1094" t="s">
        <v>65</v>
      </c>
      <c r="AP1094">
        <v>1205</v>
      </c>
      <c r="AQ1094" t="s">
        <v>66</v>
      </c>
      <c r="AR1094">
        <v>265517</v>
      </c>
      <c r="AU1094" t="s">
        <v>57</v>
      </c>
      <c r="AV1094" t="s">
        <v>68</v>
      </c>
      <c r="AX1094" t="s">
        <v>57</v>
      </c>
      <c r="AY1094">
        <v>631110</v>
      </c>
      <c r="AZ1094">
        <v>1205.63111</v>
      </c>
      <c r="BA1094" s="23" t="s">
        <v>13</v>
      </c>
    </row>
    <row r="1095" spans="1:53" x14ac:dyDescent="0.25">
      <c r="A1095" t="s">
        <v>134</v>
      </c>
      <c r="B1095" t="s">
        <v>135</v>
      </c>
      <c r="C1095">
        <v>22002372</v>
      </c>
      <c r="D1095">
        <v>1205</v>
      </c>
      <c r="E1095" s="11">
        <v>44791</v>
      </c>
      <c r="F1095" t="s">
        <v>179</v>
      </c>
      <c r="G1095">
        <v>0.25</v>
      </c>
      <c r="H1095">
        <v>0.25</v>
      </c>
      <c r="I1095" t="s">
        <v>56</v>
      </c>
      <c r="O1095" t="s">
        <v>57</v>
      </c>
      <c r="Q1095" t="s">
        <v>57</v>
      </c>
      <c r="R1095" t="s">
        <v>137</v>
      </c>
      <c r="T1095" t="s">
        <v>59</v>
      </c>
      <c r="U1095" t="s">
        <v>60</v>
      </c>
      <c r="V1095" t="s">
        <v>138</v>
      </c>
      <c r="W1095" t="s">
        <v>139</v>
      </c>
      <c r="X1095">
        <v>1933543</v>
      </c>
      <c r="Y1095" s="11">
        <v>44791</v>
      </c>
      <c r="Z1095" t="s">
        <v>57</v>
      </c>
      <c r="AA1095">
        <v>24</v>
      </c>
      <c r="AB1095" t="s">
        <v>57</v>
      </c>
      <c r="AD1095" t="s">
        <v>57</v>
      </c>
      <c r="AE1095" t="s">
        <v>57</v>
      </c>
      <c r="AF1095" t="s">
        <v>57</v>
      </c>
      <c r="AG1095">
        <v>2</v>
      </c>
      <c r="AH1095" t="s">
        <v>57</v>
      </c>
      <c r="AL1095" t="s">
        <v>57</v>
      </c>
      <c r="AM1095" s="11">
        <v>44791</v>
      </c>
      <c r="AN1095" t="s">
        <v>180</v>
      </c>
      <c r="AO1095" t="s">
        <v>65</v>
      </c>
      <c r="AP1095">
        <v>1205</v>
      </c>
      <c r="AQ1095" t="s">
        <v>66</v>
      </c>
      <c r="AR1095">
        <v>265217</v>
      </c>
      <c r="AU1095" t="s">
        <v>57</v>
      </c>
      <c r="AV1095" t="s">
        <v>68</v>
      </c>
      <c r="AX1095" t="s">
        <v>57</v>
      </c>
      <c r="AY1095">
        <v>631110</v>
      </c>
      <c r="AZ1095">
        <v>1205.63111</v>
      </c>
      <c r="BA1095" s="23" t="s">
        <v>13</v>
      </c>
    </row>
    <row r="1096" spans="1:53" x14ac:dyDescent="0.25">
      <c r="A1096" t="s">
        <v>134</v>
      </c>
      <c r="B1096" t="s">
        <v>135</v>
      </c>
      <c r="C1096">
        <v>22002372</v>
      </c>
      <c r="D1096">
        <v>1205</v>
      </c>
      <c r="E1096" s="11">
        <v>44791</v>
      </c>
      <c r="F1096" t="s">
        <v>179</v>
      </c>
      <c r="G1096">
        <v>1.53</v>
      </c>
      <c r="H1096">
        <v>1.53</v>
      </c>
      <c r="I1096" t="s">
        <v>56</v>
      </c>
      <c r="O1096" t="s">
        <v>57</v>
      </c>
      <c r="Q1096" t="s">
        <v>57</v>
      </c>
      <c r="R1096" t="s">
        <v>137</v>
      </c>
      <c r="T1096" t="s">
        <v>59</v>
      </c>
      <c r="U1096" t="s">
        <v>60</v>
      </c>
      <c r="V1096" t="s">
        <v>138</v>
      </c>
      <c r="W1096" t="s">
        <v>139</v>
      </c>
      <c r="X1096">
        <v>1933543</v>
      </c>
      <c r="Y1096" s="11">
        <v>44791</v>
      </c>
      <c r="Z1096" t="s">
        <v>57</v>
      </c>
      <c r="AA1096">
        <v>26</v>
      </c>
      <c r="AB1096" t="s">
        <v>57</v>
      </c>
      <c r="AD1096" t="s">
        <v>57</v>
      </c>
      <c r="AE1096" t="s">
        <v>57</v>
      </c>
      <c r="AF1096" t="s">
        <v>57</v>
      </c>
      <c r="AG1096">
        <v>10</v>
      </c>
      <c r="AH1096" t="s">
        <v>57</v>
      </c>
      <c r="AL1096" t="s">
        <v>57</v>
      </c>
      <c r="AM1096" s="11">
        <v>44791</v>
      </c>
      <c r="AN1096" t="s">
        <v>180</v>
      </c>
      <c r="AO1096" t="s">
        <v>65</v>
      </c>
      <c r="AP1096">
        <v>1205</v>
      </c>
      <c r="AQ1096" t="s">
        <v>66</v>
      </c>
      <c r="AR1096">
        <v>89715</v>
      </c>
      <c r="AU1096" t="s">
        <v>57</v>
      </c>
      <c r="AV1096" t="s">
        <v>68</v>
      </c>
      <c r="AX1096" t="s">
        <v>57</v>
      </c>
      <c r="AY1096">
        <v>631110</v>
      </c>
      <c r="AZ1096">
        <v>1205.63111</v>
      </c>
      <c r="BA1096" s="23" t="s">
        <v>13</v>
      </c>
    </row>
    <row r="1097" spans="1:53" x14ac:dyDescent="0.25">
      <c r="A1097" t="s">
        <v>134</v>
      </c>
      <c r="B1097" t="s">
        <v>135</v>
      </c>
      <c r="C1097">
        <v>22002372</v>
      </c>
      <c r="D1097">
        <v>1205</v>
      </c>
      <c r="E1097" s="11">
        <v>44791</v>
      </c>
      <c r="F1097" t="s">
        <v>179</v>
      </c>
      <c r="G1097">
        <v>3.28</v>
      </c>
      <c r="H1097">
        <v>3.28</v>
      </c>
      <c r="I1097" t="s">
        <v>56</v>
      </c>
      <c r="O1097" t="s">
        <v>57</v>
      </c>
      <c r="Q1097" t="s">
        <v>57</v>
      </c>
      <c r="R1097" t="s">
        <v>137</v>
      </c>
      <c r="T1097" t="s">
        <v>59</v>
      </c>
      <c r="U1097" t="s">
        <v>60</v>
      </c>
      <c r="V1097" t="s">
        <v>138</v>
      </c>
      <c r="W1097" t="s">
        <v>139</v>
      </c>
      <c r="X1097">
        <v>1933543</v>
      </c>
      <c r="Y1097" s="11">
        <v>44791</v>
      </c>
      <c r="Z1097" t="s">
        <v>57</v>
      </c>
      <c r="AA1097">
        <v>28</v>
      </c>
      <c r="AB1097" t="s">
        <v>57</v>
      </c>
      <c r="AD1097" t="s">
        <v>57</v>
      </c>
      <c r="AE1097" t="s">
        <v>57</v>
      </c>
      <c r="AF1097" t="s">
        <v>57</v>
      </c>
      <c r="AG1097">
        <v>13</v>
      </c>
      <c r="AH1097" t="s">
        <v>57</v>
      </c>
      <c r="AL1097" t="s">
        <v>57</v>
      </c>
      <c r="AM1097" s="11">
        <v>44791</v>
      </c>
      <c r="AN1097" t="s">
        <v>180</v>
      </c>
      <c r="AO1097" t="s">
        <v>65</v>
      </c>
      <c r="AP1097">
        <v>1205</v>
      </c>
      <c r="AQ1097" t="s">
        <v>66</v>
      </c>
      <c r="AR1097">
        <v>88669</v>
      </c>
      <c r="AU1097" t="s">
        <v>57</v>
      </c>
      <c r="AV1097" t="s">
        <v>68</v>
      </c>
      <c r="AX1097" t="s">
        <v>57</v>
      </c>
      <c r="AY1097">
        <v>631110</v>
      </c>
      <c r="AZ1097">
        <v>1205.63111</v>
      </c>
      <c r="BA1097" s="23" t="s">
        <v>13</v>
      </c>
    </row>
    <row r="1098" spans="1:53" x14ac:dyDescent="0.25">
      <c r="A1098" t="s">
        <v>134</v>
      </c>
      <c r="B1098" t="s">
        <v>135</v>
      </c>
      <c r="C1098">
        <v>22002372</v>
      </c>
      <c r="D1098">
        <v>1205</v>
      </c>
      <c r="E1098" s="11">
        <v>44791</v>
      </c>
      <c r="F1098" t="s">
        <v>179</v>
      </c>
      <c r="G1098">
        <v>0.16</v>
      </c>
      <c r="H1098">
        <v>0.16</v>
      </c>
      <c r="I1098" t="s">
        <v>56</v>
      </c>
      <c r="O1098" t="s">
        <v>57</v>
      </c>
      <c r="Q1098" t="s">
        <v>57</v>
      </c>
      <c r="R1098" t="s">
        <v>137</v>
      </c>
      <c r="T1098" t="s">
        <v>59</v>
      </c>
      <c r="U1098" t="s">
        <v>60</v>
      </c>
      <c r="V1098" t="s">
        <v>138</v>
      </c>
      <c r="W1098" t="s">
        <v>139</v>
      </c>
      <c r="X1098">
        <v>1933543</v>
      </c>
      <c r="Y1098" s="11">
        <v>44791</v>
      </c>
      <c r="Z1098" t="s">
        <v>57</v>
      </c>
      <c r="AA1098">
        <v>30</v>
      </c>
      <c r="AB1098" t="s">
        <v>57</v>
      </c>
      <c r="AD1098" t="s">
        <v>57</v>
      </c>
      <c r="AE1098" t="s">
        <v>57</v>
      </c>
      <c r="AF1098" t="s">
        <v>57</v>
      </c>
      <c r="AG1098">
        <v>1</v>
      </c>
      <c r="AH1098" t="s">
        <v>57</v>
      </c>
      <c r="AL1098" t="s">
        <v>57</v>
      </c>
      <c r="AM1098" s="11">
        <v>44791</v>
      </c>
      <c r="AN1098" t="s">
        <v>180</v>
      </c>
      <c r="AO1098" t="s">
        <v>65</v>
      </c>
      <c r="AP1098">
        <v>1205</v>
      </c>
      <c r="AQ1098" t="s">
        <v>66</v>
      </c>
      <c r="AR1098">
        <v>147840</v>
      </c>
      <c r="AU1098" t="s">
        <v>57</v>
      </c>
      <c r="AV1098" t="s">
        <v>68</v>
      </c>
      <c r="AX1098" t="s">
        <v>57</v>
      </c>
      <c r="AY1098">
        <v>631110</v>
      </c>
      <c r="AZ1098">
        <v>1205.63111</v>
      </c>
      <c r="BA1098" s="23" t="s">
        <v>13</v>
      </c>
    </row>
    <row r="1099" spans="1:53" x14ac:dyDescent="0.25">
      <c r="A1099" t="s">
        <v>134</v>
      </c>
      <c r="B1099" t="s">
        <v>135</v>
      </c>
      <c r="C1099">
        <v>22002372</v>
      </c>
      <c r="D1099">
        <v>1205</v>
      </c>
      <c r="E1099" s="11">
        <v>44791</v>
      </c>
      <c r="F1099" t="s">
        <v>179</v>
      </c>
      <c r="G1099">
        <v>0.31</v>
      </c>
      <c r="H1099">
        <v>0.31</v>
      </c>
      <c r="I1099" t="s">
        <v>56</v>
      </c>
      <c r="O1099" t="s">
        <v>57</v>
      </c>
      <c r="Q1099" t="s">
        <v>57</v>
      </c>
      <c r="R1099" t="s">
        <v>137</v>
      </c>
      <c r="T1099" t="s">
        <v>59</v>
      </c>
      <c r="U1099" t="s">
        <v>60</v>
      </c>
      <c r="V1099" t="s">
        <v>138</v>
      </c>
      <c r="W1099" t="s">
        <v>139</v>
      </c>
      <c r="X1099">
        <v>1933543</v>
      </c>
      <c r="Y1099" s="11">
        <v>44791</v>
      </c>
      <c r="Z1099" t="s">
        <v>57</v>
      </c>
      <c r="AA1099">
        <v>32</v>
      </c>
      <c r="AB1099" t="s">
        <v>57</v>
      </c>
      <c r="AD1099" t="s">
        <v>57</v>
      </c>
      <c r="AE1099" t="s">
        <v>57</v>
      </c>
      <c r="AF1099" t="s">
        <v>57</v>
      </c>
      <c r="AG1099">
        <v>2</v>
      </c>
      <c r="AH1099" t="s">
        <v>57</v>
      </c>
      <c r="AL1099" t="s">
        <v>57</v>
      </c>
      <c r="AM1099" s="11">
        <v>44791</v>
      </c>
      <c r="AN1099" t="s">
        <v>180</v>
      </c>
      <c r="AO1099" t="s">
        <v>65</v>
      </c>
      <c r="AP1099">
        <v>1205</v>
      </c>
      <c r="AQ1099" t="s">
        <v>66</v>
      </c>
      <c r="AR1099">
        <v>89712</v>
      </c>
      <c r="AU1099" t="s">
        <v>57</v>
      </c>
      <c r="AV1099" t="s">
        <v>68</v>
      </c>
      <c r="AX1099" t="s">
        <v>57</v>
      </c>
      <c r="AY1099">
        <v>631110</v>
      </c>
      <c r="AZ1099">
        <v>1205.63111</v>
      </c>
      <c r="BA1099" s="23" t="s">
        <v>13</v>
      </c>
    </row>
    <row r="1100" spans="1:53" x14ac:dyDescent="0.25">
      <c r="A1100" t="s">
        <v>134</v>
      </c>
      <c r="B1100" t="s">
        <v>135</v>
      </c>
      <c r="C1100">
        <v>22002374</v>
      </c>
      <c r="D1100">
        <v>1205</v>
      </c>
      <c r="E1100" s="11">
        <v>44792</v>
      </c>
      <c r="F1100" t="s">
        <v>174</v>
      </c>
      <c r="G1100">
        <v>2.78</v>
      </c>
      <c r="H1100">
        <v>2.78</v>
      </c>
      <c r="I1100" t="s">
        <v>56</v>
      </c>
      <c r="O1100" t="s">
        <v>57</v>
      </c>
      <c r="Q1100" t="s">
        <v>57</v>
      </c>
      <c r="R1100" t="s">
        <v>137</v>
      </c>
      <c r="T1100" t="s">
        <v>59</v>
      </c>
      <c r="U1100" t="s">
        <v>60</v>
      </c>
      <c r="V1100" t="s">
        <v>138</v>
      </c>
      <c r="W1100" t="s">
        <v>139</v>
      </c>
      <c r="X1100">
        <v>1934079</v>
      </c>
      <c r="Y1100" s="11">
        <v>44792</v>
      </c>
      <c r="Z1100" t="s">
        <v>57</v>
      </c>
      <c r="AA1100">
        <v>6</v>
      </c>
      <c r="AB1100" t="s">
        <v>57</v>
      </c>
      <c r="AD1100" t="s">
        <v>57</v>
      </c>
      <c r="AE1100" t="s">
        <v>57</v>
      </c>
      <c r="AF1100" t="s">
        <v>57</v>
      </c>
      <c r="AG1100">
        <v>2</v>
      </c>
      <c r="AH1100" t="s">
        <v>57</v>
      </c>
      <c r="AL1100" t="s">
        <v>57</v>
      </c>
      <c r="AM1100" s="11">
        <v>44792</v>
      </c>
      <c r="AN1100" t="s">
        <v>178</v>
      </c>
      <c r="AO1100" t="s">
        <v>65</v>
      </c>
      <c r="AP1100">
        <v>1205</v>
      </c>
      <c r="AQ1100" t="s">
        <v>66</v>
      </c>
      <c r="AR1100">
        <v>242008</v>
      </c>
      <c r="AU1100" t="s">
        <v>57</v>
      </c>
      <c r="AV1100" t="s">
        <v>68</v>
      </c>
      <c r="AX1100" t="s">
        <v>57</v>
      </c>
      <c r="AY1100">
        <v>631110</v>
      </c>
      <c r="AZ1100">
        <v>1205.63111</v>
      </c>
      <c r="BA1100" s="23" t="s">
        <v>13</v>
      </c>
    </row>
    <row r="1101" spans="1:53" x14ac:dyDescent="0.25">
      <c r="A1101" t="s">
        <v>134</v>
      </c>
      <c r="B1101" t="s">
        <v>135</v>
      </c>
      <c r="C1101">
        <v>22002374</v>
      </c>
      <c r="D1101">
        <v>1205</v>
      </c>
      <c r="E1101" s="11">
        <v>44792</v>
      </c>
      <c r="F1101" t="s">
        <v>174</v>
      </c>
      <c r="G1101">
        <v>0.16</v>
      </c>
      <c r="H1101">
        <v>0.16</v>
      </c>
      <c r="I1101" t="s">
        <v>56</v>
      </c>
      <c r="O1101" t="s">
        <v>57</v>
      </c>
      <c r="Q1101" t="s">
        <v>57</v>
      </c>
      <c r="R1101" t="s">
        <v>137</v>
      </c>
      <c r="T1101" t="s">
        <v>59</v>
      </c>
      <c r="U1101" t="s">
        <v>60</v>
      </c>
      <c r="V1101" t="s">
        <v>138</v>
      </c>
      <c r="W1101" t="s">
        <v>139</v>
      </c>
      <c r="X1101">
        <v>1934079</v>
      </c>
      <c r="Y1101" s="11">
        <v>44792</v>
      </c>
      <c r="Z1101" t="s">
        <v>57</v>
      </c>
      <c r="AA1101">
        <v>8</v>
      </c>
      <c r="AB1101" t="s">
        <v>57</v>
      </c>
      <c r="AD1101" t="s">
        <v>57</v>
      </c>
      <c r="AE1101" t="s">
        <v>57</v>
      </c>
      <c r="AF1101" t="s">
        <v>57</v>
      </c>
      <c r="AG1101">
        <v>1</v>
      </c>
      <c r="AH1101" t="s">
        <v>57</v>
      </c>
      <c r="AL1101" t="s">
        <v>57</v>
      </c>
      <c r="AM1101" s="11">
        <v>44792</v>
      </c>
      <c r="AN1101" t="s">
        <v>178</v>
      </c>
      <c r="AO1101" t="s">
        <v>65</v>
      </c>
      <c r="AP1101">
        <v>1205</v>
      </c>
      <c r="AQ1101" t="s">
        <v>66</v>
      </c>
      <c r="AR1101">
        <v>90357</v>
      </c>
      <c r="AU1101" t="s">
        <v>57</v>
      </c>
      <c r="AV1101" t="s">
        <v>68</v>
      </c>
      <c r="AX1101" t="s">
        <v>57</v>
      </c>
      <c r="AY1101">
        <v>631110</v>
      </c>
      <c r="AZ1101">
        <v>1205.63111</v>
      </c>
      <c r="BA1101" s="23" t="s">
        <v>13</v>
      </c>
    </row>
    <row r="1102" spans="1:53" x14ac:dyDescent="0.25">
      <c r="A1102" t="s">
        <v>134</v>
      </c>
      <c r="B1102" t="s">
        <v>135</v>
      </c>
      <c r="C1102">
        <v>22002374</v>
      </c>
      <c r="D1102">
        <v>1205</v>
      </c>
      <c r="E1102" s="11">
        <v>44792</v>
      </c>
      <c r="F1102" t="s">
        <v>174</v>
      </c>
      <c r="G1102">
        <v>0.21</v>
      </c>
      <c r="H1102">
        <v>0.21</v>
      </c>
      <c r="I1102" t="s">
        <v>56</v>
      </c>
      <c r="O1102" t="s">
        <v>57</v>
      </c>
      <c r="Q1102" t="s">
        <v>57</v>
      </c>
      <c r="R1102" t="s">
        <v>137</v>
      </c>
      <c r="T1102" t="s">
        <v>59</v>
      </c>
      <c r="U1102" t="s">
        <v>60</v>
      </c>
      <c r="V1102" t="s">
        <v>138</v>
      </c>
      <c r="W1102" t="s">
        <v>139</v>
      </c>
      <c r="X1102">
        <v>1934079</v>
      </c>
      <c r="Y1102" s="11">
        <v>44792</v>
      </c>
      <c r="Z1102" t="s">
        <v>57</v>
      </c>
      <c r="AA1102">
        <v>14</v>
      </c>
      <c r="AB1102" t="s">
        <v>57</v>
      </c>
      <c r="AD1102" t="s">
        <v>57</v>
      </c>
      <c r="AE1102" t="s">
        <v>57</v>
      </c>
      <c r="AF1102" t="s">
        <v>57</v>
      </c>
      <c r="AG1102">
        <v>1</v>
      </c>
      <c r="AH1102" t="s">
        <v>57</v>
      </c>
      <c r="AL1102" t="s">
        <v>57</v>
      </c>
      <c r="AM1102" s="11">
        <v>44792</v>
      </c>
      <c r="AN1102" t="s">
        <v>178</v>
      </c>
      <c r="AO1102" t="s">
        <v>65</v>
      </c>
      <c r="AP1102">
        <v>1205</v>
      </c>
      <c r="AQ1102" t="s">
        <v>66</v>
      </c>
      <c r="AR1102">
        <v>88778</v>
      </c>
      <c r="AU1102" t="s">
        <v>57</v>
      </c>
      <c r="AV1102" t="s">
        <v>68</v>
      </c>
      <c r="AX1102" t="s">
        <v>57</v>
      </c>
      <c r="AY1102">
        <v>631110</v>
      </c>
      <c r="AZ1102">
        <v>1205.63111</v>
      </c>
      <c r="BA1102" s="23" t="s">
        <v>13</v>
      </c>
    </row>
    <row r="1103" spans="1:53" x14ac:dyDescent="0.25">
      <c r="A1103" t="s">
        <v>134</v>
      </c>
      <c r="B1103" t="s">
        <v>135</v>
      </c>
      <c r="C1103">
        <v>22002374</v>
      </c>
      <c r="D1103">
        <v>1205</v>
      </c>
      <c r="E1103" s="11">
        <v>44792</v>
      </c>
      <c r="F1103" t="s">
        <v>174</v>
      </c>
      <c r="I1103" t="s">
        <v>56</v>
      </c>
      <c r="O1103" t="s">
        <v>57</v>
      </c>
      <c r="Q1103" t="s">
        <v>57</v>
      </c>
      <c r="R1103" t="s">
        <v>137</v>
      </c>
      <c r="T1103" t="s">
        <v>59</v>
      </c>
      <c r="U1103" t="s">
        <v>60</v>
      </c>
      <c r="V1103" t="s">
        <v>138</v>
      </c>
      <c r="W1103" t="s">
        <v>139</v>
      </c>
      <c r="X1103">
        <v>1934079</v>
      </c>
      <c r="Y1103" s="11">
        <v>44792</v>
      </c>
      <c r="Z1103" t="s">
        <v>57</v>
      </c>
      <c r="AA1103">
        <v>10</v>
      </c>
      <c r="AB1103" t="s">
        <v>57</v>
      </c>
      <c r="AD1103" t="s">
        <v>57</v>
      </c>
      <c r="AE1103" t="s">
        <v>57</v>
      </c>
      <c r="AF1103" t="s">
        <v>57</v>
      </c>
      <c r="AG1103">
        <v>1</v>
      </c>
      <c r="AH1103" t="s">
        <v>57</v>
      </c>
      <c r="AL1103" t="s">
        <v>57</v>
      </c>
      <c r="AM1103" s="11">
        <v>44792</v>
      </c>
      <c r="AN1103" t="s">
        <v>178</v>
      </c>
      <c r="AO1103" t="s">
        <v>65</v>
      </c>
      <c r="AP1103">
        <v>1205</v>
      </c>
      <c r="AQ1103" t="s">
        <v>66</v>
      </c>
      <c r="AR1103">
        <v>222067</v>
      </c>
      <c r="AU1103" t="s">
        <v>57</v>
      </c>
      <c r="AV1103" t="s">
        <v>68</v>
      </c>
      <c r="AX1103" t="s">
        <v>57</v>
      </c>
      <c r="AY1103">
        <v>631110</v>
      </c>
      <c r="AZ1103">
        <v>1205.63111</v>
      </c>
      <c r="BA1103" s="23" t="s">
        <v>13</v>
      </c>
    </row>
    <row r="1104" spans="1:53" x14ac:dyDescent="0.25">
      <c r="A1104" t="s">
        <v>134</v>
      </c>
      <c r="B1104" t="s">
        <v>135</v>
      </c>
      <c r="C1104">
        <v>22002374</v>
      </c>
      <c r="D1104">
        <v>1205</v>
      </c>
      <c r="E1104" s="11">
        <v>44792</v>
      </c>
      <c r="F1104" t="s">
        <v>174</v>
      </c>
      <c r="G1104">
        <v>0.69</v>
      </c>
      <c r="H1104">
        <v>0.69</v>
      </c>
      <c r="I1104" t="s">
        <v>56</v>
      </c>
      <c r="O1104" t="s">
        <v>57</v>
      </c>
      <c r="Q1104" t="s">
        <v>57</v>
      </c>
      <c r="R1104" t="s">
        <v>137</v>
      </c>
      <c r="T1104" t="s">
        <v>59</v>
      </c>
      <c r="U1104" t="s">
        <v>60</v>
      </c>
      <c r="V1104" t="s">
        <v>138</v>
      </c>
      <c r="W1104" t="s">
        <v>139</v>
      </c>
      <c r="X1104">
        <v>1934079</v>
      </c>
      <c r="Y1104" s="11">
        <v>44792</v>
      </c>
      <c r="Z1104" t="s">
        <v>57</v>
      </c>
      <c r="AA1104">
        <v>12</v>
      </c>
      <c r="AB1104" t="s">
        <v>57</v>
      </c>
      <c r="AD1104" t="s">
        <v>57</v>
      </c>
      <c r="AE1104" t="s">
        <v>57</v>
      </c>
      <c r="AF1104" t="s">
        <v>57</v>
      </c>
      <c r="AG1104">
        <v>2</v>
      </c>
      <c r="AH1104" t="s">
        <v>57</v>
      </c>
      <c r="AL1104" t="s">
        <v>57</v>
      </c>
      <c r="AM1104" s="11">
        <v>44792</v>
      </c>
      <c r="AN1104" t="s">
        <v>178</v>
      </c>
      <c r="AO1104" t="s">
        <v>65</v>
      </c>
      <c r="AP1104">
        <v>1205</v>
      </c>
      <c r="AQ1104" t="s">
        <v>66</v>
      </c>
      <c r="AR1104">
        <v>239312</v>
      </c>
      <c r="AU1104" t="s">
        <v>57</v>
      </c>
      <c r="AV1104" t="s">
        <v>68</v>
      </c>
      <c r="AX1104" t="s">
        <v>57</v>
      </c>
      <c r="AY1104">
        <v>631110</v>
      </c>
      <c r="AZ1104">
        <v>1205.63111</v>
      </c>
      <c r="BA1104" s="23" t="s">
        <v>13</v>
      </c>
    </row>
    <row r="1105" spans="1:53" x14ac:dyDescent="0.25">
      <c r="A1105" t="s">
        <v>134</v>
      </c>
      <c r="B1105" t="s">
        <v>135</v>
      </c>
      <c r="C1105">
        <v>22002374</v>
      </c>
      <c r="D1105">
        <v>1205</v>
      </c>
      <c r="E1105" s="11">
        <v>44792</v>
      </c>
      <c r="F1105" t="s">
        <v>174</v>
      </c>
      <c r="G1105">
        <v>4.18</v>
      </c>
      <c r="H1105">
        <v>4.18</v>
      </c>
      <c r="I1105" t="s">
        <v>56</v>
      </c>
      <c r="O1105" t="s">
        <v>57</v>
      </c>
      <c r="Q1105" t="s">
        <v>57</v>
      </c>
      <c r="R1105" t="s">
        <v>137</v>
      </c>
      <c r="T1105" t="s">
        <v>59</v>
      </c>
      <c r="U1105" t="s">
        <v>60</v>
      </c>
      <c r="V1105" t="s">
        <v>138</v>
      </c>
      <c r="W1105" t="s">
        <v>139</v>
      </c>
      <c r="X1105">
        <v>1934079</v>
      </c>
      <c r="Y1105" s="11">
        <v>44792</v>
      </c>
      <c r="Z1105" t="s">
        <v>57</v>
      </c>
      <c r="AA1105">
        <v>2</v>
      </c>
      <c r="AB1105" t="s">
        <v>57</v>
      </c>
      <c r="AD1105" t="s">
        <v>57</v>
      </c>
      <c r="AE1105" t="s">
        <v>57</v>
      </c>
      <c r="AF1105" t="s">
        <v>57</v>
      </c>
      <c r="AG1105">
        <v>2</v>
      </c>
      <c r="AH1105" t="s">
        <v>57</v>
      </c>
      <c r="AL1105" t="s">
        <v>57</v>
      </c>
      <c r="AM1105" s="11">
        <v>44792</v>
      </c>
      <c r="AN1105" t="s">
        <v>178</v>
      </c>
      <c r="AO1105" t="s">
        <v>65</v>
      </c>
      <c r="AP1105">
        <v>1205</v>
      </c>
      <c r="AQ1105" t="s">
        <v>66</v>
      </c>
      <c r="AR1105">
        <v>88783</v>
      </c>
      <c r="AU1105" t="s">
        <v>57</v>
      </c>
      <c r="AV1105" t="s">
        <v>68</v>
      </c>
      <c r="AX1105" t="s">
        <v>57</v>
      </c>
      <c r="AY1105">
        <v>631110</v>
      </c>
      <c r="AZ1105">
        <v>1205.63111</v>
      </c>
      <c r="BA1105" s="23" t="s">
        <v>13</v>
      </c>
    </row>
    <row r="1106" spans="1:53" x14ac:dyDescent="0.25">
      <c r="A1106" t="s">
        <v>134</v>
      </c>
      <c r="B1106" t="s">
        <v>135</v>
      </c>
      <c r="C1106">
        <v>22002374</v>
      </c>
      <c r="D1106">
        <v>1205</v>
      </c>
      <c r="E1106" s="11">
        <v>44792</v>
      </c>
      <c r="F1106" t="s">
        <v>174</v>
      </c>
      <c r="G1106">
        <v>3.36</v>
      </c>
      <c r="H1106">
        <v>3.36</v>
      </c>
      <c r="I1106" t="s">
        <v>56</v>
      </c>
      <c r="O1106" t="s">
        <v>57</v>
      </c>
      <c r="Q1106" t="s">
        <v>57</v>
      </c>
      <c r="R1106" t="s">
        <v>137</v>
      </c>
      <c r="T1106" t="s">
        <v>59</v>
      </c>
      <c r="U1106" t="s">
        <v>60</v>
      </c>
      <c r="V1106" t="s">
        <v>138</v>
      </c>
      <c r="W1106" t="s">
        <v>139</v>
      </c>
      <c r="X1106">
        <v>1934079</v>
      </c>
      <c r="Y1106" s="11">
        <v>44792</v>
      </c>
      <c r="Z1106" t="s">
        <v>57</v>
      </c>
      <c r="AA1106">
        <v>4</v>
      </c>
      <c r="AB1106" t="s">
        <v>57</v>
      </c>
      <c r="AD1106" t="s">
        <v>57</v>
      </c>
      <c r="AE1106" t="s">
        <v>57</v>
      </c>
      <c r="AF1106" t="s">
        <v>57</v>
      </c>
      <c r="AG1106">
        <v>1</v>
      </c>
      <c r="AH1106" t="s">
        <v>57</v>
      </c>
      <c r="AL1106" t="s">
        <v>57</v>
      </c>
      <c r="AM1106" s="11">
        <v>44792</v>
      </c>
      <c r="AN1106" t="s">
        <v>178</v>
      </c>
      <c r="AO1106" t="s">
        <v>65</v>
      </c>
      <c r="AP1106">
        <v>1205</v>
      </c>
      <c r="AQ1106" t="s">
        <v>66</v>
      </c>
      <c r="AR1106">
        <v>206793</v>
      </c>
      <c r="AU1106" t="s">
        <v>57</v>
      </c>
      <c r="AV1106" t="s">
        <v>68</v>
      </c>
      <c r="AX1106" t="s">
        <v>57</v>
      </c>
      <c r="AY1106">
        <v>631110</v>
      </c>
      <c r="AZ1106">
        <v>1205.63111</v>
      </c>
      <c r="BA1106" s="23" t="s">
        <v>13</v>
      </c>
    </row>
    <row r="1107" spans="1:53" x14ac:dyDescent="0.25">
      <c r="A1107" t="s">
        <v>134</v>
      </c>
      <c r="B1107" t="s">
        <v>135</v>
      </c>
      <c r="C1107">
        <v>22002375</v>
      </c>
      <c r="D1107">
        <v>1205</v>
      </c>
      <c r="E1107" s="11">
        <v>44792</v>
      </c>
      <c r="F1107" t="s">
        <v>172</v>
      </c>
      <c r="G1107">
        <v>15.88</v>
      </c>
      <c r="H1107">
        <v>15.88</v>
      </c>
      <c r="I1107" t="s">
        <v>56</v>
      </c>
      <c r="O1107" t="s">
        <v>57</v>
      </c>
      <c r="Q1107" t="s">
        <v>57</v>
      </c>
      <c r="R1107" t="s">
        <v>137</v>
      </c>
      <c r="T1107" t="s">
        <v>59</v>
      </c>
      <c r="U1107" t="s">
        <v>60</v>
      </c>
      <c r="V1107" t="s">
        <v>138</v>
      </c>
      <c r="W1107" t="s">
        <v>139</v>
      </c>
      <c r="X1107">
        <v>1934079</v>
      </c>
      <c r="Y1107" s="11">
        <v>44792</v>
      </c>
      <c r="Z1107" t="s">
        <v>57</v>
      </c>
      <c r="AA1107">
        <v>2</v>
      </c>
      <c r="AB1107" t="s">
        <v>57</v>
      </c>
      <c r="AD1107" t="s">
        <v>57</v>
      </c>
      <c r="AE1107" t="s">
        <v>57</v>
      </c>
      <c r="AF1107" t="s">
        <v>57</v>
      </c>
      <c r="AG1107">
        <v>2</v>
      </c>
      <c r="AH1107" t="s">
        <v>57</v>
      </c>
      <c r="AL1107" t="s">
        <v>57</v>
      </c>
      <c r="AM1107" s="11">
        <v>44792</v>
      </c>
      <c r="AN1107" t="s">
        <v>178</v>
      </c>
      <c r="AO1107" t="s">
        <v>65</v>
      </c>
      <c r="AP1107">
        <v>1205</v>
      </c>
      <c r="AQ1107" t="s">
        <v>66</v>
      </c>
      <c r="AR1107">
        <v>227112</v>
      </c>
      <c r="AU1107" t="s">
        <v>57</v>
      </c>
      <c r="AV1107" t="s">
        <v>68</v>
      </c>
      <c r="AX1107" t="s">
        <v>57</v>
      </c>
      <c r="AY1107">
        <v>631110</v>
      </c>
      <c r="AZ1107">
        <v>1205.63111</v>
      </c>
      <c r="BA1107" s="23" t="s">
        <v>13</v>
      </c>
    </row>
    <row r="1108" spans="1:53" x14ac:dyDescent="0.25">
      <c r="A1108" t="s">
        <v>134</v>
      </c>
      <c r="B1108" t="s">
        <v>135</v>
      </c>
      <c r="C1108">
        <v>22002378</v>
      </c>
      <c r="D1108">
        <v>1205</v>
      </c>
      <c r="E1108" s="11">
        <v>44795</v>
      </c>
      <c r="F1108" t="s">
        <v>174</v>
      </c>
      <c r="G1108">
        <v>1.26</v>
      </c>
      <c r="H1108">
        <v>1.26</v>
      </c>
      <c r="I1108" t="s">
        <v>56</v>
      </c>
      <c r="O1108" t="s">
        <v>57</v>
      </c>
      <c r="Q1108" t="s">
        <v>57</v>
      </c>
      <c r="R1108" t="s">
        <v>137</v>
      </c>
      <c r="T1108" t="s">
        <v>59</v>
      </c>
      <c r="U1108" t="s">
        <v>60</v>
      </c>
      <c r="V1108" t="s">
        <v>138</v>
      </c>
      <c r="W1108" t="s">
        <v>139</v>
      </c>
      <c r="X1108">
        <v>1934085</v>
      </c>
      <c r="Y1108" s="11">
        <v>44795</v>
      </c>
      <c r="Z1108" t="s">
        <v>57</v>
      </c>
      <c r="AA1108">
        <v>2</v>
      </c>
      <c r="AB1108" t="s">
        <v>57</v>
      </c>
      <c r="AD1108" t="s">
        <v>57</v>
      </c>
      <c r="AE1108" t="s">
        <v>57</v>
      </c>
      <c r="AF1108" t="s">
        <v>57</v>
      </c>
      <c r="AG1108">
        <v>1</v>
      </c>
      <c r="AH1108" t="s">
        <v>57</v>
      </c>
      <c r="AL1108" t="s">
        <v>57</v>
      </c>
      <c r="AM1108" s="11">
        <v>44795</v>
      </c>
      <c r="AN1108" t="s">
        <v>178</v>
      </c>
      <c r="AO1108" t="s">
        <v>65</v>
      </c>
      <c r="AP1108">
        <v>1205</v>
      </c>
      <c r="AQ1108" t="s">
        <v>66</v>
      </c>
      <c r="AR1108">
        <v>89785</v>
      </c>
      <c r="AU1108" t="s">
        <v>57</v>
      </c>
      <c r="AV1108" t="s">
        <v>68</v>
      </c>
      <c r="AX1108" t="s">
        <v>57</v>
      </c>
      <c r="AY1108">
        <v>631110</v>
      </c>
      <c r="AZ1108">
        <v>1205.63111</v>
      </c>
      <c r="BA1108" s="23" t="s">
        <v>13</v>
      </c>
    </row>
    <row r="1109" spans="1:53" x14ac:dyDescent="0.25">
      <c r="A1109" t="s">
        <v>134</v>
      </c>
      <c r="B1109" t="s">
        <v>135</v>
      </c>
      <c r="C1109">
        <v>22002484</v>
      </c>
      <c r="D1109">
        <v>1206</v>
      </c>
      <c r="E1109" s="11">
        <v>44774</v>
      </c>
      <c r="F1109" t="s">
        <v>182</v>
      </c>
      <c r="G1109">
        <v>22.33</v>
      </c>
      <c r="H1109">
        <v>22.33</v>
      </c>
      <c r="I1109" t="s">
        <v>56</v>
      </c>
      <c r="O1109" t="s">
        <v>57</v>
      </c>
      <c r="Q1109" t="s">
        <v>57</v>
      </c>
      <c r="R1109" t="s">
        <v>137</v>
      </c>
      <c r="T1109" t="s">
        <v>59</v>
      </c>
      <c r="U1109" t="s">
        <v>60</v>
      </c>
      <c r="V1109" t="s">
        <v>138</v>
      </c>
      <c r="W1109" t="s">
        <v>139</v>
      </c>
      <c r="X1109">
        <v>1925387</v>
      </c>
      <c r="Y1109" s="11">
        <v>44774</v>
      </c>
      <c r="Z1109" t="s">
        <v>57</v>
      </c>
      <c r="AA1109">
        <v>2</v>
      </c>
      <c r="AB1109" t="s">
        <v>57</v>
      </c>
      <c r="AD1109" t="s">
        <v>57</v>
      </c>
      <c r="AE1109" t="s">
        <v>57</v>
      </c>
      <c r="AF1109" t="s">
        <v>57</v>
      </c>
      <c r="AG1109">
        <v>60</v>
      </c>
      <c r="AH1109" t="s">
        <v>57</v>
      </c>
      <c r="AL1109" t="s">
        <v>57</v>
      </c>
      <c r="AM1109" s="11">
        <v>44774</v>
      </c>
      <c r="AN1109" t="s">
        <v>183</v>
      </c>
      <c r="AO1109" t="s">
        <v>65</v>
      </c>
      <c r="AP1109">
        <v>1206</v>
      </c>
      <c r="AQ1109" t="s">
        <v>66</v>
      </c>
      <c r="AR1109">
        <v>91011</v>
      </c>
      <c r="AU1109" t="s">
        <v>57</v>
      </c>
      <c r="AV1109" t="s">
        <v>68</v>
      </c>
      <c r="AX1109" t="s">
        <v>57</v>
      </c>
      <c r="AY1109">
        <v>631110</v>
      </c>
      <c r="AZ1109">
        <v>1206.63111</v>
      </c>
      <c r="BA1109" s="23" t="s">
        <v>14</v>
      </c>
    </row>
    <row r="1110" spans="1:53" x14ac:dyDescent="0.25">
      <c r="A1110" t="s">
        <v>134</v>
      </c>
      <c r="B1110" t="s">
        <v>135</v>
      </c>
      <c r="C1110">
        <v>22002484</v>
      </c>
      <c r="D1110">
        <v>1206</v>
      </c>
      <c r="E1110" s="11">
        <v>44774</v>
      </c>
      <c r="F1110" t="s">
        <v>182</v>
      </c>
      <c r="G1110">
        <v>3.06</v>
      </c>
      <c r="H1110">
        <v>3.06</v>
      </c>
      <c r="I1110" t="s">
        <v>56</v>
      </c>
      <c r="O1110" t="s">
        <v>57</v>
      </c>
      <c r="Q1110" t="s">
        <v>57</v>
      </c>
      <c r="R1110" t="s">
        <v>137</v>
      </c>
      <c r="T1110" t="s">
        <v>59</v>
      </c>
      <c r="U1110" t="s">
        <v>60</v>
      </c>
      <c r="V1110" t="s">
        <v>138</v>
      </c>
      <c r="W1110" t="s">
        <v>139</v>
      </c>
      <c r="X1110">
        <v>1925387</v>
      </c>
      <c r="Y1110" s="11">
        <v>44774</v>
      </c>
      <c r="Z1110" t="s">
        <v>57</v>
      </c>
      <c r="AA1110">
        <v>4</v>
      </c>
      <c r="AB1110" t="s">
        <v>57</v>
      </c>
      <c r="AD1110" t="s">
        <v>57</v>
      </c>
      <c r="AE1110" t="s">
        <v>57</v>
      </c>
      <c r="AF1110" t="s">
        <v>57</v>
      </c>
      <c r="AG1110">
        <v>20</v>
      </c>
      <c r="AH1110" t="s">
        <v>57</v>
      </c>
      <c r="AL1110" t="s">
        <v>57</v>
      </c>
      <c r="AM1110" s="11">
        <v>44774</v>
      </c>
      <c r="AN1110" t="s">
        <v>183</v>
      </c>
      <c r="AO1110" t="s">
        <v>65</v>
      </c>
      <c r="AP1110">
        <v>1206</v>
      </c>
      <c r="AQ1110" t="s">
        <v>66</v>
      </c>
      <c r="AR1110">
        <v>144854</v>
      </c>
      <c r="AU1110" t="s">
        <v>57</v>
      </c>
      <c r="AV1110" t="s">
        <v>68</v>
      </c>
      <c r="AX1110" t="s">
        <v>57</v>
      </c>
      <c r="AY1110">
        <v>631110</v>
      </c>
      <c r="AZ1110">
        <v>1206.63111</v>
      </c>
      <c r="BA1110" s="23" t="s">
        <v>14</v>
      </c>
    </row>
    <row r="1111" spans="1:53" x14ac:dyDescent="0.25">
      <c r="A1111" t="s">
        <v>134</v>
      </c>
      <c r="B1111" t="s">
        <v>135</v>
      </c>
      <c r="C1111">
        <v>22002484</v>
      </c>
      <c r="D1111">
        <v>1206</v>
      </c>
      <c r="E1111" s="11">
        <v>44774</v>
      </c>
      <c r="F1111" t="s">
        <v>182</v>
      </c>
      <c r="G1111">
        <v>3.13</v>
      </c>
      <c r="H1111">
        <v>3.13</v>
      </c>
      <c r="I1111" t="s">
        <v>56</v>
      </c>
      <c r="O1111" t="s">
        <v>57</v>
      </c>
      <c r="Q1111" t="s">
        <v>57</v>
      </c>
      <c r="R1111" t="s">
        <v>137</v>
      </c>
      <c r="T1111" t="s">
        <v>59</v>
      </c>
      <c r="U1111" t="s">
        <v>60</v>
      </c>
      <c r="V1111" t="s">
        <v>138</v>
      </c>
      <c r="W1111" t="s">
        <v>139</v>
      </c>
      <c r="X1111">
        <v>1925387</v>
      </c>
      <c r="Y1111" s="11">
        <v>44774</v>
      </c>
      <c r="Z1111" t="s">
        <v>57</v>
      </c>
      <c r="AA1111">
        <v>6</v>
      </c>
      <c r="AB1111" t="s">
        <v>57</v>
      </c>
      <c r="AD1111" t="s">
        <v>57</v>
      </c>
      <c r="AE1111" t="s">
        <v>57</v>
      </c>
      <c r="AF1111" t="s">
        <v>57</v>
      </c>
      <c r="AG1111">
        <v>20</v>
      </c>
      <c r="AH1111" t="s">
        <v>57</v>
      </c>
      <c r="AL1111" t="s">
        <v>57</v>
      </c>
      <c r="AM1111" s="11">
        <v>44774</v>
      </c>
      <c r="AN1111" t="s">
        <v>183</v>
      </c>
      <c r="AO1111" t="s">
        <v>65</v>
      </c>
      <c r="AP1111">
        <v>1206</v>
      </c>
      <c r="AQ1111" t="s">
        <v>66</v>
      </c>
      <c r="AR1111">
        <v>89712</v>
      </c>
      <c r="AU1111" t="s">
        <v>57</v>
      </c>
      <c r="AV1111" t="s">
        <v>68</v>
      </c>
      <c r="AX1111" t="s">
        <v>57</v>
      </c>
      <c r="AY1111">
        <v>631110</v>
      </c>
      <c r="AZ1111">
        <v>1206.63111</v>
      </c>
      <c r="BA1111" s="23" t="s">
        <v>14</v>
      </c>
    </row>
    <row r="1112" spans="1:53" x14ac:dyDescent="0.25">
      <c r="A1112" t="s">
        <v>134</v>
      </c>
      <c r="B1112" t="s">
        <v>135</v>
      </c>
      <c r="C1112">
        <v>22002484</v>
      </c>
      <c r="D1112">
        <v>1206</v>
      </c>
      <c r="E1112" s="11">
        <v>44774</v>
      </c>
      <c r="F1112" t="s">
        <v>182</v>
      </c>
      <c r="G1112">
        <v>1.24</v>
      </c>
      <c r="H1112">
        <v>1.24</v>
      </c>
      <c r="I1112" t="s">
        <v>56</v>
      </c>
      <c r="O1112" t="s">
        <v>57</v>
      </c>
      <c r="Q1112" t="s">
        <v>57</v>
      </c>
      <c r="R1112" t="s">
        <v>137</v>
      </c>
      <c r="T1112" t="s">
        <v>59</v>
      </c>
      <c r="U1112" t="s">
        <v>60</v>
      </c>
      <c r="V1112" t="s">
        <v>138</v>
      </c>
      <c r="W1112" t="s">
        <v>139</v>
      </c>
      <c r="X1112">
        <v>1925387</v>
      </c>
      <c r="Y1112" s="11">
        <v>44774</v>
      </c>
      <c r="Z1112" t="s">
        <v>57</v>
      </c>
      <c r="AA1112">
        <v>8</v>
      </c>
      <c r="AB1112" t="s">
        <v>57</v>
      </c>
      <c r="AD1112" t="s">
        <v>57</v>
      </c>
      <c r="AE1112" t="s">
        <v>57</v>
      </c>
      <c r="AF1112" t="s">
        <v>57</v>
      </c>
      <c r="AG1112">
        <v>10</v>
      </c>
      <c r="AH1112" t="s">
        <v>57</v>
      </c>
      <c r="AL1112" t="s">
        <v>57</v>
      </c>
      <c r="AM1112" s="11">
        <v>44774</v>
      </c>
      <c r="AN1112" t="s">
        <v>183</v>
      </c>
      <c r="AO1112" t="s">
        <v>65</v>
      </c>
      <c r="AP1112">
        <v>1206</v>
      </c>
      <c r="AQ1112" t="s">
        <v>66</v>
      </c>
      <c r="AR1112">
        <v>267129</v>
      </c>
      <c r="AU1112" t="s">
        <v>57</v>
      </c>
      <c r="AV1112" t="s">
        <v>68</v>
      </c>
      <c r="AX1112" t="s">
        <v>57</v>
      </c>
      <c r="AY1112">
        <v>631110</v>
      </c>
      <c r="AZ1112">
        <v>1206.63111</v>
      </c>
      <c r="BA1112" s="23" t="s">
        <v>14</v>
      </c>
    </row>
    <row r="1113" spans="1:53" x14ac:dyDescent="0.25">
      <c r="A1113" t="s">
        <v>134</v>
      </c>
      <c r="B1113" t="s">
        <v>135</v>
      </c>
      <c r="C1113">
        <v>22002484</v>
      </c>
      <c r="D1113">
        <v>1206</v>
      </c>
      <c r="E1113" s="11">
        <v>44774</v>
      </c>
      <c r="F1113" t="s">
        <v>182</v>
      </c>
      <c r="G1113">
        <v>0.77</v>
      </c>
      <c r="H1113">
        <v>0.77</v>
      </c>
      <c r="I1113" t="s">
        <v>56</v>
      </c>
      <c r="O1113" t="s">
        <v>57</v>
      </c>
      <c r="Q1113" t="s">
        <v>57</v>
      </c>
      <c r="R1113" t="s">
        <v>137</v>
      </c>
      <c r="T1113" t="s">
        <v>59</v>
      </c>
      <c r="U1113" t="s">
        <v>60</v>
      </c>
      <c r="V1113" t="s">
        <v>138</v>
      </c>
      <c r="W1113" t="s">
        <v>139</v>
      </c>
      <c r="X1113">
        <v>1925387</v>
      </c>
      <c r="Y1113" s="11">
        <v>44774</v>
      </c>
      <c r="Z1113" t="s">
        <v>57</v>
      </c>
      <c r="AA1113">
        <v>10</v>
      </c>
      <c r="AB1113" t="s">
        <v>57</v>
      </c>
      <c r="AD1113" t="s">
        <v>57</v>
      </c>
      <c r="AE1113" t="s">
        <v>57</v>
      </c>
      <c r="AF1113" t="s">
        <v>57</v>
      </c>
      <c r="AG1113">
        <v>10</v>
      </c>
      <c r="AH1113" t="s">
        <v>57</v>
      </c>
      <c r="AL1113" t="s">
        <v>57</v>
      </c>
      <c r="AM1113" s="11">
        <v>44774</v>
      </c>
      <c r="AN1113" t="s">
        <v>183</v>
      </c>
      <c r="AO1113" t="s">
        <v>65</v>
      </c>
      <c r="AP1113">
        <v>1206</v>
      </c>
      <c r="AQ1113" t="s">
        <v>66</v>
      </c>
      <c r="AR1113">
        <v>91479</v>
      </c>
      <c r="AU1113" t="s">
        <v>57</v>
      </c>
      <c r="AV1113" t="s">
        <v>68</v>
      </c>
      <c r="AX1113" t="s">
        <v>57</v>
      </c>
      <c r="AY1113">
        <v>631110</v>
      </c>
      <c r="AZ1113">
        <v>1206.63111</v>
      </c>
      <c r="BA1113" s="23" t="s">
        <v>14</v>
      </c>
    </row>
    <row r="1114" spans="1:53" x14ac:dyDescent="0.25">
      <c r="A1114" t="s">
        <v>134</v>
      </c>
      <c r="B1114" t="s">
        <v>135</v>
      </c>
      <c r="C1114">
        <v>22002484</v>
      </c>
      <c r="D1114">
        <v>1206</v>
      </c>
      <c r="E1114" s="11">
        <v>44774</v>
      </c>
      <c r="F1114" t="s">
        <v>182</v>
      </c>
      <c r="G1114">
        <v>0.86</v>
      </c>
      <c r="H1114">
        <v>0.86</v>
      </c>
      <c r="I1114" t="s">
        <v>56</v>
      </c>
      <c r="O1114" t="s">
        <v>57</v>
      </c>
      <c r="Q1114" t="s">
        <v>57</v>
      </c>
      <c r="R1114" t="s">
        <v>137</v>
      </c>
      <c r="T1114" t="s">
        <v>59</v>
      </c>
      <c r="U1114" t="s">
        <v>60</v>
      </c>
      <c r="V1114" t="s">
        <v>138</v>
      </c>
      <c r="W1114" t="s">
        <v>139</v>
      </c>
      <c r="X1114">
        <v>1925387</v>
      </c>
      <c r="Y1114" s="11">
        <v>44774</v>
      </c>
      <c r="Z1114" t="s">
        <v>57</v>
      </c>
      <c r="AA1114">
        <v>12</v>
      </c>
      <c r="AB1114" t="s">
        <v>57</v>
      </c>
      <c r="AD1114" t="s">
        <v>57</v>
      </c>
      <c r="AE1114" t="s">
        <v>57</v>
      </c>
      <c r="AF1114" t="s">
        <v>57</v>
      </c>
      <c r="AG1114">
        <v>10</v>
      </c>
      <c r="AH1114" t="s">
        <v>57</v>
      </c>
      <c r="AL1114" t="s">
        <v>57</v>
      </c>
      <c r="AM1114" s="11">
        <v>44774</v>
      </c>
      <c r="AN1114" t="s">
        <v>183</v>
      </c>
      <c r="AO1114" t="s">
        <v>65</v>
      </c>
      <c r="AP1114">
        <v>1206</v>
      </c>
      <c r="AQ1114" t="s">
        <v>66</v>
      </c>
      <c r="AR1114">
        <v>92908</v>
      </c>
      <c r="AU1114" t="s">
        <v>57</v>
      </c>
      <c r="AV1114" t="s">
        <v>68</v>
      </c>
      <c r="AX1114" t="s">
        <v>57</v>
      </c>
      <c r="AY1114">
        <v>631110</v>
      </c>
      <c r="AZ1114">
        <v>1206.63111</v>
      </c>
      <c r="BA1114" s="23" t="s">
        <v>14</v>
      </c>
    </row>
    <row r="1115" spans="1:53" x14ac:dyDescent="0.25">
      <c r="A1115" t="s">
        <v>134</v>
      </c>
      <c r="B1115" t="s">
        <v>135</v>
      </c>
      <c r="C1115">
        <v>22002485</v>
      </c>
      <c r="D1115">
        <v>1206</v>
      </c>
      <c r="E1115" s="11">
        <v>44774</v>
      </c>
      <c r="F1115" t="s">
        <v>172</v>
      </c>
      <c r="G1115">
        <v>8.06</v>
      </c>
      <c r="H1115">
        <v>8.06</v>
      </c>
      <c r="I1115" t="s">
        <v>56</v>
      </c>
      <c r="O1115" t="s">
        <v>57</v>
      </c>
      <c r="Q1115" t="s">
        <v>57</v>
      </c>
      <c r="R1115" t="s">
        <v>137</v>
      </c>
      <c r="T1115" t="s">
        <v>59</v>
      </c>
      <c r="U1115" t="s">
        <v>60</v>
      </c>
      <c r="V1115" t="s">
        <v>138</v>
      </c>
      <c r="W1115" t="s">
        <v>139</v>
      </c>
      <c r="X1115">
        <v>1925600</v>
      </c>
      <c r="Y1115" s="11">
        <v>44774</v>
      </c>
      <c r="Z1115" t="s">
        <v>57</v>
      </c>
      <c r="AA1115">
        <v>2</v>
      </c>
      <c r="AB1115" t="s">
        <v>57</v>
      </c>
      <c r="AD1115" t="s">
        <v>57</v>
      </c>
      <c r="AE1115" t="s">
        <v>57</v>
      </c>
      <c r="AF1115" t="s">
        <v>57</v>
      </c>
      <c r="AG1115">
        <v>1</v>
      </c>
      <c r="AH1115" t="s">
        <v>57</v>
      </c>
      <c r="AL1115" t="s">
        <v>57</v>
      </c>
      <c r="AM1115" s="11">
        <v>44774</v>
      </c>
      <c r="AN1115" t="s">
        <v>184</v>
      </c>
      <c r="AO1115" t="s">
        <v>65</v>
      </c>
      <c r="AP1115">
        <v>1206</v>
      </c>
      <c r="AQ1115" t="s">
        <v>66</v>
      </c>
      <c r="AR1115">
        <v>279991</v>
      </c>
      <c r="AU1115" t="s">
        <v>57</v>
      </c>
      <c r="AV1115" t="s">
        <v>68</v>
      </c>
      <c r="AX1115" t="s">
        <v>57</v>
      </c>
      <c r="AY1115">
        <v>631110</v>
      </c>
      <c r="AZ1115">
        <v>1206.63111</v>
      </c>
      <c r="BA1115" s="23" t="s">
        <v>14</v>
      </c>
    </row>
    <row r="1116" spans="1:53" x14ac:dyDescent="0.25">
      <c r="A1116" t="s">
        <v>134</v>
      </c>
      <c r="B1116" t="s">
        <v>135</v>
      </c>
      <c r="C1116">
        <v>22002485</v>
      </c>
      <c r="D1116">
        <v>1206</v>
      </c>
      <c r="E1116" s="11">
        <v>44774</v>
      </c>
      <c r="F1116" t="s">
        <v>172</v>
      </c>
      <c r="G1116">
        <v>8.3699999999999992</v>
      </c>
      <c r="H1116">
        <v>8.3699999999999992</v>
      </c>
      <c r="I1116" t="s">
        <v>56</v>
      </c>
      <c r="O1116" t="s">
        <v>57</v>
      </c>
      <c r="Q1116" t="s">
        <v>57</v>
      </c>
      <c r="R1116" t="s">
        <v>137</v>
      </c>
      <c r="T1116" t="s">
        <v>59</v>
      </c>
      <c r="U1116" t="s">
        <v>60</v>
      </c>
      <c r="V1116" t="s">
        <v>138</v>
      </c>
      <c r="W1116" t="s">
        <v>139</v>
      </c>
      <c r="X1116">
        <v>1925600</v>
      </c>
      <c r="Y1116" s="11">
        <v>44774</v>
      </c>
      <c r="Z1116" t="s">
        <v>57</v>
      </c>
      <c r="AA1116">
        <v>4</v>
      </c>
      <c r="AB1116" t="s">
        <v>57</v>
      </c>
      <c r="AD1116" t="s">
        <v>57</v>
      </c>
      <c r="AE1116" t="s">
        <v>57</v>
      </c>
      <c r="AF1116" t="s">
        <v>57</v>
      </c>
      <c r="AG1116">
        <v>1</v>
      </c>
      <c r="AH1116" t="s">
        <v>57</v>
      </c>
      <c r="AL1116" t="s">
        <v>57</v>
      </c>
      <c r="AM1116" s="11">
        <v>44774</v>
      </c>
      <c r="AN1116" t="s">
        <v>184</v>
      </c>
      <c r="AO1116" t="s">
        <v>65</v>
      </c>
      <c r="AP1116">
        <v>1206</v>
      </c>
      <c r="AQ1116" t="s">
        <v>66</v>
      </c>
      <c r="AR1116">
        <v>239927</v>
      </c>
      <c r="AU1116" t="s">
        <v>57</v>
      </c>
      <c r="AV1116" t="s">
        <v>68</v>
      </c>
      <c r="AX1116" t="s">
        <v>57</v>
      </c>
      <c r="AY1116">
        <v>631110</v>
      </c>
      <c r="AZ1116">
        <v>1206.63111</v>
      </c>
      <c r="BA1116" s="23" t="s">
        <v>14</v>
      </c>
    </row>
    <row r="1117" spans="1:53" x14ac:dyDescent="0.25">
      <c r="A1117" t="s">
        <v>134</v>
      </c>
      <c r="B1117" t="s">
        <v>135</v>
      </c>
      <c r="C1117">
        <v>22002486</v>
      </c>
      <c r="D1117">
        <v>1206</v>
      </c>
      <c r="E1117" s="11">
        <v>44774</v>
      </c>
      <c r="F1117" t="s">
        <v>174</v>
      </c>
      <c r="G1117">
        <v>0.53</v>
      </c>
      <c r="H1117">
        <v>0.53</v>
      </c>
      <c r="I1117" t="s">
        <v>56</v>
      </c>
      <c r="O1117" t="s">
        <v>57</v>
      </c>
      <c r="Q1117" t="s">
        <v>57</v>
      </c>
      <c r="R1117" t="s">
        <v>137</v>
      </c>
      <c r="T1117" t="s">
        <v>59</v>
      </c>
      <c r="U1117" t="s">
        <v>60</v>
      </c>
      <c r="V1117" t="s">
        <v>138</v>
      </c>
      <c r="W1117" t="s">
        <v>139</v>
      </c>
      <c r="X1117">
        <v>1925600</v>
      </c>
      <c r="Y1117" s="11">
        <v>44774</v>
      </c>
      <c r="Z1117" t="s">
        <v>57</v>
      </c>
      <c r="AA1117">
        <v>2</v>
      </c>
      <c r="AB1117" t="s">
        <v>57</v>
      </c>
      <c r="AD1117" t="s">
        <v>57</v>
      </c>
      <c r="AE1117" t="s">
        <v>57</v>
      </c>
      <c r="AF1117" t="s">
        <v>57</v>
      </c>
      <c r="AG1117">
        <v>1</v>
      </c>
      <c r="AH1117" t="s">
        <v>57</v>
      </c>
      <c r="AL1117" t="s">
        <v>57</v>
      </c>
      <c r="AM1117" s="11">
        <v>44774</v>
      </c>
      <c r="AN1117" t="s">
        <v>184</v>
      </c>
      <c r="AO1117" t="s">
        <v>65</v>
      </c>
      <c r="AP1117">
        <v>1206</v>
      </c>
      <c r="AQ1117" t="s">
        <v>66</v>
      </c>
      <c r="AR1117">
        <v>89777</v>
      </c>
      <c r="AU1117" t="s">
        <v>57</v>
      </c>
      <c r="AV1117" t="s">
        <v>68</v>
      </c>
      <c r="AX1117" t="s">
        <v>57</v>
      </c>
      <c r="AY1117">
        <v>631110</v>
      </c>
      <c r="AZ1117">
        <v>1206.63111</v>
      </c>
      <c r="BA1117" s="23" t="s">
        <v>14</v>
      </c>
    </row>
    <row r="1118" spans="1:53" x14ac:dyDescent="0.25">
      <c r="A1118" t="s">
        <v>134</v>
      </c>
      <c r="B1118" t="s">
        <v>135</v>
      </c>
      <c r="C1118">
        <v>22002486</v>
      </c>
      <c r="D1118">
        <v>1206</v>
      </c>
      <c r="E1118" s="11">
        <v>44774</v>
      </c>
      <c r="F1118" t="s">
        <v>174</v>
      </c>
      <c r="G1118">
        <v>1.73</v>
      </c>
      <c r="H1118">
        <v>1.73</v>
      </c>
      <c r="I1118" t="s">
        <v>56</v>
      </c>
      <c r="O1118" t="s">
        <v>57</v>
      </c>
      <c r="Q1118" t="s">
        <v>57</v>
      </c>
      <c r="R1118" t="s">
        <v>137</v>
      </c>
      <c r="T1118" t="s">
        <v>59</v>
      </c>
      <c r="U1118" t="s">
        <v>60</v>
      </c>
      <c r="V1118" t="s">
        <v>138</v>
      </c>
      <c r="W1118" t="s">
        <v>139</v>
      </c>
      <c r="X1118">
        <v>1925600</v>
      </c>
      <c r="Y1118" s="11">
        <v>44774</v>
      </c>
      <c r="Z1118" t="s">
        <v>57</v>
      </c>
      <c r="AA1118">
        <v>4</v>
      </c>
      <c r="AB1118" t="s">
        <v>57</v>
      </c>
      <c r="AD1118" t="s">
        <v>57</v>
      </c>
      <c r="AE1118" t="s">
        <v>57</v>
      </c>
      <c r="AF1118" t="s">
        <v>57</v>
      </c>
      <c r="AG1118">
        <v>1</v>
      </c>
      <c r="AH1118" t="s">
        <v>57</v>
      </c>
      <c r="AL1118" t="s">
        <v>57</v>
      </c>
      <c r="AM1118" s="11">
        <v>44774</v>
      </c>
      <c r="AN1118" t="s">
        <v>184</v>
      </c>
      <c r="AO1118" t="s">
        <v>65</v>
      </c>
      <c r="AP1118">
        <v>1206</v>
      </c>
      <c r="AQ1118" t="s">
        <v>66</v>
      </c>
      <c r="AR1118">
        <v>174953</v>
      </c>
      <c r="AU1118" t="s">
        <v>57</v>
      </c>
      <c r="AV1118" t="s">
        <v>68</v>
      </c>
      <c r="AX1118" t="s">
        <v>57</v>
      </c>
      <c r="AY1118">
        <v>631110</v>
      </c>
      <c r="AZ1118">
        <v>1206.63111</v>
      </c>
      <c r="BA1118" s="23" t="s">
        <v>14</v>
      </c>
    </row>
    <row r="1119" spans="1:53" x14ac:dyDescent="0.25">
      <c r="A1119" t="s">
        <v>134</v>
      </c>
      <c r="B1119" t="s">
        <v>135</v>
      </c>
      <c r="C1119">
        <v>22002486</v>
      </c>
      <c r="D1119">
        <v>1206</v>
      </c>
      <c r="E1119" s="11">
        <v>44774</v>
      </c>
      <c r="F1119" t="s">
        <v>174</v>
      </c>
      <c r="G1119">
        <v>3.64</v>
      </c>
      <c r="H1119">
        <v>3.64</v>
      </c>
      <c r="I1119" t="s">
        <v>56</v>
      </c>
      <c r="O1119" t="s">
        <v>57</v>
      </c>
      <c r="Q1119" t="s">
        <v>57</v>
      </c>
      <c r="R1119" t="s">
        <v>137</v>
      </c>
      <c r="T1119" t="s">
        <v>59</v>
      </c>
      <c r="U1119" t="s">
        <v>60</v>
      </c>
      <c r="V1119" t="s">
        <v>138</v>
      </c>
      <c r="W1119" t="s">
        <v>139</v>
      </c>
      <c r="X1119">
        <v>1925600</v>
      </c>
      <c r="Y1119" s="11">
        <v>44774</v>
      </c>
      <c r="Z1119" t="s">
        <v>57</v>
      </c>
      <c r="AA1119">
        <v>6</v>
      </c>
      <c r="AB1119" t="s">
        <v>57</v>
      </c>
      <c r="AD1119" t="s">
        <v>57</v>
      </c>
      <c r="AE1119" t="s">
        <v>57</v>
      </c>
      <c r="AF1119" t="s">
        <v>57</v>
      </c>
      <c r="AG1119">
        <v>1</v>
      </c>
      <c r="AH1119" t="s">
        <v>57</v>
      </c>
      <c r="AL1119" t="s">
        <v>57</v>
      </c>
      <c r="AM1119" s="11">
        <v>44774</v>
      </c>
      <c r="AN1119" t="s">
        <v>184</v>
      </c>
      <c r="AO1119" t="s">
        <v>65</v>
      </c>
      <c r="AP1119">
        <v>1206</v>
      </c>
      <c r="AQ1119" t="s">
        <v>66</v>
      </c>
      <c r="AR1119">
        <v>230640</v>
      </c>
      <c r="AU1119" t="s">
        <v>57</v>
      </c>
      <c r="AV1119" t="s">
        <v>68</v>
      </c>
      <c r="AX1119" t="s">
        <v>57</v>
      </c>
      <c r="AY1119">
        <v>631110</v>
      </c>
      <c r="AZ1119">
        <v>1206.63111</v>
      </c>
      <c r="BA1119" s="23" t="s">
        <v>14</v>
      </c>
    </row>
    <row r="1120" spans="1:53" x14ac:dyDescent="0.25">
      <c r="A1120" t="s">
        <v>134</v>
      </c>
      <c r="B1120" t="s">
        <v>135</v>
      </c>
      <c r="C1120">
        <v>22002486</v>
      </c>
      <c r="D1120">
        <v>1206</v>
      </c>
      <c r="E1120" s="11">
        <v>44774</v>
      </c>
      <c r="F1120" t="s">
        <v>174</v>
      </c>
      <c r="G1120">
        <v>3.77</v>
      </c>
      <c r="H1120">
        <v>3.77</v>
      </c>
      <c r="I1120" t="s">
        <v>56</v>
      </c>
      <c r="O1120" t="s">
        <v>57</v>
      </c>
      <c r="Q1120" t="s">
        <v>57</v>
      </c>
      <c r="R1120" t="s">
        <v>137</v>
      </c>
      <c r="T1120" t="s">
        <v>59</v>
      </c>
      <c r="U1120" t="s">
        <v>60</v>
      </c>
      <c r="V1120" t="s">
        <v>138</v>
      </c>
      <c r="W1120" t="s">
        <v>139</v>
      </c>
      <c r="X1120">
        <v>1925600</v>
      </c>
      <c r="Y1120" s="11">
        <v>44774</v>
      </c>
      <c r="Z1120" t="s">
        <v>57</v>
      </c>
      <c r="AA1120">
        <v>8</v>
      </c>
      <c r="AB1120" t="s">
        <v>57</v>
      </c>
      <c r="AD1120" t="s">
        <v>57</v>
      </c>
      <c r="AE1120" t="s">
        <v>57</v>
      </c>
      <c r="AF1120" t="s">
        <v>57</v>
      </c>
      <c r="AG1120">
        <v>1</v>
      </c>
      <c r="AH1120" t="s">
        <v>57</v>
      </c>
      <c r="AL1120" t="s">
        <v>57</v>
      </c>
      <c r="AM1120" s="11">
        <v>44774</v>
      </c>
      <c r="AN1120" t="s">
        <v>184</v>
      </c>
      <c r="AO1120" t="s">
        <v>65</v>
      </c>
      <c r="AP1120">
        <v>1206</v>
      </c>
      <c r="AQ1120" t="s">
        <v>66</v>
      </c>
      <c r="AR1120">
        <v>271731</v>
      </c>
      <c r="AU1120" t="s">
        <v>57</v>
      </c>
      <c r="AV1120" t="s">
        <v>68</v>
      </c>
      <c r="AX1120" t="s">
        <v>57</v>
      </c>
      <c r="AY1120">
        <v>631110</v>
      </c>
      <c r="AZ1120">
        <v>1206.63111</v>
      </c>
      <c r="BA1120" s="23" t="s">
        <v>14</v>
      </c>
    </row>
    <row r="1121" spans="1:53" x14ac:dyDescent="0.25">
      <c r="A1121" t="s">
        <v>134</v>
      </c>
      <c r="B1121" t="s">
        <v>135</v>
      </c>
      <c r="C1121">
        <v>22002488</v>
      </c>
      <c r="D1121">
        <v>1206</v>
      </c>
      <c r="E1121" s="11">
        <v>44774</v>
      </c>
      <c r="F1121" t="s">
        <v>174</v>
      </c>
      <c r="G1121">
        <v>50.37</v>
      </c>
      <c r="H1121">
        <v>50.37</v>
      </c>
      <c r="I1121" t="s">
        <v>56</v>
      </c>
      <c r="O1121" t="s">
        <v>57</v>
      </c>
      <c r="Q1121" t="s">
        <v>57</v>
      </c>
      <c r="R1121" t="s">
        <v>137</v>
      </c>
      <c r="T1121" t="s">
        <v>59</v>
      </c>
      <c r="U1121" t="s">
        <v>60</v>
      </c>
      <c r="V1121" t="s">
        <v>138</v>
      </c>
      <c r="W1121" t="s">
        <v>139</v>
      </c>
      <c r="X1121">
        <v>1926655</v>
      </c>
      <c r="Y1121" s="11">
        <v>44775</v>
      </c>
      <c r="Z1121" t="s">
        <v>57</v>
      </c>
      <c r="AA1121">
        <v>2</v>
      </c>
      <c r="AB1121" t="s">
        <v>57</v>
      </c>
      <c r="AD1121" t="s">
        <v>57</v>
      </c>
      <c r="AE1121" t="s">
        <v>57</v>
      </c>
      <c r="AF1121" t="s">
        <v>57</v>
      </c>
      <c r="AG1121">
        <v>1</v>
      </c>
      <c r="AH1121" t="s">
        <v>57</v>
      </c>
      <c r="AL1121" t="s">
        <v>57</v>
      </c>
      <c r="AM1121" s="11">
        <v>44774</v>
      </c>
      <c r="AN1121" t="s">
        <v>184</v>
      </c>
      <c r="AO1121" t="s">
        <v>65</v>
      </c>
      <c r="AP1121">
        <v>1206</v>
      </c>
      <c r="AQ1121" t="s">
        <v>66</v>
      </c>
      <c r="AR1121">
        <v>275231</v>
      </c>
      <c r="AU1121" t="s">
        <v>57</v>
      </c>
      <c r="AV1121" t="s">
        <v>68</v>
      </c>
      <c r="AX1121" t="s">
        <v>57</v>
      </c>
      <c r="AY1121">
        <v>631110</v>
      </c>
      <c r="AZ1121">
        <v>1206.63111</v>
      </c>
      <c r="BA1121" s="23" t="s">
        <v>14</v>
      </c>
    </row>
    <row r="1122" spans="1:53" x14ac:dyDescent="0.25">
      <c r="A1122" t="s">
        <v>134</v>
      </c>
      <c r="B1122" t="s">
        <v>135</v>
      </c>
      <c r="C1122">
        <v>22002488</v>
      </c>
      <c r="D1122">
        <v>1206</v>
      </c>
      <c r="E1122" s="11">
        <v>44774</v>
      </c>
      <c r="F1122" t="s">
        <v>174</v>
      </c>
      <c r="G1122">
        <v>13.41</v>
      </c>
      <c r="H1122">
        <v>13.41</v>
      </c>
      <c r="I1122" t="s">
        <v>56</v>
      </c>
      <c r="O1122" t="s">
        <v>57</v>
      </c>
      <c r="Q1122" t="s">
        <v>57</v>
      </c>
      <c r="R1122" t="s">
        <v>137</v>
      </c>
      <c r="T1122" t="s">
        <v>59</v>
      </c>
      <c r="U1122" t="s">
        <v>60</v>
      </c>
      <c r="V1122" t="s">
        <v>138</v>
      </c>
      <c r="W1122" t="s">
        <v>139</v>
      </c>
      <c r="X1122">
        <v>1926655</v>
      </c>
      <c r="Y1122" s="11">
        <v>44775</v>
      </c>
      <c r="Z1122" t="s">
        <v>57</v>
      </c>
      <c r="AA1122">
        <v>4</v>
      </c>
      <c r="AB1122" t="s">
        <v>57</v>
      </c>
      <c r="AD1122" t="s">
        <v>57</v>
      </c>
      <c r="AE1122" t="s">
        <v>57</v>
      </c>
      <c r="AF1122" t="s">
        <v>57</v>
      </c>
      <c r="AG1122">
        <v>1</v>
      </c>
      <c r="AH1122" t="s">
        <v>57</v>
      </c>
      <c r="AL1122" t="s">
        <v>57</v>
      </c>
      <c r="AM1122" s="11">
        <v>44774</v>
      </c>
      <c r="AN1122" t="s">
        <v>184</v>
      </c>
      <c r="AO1122" t="s">
        <v>65</v>
      </c>
      <c r="AP1122">
        <v>1206</v>
      </c>
      <c r="AQ1122" t="s">
        <v>66</v>
      </c>
      <c r="AR1122">
        <v>96020</v>
      </c>
      <c r="AU1122" t="s">
        <v>57</v>
      </c>
      <c r="AV1122" t="s">
        <v>68</v>
      </c>
      <c r="AX1122" t="s">
        <v>57</v>
      </c>
      <c r="AY1122">
        <v>631110</v>
      </c>
      <c r="AZ1122">
        <v>1206.63111</v>
      </c>
      <c r="BA1122" s="23" t="s">
        <v>14</v>
      </c>
    </row>
    <row r="1123" spans="1:53" x14ac:dyDescent="0.25">
      <c r="A1123" t="s">
        <v>134</v>
      </c>
      <c r="B1123" t="s">
        <v>135</v>
      </c>
      <c r="C1123">
        <v>22002488</v>
      </c>
      <c r="D1123">
        <v>1206</v>
      </c>
      <c r="E1123" s="11">
        <v>44774</v>
      </c>
      <c r="F1123" t="s">
        <v>174</v>
      </c>
      <c r="G1123">
        <v>26.06</v>
      </c>
      <c r="H1123">
        <v>26.06</v>
      </c>
      <c r="I1123" t="s">
        <v>56</v>
      </c>
      <c r="O1123" t="s">
        <v>57</v>
      </c>
      <c r="Q1123" t="s">
        <v>57</v>
      </c>
      <c r="R1123" t="s">
        <v>137</v>
      </c>
      <c r="T1123" t="s">
        <v>59</v>
      </c>
      <c r="U1123" t="s">
        <v>60</v>
      </c>
      <c r="V1123" t="s">
        <v>138</v>
      </c>
      <c r="W1123" t="s">
        <v>139</v>
      </c>
      <c r="X1123">
        <v>1926655</v>
      </c>
      <c r="Y1123" s="11">
        <v>44775</v>
      </c>
      <c r="Z1123" t="s">
        <v>57</v>
      </c>
      <c r="AA1123">
        <v>6</v>
      </c>
      <c r="AB1123" t="s">
        <v>57</v>
      </c>
      <c r="AD1123" t="s">
        <v>57</v>
      </c>
      <c r="AE1123" t="s">
        <v>57</v>
      </c>
      <c r="AF1123" t="s">
        <v>57</v>
      </c>
      <c r="AG1123">
        <v>1</v>
      </c>
      <c r="AH1123" t="s">
        <v>57</v>
      </c>
      <c r="AL1123" t="s">
        <v>57</v>
      </c>
      <c r="AM1123" s="11">
        <v>44774</v>
      </c>
      <c r="AN1123" t="s">
        <v>184</v>
      </c>
      <c r="AO1123" t="s">
        <v>65</v>
      </c>
      <c r="AP1123">
        <v>1206</v>
      </c>
      <c r="AQ1123" t="s">
        <v>66</v>
      </c>
      <c r="AR1123">
        <v>143093</v>
      </c>
      <c r="AU1123" t="s">
        <v>57</v>
      </c>
      <c r="AV1123" t="s">
        <v>68</v>
      </c>
      <c r="AX1123" t="s">
        <v>57</v>
      </c>
      <c r="AY1123">
        <v>631110</v>
      </c>
      <c r="AZ1123">
        <v>1206.63111</v>
      </c>
      <c r="BA1123" s="23" t="s">
        <v>14</v>
      </c>
    </row>
    <row r="1124" spans="1:53" x14ac:dyDescent="0.25">
      <c r="A1124" t="s">
        <v>134</v>
      </c>
      <c r="B1124" t="s">
        <v>135</v>
      </c>
      <c r="C1124">
        <v>22002489</v>
      </c>
      <c r="D1124">
        <v>1206</v>
      </c>
      <c r="E1124" s="11">
        <v>44774</v>
      </c>
      <c r="F1124" t="s">
        <v>174</v>
      </c>
      <c r="G1124">
        <v>4.57</v>
      </c>
      <c r="H1124">
        <v>4.57</v>
      </c>
      <c r="I1124" t="s">
        <v>56</v>
      </c>
      <c r="O1124" t="s">
        <v>57</v>
      </c>
      <c r="Q1124" t="s">
        <v>57</v>
      </c>
      <c r="R1124" t="s">
        <v>137</v>
      </c>
      <c r="T1124" t="s">
        <v>59</v>
      </c>
      <c r="U1124" t="s">
        <v>60</v>
      </c>
      <c r="V1124" t="s">
        <v>138</v>
      </c>
      <c r="W1124" t="s">
        <v>139</v>
      </c>
      <c r="X1124">
        <v>1926655</v>
      </c>
      <c r="Y1124" s="11">
        <v>44775</v>
      </c>
      <c r="Z1124" t="s">
        <v>57</v>
      </c>
      <c r="AA1124">
        <v>2</v>
      </c>
      <c r="AB1124" t="s">
        <v>57</v>
      </c>
      <c r="AD1124" t="s">
        <v>57</v>
      </c>
      <c r="AE1124" t="s">
        <v>57</v>
      </c>
      <c r="AF1124" t="s">
        <v>57</v>
      </c>
      <c r="AG1124">
        <v>1</v>
      </c>
      <c r="AH1124" t="s">
        <v>57</v>
      </c>
      <c r="AL1124" t="s">
        <v>57</v>
      </c>
      <c r="AM1124" s="11">
        <v>44774</v>
      </c>
      <c r="AN1124" t="s">
        <v>184</v>
      </c>
      <c r="AO1124" t="s">
        <v>65</v>
      </c>
      <c r="AP1124">
        <v>1206</v>
      </c>
      <c r="AQ1124" t="s">
        <v>66</v>
      </c>
      <c r="AR1124">
        <v>206435</v>
      </c>
      <c r="AU1124" t="s">
        <v>57</v>
      </c>
      <c r="AV1124" t="s">
        <v>68</v>
      </c>
      <c r="AX1124" t="s">
        <v>57</v>
      </c>
      <c r="AY1124">
        <v>631110</v>
      </c>
      <c r="AZ1124">
        <v>1206.63111</v>
      </c>
      <c r="BA1124" s="23" t="s">
        <v>14</v>
      </c>
    </row>
    <row r="1125" spans="1:53" x14ac:dyDescent="0.25">
      <c r="A1125" t="s">
        <v>134</v>
      </c>
      <c r="B1125" t="s">
        <v>135</v>
      </c>
      <c r="C1125">
        <v>22002489</v>
      </c>
      <c r="D1125">
        <v>1206</v>
      </c>
      <c r="E1125" s="11">
        <v>44774</v>
      </c>
      <c r="F1125" t="s">
        <v>174</v>
      </c>
      <c r="G1125">
        <v>2.06</v>
      </c>
      <c r="H1125">
        <v>2.06</v>
      </c>
      <c r="I1125" t="s">
        <v>56</v>
      </c>
      <c r="O1125" t="s">
        <v>57</v>
      </c>
      <c r="Q1125" t="s">
        <v>57</v>
      </c>
      <c r="R1125" t="s">
        <v>137</v>
      </c>
      <c r="T1125" t="s">
        <v>59</v>
      </c>
      <c r="U1125" t="s">
        <v>60</v>
      </c>
      <c r="V1125" t="s">
        <v>138</v>
      </c>
      <c r="W1125" t="s">
        <v>139</v>
      </c>
      <c r="X1125">
        <v>1926655</v>
      </c>
      <c r="Y1125" s="11">
        <v>44775</v>
      </c>
      <c r="Z1125" t="s">
        <v>57</v>
      </c>
      <c r="AA1125">
        <v>4</v>
      </c>
      <c r="AB1125" t="s">
        <v>57</v>
      </c>
      <c r="AD1125" t="s">
        <v>57</v>
      </c>
      <c r="AE1125" t="s">
        <v>57</v>
      </c>
      <c r="AF1125" t="s">
        <v>57</v>
      </c>
      <c r="AG1125">
        <v>1</v>
      </c>
      <c r="AH1125" t="s">
        <v>57</v>
      </c>
      <c r="AL1125" t="s">
        <v>57</v>
      </c>
      <c r="AM1125" s="11">
        <v>44774</v>
      </c>
      <c r="AN1125" t="s">
        <v>184</v>
      </c>
      <c r="AO1125" t="s">
        <v>65</v>
      </c>
      <c r="AP1125">
        <v>1206</v>
      </c>
      <c r="AQ1125" t="s">
        <v>66</v>
      </c>
      <c r="AR1125">
        <v>142789</v>
      </c>
      <c r="AU1125" t="s">
        <v>57</v>
      </c>
      <c r="AV1125" t="s">
        <v>68</v>
      </c>
      <c r="AX1125" t="s">
        <v>57</v>
      </c>
      <c r="AY1125">
        <v>631110</v>
      </c>
      <c r="AZ1125">
        <v>1206.63111</v>
      </c>
      <c r="BA1125" s="23" t="s">
        <v>14</v>
      </c>
    </row>
    <row r="1126" spans="1:53" x14ac:dyDescent="0.25">
      <c r="A1126" t="s">
        <v>134</v>
      </c>
      <c r="B1126" t="s">
        <v>135</v>
      </c>
      <c r="C1126">
        <v>22002489</v>
      </c>
      <c r="D1126">
        <v>1206</v>
      </c>
      <c r="E1126" s="11">
        <v>44774</v>
      </c>
      <c r="F1126" t="s">
        <v>174</v>
      </c>
      <c r="G1126">
        <v>0.56000000000000005</v>
      </c>
      <c r="H1126">
        <v>0.56000000000000005</v>
      </c>
      <c r="I1126" t="s">
        <v>56</v>
      </c>
      <c r="O1126" t="s">
        <v>57</v>
      </c>
      <c r="Q1126" t="s">
        <v>57</v>
      </c>
      <c r="R1126" t="s">
        <v>137</v>
      </c>
      <c r="T1126" t="s">
        <v>59</v>
      </c>
      <c r="U1126" t="s">
        <v>60</v>
      </c>
      <c r="V1126" t="s">
        <v>138</v>
      </c>
      <c r="W1126" t="s">
        <v>139</v>
      </c>
      <c r="X1126">
        <v>1926655</v>
      </c>
      <c r="Y1126" s="11">
        <v>44775</v>
      </c>
      <c r="Z1126" t="s">
        <v>57</v>
      </c>
      <c r="AA1126">
        <v>6</v>
      </c>
      <c r="AB1126" t="s">
        <v>57</v>
      </c>
      <c r="AD1126" t="s">
        <v>57</v>
      </c>
      <c r="AE1126" t="s">
        <v>57</v>
      </c>
      <c r="AF1126" t="s">
        <v>57</v>
      </c>
      <c r="AG1126">
        <v>1</v>
      </c>
      <c r="AH1126" t="s">
        <v>57</v>
      </c>
      <c r="AL1126" t="s">
        <v>57</v>
      </c>
      <c r="AM1126" s="11">
        <v>44774</v>
      </c>
      <c r="AN1126" t="s">
        <v>184</v>
      </c>
      <c r="AO1126" t="s">
        <v>65</v>
      </c>
      <c r="AP1126">
        <v>1206</v>
      </c>
      <c r="AQ1126" t="s">
        <v>66</v>
      </c>
      <c r="AR1126">
        <v>140249</v>
      </c>
      <c r="AU1126" t="s">
        <v>57</v>
      </c>
      <c r="AV1126" t="s">
        <v>68</v>
      </c>
      <c r="AX1126" t="s">
        <v>57</v>
      </c>
      <c r="AY1126">
        <v>631110</v>
      </c>
      <c r="AZ1126">
        <v>1206.63111</v>
      </c>
      <c r="BA1126" s="23" t="s">
        <v>14</v>
      </c>
    </row>
    <row r="1127" spans="1:53" x14ac:dyDescent="0.25">
      <c r="A1127" t="s">
        <v>134</v>
      </c>
      <c r="B1127" t="s">
        <v>135</v>
      </c>
      <c r="C1127">
        <v>22002489</v>
      </c>
      <c r="D1127">
        <v>1206</v>
      </c>
      <c r="E1127" s="11">
        <v>44774</v>
      </c>
      <c r="F1127" t="s">
        <v>174</v>
      </c>
      <c r="G1127">
        <v>13.78</v>
      </c>
      <c r="H1127">
        <v>13.78</v>
      </c>
      <c r="I1127" t="s">
        <v>56</v>
      </c>
      <c r="O1127" t="s">
        <v>57</v>
      </c>
      <c r="Q1127" t="s">
        <v>57</v>
      </c>
      <c r="R1127" t="s">
        <v>137</v>
      </c>
      <c r="T1127" t="s">
        <v>59</v>
      </c>
      <c r="U1127" t="s">
        <v>60</v>
      </c>
      <c r="V1127" t="s">
        <v>138</v>
      </c>
      <c r="W1127" t="s">
        <v>139</v>
      </c>
      <c r="X1127">
        <v>1926655</v>
      </c>
      <c r="Y1127" s="11">
        <v>44775</v>
      </c>
      <c r="Z1127" t="s">
        <v>57</v>
      </c>
      <c r="AA1127">
        <v>8</v>
      </c>
      <c r="AB1127" t="s">
        <v>57</v>
      </c>
      <c r="AD1127" t="s">
        <v>57</v>
      </c>
      <c r="AE1127" t="s">
        <v>57</v>
      </c>
      <c r="AF1127" t="s">
        <v>57</v>
      </c>
      <c r="AG1127">
        <v>1</v>
      </c>
      <c r="AH1127" t="s">
        <v>57</v>
      </c>
      <c r="AL1127" t="s">
        <v>57</v>
      </c>
      <c r="AM1127" s="11">
        <v>44774</v>
      </c>
      <c r="AN1127" t="s">
        <v>184</v>
      </c>
      <c r="AO1127" t="s">
        <v>65</v>
      </c>
      <c r="AP1127">
        <v>1206</v>
      </c>
      <c r="AQ1127" t="s">
        <v>66</v>
      </c>
      <c r="AR1127">
        <v>96021</v>
      </c>
      <c r="AU1127" t="s">
        <v>57</v>
      </c>
      <c r="AV1127" t="s">
        <v>68</v>
      </c>
      <c r="AX1127" t="s">
        <v>57</v>
      </c>
      <c r="AY1127">
        <v>631110</v>
      </c>
      <c r="AZ1127">
        <v>1206.63111</v>
      </c>
      <c r="BA1127" s="23" t="s">
        <v>14</v>
      </c>
    </row>
    <row r="1128" spans="1:53" x14ac:dyDescent="0.25">
      <c r="A1128" t="s">
        <v>134</v>
      </c>
      <c r="B1128" t="s">
        <v>135</v>
      </c>
      <c r="C1128">
        <v>22002490</v>
      </c>
      <c r="D1128">
        <v>1206</v>
      </c>
      <c r="E1128" s="11">
        <v>44774</v>
      </c>
      <c r="F1128" t="s">
        <v>159</v>
      </c>
      <c r="G1128">
        <v>15.5</v>
      </c>
      <c r="H1128">
        <v>15.5</v>
      </c>
      <c r="I1128" t="s">
        <v>56</v>
      </c>
      <c r="O1128" t="s">
        <v>57</v>
      </c>
      <c r="Q1128" t="s">
        <v>57</v>
      </c>
      <c r="R1128" t="s">
        <v>137</v>
      </c>
      <c r="T1128" t="s">
        <v>59</v>
      </c>
      <c r="U1128" t="s">
        <v>60</v>
      </c>
      <c r="V1128" t="s">
        <v>138</v>
      </c>
      <c r="W1128" t="s">
        <v>139</v>
      </c>
      <c r="X1128">
        <v>1926655</v>
      </c>
      <c r="Y1128" s="11">
        <v>44775</v>
      </c>
      <c r="Z1128" t="s">
        <v>57</v>
      </c>
      <c r="AA1128">
        <v>2</v>
      </c>
      <c r="AB1128" t="s">
        <v>57</v>
      </c>
      <c r="AD1128" t="s">
        <v>57</v>
      </c>
      <c r="AE1128" t="s">
        <v>57</v>
      </c>
      <c r="AF1128" t="s">
        <v>57</v>
      </c>
      <c r="AG1128">
        <v>1</v>
      </c>
      <c r="AH1128" t="s">
        <v>57</v>
      </c>
      <c r="AL1128" t="s">
        <v>57</v>
      </c>
      <c r="AM1128" s="11">
        <v>44774</v>
      </c>
      <c r="AN1128" t="s">
        <v>184</v>
      </c>
      <c r="AO1128" t="s">
        <v>65</v>
      </c>
      <c r="AP1128">
        <v>1206</v>
      </c>
      <c r="AQ1128" t="s">
        <v>66</v>
      </c>
      <c r="AR1128">
        <v>163472</v>
      </c>
      <c r="AU1128" t="s">
        <v>57</v>
      </c>
      <c r="AV1128" t="s">
        <v>68</v>
      </c>
      <c r="AX1128" t="s">
        <v>57</v>
      </c>
      <c r="AY1128">
        <v>631110</v>
      </c>
      <c r="AZ1128">
        <v>1206.63111</v>
      </c>
      <c r="BA1128" s="23" t="s">
        <v>14</v>
      </c>
    </row>
    <row r="1129" spans="1:53" x14ac:dyDescent="0.25">
      <c r="A1129" t="s">
        <v>134</v>
      </c>
      <c r="B1129" t="s">
        <v>135</v>
      </c>
      <c r="C1129">
        <v>22002490</v>
      </c>
      <c r="D1129">
        <v>1206</v>
      </c>
      <c r="E1129" s="11">
        <v>44774</v>
      </c>
      <c r="F1129" t="s">
        <v>159</v>
      </c>
      <c r="G1129">
        <v>13.59</v>
      </c>
      <c r="H1129">
        <v>13.59</v>
      </c>
      <c r="I1129" t="s">
        <v>56</v>
      </c>
      <c r="O1129" t="s">
        <v>57</v>
      </c>
      <c r="Q1129" t="s">
        <v>57</v>
      </c>
      <c r="R1129" t="s">
        <v>137</v>
      </c>
      <c r="T1129" t="s">
        <v>59</v>
      </c>
      <c r="U1129" t="s">
        <v>60</v>
      </c>
      <c r="V1129" t="s">
        <v>138</v>
      </c>
      <c r="W1129" t="s">
        <v>139</v>
      </c>
      <c r="X1129">
        <v>1926655</v>
      </c>
      <c r="Y1129" s="11">
        <v>44775</v>
      </c>
      <c r="Z1129" t="s">
        <v>57</v>
      </c>
      <c r="AA1129">
        <v>4</v>
      </c>
      <c r="AB1129" t="s">
        <v>57</v>
      </c>
      <c r="AD1129" t="s">
        <v>57</v>
      </c>
      <c r="AE1129" t="s">
        <v>57</v>
      </c>
      <c r="AF1129" t="s">
        <v>57</v>
      </c>
      <c r="AG1129">
        <v>10</v>
      </c>
      <c r="AH1129" t="s">
        <v>57</v>
      </c>
      <c r="AL1129" t="s">
        <v>57</v>
      </c>
      <c r="AM1129" s="11">
        <v>44774</v>
      </c>
      <c r="AN1129" t="s">
        <v>184</v>
      </c>
      <c r="AO1129" t="s">
        <v>65</v>
      </c>
      <c r="AP1129">
        <v>1206</v>
      </c>
      <c r="AQ1129" t="s">
        <v>66</v>
      </c>
      <c r="AR1129">
        <v>163503</v>
      </c>
      <c r="AU1129" t="s">
        <v>57</v>
      </c>
      <c r="AV1129" t="s">
        <v>68</v>
      </c>
      <c r="AX1129" t="s">
        <v>57</v>
      </c>
      <c r="AY1129">
        <v>631110</v>
      </c>
      <c r="AZ1129">
        <v>1206.63111</v>
      </c>
      <c r="BA1129" s="23" t="s">
        <v>14</v>
      </c>
    </row>
    <row r="1130" spans="1:53" x14ac:dyDescent="0.25">
      <c r="A1130" t="s">
        <v>134</v>
      </c>
      <c r="B1130" t="s">
        <v>135</v>
      </c>
      <c r="C1130">
        <v>22002491</v>
      </c>
      <c r="D1130">
        <v>1206</v>
      </c>
      <c r="E1130" s="11">
        <v>44774</v>
      </c>
      <c r="F1130" t="s">
        <v>174</v>
      </c>
      <c r="G1130">
        <v>3.77</v>
      </c>
      <c r="H1130">
        <v>3.77</v>
      </c>
      <c r="I1130" t="s">
        <v>56</v>
      </c>
      <c r="O1130" t="s">
        <v>57</v>
      </c>
      <c r="Q1130" t="s">
        <v>57</v>
      </c>
      <c r="R1130" t="s">
        <v>137</v>
      </c>
      <c r="T1130" t="s">
        <v>59</v>
      </c>
      <c r="U1130" t="s">
        <v>60</v>
      </c>
      <c r="V1130" t="s">
        <v>138</v>
      </c>
      <c r="W1130" t="s">
        <v>139</v>
      </c>
      <c r="X1130">
        <v>1926655</v>
      </c>
      <c r="Y1130" s="11">
        <v>44775</v>
      </c>
      <c r="Z1130" t="s">
        <v>57</v>
      </c>
      <c r="AA1130">
        <v>2</v>
      </c>
      <c r="AB1130" t="s">
        <v>57</v>
      </c>
      <c r="AD1130" t="s">
        <v>57</v>
      </c>
      <c r="AE1130" t="s">
        <v>57</v>
      </c>
      <c r="AF1130" t="s">
        <v>57</v>
      </c>
      <c r="AG1130">
        <v>1</v>
      </c>
      <c r="AH1130" t="s">
        <v>57</v>
      </c>
      <c r="AL1130" t="s">
        <v>57</v>
      </c>
      <c r="AM1130" s="11">
        <v>44774</v>
      </c>
      <c r="AN1130" t="s">
        <v>184</v>
      </c>
      <c r="AO1130" t="s">
        <v>65</v>
      </c>
      <c r="AP1130">
        <v>1206</v>
      </c>
      <c r="AQ1130" t="s">
        <v>66</v>
      </c>
      <c r="AR1130">
        <v>156041</v>
      </c>
      <c r="AU1130" t="s">
        <v>57</v>
      </c>
      <c r="AV1130" t="s">
        <v>68</v>
      </c>
      <c r="AX1130" t="s">
        <v>57</v>
      </c>
      <c r="AY1130">
        <v>631110</v>
      </c>
      <c r="AZ1130">
        <v>1206.63111</v>
      </c>
      <c r="BA1130" s="23" t="s">
        <v>14</v>
      </c>
    </row>
    <row r="1131" spans="1:53" x14ac:dyDescent="0.25">
      <c r="A1131" t="s">
        <v>134</v>
      </c>
      <c r="B1131" t="s">
        <v>135</v>
      </c>
      <c r="C1131">
        <v>22002491</v>
      </c>
      <c r="D1131">
        <v>1206</v>
      </c>
      <c r="E1131" s="11">
        <v>44774</v>
      </c>
      <c r="F1131" t="s">
        <v>174</v>
      </c>
      <c r="G1131">
        <v>11.06</v>
      </c>
      <c r="H1131">
        <v>11.06</v>
      </c>
      <c r="I1131" t="s">
        <v>56</v>
      </c>
      <c r="O1131" t="s">
        <v>57</v>
      </c>
      <c r="Q1131" t="s">
        <v>57</v>
      </c>
      <c r="R1131" t="s">
        <v>137</v>
      </c>
      <c r="T1131" t="s">
        <v>59</v>
      </c>
      <c r="U1131" t="s">
        <v>60</v>
      </c>
      <c r="V1131" t="s">
        <v>138</v>
      </c>
      <c r="W1131" t="s">
        <v>139</v>
      </c>
      <c r="X1131">
        <v>1926655</v>
      </c>
      <c r="Y1131" s="11">
        <v>44775</v>
      </c>
      <c r="Z1131" t="s">
        <v>57</v>
      </c>
      <c r="AA1131">
        <v>4</v>
      </c>
      <c r="AB1131" t="s">
        <v>57</v>
      </c>
      <c r="AD1131" t="s">
        <v>57</v>
      </c>
      <c r="AE1131" t="s">
        <v>57</v>
      </c>
      <c r="AF1131" t="s">
        <v>57</v>
      </c>
      <c r="AG1131">
        <v>1</v>
      </c>
      <c r="AH1131" t="s">
        <v>57</v>
      </c>
      <c r="AL1131" t="s">
        <v>57</v>
      </c>
      <c r="AM1131" s="11">
        <v>44774</v>
      </c>
      <c r="AN1131" t="s">
        <v>184</v>
      </c>
      <c r="AO1131" t="s">
        <v>65</v>
      </c>
      <c r="AP1131">
        <v>1206</v>
      </c>
      <c r="AQ1131" t="s">
        <v>66</v>
      </c>
      <c r="AR1131">
        <v>247541</v>
      </c>
      <c r="AU1131" t="s">
        <v>57</v>
      </c>
      <c r="AV1131" t="s">
        <v>68</v>
      </c>
      <c r="AX1131" t="s">
        <v>57</v>
      </c>
      <c r="AY1131">
        <v>631110</v>
      </c>
      <c r="AZ1131">
        <v>1206.63111</v>
      </c>
      <c r="BA1131" s="23" t="s">
        <v>14</v>
      </c>
    </row>
    <row r="1132" spans="1:53" x14ac:dyDescent="0.25">
      <c r="A1132" t="s">
        <v>134</v>
      </c>
      <c r="B1132" t="s">
        <v>135</v>
      </c>
      <c r="C1132">
        <v>22002491</v>
      </c>
      <c r="D1132">
        <v>1206</v>
      </c>
      <c r="E1132" s="11">
        <v>44774</v>
      </c>
      <c r="F1132" t="s">
        <v>174</v>
      </c>
      <c r="G1132">
        <v>3.68</v>
      </c>
      <c r="H1132">
        <v>3.68</v>
      </c>
      <c r="I1132" t="s">
        <v>56</v>
      </c>
      <c r="O1132" t="s">
        <v>57</v>
      </c>
      <c r="Q1132" t="s">
        <v>57</v>
      </c>
      <c r="R1132" t="s">
        <v>137</v>
      </c>
      <c r="T1132" t="s">
        <v>59</v>
      </c>
      <c r="U1132" t="s">
        <v>60</v>
      </c>
      <c r="V1132" t="s">
        <v>138</v>
      </c>
      <c r="W1132" t="s">
        <v>139</v>
      </c>
      <c r="X1132">
        <v>1926655</v>
      </c>
      <c r="Y1132" s="11">
        <v>44775</v>
      </c>
      <c r="Z1132" t="s">
        <v>57</v>
      </c>
      <c r="AA1132">
        <v>6</v>
      </c>
      <c r="AB1132" t="s">
        <v>57</v>
      </c>
      <c r="AD1132" t="s">
        <v>57</v>
      </c>
      <c r="AE1132" t="s">
        <v>57</v>
      </c>
      <c r="AF1132" t="s">
        <v>57</v>
      </c>
      <c r="AG1132">
        <v>1</v>
      </c>
      <c r="AH1132" t="s">
        <v>57</v>
      </c>
      <c r="AL1132" t="s">
        <v>57</v>
      </c>
      <c r="AM1132" s="11">
        <v>44774</v>
      </c>
      <c r="AN1132" t="s">
        <v>184</v>
      </c>
      <c r="AO1132" t="s">
        <v>65</v>
      </c>
      <c r="AP1132">
        <v>1206</v>
      </c>
      <c r="AQ1132" t="s">
        <v>66</v>
      </c>
      <c r="AR1132">
        <v>166051</v>
      </c>
      <c r="AU1132" t="s">
        <v>57</v>
      </c>
      <c r="AV1132" t="s">
        <v>68</v>
      </c>
      <c r="AX1132" t="s">
        <v>57</v>
      </c>
      <c r="AY1132">
        <v>631110</v>
      </c>
      <c r="AZ1132">
        <v>1206.63111</v>
      </c>
      <c r="BA1132" s="23" t="s">
        <v>14</v>
      </c>
    </row>
    <row r="1133" spans="1:53" x14ac:dyDescent="0.25">
      <c r="A1133" t="s">
        <v>134</v>
      </c>
      <c r="B1133" t="s">
        <v>135</v>
      </c>
      <c r="C1133">
        <v>22002491</v>
      </c>
      <c r="D1133">
        <v>1206</v>
      </c>
      <c r="E1133" s="11">
        <v>44774</v>
      </c>
      <c r="F1133" t="s">
        <v>174</v>
      </c>
      <c r="G1133">
        <v>3.09</v>
      </c>
      <c r="H1133">
        <v>3.09</v>
      </c>
      <c r="I1133" t="s">
        <v>56</v>
      </c>
      <c r="O1133" t="s">
        <v>57</v>
      </c>
      <c r="Q1133" t="s">
        <v>57</v>
      </c>
      <c r="R1133" t="s">
        <v>137</v>
      </c>
      <c r="T1133" t="s">
        <v>59</v>
      </c>
      <c r="U1133" t="s">
        <v>60</v>
      </c>
      <c r="V1133" t="s">
        <v>138</v>
      </c>
      <c r="W1133" t="s">
        <v>139</v>
      </c>
      <c r="X1133">
        <v>1926655</v>
      </c>
      <c r="Y1133" s="11">
        <v>44775</v>
      </c>
      <c r="Z1133" t="s">
        <v>57</v>
      </c>
      <c r="AA1133">
        <v>8</v>
      </c>
      <c r="AB1133" t="s">
        <v>57</v>
      </c>
      <c r="AD1133" t="s">
        <v>57</v>
      </c>
      <c r="AE1133" t="s">
        <v>57</v>
      </c>
      <c r="AF1133" t="s">
        <v>57</v>
      </c>
      <c r="AG1133">
        <v>1</v>
      </c>
      <c r="AH1133" t="s">
        <v>57</v>
      </c>
      <c r="AL1133" t="s">
        <v>57</v>
      </c>
      <c r="AM1133" s="11">
        <v>44774</v>
      </c>
      <c r="AN1133" t="s">
        <v>184</v>
      </c>
      <c r="AO1133" t="s">
        <v>65</v>
      </c>
      <c r="AP1133">
        <v>1206</v>
      </c>
      <c r="AQ1133" t="s">
        <v>66</v>
      </c>
      <c r="AR1133">
        <v>156040</v>
      </c>
      <c r="AU1133" t="s">
        <v>57</v>
      </c>
      <c r="AV1133" t="s">
        <v>68</v>
      </c>
      <c r="AX1133" t="s">
        <v>57</v>
      </c>
      <c r="AY1133">
        <v>631110</v>
      </c>
      <c r="AZ1133">
        <v>1206.63111</v>
      </c>
      <c r="BA1133" s="23" t="s">
        <v>14</v>
      </c>
    </row>
    <row r="1134" spans="1:53" x14ac:dyDescent="0.25">
      <c r="A1134" t="s">
        <v>134</v>
      </c>
      <c r="B1134" t="s">
        <v>135</v>
      </c>
      <c r="C1134">
        <v>22002499</v>
      </c>
      <c r="D1134">
        <v>1206</v>
      </c>
      <c r="E1134" s="11">
        <v>44774</v>
      </c>
      <c r="F1134" t="s">
        <v>185</v>
      </c>
      <c r="G1134">
        <v>2.23</v>
      </c>
      <c r="H1134">
        <v>2.23</v>
      </c>
      <c r="I1134" t="s">
        <v>56</v>
      </c>
      <c r="O1134" t="s">
        <v>57</v>
      </c>
      <c r="Q1134" t="s">
        <v>57</v>
      </c>
      <c r="R1134" t="s">
        <v>137</v>
      </c>
      <c r="T1134" t="s">
        <v>59</v>
      </c>
      <c r="U1134" t="s">
        <v>60</v>
      </c>
      <c r="V1134" t="s">
        <v>138</v>
      </c>
      <c r="W1134" t="s">
        <v>139</v>
      </c>
      <c r="X1134">
        <v>1926722</v>
      </c>
      <c r="Y1134" s="11">
        <v>44776</v>
      </c>
      <c r="Z1134" t="s">
        <v>57</v>
      </c>
      <c r="AA1134">
        <v>10</v>
      </c>
      <c r="AB1134" t="s">
        <v>57</v>
      </c>
      <c r="AD1134" t="s">
        <v>57</v>
      </c>
      <c r="AE1134" t="s">
        <v>57</v>
      </c>
      <c r="AF1134" t="s">
        <v>57</v>
      </c>
      <c r="AG1134">
        <v>20</v>
      </c>
      <c r="AH1134" t="s">
        <v>57</v>
      </c>
      <c r="AL1134" t="s">
        <v>57</v>
      </c>
      <c r="AM1134" s="11">
        <v>44774</v>
      </c>
      <c r="AN1134" t="s">
        <v>183</v>
      </c>
      <c r="AO1134" t="s">
        <v>65</v>
      </c>
      <c r="AP1134">
        <v>1206</v>
      </c>
      <c r="AQ1134" t="s">
        <v>66</v>
      </c>
      <c r="AR1134">
        <v>265267</v>
      </c>
      <c r="AU1134" t="s">
        <v>57</v>
      </c>
      <c r="AV1134" t="s">
        <v>68</v>
      </c>
      <c r="AX1134" t="s">
        <v>57</v>
      </c>
      <c r="AY1134">
        <v>631110</v>
      </c>
      <c r="AZ1134">
        <v>1206.63111</v>
      </c>
      <c r="BA1134" s="23" t="s">
        <v>14</v>
      </c>
    </row>
    <row r="1135" spans="1:53" x14ac:dyDescent="0.25">
      <c r="A1135" t="s">
        <v>134</v>
      </c>
      <c r="B1135" t="s">
        <v>135</v>
      </c>
      <c r="C1135">
        <v>22002499</v>
      </c>
      <c r="D1135">
        <v>1206</v>
      </c>
      <c r="E1135" s="11">
        <v>44774</v>
      </c>
      <c r="F1135" t="s">
        <v>185</v>
      </c>
      <c r="G1135">
        <v>0.76</v>
      </c>
      <c r="H1135">
        <v>0.76</v>
      </c>
      <c r="I1135" t="s">
        <v>56</v>
      </c>
      <c r="O1135" t="s">
        <v>57</v>
      </c>
      <c r="Q1135" t="s">
        <v>57</v>
      </c>
      <c r="R1135" t="s">
        <v>137</v>
      </c>
      <c r="T1135" t="s">
        <v>59</v>
      </c>
      <c r="U1135" t="s">
        <v>60</v>
      </c>
      <c r="V1135" t="s">
        <v>138</v>
      </c>
      <c r="W1135" t="s">
        <v>139</v>
      </c>
      <c r="X1135">
        <v>1926722</v>
      </c>
      <c r="Y1135" s="11">
        <v>44776</v>
      </c>
      <c r="Z1135" t="s">
        <v>57</v>
      </c>
      <c r="AA1135">
        <v>12</v>
      </c>
      <c r="AB1135" t="s">
        <v>57</v>
      </c>
      <c r="AD1135" t="s">
        <v>57</v>
      </c>
      <c r="AE1135" t="s">
        <v>57</v>
      </c>
      <c r="AF1135" t="s">
        <v>57</v>
      </c>
      <c r="AG1135">
        <v>10</v>
      </c>
      <c r="AH1135" t="s">
        <v>57</v>
      </c>
      <c r="AL1135" t="s">
        <v>57</v>
      </c>
      <c r="AM1135" s="11">
        <v>44774</v>
      </c>
      <c r="AN1135" t="s">
        <v>183</v>
      </c>
      <c r="AO1135" t="s">
        <v>65</v>
      </c>
      <c r="AP1135">
        <v>1206</v>
      </c>
      <c r="AQ1135" t="s">
        <v>66</v>
      </c>
      <c r="AR1135">
        <v>91479</v>
      </c>
      <c r="AU1135" t="s">
        <v>57</v>
      </c>
      <c r="AV1135" t="s">
        <v>68</v>
      </c>
      <c r="AX1135" t="s">
        <v>57</v>
      </c>
      <c r="AY1135">
        <v>631110</v>
      </c>
      <c r="AZ1135">
        <v>1206.63111</v>
      </c>
      <c r="BA1135" s="23" t="s">
        <v>14</v>
      </c>
    </row>
    <row r="1136" spans="1:53" x14ac:dyDescent="0.25">
      <c r="A1136" t="s">
        <v>134</v>
      </c>
      <c r="B1136" t="s">
        <v>135</v>
      </c>
      <c r="C1136">
        <v>22002499</v>
      </c>
      <c r="D1136">
        <v>1206</v>
      </c>
      <c r="E1136" s="11">
        <v>44774</v>
      </c>
      <c r="F1136" t="s">
        <v>185</v>
      </c>
      <c r="G1136">
        <v>0.16</v>
      </c>
      <c r="H1136">
        <v>0.16</v>
      </c>
      <c r="I1136" t="s">
        <v>56</v>
      </c>
      <c r="O1136" t="s">
        <v>57</v>
      </c>
      <c r="Q1136" t="s">
        <v>57</v>
      </c>
      <c r="R1136" t="s">
        <v>137</v>
      </c>
      <c r="T1136" t="s">
        <v>59</v>
      </c>
      <c r="U1136" t="s">
        <v>60</v>
      </c>
      <c r="V1136" t="s">
        <v>138</v>
      </c>
      <c r="W1136" t="s">
        <v>139</v>
      </c>
      <c r="X1136">
        <v>1926722</v>
      </c>
      <c r="Y1136" s="11">
        <v>44776</v>
      </c>
      <c r="Z1136" t="s">
        <v>57</v>
      </c>
      <c r="AA1136">
        <v>14</v>
      </c>
      <c r="AB1136" t="s">
        <v>57</v>
      </c>
      <c r="AD1136" t="s">
        <v>57</v>
      </c>
      <c r="AE1136" t="s">
        <v>57</v>
      </c>
      <c r="AF1136" t="s">
        <v>57</v>
      </c>
      <c r="AG1136">
        <v>1</v>
      </c>
      <c r="AH1136" t="s">
        <v>57</v>
      </c>
      <c r="AL1136" t="s">
        <v>57</v>
      </c>
      <c r="AM1136" s="11">
        <v>44774</v>
      </c>
      <c r="AN1136" t="s">
        <v>183</v>
      </c>
      <c r="AO1136" t="s">
        <v>65</v>
      </c>
      <c r="AP1136">
        <v>1206</v>
      </c>
      <c r="AQ1136" t="s">
        <v>66</v>
      </c>
      <c r="AR1136">
        <v>265528</v>
      </c>
      <c r="AU1136" t="s">
        <v>57</v>
      </c>
      <c r="AV1136" t="s">
        <v>68</v>
      </c>
      <c r="AX1136" t="s">
        <v>57</v>
      </c>
      <c r="AY1136">
        <v>631110</v>
      </c>
      <c r="AZ1136">
        <v>1206.63111</v>
      </c>
      <c r="BA1136" s="23" t="s">
        <v>14</v>
      </c>
    </row>
    <row r="1137" spans="1:53" x14ac:dyDescent="0.25">
      <c r="A1137" t="s">
        <v>134</v>
      </c>
      <c r="B1137" t="s">
        <v>135</v>
      </c>
      <c r="C1137">
        <v>22002499</v>
      </c>
      <c r="D1137">
        <v>1206</v>
      </c>
      <c r="E1137" s="11">
        <v>44774</v>
      </c>
      <c r="F1137" t="s">
        <v>185</v>
      </c>
      <c r="G1137">
        <v>22.33</v>
      </c>
      <c r="H1137">
        <v>22.33</v>
      </c>
      <c r="I1137" t="s">
        <v>56</v>
      </c>
      <c r="O1137" t="s">
        <v>57</v>
      </c>
      <c r="Q1137" t="s">
        <v>57</v>
      </c>
      <c r="R1137" t="s">
        <v>137</v>
      </c>
      <c r="T1137" t="s">
        <v>59</v>
      </c>
      <c r="U1137" t="s">
        <v>60</v>
      </c>
      <c r="V1137" t="s">
        <v>138</v>
      </c>
      <c r="W1137" t="s">
        <v>139</v>
      </c>
      <c r="X1137">
        <v>1926722</v>
      </c>
      <c r="Y1137" s="11">
        <v>44776</v>
      </c>
      <c r="Z1137" t="s">
        <v>57</v>
      </c>
      <c r="AA1137">
        <v>2</v>
      </c>
      <c r="AB1137" t="s">
        <v>57</v>
      </c>
      <c r="AD1137" t="s">
        <v>57</v>
      </c>
      <c r="AE1137" t="s">
        <v>57</v>
      </c>
      <c r="AF1137" t="s">
        <v>57</v>
      </c>
      <c r="AG1137">
        <v>60</v>
      </c>
      <c r="AH1137" t="s">
        <v>57</v>
      </c>
      <c r="AL1137" t="s">
        <v>57</v>
      </c>
      <c r="AM1137" s="11">
        <v>44774</v>
      </c>
      <c r="AN1137" t="s">
        <v>183</v>
      </c>
      <c r="AO1137" t="s">
        <v>65</v>
      </c>
      <c r="AP1137">
        <v>1206</v>
      </c>
      <c r="AQ1137" t="s">
        <v>66</v>
      </c>
      <c r="AR1137">
        <v>91011</v>
      </c>
      <c r="AU1137" t="s">
        <v>57</v>
      </c>
      <c r="AV1137" t="s">
        <v>68</v>
      </c>
      <c r="AX1137" t="s">
        <v>57</v>
      </c>
      <c r="AY1137">
        <v>631110</v>
      </c>
      <c r="AZ1137">
        <v>1206.63111</v>
      </c>
      <c r="BA1137" s="23" t="s">
        <v>14</v>
      </c>
    </row>
    <row r="1138" spans="1:53" x14ac:dyDescent="0.25">
      <c r="A1138" t="s">
        <v>134</v>
      </c>
      <c r="B1138" t="s">
        <v>135</v>
      </c>
      <c r="C1138">
        <v>22002499</v>
      </c>
      <c r="D1138">
        <v>1206</v>
      </c>
      <c r="E1138" s="11">
        <v>44774</v>
      </c>
      <c r="F1138" t="s">
        <v>185</v>
      </c>
      <c r="G1138">
        <v>1.53</v>
      </c>
      <c r="H1138">
        <v>1.53</v>
      </c>
      <c r="I1138" t="s">
        <v>56</v>
      </c>
      <c r="O1138" t="s">
        <v>57</v>
      </c>
      <c r="Q1138" t="s">
        <v>57</v>
      </c>
      <c r="R1138" t="s">
        <v>137</v>
      </c>
      <c r="T1138" t="s">
        <v>59</v>
      </c>
      <c r="U1138" t="s">
        <v>60</v>
      </c>
      <c r="V1138" t="s">
        <v>138</v>
      </c>
      <c r="W1138" t="s">
        <v>139</v>
      </c>
      <c r="X1138">
        <v>1926722</v>
      </c>
      <c r="Y1138" s="11">
        <v>44776</v>
      </c>
      <c r="Z1138" t="s">
        <v>57</v>
      </c>
      <c r="AA1138">
        <v>4</v>
      </c>
      <c r="AB1138" t="s">
        <v>57</v>
      </c>
      <c r="AD1138" t="s">
        <v>57</v>
      </c>
      <c r="AE1138" t="s">
        <v>57</v>
      </c>
      <c r="AF1138" t="s">
        <v>57</v>
      </c>
      <c r="AG1138">
        <v>10</v>
      </c>
      <c r="AH1138" t="s">
        <v>57</v>
      </c>
      <c r="AL1138" t="s">
        <v>57</v>
      </c>
      <c r="AM1138" s="11">
        <v>44774</v>
      </c>
      <c r="AN1138" t="s">
        <v>183</v>
      </c>
      <c r="AO1138" t="s">
        <v>65</v>
      </c>
      <c r="AP1138">
        <v>1206</v>
      </c>
      <c r="AQ1138" t="s">
        <v>66</v>
      </c>
      <c r="AR1138">
        <v>144854</v>
      </c>
      <c r="AU1138" t="s">
        <v>57</v>
      </c>
      <c r="AV1138" t="s">
        <v>68</v>
      </c>
      <c r="AX1138" t="s">
        <v>57</v>
      </c>
      <c r="AY1138">
        <v>631110</v>
      </c>
      <c r="AZ1138">
        <v>1206.63111</v>
      </c>
      <c r="BA1138" s="23" t="s">
        <v>14</v>
      </c>
    </row>
    <row r="1139" spans="1:53" x14ac:dyDescent="0.25">
      <c r="A1139" t="s">
        <v>134</v>
      </c>
      <c r="B1139" t="s">
        <v>135</v>
      </c>
      <c r="C1139">
        <v>22002499</v>
      </c>
      <c r="D1139">
        <v>1206</v>
      </c>
      <c r="E1139" s="11">
        <v>44774</v>
      </c>
      <c r="F1139" t="s">
        <v>185</v>
      </c>
      <c r="G1139">
        <v>6.27</v>
      </c>
      <c r="H1139">
        <v>6.27</v>
      </c>
      <c r="I1139" t="s">
        <v>56</v>
      </c>
      <c r="O1139" t="s">
        <v>57</v>
      </c>
      <c r="Q1139" t="s">
        <v>57</v>
      </c>
      <c r="R1139" t="s">
        <v>137</v>
      </c>
      <c r="T1139" t="s">
        <v>59</v>
      </c>
      <c r="U1139" t="s">
        <v>60</v>
      </c>
      <c r="V1139" t="s">
        <v>138</v>
      </c>
      <c r="W1139" t="s">
        <v>139</v>
      </c>
      <c r="X1139">
        <v>1926722</v>
      </c>
      <c r="Y1139" s="11">
        <v>44776</v>
      </c>
      <c r="Z1139" t="s">
        <v>57</v>
      </c>
      <c r="AA1139">
        <v>6</v>
      </c>
      <c r="AB1139" t="s">
        <v>57</v>
      </c>
      <c r="AD1139" t="s">
        <v>57</v>
      </c>
      <c r="AE1139" t="s">
        <v>57</v>
      </c>
      <c r="AF1139" t="s">
        <v>57</v>
      </c>
      <c r="AG1139">
        <v>40</v>
      </c>
      <c r="AH1139" t="s">
        <v>57</v>
      </c>
      <c r="AL1139" t="s">
        <v>57</v>
      </c>
      <c r="AM1139" s="11">
        <v>44774</v>
      </c>
      <c r="AN1139" t="s">
        <v>183</v>
      </c>
      <c r="AO1139" t="s">
        <v>65</v>
      </c>
      <c r="AP1139">
        <v>1206</v>
      </c>
      <c r="AQ1139" t="s">
        <v>66</v>
      </c>
      <c r="AR1139">
        <v>89712</v>
      </c>
      <c r="AU1139" t="s">
        <v>57</v>
      </c>
      <c r="AV1139" t="s">
        <v>68</v>
      </c>
      <c r="AX1139" t="s">
        <v>57</v>
      </c>
      <c r="AY1139">
        <v>631110</v>
      </c>
      <c r="AZ1139">
        <v>1206.63111</v>
      </c>
      <c r="BA1139" s="23" t="s">
        <v>14</v>
      </c>
    </row>
    <row r="1140" spans="1:53" x14ac:dyDescent="0.25">
      <c r="A1140" t="s">
        <v>134</v>
      </c>
      <c r="B1140" t="s">
        <v>135</v>
      </c>
      <c r="C1140">
        <v>22002499</v>
      </c>
      <c r="D1140">
        <v>1206</v>
      </c>
      <c r="E1140" s="11">
        <v>44774</v>
      </c>
      <c r="F1140" t="s">
        <v>185</v>
      </c>
      <c r="G1140">
        <v>2.4</v>
      </c>
      <c r="H1140">
        <v>2.4</v>
      </c>
      <c r="I1140" t="s">
        <v>56</v>
      </c>
      <c r="O1140" t="s">
        <v>57</v>
      </c>
      <c r="Q1140" t="s">
        <v>57</v>
      </c>
      <c r="R1140" t="s">
        <v>137</v>
      </c>
      <c r="T1140" t="s">
        <v>59</v>
      </c>
      <c r="U1140" t="s">
        <v>60</v>
      </c>
      <c r="V1140" t="s">
        <v>138</v>
      </c>
      <c r="W1140" t="s">
        <v>139</v>
      </c>
      <c r="X1140">
        <v>1926722</v>
      </c>
      <c r="Y1140" s="11">
        <v>44776</v>
      </c>
      <c r="Z1140" t="s">
        <v>57</v>
      </c>
      <c r="AA1140">
        <v>8</v>
      </c>
      <c r="AB1140" t="s">
        <v>57</v>
      </c>
      <c r="AD1140" t="s">
        <v>57</v>
      </c>
      <c r="AE1140" t="s">
        <v>57</v>
      </c>
      <c r="AF1140" t="s">
        <v>57</v>
      </c>
      <c r="AG1140">
        <v>20</v>
      </c>
      <c r="AH1140" t="s">
        <v>57</v>
      </c>
      <c r="AL1140" t="s">
        <v>57</v>
      </c>
      <c r="AM1140" s="11">
        <v>44774</v>
      </c>
      <c r="AN1140" t="s">
        <v>183</v>
      </c>
      <c r="AO1140" t="s">
        <v>65</v>
      </c>
      <c r="AP1140">
        <v>1206</v>
      </c>
      <c r="AQ1140" t="s">
        <v>66</v>
      </c>
      <c r="AR1140">
        <v>264575</v>
      </c>
      <c r="AU1140" t="s">
        <v>57</v>
      </c>
      <c r="AV1140" t="s">
        <v>68</v>
      </c>
      <c r="AX1140" t="s">
        <v>57</v>
      </c>
      <c r="AY1140">
        <v>631110</v>
      </c>
      <c r="AZ1140">
        <v>1206.63111</v>
      </c>
      <c r="BA1140" s="23" t="s">
        <v>14</v>
      </c>
    </row>
    <row r="1141" spans="1:53" x14ac:dyDescent="0.25">
      <c r="A1141" t="s">
        <v>134</v>
      </c>
      <c r="B1141" t="s">
        <v>135</v>
      </c>
      <c r="C1141">
        <v>22002492</v>
      </c>
      <c r="D1141">
        <v>1206</v>
      </c>
      <c r="E1141" s="11">
        <v>44775</v>
      </c>
      <c r="F1141" t="s">
        <v>174</v>
      </c>
      <c r="G1141">
        <v>0.69</v>
      </c>
      <c r="H1141">
        <v>0.69</v>
      </c>
      <c r="I1141" t="s">
        <v>56</v>
      </c>
      <c r="O1141" t="s">
        <v>57</v>
      </c>
      <c r="Q1141" t="s">
        <v>57</v>
      </c>
      <c r="R1141" t="s">
        <v>137</v>
      </c>
      <c r="T1141" t="s">
        <v>59</v>
      </c>
      <c r="U1141" t="s">
        <v>60</v>
      </c>
      <c r="V1141" t="s">
        <v>138</v>
      </c>
      <c r="W1141" t="s">
        <v>139</v>
      </c>
      <c r="X1141">
        <v>1926655</v>
      </c>
      <c r="Y1141" s="11">
        <v>44775</v>
      </c>
      <c r="Z1141" t="s">
        <v>57</v>
      </c>
      <c r="AA1141">
        <v>2</v>
      </c>
      <c r="AB1141" t="s">
        <v>57</v>
      </c>
      <c r="AD1141" t="s">
        <v>57</v>
      </c>
      <c r="AE1141" t="s">
        <v>57</v>
      </c>
      <c r="AF1141" t="s">
        <v>57</v>
      </c>
      <c r="AG1141">
        <v>1</v>
      </c>
      <c r="AH1141" t="s">
        <v>57</v>
      </c>
      <c r="AL1141" t="s">
        <v>57</v>
      </c>
      <c r="AM1141" s="11">
        <v>44775</v>
      </c>
      <c r="AN1141" t="s">
        <v>184</v>
      </c>
      <c r="AO1141" t="s">
        <v>65</v>
      </c>
      <c r="AP1141">
        <v>1206</v>
      </c>
      <c r="AQ1141" t="s">
        <v>66</v>
      </c>
      <c r="AR1141">
        <v>90167</v>
      </c>
      <c r="AU1141" t="s">
        <v>57</v>
      </c>
      <c r="AV1141" t="s">
        <v>68</v>
      </c>
      <c r="AX1141" t="s">
        <v>57</v>
      </c>
      <c r="AY1141">
        <v>631110</v>
      </c>
      <c r="AZ1141">
        <v>1206.63111</v>
      </c>
      <c r="BA1141" s="23" t="s">
        <v>14</v>
      </c>
    </row>
    <row r="1142" spans="1:53" x14ac:dyDescent="0.25">
      <c r="A1142" t="s">
        <v>134</v>
      </c>
      <c r="B1142" t="s">
        <v>135</v>
      </c>
      <c r="C1142">
        <v>22002492</v>
      </c>
      <c r="D1142">
        <v>1206</v>
      </c>
      <c r="E1142" s="11">
        <v>44775</v>
      </c>
      <c r="F1142" t="s">
        <v>174</v>
      </c>
      <c r="G1142">
        <v>26.81</v>
      </c>
      <c r="H1142">
        <v>26.81</v>
      </c>
      <c r="I1142" t="s">
        <v>56</v>
      </c>
      <c r="O1142" t="s">
        <v>57</v>
      </c>
      <c r="Q1142" t="s">
        <v>57</v>
      </c>
      <c r="R1142" t="s">
        <v>137</v>
      </c>
      <c r="T1142" t="s">
        <v>59</v>
      </c>
      <c r="U1142" t="s">
        <v>60</v>
      </c>
      <c r="V1142" t="s">
        <v>138</v>
      </c>
      <c r="W1142" t="s">
        <v>139</v>
      </c>
      <c r="X1142">
        <v>1926655</v>
      </c>
      <c r="Y1142" s="11">
        <v>44775</v>
      </c>
      <c r="Z1142" t="s">
        <v>57</v>
      </c>
      <c r="AA1142">
        <v>4</v>
      </c>
      <c r="AB1142" t="s">
        <v>57</v>
      </c>
      <c r="AD1142" t="s">
        <v>57</v>
      </c>
      <c r="AE1142" t="s">
        <v>57</v>
      </c>
      <c r="AF1142" t="s">
        <v>57</v>
      </c>
      <c r="AG1142">
        <v>1</v>
      </c>
      <c r="AH1142" t="s">
        <v>57</v>
      </c>
      <c r="AL1142" t="s">
        <v>57</v>
      </c>
      <c r="AM1142" s="11">
        <v>44775</v>
      </c>
      <c r="AN1142" t="s">
        <v>184</v>
      </c>
      <c r="AO1142" t="s">
        <v>65</v>
      </c>
      <c r="AP1142">
        <v>1206</v>
      </c>
      <c r="AQ1142" t="s">
        <v>66</v>
      </c>
      <c r="AR1142">
        <v>143095</v>
      </c>
      <c r="AU1142" t="s">
        <v>57</v>
      </c>
      <c r="AV1142" t="s">
        <v>68</v>
      </c>
      <c r="AX1142" t="s">
        <v>57</v>
      </c>
      <c r="AY1142">
        <v>631110</v>
      </c>
      <c r="AZ1142">
        <v>1206.63111</v>
      </c>
      <c r="BA1142" s="23" t="s">
        <v>14</v>
      </c>
    </row>
    <row r="1143" spans="1:53" x14ac:dyDescent="0.25">
      <c r="A1143" t="s">
        <v>134</v>
      </c>
      <c r="B1143" t="s">
        <v>135</v>
      </c>
      <c r="C1143">
        <v>22002492</v>
      </c>
      <c r="D1143">
        <v>1206</v>
      </c>
      <c r="E1143" s="11">
        <v>44775</v>
      </c>
      <c r="F1143" t="s">
        <v>174</v>
      </c>
      <c r="G1143">
        <v>3.79</v>
      </c>
      <c r="H1143">
        <v>3.79</v>
      </c>
      <c r="I1143" t="s">
        <v>56</v>
      </c>
      <c r="O1143" t="s">
        <v>57</v>
      </c>
      <c r="Q1143" t="s">
        <v>57</v>
      </c>
      <c r="R1143" t="s">
        <v>137</v>
      </c>
      <c r="T1143" t="s">
        <v>59</v>
      </c>
      <c r="U1143" t="s">
        <v>60</v>
      </c>
      <c r="V1143" t="s">
        <v>138</v>
      </c>
      <c r="W1143" t="s">
        <v>139</v>
      </c>
      <c r="X1143">
        <v>1926655</v>
      </c>
      <c r="Y1143" s="11">
        <v>44775</v>
      </c>
      <c r="Z1143" t="s">
        <v>57</v>
      </c>
      <c r="AA1143">
        <v>6</v>
      </c>
      <c r="AB1143" t="s">
        <v>57</v>
      </c>
      <c r="AD1143" t="s">
        <v>57</v>
      </c>
      <c r="AE1143" t="s">
        <v>57</v>
      </c>
      <c r="AF1143" t="s">
        <v>57</v>
      </c>
      <c r="AG1143">
        <v>1</v>
      </c>
      <c r="AH1143" t="s">
        <v>57</v>
      </c>
      <c r="AL1143" t="s">
        <v>57</v>
      </c>
      <c r="AM1143" s="11">
        <v>44775</v>
      </c>
      <c r="AN1143" t="s">
        <v>184</v>
      </c>
      <c r="AO1143" t="s">
        <v>65</v>
      </c>
      <c r="AP1143">
        <v>1206</v>
      </c>
      <c r="AQ1143" t="s">
        <v>66</v>
      </c>
      <c r="AR1143">
        <v>182375</v>
      </c>
      <c r="AU1143" t="s">
        <v>57</v>
      </c>
      <c r="AV1143" t="s">
        <v>68</v>
      </c>
      <c r="AX1143" t="s">
        <v>57</v>
      </c>
      <c r="AY1143">
        <v>631110</v>
      </c>
      <c r="AZ1143">
        <v>1206.63111</v>
      </c>
      <c r="BA1143" s="23" t="s">
        <v>14</v>
      </c>
    </row>
    <row r="1144" spans="1:53" x14ac:dyDescent="0.25">
      <c r="A1144" t="s">
        <v>134</v>
      </c>
      <c r="B1144" t="s">
        <v>135</v>
      </c>
      <c r="C1144">
        <v>22002492</v>
      </c>
      <c r="D1144">
        <v>1206</v>
      </c>
      <c r="E1144" s="11">
        <v>44775</v>
      </c>
      <c r="F1144" t="s">
        <v>174</v>
      </c>
      <c r="G1144">
        <v>0.48</v>
      </c>
      <c r="H1144">
        <v>0.48</v>
      </c>
      <c r="I1144" t="s">
        <v>56</v>
      </c>
      <c r="O1144" t="s">
        <v>57</v>
      </c>
      <c r="Q1144" t="s">
        <v>57</v>
      </c>
      <c r="R1144" t="s">
        <v>137</v>
      </c>
      <c r="T1144" t="s">
        <v>59</v>
      </c>
      <c r="U1144" t="s">
        <v>60</v>
      </c>
      <c r="V1144" t="s">
        <v>138</v>
      </c>
      <c r="W1144" t="s">
        <v>139</v>
      </c>
      <c r="X1144">
        <v>1926655</v>
      </c>
      <c r="Y1144" s="11">
        <v>44775</v>
      </c>
      <c r="Z1144" t="s">
        <v>57</v>
      </c>
      <c r="AA1144">
        <v>8</v>
      </c>
      <c r="AB1144" t="s">
        <v>57</v>
      </c>
      <c r="AD1144" t="s">
        <v>57</v>
      </c>
      <c r="AE1144" t="s">
        <v>57</v>
      </c>
      <c r="AF1144" t="s">
        <v>57</v>
      </c>
      <c r="AG1144">
        <v>1</v>
      </c>
      <c r="AH1144" t="s">
        <v>57</v>
      </c>
      <c r="AL1144" t="s">
        <v>57</v>
      </c>
      <c r="AM1144" s="11">
        <v>44775</v>
      </c>
      <c r="AN1144" t="s">
        <v>184</v>
      </c>
      <c r="AO1144" t="s">
        <v>65</v>
      </c>
      <c r="AP1144">
        <v>1206</v>
      </c>
      <c r="AQ1144" t="s">
        <v>66</v>
      </c>
      <c r="AR1144">
        <v>90122</v>
      </c>
      <c r="AU1144" t="s">
        <v>57</v>
      </c>
      <c r="AV1144" t="s">
        <v>68</v>
      </c>
      <c r="AX1144" t="s">
        <v>57</v>
      </c>
      <c r="AY1144">
        <v>631110</v>
      </c>
      <c r="AZ1144">
        <v>1206.63111</v>
      </c>
      <c r="BA1144" s="23" t="s">
        <v>14</v>
      </c>
    </row>
    <row r="1145" spans="1:53" x14ac:dyDescent="0.25">
      <c r="A1145" t="s">
        <v>134</v>
      </c>
      <c r="B1145" t="s">
        <v>135</v>
      </c>
      <c r="C1145">
        <v>22002493</v>
      </c>
      <c r="D1145">
        <v>1206</v>
      </c>
      <c r="E1145" s="11">
        <v>44775</v>
      </c>
      <c r="F1145" t="s">
        <v>174</v>
      </c>
      <c r="G1145">
        <v>45.6</v>
      </c>
      <c r="H1145">
        <v>45.6</v>
      </c>
      <c r="I1145" t="s">
        <v>56</v>
      </c>
      <c r="O1145" t="s">
        <v>57</v>
      </c>
      <c r="Q1145" t="s">
        <v>57</v>
      </c>
      <c r="R1145" t="s">
        <v>137</v>
      </c>
      <c r="T1145" t="s">
        <v>59</v>
      </c>
      <c r="U1145" t="s">
        <v>60</v>
      </c>
      <c r="V1145" t="s">
        <v>138</v>
      </c>
      <c r="W1145" t="s">
        <v>139</v>
      </c>
      <c r="X1145">
        <v>1926655</v>
      </c>
      <c r="Y1145" s="11">
        <v>44775</v>
      </c>
      <c r="Z1145" t="s">
        <v>57</v>
      </c>
      <c r="AA1145">
        <v>2</v>
      </c>
      <c r="AB1145" t="s">
        <v>57</v>
      </c>
      <c r="AD1145" t="s">
        <v>57</v>
      </c>
      <c r="AE1145" t="s">
        <v>57</v>
      </c>
      <c r="AF1145" t="s">
        <v>57</v>
      </c>
      <c r="AG1145">
        <v>1</v>
      </c>
      <c r="AH1145" t="s">
        <v>57</v>
      </c>
      <c r="AL1145" t="s">
        <v>57</v>
      </c>
      <c r="AM1145" s="11">
        <v>44775</v>
      </c>
      <c r="AN1145" t="s">
        <v>184</v>
      </c>
      <c r="AO1145" t="s">
        <v>65</v>
      </c>
      <c r="AP1145">
        <v>1206</v>
      </c>
      <c r="AQ1145" t="s">
        <v>66</v>
      </c>
      <c r="AR1145">
        <v>190655</v>
      </c>
      <c r="AU1145" t="s">
        <v>57</v>
      </c>
      <c r="AV1145" t="s">
        <v>68</v>
      </c>
      <c r="AX1145" t="s">
        <v>57</v>
      </c>
      <c r="AY1145">
        <v>631110</v>
      </c>
      <c r="AZ1145">
        <v>1206.63111</v>
      </c>
      <c r="BA1145" s="23" t="s">
        <v>14</v>
      </c>
    </row>
    <row r="1146" spans="1:53" x14ac:dyDescent="0.25">
      <c r="A1146" t="s">
        <v>134</v>
      </c>
      <c r="B1146" t="s">
        <v>135</v>
      </c>
      <c r="C1146">
        <v>22002493</v>
      </c>
      <c r="D1146">
        <v>1206</v>
      </c>
      <c r="E1146" s="11">
        <v>44775</v>
      </c>
      <c r="F1146" t="s">
        <v>174</v>
      </c>
      <c r="G1146">
        <v>4.55</v>
      </c>
      <c r="H1146">
        <v>4.55</v>
      </c>
      <c r="I1146" t="s">
        <v>56</v>
      </c>
      <c r="O1146" t="s">
        <v>57</v>
      </c>
      <c r="Q1146" t="s">
        <v>57</v>
      </c>
      <c r="R1146" t="s">
        <v>137</v>
      </c>
      <c r="T1146" t="s">
        <v>59</v>
      </c>
      <c r="U1146" t="s">
        <v>60</v>
      </c>
      <c r="V1146" t="s">
        <v>138</v>
      </c>
      <c r="W1146" t="s">
        <v>139</v>
      </c>
      <c r="X1146">
        <v>1926655</v>
      </c>
      <c r="Y1146" s="11">
        <v>44775</v>
      </c>
      <c r="Z1146" t="s">
        <v>57</v>
      </c>
      <c r="AA1146">
        <v>4</v>
      </c>
      <c r="AB1146" t="s">
        <v>57</v>
      </c>
      <c r="AD1146" t="s">
        <v>57</v>
      </c>
      <c r="AE1146" t="s">
        <v>57</v>
      </c>
      <c r="AF1146" t="s">
        <v>57</v>
      </c>
      <c r="AG1146">
        <v>1</v>
      </c>
      <c r="AH1146" t="s">
        <v>57</v>
      </c>
      <c r="AL1146" t="s">
        <v>57</v>
      </c>
      <c r="AM1146" s="11">
        <v>44775</v>
      </c>
      <c r="AN1146" t="s">
        <v>184</v>
      </c>
      <c r="AO1146" t="s">
        <v>65</v>
      </c>
      <c r="AP1146">
        <v>1206</v>
      </c>
      <c r="AQ1146" t="s">
        <v>66</v>
      </c>
      <c r="AR1146">
        <v>142795</v>
      </c>
      <c r="AU1146" t="s">
        <v>57</v>
      </c>
      <c r="AV1146" t="s">
        <v>68</v>
      </c>
      <c r="AX1146" t="s">
        <v>57</v>
      </c>
      <c r="AY1146">
        <v>631110</v>
      </c>
      <c r="AZ1146">
        <v>1206.63111</v>
      </c>
      <c r="BA1146" s="23" t="s">
        <v>14</v>
      </c>
    </row>
    <row r="1147" spans="1:53" x14ac:dyDescent="0.25">
      <c r="A1147" t="s">
        <v>134</v>
      </c>
      <c r="B1147" t="s">
        <v>135</v>
      </c>
      <c r="C1147">
        <v>22002494</v>
      </c>
      <c r="D1147">
        <v>1206</v>
      </c>
      <c r="E1147" s="11">
        <v>44775</v>
      </c>
      <c r="F1147" t="s">
        <v>172</v>
      </c>
      <c r="G1147">
        <v>16.13</v>
      </c>
      <c r="H1147">
        <v>16.13</v>
      </c>
      <c r="I1147" t="s">
        <v>56</v>
      </c>
      <c r="O1147" t="s">
        <v>57</v>
      </c>
      <c r="Q1147" t="s">
        <v>57</v>
      </c>
      <c r="R1147" t="s">
        <v>137</v>
      </c>
      <c r="T1147" t="s">
        <v>59</v>
      </c>
      <c r="U1147" t="s">
        <v>60</v>
      </c>
      <c r="V1147" t="s">
        <v>138</v>
      </c>
      <c r="W1147" t="s">
        <v>139</v>
      </c>
      <c r="X1147">
        <v>1926655</v>
      </c>
      <c r="Y1147" s="11">
        <v>44775</v>
      </c>
      <c r="Z1147" t="s">
        <v>57</v>
      </c>
      <c r="AA1147">
        <v>2</v>
      </c>
      <c r="AB1147" t="s">
        <v>57</v>
      </c>
      <c r="AD1147" t="s">
        <v>57</v>
      </c>
      <c r="AE1147" t="s">
        <v>57</v>
      </c>
      <c r="AF1147" t="s">
        <v>57</v>
      </c>
      <c r="AG1147">
        <v>2</v>
      </c>
      <c r="AH1147" t="s">
        <v>57</v>
      </c>
      <c r="AL1147" t="s">
        <v>57</v>
      </c>
      <c r="AM1147" s="11">
        <v>44775</v>
      </c>
      <c r="AN1147" t="s">
        <v>184</v>
      </c>
      <c r="AO1147" t="s">
        <v>65</v>
      </c>
      <c r="AP1147">
        <v>1206</v>
      </c>
      <c r="AQ1147" t="s">
        <v>66</v>
      </c>
      <c r="AR1147">
        <v>279991</v>
      </c>
      <c r="AU1147" t="s">
        <v>57</v>
      </c>
      <c r="AV1147" t="s">
        <v>68</v>
      </c>
      <c r="AX1147" t="s">
        <v>57</v>
      </c>
      <c r="AY1147">
        <v>631110</v>
      </c>
      <c r="AZ1147">
        <v>1206.63111</v>
      </c>
      <c r="BA1147" s="23" t="s">
        <v>14</v>
      </c>
    </row>
    <row r="1148" spans="1:53" x14ac:dyDescent="0.25">
      <c r="A1148" t="s">
        <v>134</v>
      </c>
      <c r="B1148" t="s">
        <v>135</v>
      </c>
      <c r="C1148">
        <v>22002495</v>
      </c>
      <c r="D1148">
        <v>1206</v>
      </c>
      <c r="E1148" s="11">
        <v>44775</v>
      </c>
      <c r="F1148" t="s">
        <v>174</v>
      </c>
      <c r="G1148">
        <v>0.75</v>
      </c>
      <c r="H1148">
        <v>0.75</v>
      </c>
      <c r="I1148" t="s">
        <v>56</v>
      </c>
      <c r="O1148" t="s">
        <v>57</v>
      </c>
      <c r="Q1148" t="s">
        <v>57</v>
      </c>
      <c r="R1148" t="s">
        <v>137</v>
      </c>
      <c r="T1148" t="s">
        <v>59</v>
      </c>
      <c r="U1148" t="s">
        <v>60</v>
      </c>
      <c r="V1148" t="s">
        <v>138</v>
      </c>
      <c r="W1148" t="s">
        <v>139</v>
      </c>
      <c r="X1148">
        <v>1926655</v>
      </c>
      <c r="Y1148" s="11">
        <v>44775</v>
      </c>
      <c r="Z1148" t="s">
        <v>57</v>
      </c>
      <c r="AA1148">
        <v>6</v>
      </c>
      <c r="AB1148" t="s">
        <v>57</v>
      </c>
      <c r="AD1148" t="s">
        <v>57</v>
      </c>
      <c r="AE1148" t="s">
        <v>57</v>
      </c>
      <c r="AF1148" t="s">
        <v>57</v>
      </c>
      <c r="AG1148">
        <v>1</v>
      </c>
      <c r="AH1148" t="s">
        <v>57</v>
      </c>
      <c r="AL1148" t="s">
        <v>57</v>
      </c>
      <c r="AM1148" s="11">
        <v>44775</v>
      </c>
      <c r="AN1148" t="s">
        <v>184</v>
      </c>
      <c r="AO1148" t="s">
        <v>65</v>
      </c>
      <c r="AP1148">
        <v>1206</v>
      </c>
      <c r="AQ1148" t="s">
        <v>66</v>
      </c>
      <c r="AR1148">
        <v>278248</v>
      </c>
      <c r="AU1148" t="s">
        <v>57</v>
      </c>
      <c r="AV1148" t="s">
        <v>68</v>
      </c>
      <c r="AX1148" t="s">
        <v>57</v>
      </c>
      <c r="AY1148">
        <v>631110</v>
      </c>
      <c r="AZ1148">
        <v>1206.63111</v>
      </c>
      <c r="BA1148" s="23" t="s">
        <v>14</v>
      </c>
    </row>
    <row r="1149" spans="1:53" x14ac:dyDescent="0.25">
      <c r="A1149" t="s">
        <v>134</v>
      </c>
      <c r="B1149" t="s">
        <v>135</v>
      </c>
      <c r="C1149">
        <v>22002495</v>
      </c>
      <c r="D1149">
        <v>1206</v>
      </c>
      <c r="E1149" s="11">
        <v>44775</v>
      </c>
      <c r="F1149" t="s">
        <v>174</v>
      </c>
      <c r="G1149">
        <v>2.09</v>
      </c>
      <c r="H1149">
        <v>2.09</v>
      </c>
      <c r="I1149" t="s">
        <v>56</v>
      </c>
      <c r="O1149" t="s">
        <v>57</v>
      </c>
      <c r="Q1149" t="s">
        <v>57</v>
      </c>
      <c r="R1149" t="s">
        <v>137</v>
      </c>
      <c r="T1149" t="s">
        <v>59</v>
      </c>
      <c r="U1149" t="s">
        <v>60</v>
      </c>
      <c r="V1149" t="s">
        <v>138</v>
      </c>
      <c r="W1149" t="s">
        <v>139</v>
      </c>
      <c r="X1149">
        <v>1926655</v>
      </c>
      <c r="Y1149" s="11">
        <v>44775</v>
      </c>
      <c r="Z1149" t="s">
        <v>57</v>
      </c>
      <c r="AA1149">
        <v>8</v>
      </c>
      <c r="AB1149" t="s">
        <v>57</v>
      </c>
      <c r="AD1149" t="s">
        <v>57</v>
      </c>
      <c r="AE1149" t="s">
        <v>57</v>
      </c>
      <c r="AF1149" t="s">
        <v>57</v>
      </c>
      <c r="AG1149">
        <v>1</v>
      </c>
      <c r="AH1149" t="s">
        <v>57</v>
      </c>
      <c r="AL1149" t="s">
        <v>57</v>
      </c>
      <c r="AM1149" s="11">
        <v>44775</v>
      </c>
      <c r="AN1149" t="s">
        <v>184</v>
      </c>
      <c r="AO1149" t="s">
        <v>65</v>
      </c>
      <c r="AP1149">
        <v>1206</v>
      </c>
      <c r="AQ1149" t="s">
        <v>66</v>
      </c>
      <c r="AR1149">
        <v>88783</v>
      </c>
      <c r="AU1149" t="s">
        <v>57</v>
      </c>
      <c r="AV1149" t="s">
        <v>68</v>
      </c>
      <c r="AX1149" t="s">
        <v>57</v>
      </c>
      <c r="AY1149">
        <v>631110</v>
      </c>
      <c r="AZ1149">
        <v>1206.63111</v>
      </c>
      <c r="BA1149" s="23" t="s">
        <v>14</v>
      </c>
    </row>
    <row r="1150" spans="1:53" x14ac:dyDescent="0.25">
      <c r="A1150" t="s">
        <v>134</v>
      </c>
      <c r="B1150" t="s">
        <v>135</v>
      </c>
      <c r="C1150">
        <v>22002495</v>
      </c>
      <c r="D1150">
        <v>1206</v>
      </c>
      <c r="E1150" s="11">
        <v>44775</v>
      </c>
      <c r="F1150" t="s">
        <v>174</v>
      </c>
      <c r="G1150">
        <v>0.61</v>
      </c>
      <c r="H1150">
        <v>0.61</v>
      </c>
      <c r="I1150" t="s">
        <v>56</v>
      </c>
      <c r="O1150" t="s">
        <v>57</v>
      </c>
      <c r="Q1150" t="s">
        <v>57</v>
      </c>
      <c r="R1150" t="s">
        <v>137</v>
      </c>
      <c r="T1150" t="s">
        <v>59</v>
      </c>
      <c r="U1150" t="s">
        <v>60</v>
      </c>
      <c r="V1150" t="s">
        <v>138</v>
      </c>
      <c r="W1150" t="s">
        <v>139</v>
      </c>
      <c r="X1150">
        <v>1926655</v>
      </c>
      <c r="Y1150" s="11">
        <v>44775</v>
      </c>
      <c r="Z1150" t="s">
        <v>57</v>
      </c>
      <c r="AA1150">
        <v>2</v>
      </c>
      <c r="AB1150" t="s">
        <v>57</v>
      </c>
      <c r="AD1150" t="s">
        <v>57</v>
      </c>
      <c r="AE1150" t="s">
        <v>57</v>
      </c>
      <c r="AF1150" t="s">
        <v>57</v>
      </c>
      <c r="AG1150">
        <v>1</v>
      </c>
      <c r="AH1150" t="s">
        <v>57</v>
      </c>
      <c r="AL1150" t="s">
        <v>57</v>
      </c>
      <c r="AM1150" s="11">
        <v>44775</v>
      </c>
      <c r="AN1150" t="s">
        <v>184</v>
      </c>
      <c r="AO1150" t="s">
        <v>65</v>
      </c>
      <c r="AP1150">
        <v>1206</v>
      </c>
      <c r="AQ1150" t="s">
        <v>66</v>
      </c>
      <c r="AR1150">
        <v>220123</v>
      </c>
      <c r="AU1150" t="s">
        <v>57</v>
      </c>
      <c r="AV1150" t="s">
        <v>68</v>
      </c>
      <c r="AX1150" t="s">
        <v>57</v>
      </c>
      <c r="AY1150">
        <v>631110</v>
      </c>
      <c r="AZ1150">
        <v>1206.63111</v>
      </c>
      <c r="BA1150" s="23" t="s">
        <v>14</v>
      </c>
    </row>
    <row r="1151" spans="1:53" x14ac:dyDescent="0.25">
      <c r="A1151" t="s">
        <v>134</v>
      </c>
      <c r="B1151" t="s">
        <v>135</v>
      </c>
      <c r="C1151">
        <v>22002495</v>
      </c>
      <c r="D1151">
        <v>1206</v>
      </c>
      <c r="E1151" s="11">
        <v>44775</v>
      </c>
      <c r="F1151" t="s">
        <v>174</v>
      </c>
      <c r="G1151">
        <v>0.47</v>
      </c>
      <c r="H1151">
        <v>0.47</v>
      </c>
      <c r="I1151" t="s">
        <v>56</v>
      </c>
      <c r="O1151" t="s">
        <v>57</v>
      </c>
      <c r="Q1151" t="s">
        <v>57</v>
      </c>
      <c r="R1151" t="s">
        <v>137</v>
      </c>
      <c r="T1151" t="s">
        <v>59</v>
      </c>
      <c r="U1151" t="s">
        <v>60</v>
      </c>
      <c r="V1151" t="s">
        <v>138</v>
      </c>
      <c r="W1151" t="s">
        <v>139</v>
      </c>
      <c r="X1151">
        <v>1926655</v>
      </c>
      <c r="Y1151" s="11">
        <v>44775</v>
      </c>
      <c r="Z1151" t="s">
        <v>57</v>
      </c>
      <c r="AA1151">
        <v>4</v>
      </c>
      <c r="AB1151" t="s">
        <v>57</v>
      </c>
      <c r="AD1151" t="s">
        <v>57</v>
      </c>
      <c r="AE1151" t="s">
        <v>57</v>
      </c>
      <c r="AF1151" t="s">
        <v>57</v>
      </c>
      <c r="AG1151">
        <v>1</v>
      </c>
      <c r="AH1151" t="s">
        <v>57</v>
      </c>
      <c r="AL1151" t="s">
        <v>57</v>
      </c>
      <c r="AM1151" s="11">
        <v>44775</v>
      </c>
      <c r="AN1151" t="s">
        <v>184</v>
      </c>
      <c r="AO1151" t="s">
        <v>65</v>
      </c>
      <c r="AP1151">
        <v>1206</v>
      </c>
      <c r="AQ1151" t="s">
        <v>66</v>
      </c>
      <c r="AR1151">
        <v>267365</v>
      </c>
      <c r="AU1151" t="s">
        <v>57</v>
      </c>
      <c r="AV1151" t="s">
        <v>68</v>
      </c>
      <c r="AX1151" t="s">
        <v>57</v>
      </c>
      <c r="AY1151">
        <v>631110</v>
      </c>
      <c r="AZ1151">
        <v>1206.63111</v>
      </c>
      <c r="BA1151" s="23" t="s">
        <v>14</v>
      </c>
    </row>
    <row r="1152" spans="1:53" x14ac:dyDescent="0.25">
      <c r="A1152" t="s">
        <v>134</v>
      </c>
      <c r="B1152" t="s">
        <v>135</v>
      </c>
      <c r="C1152">
        <v>22002496</v>
      </c>
      <c r="D1152">
        <v>1206</v>
      </c>
      <c r="E1152" s="11">
        <v>44775</v>
      </c>
      <c r="F1152" t="s">
        <v>174</v>
      </c>
      <c r="G1152">
        <v>3.94</v>
      </c>
      <c r="H1152">
        <v>3.94</v>
      </c>
      <c r="I1152" t="s">
        <v>56</v>
      </c>
      <c r="O1152" t="s">
        <v>57</v>
      </c>
      <c r="Q1152" t="s">
        <v>57</v>
      </c>
      <c r="R1152" t="s">
        <v>137</v>
      </c>
      <c r="T1152" t="s">
        <v>59</v>
      </c>
      <c r="U1152" t="s">
        <v>60</v>
      </c>
      <c r="V1152" t="s">
        <v>138</v>
      </c>
      <c r="W1152" t="s">
        <v>139</v>
      </c>
      <c r="X1152">
        <v>1926655</v>
      </c>
      <c r="Y1152" s="11">
        <v>44775</v>
      </c>
      <c r="Z1152" t="s">
        <v>57</v>
      </c>
      <c r="AA1152">
        <v>2</v>
      </c>
      <c r="AB1152" t="s">
        <v>57</v>
      </c>
      <c r="AD1152" t="s">
        <v>57</v>
      </c>
      <c r="AE1152" t="s">
        <v>57</v>
      </c>
      <c r="AF1152" t="s">
        <v>57</v>
      </c>
      <c r="AG1152">
        <v>1</v>
      </c>
      <c r="AH1152" t="s">
        <v>57</v>
      </c>
      <c r="AL1152" t="s">
        <v>57</v>
      </c>
      <c r="AM1152" s="11">
        <v>44775</v>
      </c>
      <c r="AN1152" t="s">
        <v>184</v>
      </c>
      <c r="AO1152" t="s">
        <v>65</v>
      </c>
      <c r="AP1152">
        <v>1206</v>
      </c>
      <c r="AQ1152" t="s">
        <v>66</v>
      </c>
      <c r="AR1152">
        <v>140248</v>
      </c>
      <c r="AU1152" t="s">
        <v>57</v>
      </c>
      <c r="AV1152" t="s">
        <v>68</v>
      </c>
      <c r="AX1152" t="s">
        <v>57</v>
      </c>
      <c r="AY1152">
        <v>631110</v>
      </c>
      <c r="AZ1152">
        <v>1206.63111</v>
      </c>
      <c r="BA1152" s="23" t="s">
        <v>14</v>
      </c>
    </row>
    <row r="1153" spans="1:53" x14ac:dyDescent="0.25">
      <c r="A1153" t="s">
        <v>134</v>
      </c>
      <c r="B1153" t="s">
        <v>135</v>
      </c>
      <c r="C1153">
        <v>22002496</v>
      </c>
      <c r="D1153">
        <v>1206</v>
      </c>
      <c r="E1153" s="11">
        <v>44775</v>
      </c>
      <c r="F1153" t="s">
        <v>174</v>
      </c>
      <c r="G1153">
        <v>4.57</v>
      </c>
      <c r="H1153">
        <v>4.57</v>
      </c>
      <c r="I1153" t="s">
        <v>56</v>
      </c>
      <c r="O1153" t="s">
        <v>57</v>
      </c>
      <c r="Q1153" t="s">
        <v>57</v>
      </c>
      <c r="R1153" t="s">
        <v>137</v>
      </c>
      <c r="T1153" t="s">
        <v>59</v>
      </c>
      <c r="U1153" t="s">
        <v>60</v>
      </c>
      <c r="V1153" t="s">
        <v>138</v>
      </c>
      <c r="W1153" t="s">
        <v>139</v>
      </c>
      <c r="X1153">
        <v>1926655</v>
      </c>
      <c r="Y1153" s="11">
        <v>44775</v>
      </c>
      <c r="Z1153" t="s">
        <v>57</v>
      </c>
      <c r="AA1153">
        <v>4</v>
      </c>
      <c r="AB1153" t="s">
        <v>57</v>
      </c>
      <c r="AD1153" t="s">
        <v>57</v>
      </c>
      <c r="AE1153" t="s">
        <v>57</v>
      </c>
      <c r="AF1153" t="s">
        <v>57</v>
      </c>
      <c r="AG1153">
        <v>1</v>
      </c>
      <c r="AH1153" t="s">
        <v>57</v>
      </c>
      <c r="AL1153" t="s">
        <v>57</v>
      </c>
      <c r="AM1153" s="11">
        <v>44775</v>
      </c>
      <c r="AN1153" t="s">
        <v>184</v>
      </c>
      <c r="AO1153" t="s">
        <v>65</v>
      </c>
      <c r="AP1153">
        <v>1206</v>
      </c>
      <c r="AQ1153" t="s">
        <v>66</v>
      </c>
      <c r="AR1153">
        <v>206435</v>
      </c>
      <c r="AU1153" t="s">
        <v>57</v>
      </c>
      <c r="AV1153" t="s">
        <v>68</v>
      </c>
      <c r="AX1153" t="s">
        <v>57</v>
      </c>
      <c r="AY1153">
        <v>631110</v>
      </c>
      <c r="AZ1153">
        <v>1206.63111</v>
      </c>
      <c r="BA1153" s="23" t="s">
        <v>14</v>
      </c>
    </row>
    <row r="1154" spans="1:53" x14ac:dyDescent="0.25">
      <c r="A1154" t="s">
        <v>134</v>
      </c>
      <c r="B1154" t="s">
        <v>135</v>
      </c>
      <c r="C1154">
        <v>22002496</v>
      </c>
      <c r="D1154">
        <v>1206</v>
      </c>
      <c r="E1154" s="11">
        <v>44775</v>
      </c>
      <c r="F1154" t="s">
        <v>174</v>
      </c>
      <c r="G1154">
        <v>0.14000000000000001</v>
      </c>
      <c r="H1154">
        <v>0.14000000000000001</v>
      </c>
      <c r="I1154" t="s">
        <v>56</v>
      </c>
      <c r="O1154" t="s">
        <v>57</v>
      </c>
      <c r="Q1154" t="s">
        <v>57</v>
      </c>
      <c r="R1154" t="s">
        <v>137</v>
      </c>
      <c r="T1154" t="s">
        <v>59</v>
      </c>
      <c r="U1154" t="s">
        <v>60</v>
      </c>
      <c r="V1154" t="s">
        <v>138</v>
      </c>
      <c r="W1154" t="s">
        <v>139</v>
      </c>
      <c r="X1154">
        <v>1926655</v>
      </c>
      <c r="Y1154" s="11">
        <v>44775</v>
      </c>
      <c r="Z1154" t="s">
        <v>57</v>
      </c>
      <c r="AA1154">
        <v>6</v>
      </c>
      <c r="AB1154" t="s">
        <v>57</v>
      </c>
      <c r="AD1154" t="s">
        <v>57</v>
      </c>
      <c r="AE1154" t="s">
        <v>57</v>
      </c>
      <c r="AF1154" t="s">
        <v>57</v>
      </c>
      <c r="AG1154">
        <v>1</v>
      </c>
      <c r="AH1154" t="s">
        <v>57</v>
      </c>
      <c r="AL1154" t="s">
        <v>57</v>
      </c>
      <c r="AM1154" s="11">
        <v>44775</v>
      </c>
      <c r="AN1154" t="s">
        <v>184</v>
      </c>
      <c r="AO1154" t="s">
        <v>65</v>
      </c>
      <c r="AP1154">
        <v>1206</v>
      </c>
      <c r="AQ1154" t="s">
        <v>66</v>
      </c>
      <c r="AR1154">
        <v>90039</v>
      </c>
      <c r="AU1154" t="s">
        <v>57</v>
      </c>
      <c r="AV1154" t="s">
        <v>68</v>
      </c>
      <c r="AX1154" t="s">
        <v>57</v>
      </c>
      <c r="AY1154">
        <v>631110</v>
      </c>
      <c r="AZ1154">
        <v>1206.63111</v>
      </c>
      <c r="BA1154" s="23" t="s">
        <v>14</v>
      </c>
    </row>
    <row r="1155" spans="1:53" x14ac:dyDescent="0.25">
      <c r="A1155" t="s">
        <v>134</v>
      </c>
      <c r="B1155" t="s">
        <v>135</v>
      </c>
      <c r="C1155">
        <v>22002497</v>
      </c>
      <c r="D1155">
        <v>1206</v>
      </c>
      <c r="E1155" s="11">
        <v>44775</v>
      </c>
      <c r="F1155" t="s">
        <v>174</v>
      </c>
      <c r="G1155">
        <v>0.48</v>
      </c>
      <c r="H1155">
        <v>0.48</v>
      </c>
      <c r="I1155" t="s">
        <v>56</v>
      </c>
      <c r="O1155" t="s">
        <v>57</v>
      </c>
      <c r="Q1155" t="s">
        <v>57</v>
      </c>
      <c r="R1155" t="s">
        <v>137</v>
      </c>
      <c r="T1155" t="s">
        <v>59</v>
      </c>
      <c r="U1155" t="s">
        <v>60</v>
      </c>
      <c r="V1155" t="s">
        <v>138</v>
      </c>
      <c r="W1155" t="s">
        <v>139</v>
      </c>
      <c r="X1155">
        <v>1926655</v>
      </c>
      <c r="Y1155" s="11">
        <v>44775</v>
      </c>
      <c r="Z1155" t="s">
        <v>57</v>
      </c>
      <c r="AA1155">
        <v>2</v>
      </c>
      <c r="AB1155" t="s">
        <v>57</v>
      </c>
      <c r="AD1155" t="s">
        <v>57</v>
      </c>
      <c r="AE1155" t="s">
        <v>57</v>
      </c>
      <c r="AF1155" t="s">
        <v>57</v>
      </c>
      <c r="AG1155">
        <v>1</v>
      </c>
      <c r="AH1155" t="s">
        <v>57</v>
      </c>
      <c r="AL1155" t="s">
        <v>57</v>
      </c>
      <c r="AM1155" s="11">
        <v>44775</v>
      </c>
      <c r="AN1155" t="s">
        <v>184</v>
      </c>
      <c r="AO1155" t="s">
        <v>65</v>
      </c>
      <c r="AP1155">
        <v>1206</v>
      </c>
      <c r="AQ1155" t="s">
        <v>66</v>
      </c>
      <c r="AR1155">
        <v>90122</v>
      </c>
      <c r="AU1155" t="s">
        <v>57</v>
      </c>
      <c r="AV1155" t="s">
        <v>68</v>
      </c>
      <c r="AX1155" t="s">
        <v>57</v>
      </c>
      <c r="AY1155">
        <v>631110</v>
      </c>
      <c r="AZ1155">
        <v>1206.63111</v>
      </c>
      <c r="BA1155" s="23" t="s">
        <v>14</v>
      </c>
    </row>
    <row r="1156" spans="1:53" x14ac:dyDescent="0.25">
      <c r="A1156" t="s">
        <v>134</v>
      </c>
      <c r="B1156" t="s">
        <v>135</v>
      </c>
      <c r="C1156">
        <v>22002497</v>
      </c>
      <c r="D1156">
        <v>1206</v>
      </c>
      <c r="E1156" s="11">
        <v>44775</v>
      </c>
      <c r="F1156" t="s">
        <v>174</v>
      </c>
      <c r="G1156">
        <v>0.69</v>
      </c>
      <c r="H1156">
        <v>0.69</v>
      </c>
      <c r="I1156" t="s">
        <v>56</v>
      </c>
      <c r="O1156" t="s">
        <v>57</v>
      </c>
      <c r="Q1156" t="s">
        <v>57</v>
      </c>
      <c r="R1156" t="s">
        <v>137</v>
      </c>
      <c r="T1156" t="s">
        <v>59</v>
      </c>
      <c r="U1156" t="s">
        <v>60</v>
      </c>
      <c r="V1156" t="s">
        <v>138</v>
      </c>
      <c r="W1156" t="s">
        <v>139</v>
      </c>
      <c r="X1156">
        <v>1926655</v>
      </c>
      <c r="Y1156" s="11">
        <v>44775</v>
      </c>
      <c r="Z1156" t="s">
        <v>57</v>
      </c>
      <c r="AA1156">
        <v>4</v>
      </c>
      <c r="AB1156" t="s">
        <v>57</v>
      </c>
      <c r="AD1156" t="s">
        <v>57</v>
      </c>
      <c r="AE1156" t="s">
        <v>57</v>
      </c>
      <c r="AF1156" t="s">
        <v>57</v>
      </c>
      <c r="AG1156">
        <v>1</v>
      </c>
      <c r="AH1156" t="s">
        <v>57</v>
      </c>
      <c r="AL1156" t="s">
        <v>57</v>
      </c>
      <c r="AM1156" s="11">
        <v>44775</v>
      </c>
      <c r="AN1156" t="s">
        <v>184</v>
      </c>
      <c r="AO1156" t="s">
        <v>65</v>
      </c>
      <c r="AP1156">
        <v>1206</v>
      </c>
      <c r="AQ1156" t="s">
        <v>66</v>
      </c>
      <c r="AR1156">
        <v>112854</v>
      </c>
      <c r="AU1156" t="s">
        <v>57</v>
      </c>
      <c r="AV1156" t="s">
        <v>68</v>
      </c>
      <c r="AX1156" t="s">
        <v>57</v>
      </c>
      <c r="AY1156">
        <v>631110</v>
      </c>
      <c r="AZ1156">
        <v>1206.63111</v>
      </c>
      <c r="BA1156" s="23" t="s">
        <v>14</v>
      </c>
    </row>
    <row r="1157" spans="1:53" x14ac:dyDescent="0.25">
      <c r="A1157" t="s">
        <v>134</v>
      </c>
      <c r="B1157" t="s">
        <v>135</v>
      </c>
      <c r="C1157">
        <v>22002497</v>
      </c>
      <c r="D1157">
        <v>1206</v>
      </c>
      <c r="E1157" s="11">
        <v>44775</v>
      </c>
      <c r="F1157" t="s">
        <v>174</v>
      </c>
      <c r="G1157">
        <v>28.3</v>
      </c>
      <c r="H1157">
        <v>28.3</v>
      </c>
      <c r="I1157" t="s">
        <v>56</v>
      </c>
      <c r="O1157" t="s">
        <v>57</v>
      </c>
      <c r="Q1157" t="s">
        <v>57</v>
      </c>
      <c r="R1157" t="s">
        <v>137</v>
      </c>
      <c r="T1157" t="s">
        <v>59</v>
      </c>
      <c r="U1157" t="s">
        <v>60</v>
      </c>
      <c r="V1157" t="s">
        <v>138</v>
      </c>
      <c r="W1157" t="s">
        <v>139</v>
      </c>
      <c r="X1157">
        <v>1926655</v>
      </c>
      <c r="Y1157" s="11">
        <v>44775</v>
      </c>
      <c r="Z1157" t="s">
        <v>57</v>
      </c>
      <c r="AA1157">
        <v>6</v>
      </c>
      <c r="AB1157" t="s">
        <v>57</v>
      </c>
      <c r="AD1157" t="s">
        <v>57</v>
      </c>
      <c r="AE1157" t="s">
        <v>57</v>
      </c>
      <c r="AF1157" t="s">
        <v>57</v>
      </c>
      <c r="AG1157">
        <v>1</v>
      </c>
      <c r="AH1157" t="s">
        <v>57</v>
      </c>
      <c r="AL1157" t="s">
        <v>57</v>
      </c>
      <c r="AM1157" s="11">
        <v>44775</v>
      </c>
      <c r="AN1157" t="s">
        <v>184</v>
      </c>
      <c r="AO1157" t="s">
        <v>65</v>
      </c>
      <c r="AP1157">
        <v>1206</v>
      </c>
      <c r="AQ1157" t="s">
        <v>66</v>
      </c>
      <c r="AR1157">
        <v>139186</v>
      </c>
      <c r="AU1157" t="s">
        <v>57</v>
      </c>
      <c r="AV1157" t="s">
        <v>68</v>
      </c>
      <c r="AX1157" t="s">
        <v>57</v>
      </c>
      <c r="AY1157">
        <v>631110</v>
      </c>
      <c r="AZ1157">
        <v>1206.63111</v>
      </c>
      <c r="BA1157" s="23" t="s">
        <v>14</v>
      </c>
    </row>
    <row r="1158" spans="1:53" x14ac:dyDescent="0.25">
      <c r="A1158" t="s">
        <v>134</v>
      </c>
      <c r="B1158" t="s">
        <v>135</v>
      </c>
      <c r="C1158">
        <v>22002500</v>
      </c>
      <c r="D1158">
        <v>1206</v>
      </c>
      <c r="E1158" s="11">
        <v>44775</v>
      </c>
      <c r="F1158" t="s">
        <v>185</v>
      </c>
      <c r="G1158">
        <v>26.05</v>
      </c>
      <c r="H1158">
        <v>26.05</v>
      </c>
      <c r="I1158" t="s">
        <v>56</v>
      </c>
      <c r="O1158" t="s">
        <v>57</v>
      </c>
      <c r="Q1158" t="s">
        <v>57</v>
      </c>
      <c r="R1158" t="s">
        <v>137</v>
      </c>
      <c r="T1158" t="s">
        <v>59</v>
      </c>
      <c r="U1158" t="s">
        <v>60</v>
      </c>
      <c r="V1158" t="s">
        <v>138</v>
      </c>
      <c r="W1158" t="s">
        <v>139</v>
      </c>
      <c r="X1158">
        <v>1926722</v>
      </c>
      <c r="Y1158" s="11">
        <v>44776</v>
      </c>
      <c r="Z1158" t="s">
        <v>57</v>
      </c>
      <c r="AA1158">
        <v>2</v>
      </c>
      <c r="AB1158" t="s">
        <v>57</v>
      </c>
      <c r="AD1158" t="s">
        <v>57</v>
      </c>
      <c r="AE1158" t="s">
        <v>57</v>
      </c>
      <c r="AF1158" t="s">
        <v>57</v>
      </c>
      <c r="AG1158">
        <v>70</v>
      </c>
      <c r="AH1158" t="s">
        <v>57</v>
      </c>
      <c r="AL1158" t="s">
        <v>57</v>
      </c>
      <c r="AM1158" s="11">
        <v>44775</v>
      </c>
      <c r="AN1158" t="s">
        <v>183</v>
      </c>
      <c r="AO1158" t="s">
        <v>65</v>
      </c>
      <c r="AP1158">
        <v>1206</v>
      </c>
      <c r="AQ1158" t="s">
        <v>66</v>
      </c>
      <c r="AR1158">
        <v>91011</v>
      </c>
      <c r="AU1158" t="s">
        <v>57</v>
      </c>
      <c r="AV1158" t="s">
        <v>68</v>
      </c>
      <c r="AX1158" t="s">
        <v>57</v>
      </c>
      <c r="AY1158">
        <v>631110</v>
      </c>
      <c r="AZ1158">
        <v>1206.63111</v>
      </c>
      <c r="BA1158" s="23" t="s">
        <v>14</v>
      </c>
    </row>
    <row r="1159" spans="1:53" x14ac:dyDescent="0.25">
      <c r="A1159" t="s">
        <v>134</v>
      </c>
      <c r="B1159" t="s">
        <v>135</v>
      </c>
      <c r="C1159">
        <v>22002500</v>
      </c>
      <c r="D1159">
        <v>1206</v>
      </c>
      <c r="E1159" s="11">
        <v>44775</v>
      </c>
      <c r="F1159" t="s">
        <v>185</v>
      </c>
      <c r="G1159">
        <v>3.06</v>
      </c>
      <c r="H1159">
        <v>3.06</v>
      </c>
      <c r="I1159" t="s">
        <v>56</v>
      </c>
      <c r="O1159" t="s">
        <v>57</v>
      </c>
      <c r="Q1159" t="s">
        <v>57</v>
      </c>
      <c r="R1159" t="s">
        <v>137</v>
      </c>
      <c r="T1159" t="s">
        <v>59</v>
      </c>
      <c r="U1159" t="s">
        <v>60</v>
      </c>
      <c r="V1159" t="s">
        <v>138</v>
      </c>
      <c r="W1159" t="s">
        <v>139</v>
      </c>
      <c r="X1159">
        <v>1926722</v>
      </c>
      <c r="Y1159" s="11">
        <v>44776</v>
      </c>
      <c r="Z1159" t="s">
        <v>57</v>
      </c>
      <c r="AA1159">
        <v>4</v>
      </c>
      <c r="AB1159" t="s">
        <v>57</v>
      </c>
      <c r="AD1159" t="s">
        <v>57</v>
      </c>
      <c r="AE1159" t="s">
        <v>57</v>
      </c>
      <c r="AF1159" t="s">
        <v>57</v>
      </c>
      <c r="AG1159">
        <v>20</v>
      </c>
      <c r="AH1159" t="s">
        <v>57</v>
      </c>
      <c r="AL1159" t="s">
        <v>57</v>
      </c>
      <c r="AM1159" s="11">
        <v>44775</v>
      </c>
      <c r="AN1159" t="s">
        <v>183</v>
      </c>
      <c r="AO1159" t="s">
        <v>65</v>
      </c>
      <c r="AP1159">
        <v>1206</v>
      </c>
      <c r="AQ1159" t="s">
        <v>66</v>
      </c>
      <c r="AR1159">
        <v>144854</v>
      </c>
      <c r="AU1159" t="s">
        <v>57</v>
      </c>
      <c r="AV1159" t="s">
        <v>68</v>
      </c>
      <c r="AX1159" t="s">
        <v>57</v>
      </c>
      <c r="AY1159">
        <v>631110</v>
      </c>
      <c r="AZ1159">
        <v>1206.63111</v>
      </c>
      <c r="BA1159" s="23" t="s">
        <v>14</v>
      </c>
    </row>
    <row r="1160" spans="1:53" x14ac:dyDescent="0.25">
      <c r="A1160" t="s">
        <v>134</v>
      </c>
      <c r="B1160" t="s">
        <v>135</v>
      </c>
      <c r="C1160">
        <v>22002500</v>
      </c>
      <c r="D1160">
        <v>1206</v>
      </c>
      <c r="E1160" s="11">
        <v>44775</v>
      </c>
      <c r="F1160" t="s">
        <v>185</v>
      </c>
      <c r="G1160">
        <v>4.7</v>
      </c>
      <c r="H1160">
        <v>4.7</v>
      </c>
      <c r="I1160" t="s">
        <v>56</v>
      </c>
      <c r="O1160" t="s">
        <v>57</v>
      </c>
      <c r="Q1160" t="s">
        <v>57</v>
      </c>
      <c r="R1160" t="s">
        <v>137</v>
      </c>
      <c r="T1160" t="s">
        <v>59</v>
      </c>
      <c r="U1160" t="s">
        <v>60</v>
      </c>
      <c r="V1160" t="s">
        <v>138</v>
      </c>
      <c r="W1160" t="s">
        <v>139</v>
      </c>
      <c r="X1160">
        <v>1926722</v>
      </c>
      <c r="Y1160" s="11">
        <v>44776</v>
      </c>
      <c r="Z1160" t="s">
        <v>57</v>
      </c>
      <c r="AA1160">
        <v>6</v>
      </c>
      <c r="AB1160" t="s">
        <v>57</v>
      </c>
      <c r="AD1160" t="s">
        <v>57</v>
      </c>
      <c r="AE1160" t="s">
        <v>57</v>
      </c>
      <c r="AF1160" t="s">
        <v>57</v>
      </c>
      <c r="AG1160">
        <v>30</v>
      </c>
      <c r="AH1160" t="s">
        <v>57</v>
      </c>
      <c r="AL1160" t="s">
        <v>57</v>
      </c>
      <c r="AM1160" s="11">
        <v>44775</v>
      </c>
      <c r="AN1160" t="s">
        <v>183</v>
      </c>
      <c r="AO1160" t="s">
        <v>65</v>
      </c>
      <c r="AP1160">
        <v>1206</v>
      </c>
      <c r="AQ1160" t="s">
        <v>66</v>
      </c>
      <c r="AR1160">
        <v>89712</v>
      </c>
      <c r="AU1160" t="s">
        <v>57</v>
      </c>
      <c r="AV1160" t="s">
        <v>68</v>
      </c>
      <c r="AX1160" t="s">
        <v>57</v>
      </c>
      <c r="AY1160">
        <v>631110</v>
      </c>
      <c r="AZ1160">
        <v>1206.63111</v>
      </c>
      <c r="BA1160" s="23" t="s">
        <v>14</v>
      </c>
    </row>
    <row r="1161" spans="1:53" x14ac:dyDescent="0.25">
      <c r="A1161" t="s">
        <v>134</v>
      </c>
      <c r="B1161" t="s">
        <v>135</v>
      </c>
      <c r="C1161">
        <v>22002500</v>
      </c>
      <c r="D1161">
        <v>1206</v>
      </c>
      <c r="E1161" s="11">
        <v>44775</v>
      </c>
      <c r="F1161" t="s">
        <v>185</v>
      </c>
      <c r="G1161">
        <v>0.16</v>
      </c>
      <c r="H1161">
        <v>0.16</v>
      </c>
      <c r="I1161" t="s">
        <v>56</v>
      </c>
      <c r="O1161" t="s">
        <v>57</v>
      </c>
      <c r="Q1161" t="s">
        <v>57</v>
      </c>
      <c r="R1161" t="s">
        <v>137</v>
      </c>
      <c r="T1161" t="s">
        <v>59</v>
      </c>
      <c r="U1161" t="s">
        <v>60</v>
      </c>
      <c r="V1161" t="s">
        <v>138</v>
      </c>
      <c r="W1161" t="s">
        <v>139</v>
      </c>
      <c r="X1161">
        <v>1926722</v>
      </c>
      <c r="Y1161" s="11">
        <v>44776</v>
      </c>
      <c r="Z1161" t="s">
        <v>57</v>
      </c>
      <c r="AA1161">
        <v>8</v>
      </c>
      <c r="AB1161" t="s">
        <v>57</v>
      </c>
      <c r="AD1161" t="s">
        <v>57</v>
      </c>
      <c r="AE1161" t="s">
        <v>57</v>
      </c>
      <c r="AF1161" t="s">
        <v>57</v>
      </c>
      <c r="AG1161">
        <v>1</v>
      </c>
      <c r="AH1161" t="s">
        <v>57</v>
      </c>
      <c r="AL1161" t="s">
        <v>57</v>
      </c>
      <c r="AM1161" s="11">
        <v>44775</v>
      </c>
      <c r="AN1161" t="s">
        <v>183</v>
      </c>
      <c r="AO1161" t="s">
        <v>65</v>
      </c>
      <c r="AP1161">
        <v>1206</v>
      </c>
      <c r="AQ1161" t="s">
        <v>66</v>
      </c>
      <c r="AR1161">
        <v>265528</v>
      </c>
      <c r="AU1161" t="s">
        <v>57</v>
      </c>
      <c r="AV1161" t="s">
        <v>68</v>
      </c>
      <c r="AX1161" t="s">
        <v>57</v>
      </c>
      <c r="AY1161">
        <v>631110</v>
      </c>
      <c r="AZ1161">
        <v>1206.63111</v>
      </c>
      <c r="BA1161" s="23" t="s">
        <v>14</v>
      </c>
    </row>
    <row r="1162" spans="1:53" x14ac:dyDescent="0.25">
      <c r="A1162" t="s">
        <v>134</v>
      </c>
      <c r="B1162" t="s">
        <v>135</v>
      </c>
      <c r="C1162">
        <v>22002500</v>
      </c>
      <c r="D1162">
        <v>1206</v>
      </c>
      <c r="E1162" s="11">
        <v>44775</v>
      </c>
      <c r="F1162" t="s">
        <v>185</v>
      </c>
      <c r="G1162">
        <v>1.24</v>
      </c>
      <c r="H1162">
        <v>1.24</v>
      </c>
      <c r="I1162" t="s">
        <v>56</v>
      </c>
      <c r="O1162" t="s">
        <v>57</v>
      </c>
      <c r="Q1162" t="s">
        <v>57</v>
      </c>
      <c r="R1162" t="s">
        <v>137</v>
      </c>
      <c r="T1162" t="s">
        <v>59</v>
      </c>
      <c r="U1162" t="s">
        <v>60</v>
      </c>
      <c r="V1162" t="s">
        <v>138</v>
      </c>
      <c r="W1162" t="s">
        <v>139</v>
      </c>
      <c r="X1162">
        <v>1926722</v>
      </c>
      <c r="Y1162" s="11">
        <v>44776</v>
      </c>
      <c r="Z1162" t="s">
        <v>57</v>
      </c>
      <c r="AA1162">
        <v>10</v>
      </c>
      <c r="AB1162" t="s">
        <v>57</v>
      </c>
      <c r="AD1162" t="s">
        <v>57</v>
      </c>
      <c r="AE1162" t="s">
        <v>57</v>
      </c>
      <c r="AF1162" t="s">
        <v>57</v>
      </c>
      <c r="AG1162">
        <v>10</v>
      </c>
      <c r="AH1162" t="s">
        <v>57</v>
      </c>
      <c r="AL1162" t="s">
        <v>57</v>
      </c>
      <c r="AM1162" s="11">
        <v>44775</v>
      </c>
      <c r="AN1162" t="s">
        <v>183</v>
      </c>
      <c r="AO1162" t="s">
        <v>65</v>
      </c>
      <c r="AP1162">
        <v>1206</v>
      </c>
      <c r="AQ1162" t="s">
        <v>66</v>
      </c>
      <c r="AR1162">
        <v>267129</v>
      </c>
      <c r="AU1162" t="s">
        <v>57</v>
      </c>
      <c r="AV1162" t="s">
        <v>68</v>
      </c>
      <c r="AX1162" t="s">
        <v>57</v>
      </c>
      <c r="AY1162">
        <v>631110</v>
      </c>
      <c r="AZ1162">
        <v>1206.63111</v>
      </c>
      <c r="BA1162" s="23" t="s">
        <v>14</v>
      </c>
    </row>
    <row r="1163" spans="1:53" x14ac:dyDescent="0.25">
      <c r="A1163" t="s">
        <v>134</v>
      </c>
      <c r="B1163" t="s">
        <v>135</v>
      </c>
      <c r="C1163">
        <v>22002500</v>
      </c>
      <c r="D1163">
        <v>1206</v>
      </c>
      <c r="E1163" s="11">
        <v>44775</v>
      </c>
      <c r="F1163" t="s">
        <v>185</v>
      </c>
      <c r="G1163">
        <v>0.76</v>
      </c>
      <c r="H1163">
        <v>0.76</v>
      </c>
      <c r="I1163" t="s">
        <v>56</v>
      </c>
      <c r="O1163" t="s">
        <v>57</v>
      </c>
      <c r="Q1163" t="s">
        <v>57</v>
      </c>
      <c r="R1163" t="s">
        <v>137</v>
      </c>
      <c r="T1163" t="s">
        <v>59</v>
      </c>
      <c r="U1163" t="s">
        <v>60</v>
      </c>
      <c r="V1163" t="s">
        <v>138</v>
      </c>
      <c r="W1163" t="s">
        <v>139</v>
      </c>
      <c r="X1163">
        <v>1926722</v>
      </c>
      <c r="Y1163" s="11">
        <v>44776</v>
      </c>
      <c r="Z1163" t="s">
        <v>57</v>
      </c>
      <c r="AA1163">
        <v>12</v>
      </c>
      <c r="AB1163" t="s">
        <v>57</v>
      </c>
      <c r="AD1163" t="s">
        <v>57</v>
      </c>
      <c r="AE1163" t="s">
        <v>57</v>
      </c>
      <c r="AF1163" t="s">
        <v>57</v>
      </c>
      <c r="AG1163">
        <v>10</v>
      </c>
      <c r="AH1163" t="s">
        <v>57</v>
      </c>
      <c r="AL1163" t="s">
        <v>57</v>
      </c>
      <c r="AM1163" s="11">
        <v>44775</v>
      </c>
      <c r="AN1163" t="s">
        <v>183</v>
      </c>
      <c r="AO1163" t="s">
        <v>65</v>
      </c>
      <c r="AP1163">
        <v>1206</v>
      </c>
      <c r="AQ1163" t="s">
        <v>66</v>
      </c>
      <c r="AR1163">
        <v>91479</v>
      </c>
      <c r="AU1163" t="s">
        <v>57</v>
      </c>
      <c r="AV1163" t="s">
        <v>68</v>
      </c>
      <c r="AX1163" t="s">
        <v>57</v>
      </c>
      <c r="AY1163">
        <v>631110</v>
      </c>
      <c r="AZ1163">
        <v>1206.63111</v>
      </c>
      <c r="BA1163" s="23" t="s">
        <v>14</v>
      </c>
    </row>
    <row r="1164" spans="1:53" x14ac:dyDescent="0.25">
      <c r="A1164" t="s">
        <v>134</v>
      </c>
      <c r="B1164" t="s">
        <v>135</v>
      </c>
      <c r="C1164">
        <v>22002501</v>
      </c>
      <c r="D1164">
        <v>1206</v>
      </c>
      <c r="E1164" s="11">
        <v>44776</v>
      </c>
      <c r="F1164" t="s">
        <v>172</v>
      </c>
      <c r="G1164">
        <v>16.13</v>
      </c>
      <c r="H1164">
        <v>16.13</v>
      </c>
      <c r="I1164" t="s">
        <v>56</v>
      </c>
      <c r="O1164" t="s">
        <v>57</v>
      </c>
      <c r="Q1164" t="s">
        <v>57</v>
      </c>
      <c r="R1164" t="s">
        <v>137</v>
      </c>
      <c r="T1164" t="s">
        <v>59</v>
      </c>
      <c r="U1164" t="s">
        <v>60</v>
      </c>
      <c r="V1164" t="s">
        <v>138</v>
      </c>
      <c r="W1164" t="s">
        <v>139</v>
      </c>
      <c r="X1164">
        <v>1927037</v>
      </c>
      <c r="Y1164" s="11">
        <v>44776</v>
      </c>
      <c r="Z1164" t="s">
        <v>57</v>
      </c>
      <c r="AA1164">
        <v>2</v>
      </c>
      <c r="AB1164" t="s">
        <v>57</v>
      </c>
      <c r="AD1164" t="s">
        <v>57</v>
      </c>
      <c r="AE1164" t="s">
        <v>57</v>
      </c>
      <c r="AF1164" t="s">
        <v>57</v>
      </c>
      <c r="AG1164">
        <v>2</v>
      </c>
      <c r="AH1164" t="s">
        <v>57</v>
      </c>
      <c r="AL1164" t="s">
        <v>57</v>
      </c>
      <c r="AM1164" s="11">
        <v>44776</v>
      </c>
      <c r="AN1164" t="s">
        <v>184</v>
      </c>
      <c r="AO1164" t="s">
        <v>65</v>
      </c>
      <c r="AP1164">
        <v>1206</v>
      </c>
      <c r="AQ1164" t="s">
        <v>66</v>
      </c>
      <c r="AR1164">
        <v>279991</v>
      </c>
      <c r="AU1164" t="s">
        <v>57</v>
      </c>
      <c r="AV1164" t="s">
        <v>68</v>
      </c>
      <c r="AX1164" t="s">
        <v>57</v>
      </c>
      <c r="AY1164">
        <v>631110</v>
      </c>
      <c r="AZ1164">
        <v>1206.63111</v>
      </c>
      <c r="BA1164" s="23" t="s">
        <v>14</v>
      </c>
    </row>
    <row r="1165" spans="1:53" x14ac:dyDescent="0.25">
      <c r="A1165" t="s">
        <v>134</v>
      </c>
      <c r="B1165" t="s">
        <v>135</v>
      </c>
      <c r="C1165">
        <v>22002502</v>
      </c>
      <c r="D1165">
        <v>1206</v>
      </c>
      <c r="E1165" s="11">
        <v>44776</v>
      </c>
      <c r="F1165" t="s">
        <v>174</v>
      </c>
      <c r="G1165">
        <v>0.53</v>
      </c>
      <c r="H1165">
        <v>0.53</v>
      </c>
      <c r="I1165" t="s">
        <v>56</v>
      </c>
      <c r="O1165" t="s">
        <v>57</v>
      </c>
      <c r="Q1165" t="s">
        <v>57</v>
      </c>
      <c r="R1165" t="s">
        <v>137</v>
      </c>
      <c r="T1165" t="s">
        <v>59</v>
      </c>
      <c r="U1165" t="s">
        <v>60</v>
      </c>
      <c r="V1165" t="s">
        <v>138</v>
      </c>
      <c r="W1165" t="s">
        <v>139</v>
      </c>
      <c r="X1165">
        <v>1927037</v>
      </c>
      <c r="Y1165" s="11">
        <v>44776</v>
      </c>
      <c r="Z1165" t="s">
        <v>57</v>
      </c>
      <c r="AA1165">
        <v>2</v>
      </c>
      <c r="AB1165" t="s">
        <v>57</v>
      </c>
      <c r="AD1165" t="s">
        <v>57</v>
      </c>
      <c r="AE1165" t="s">
        <v>57</v>
      </c>
      <c r="AF1165" t="s">
        <v>57</v>
      </c>
      <c r="AG1165">
        <v>1</v>
      </c>
      <c r="AH1165" t="s">
        <v>57</v>
      </c>
      <c r="AL1165" t="s">
        <v>57</v>
      </c>
      <c r="AM1165" s="11">
        <v>44776</v>
      </c>
      <c r="AN1165" t="s">
        <v>184</v>
      </c>
      <c r="AO1165" t="s">
        <v>65</v>
      </c>
      <c r="AP1165">
        <v>1206</v>
      </c>
      <c r="AQ1165" t="s">
        <v>66</v>
      </c>
      <c r="AR1165">
        <v>89777</v>
      </c>
      <c r="AU1165" t="s">
        <v>57</v>
      </c>
      <c r="AV1165" t="s">
        <v>68</v>
      </c>
      <c r="AX1165" t="s">
        <v>57</v>
      </c>
      <c r="AY1165">
        <v>631110</v>
      </c>
      <c r="AZ1165">
        <v>1206.63111</v>
      </c>
      <c r="BA1165" s="23" t="s">
        <v>14</v>
      </c>
    </row>
    <row r="1166" spans="1:53" x14ac:dyDescent="0.25">
      <c r="A1166" t="s">
        <v>134</v>
      </c>
      <c r="B1166" t="s">
        <v>135</v>
      </c>
      <c r="C1166">
        <v>22002502</v>
      </c>
      <c r="D1166">
        <v>1206</v>
      </c>
      <c r="E1166" s="11">
        <v>44776</v>
      </c>
      <c r="F1166" t="s">
        <v>174</v>
      </c>
      <c r="G1166">
        <v>1.6</v>
      </c>
      <c r="H1166">
        <v>1.6</v>
      </c>
      <c r="I1166" t="s">
        <v>56</v>
      </c>
      <c r="O1166" t="s">
        <v>57</v>
      </c>
      <c r="Q1166" t="s">
        <v>57</v>
      </c>
      <c r="R1166" t="s">
        <v>137</v>
      </c>
      <c r="T1166" t="s">
        <v>59</v>
      </c>
      <c r="U1166" t="s">
        <v>60</v>
      </c>
      <c r="V1166" t="s">
        <v>138</v>
      </c>
      <c r="W1166" t="s">
        <v>139</v>
      </c>
      <c r="X1166">
        <v>1927037</v>
      </c>
      <c r="Y1166" s="11">
        <v>44776</v>
      </c>
      <c r="Z1166" t="s">
        <v>57</v>
      </c>
      <c r="AA1166">
        <v>4</v>
      </c>
      <c r="AB1166" t="s">
        <v>57</v>
      </c>
      <c r="AD1166" t="s">
        <v>57</v>
      </c>
      <c r="AE1166" t="s">
        <v>57</v>
      </c>
      <c r="AF1166" t="s">
        <v>57</v>
      </c>
      <c r="AG1166">
        <v>2</v>
      </c>
      <c r="AH1166" t="s">
        <v>57</v>
      </c>
      <c r="AL1166" t="s">
        <v>57</v>
      </c>
      <c r="AM1166" s="11">
        <v>44776</v>
      </c>
      <c r="AN1166" t="s">
        <v>184</v>
      </c>
      <c r="AO1166" t="s">
        <v>65</v>
      </c>
      <c r="AP1166">
        <v>1206</v>
      </c>
      <c r="AQ1166" t="s">
        <v>66</v>
      </c>
      <c r="AR1166">
        <v>275822</v>
      </c>
      <c r="AU1166" t="s">
        <v>57</v>
      </c>
      <c r="AV1166" t="s">
        <v>68</v>
      </c>
      <c r="AX1166" t="s">
        <v>57</v>
      </c>
      <c r="AY1166">
        <v>631110</v>
      </c>
      <c r="AZ1166">
        <v>1206.63111</v>
      </c>
      <c r="BA1166" s="23" t="s">
        <v>14</v>
      </c>
    </row>
    <row r="1167" spans="1:53" x14ac:dyDescent="0.25">
      <c r="A1167" t="s">
        <v>134</v>
      </c>
      <c r="B1167" t="s">
        <v>135</v>
      </c>
      <c r="C1167">
        <v>22002502</v>
      </c>
      <c r="D1167">
        <v>1206</v>
      </c>
      <c r="E1167" s="11">
        <v>44776</v>
      </c>
      <c r="F1167" t="s">
        <v>174</v>
      </c>
      <c r="G1167">
        <v>3.43</v>
      </c>
      <c r="H1167">
        <v>3.43</v>
      </c>
      <c r="I1167" t="s">
        <v>56</v>
      </c>
      <c r="O1167" t="s">
        <v>57</v>
      </c>
      <c r="Q1167" t="s">
        <v>57</v>
      </c>
      <c r="R1167" t="s">
        <v>137</v>
      </c>
      <c r="T1167" t="s">
        <v>59</v>
      </c>
      <c r="U1167" t="s">
        <v>60</v>
      </c>
      <c r="V1167" t="s">
        <v>138</v>
      </c>
      <c r="W1167" t="s">
        <v>139</v>
      </c>
      <c r="X1167">
        <v>1927037</v>
      </c>
      <c r="Y1167" s="11">
        <v>44776</v>
      </c>
      <c r="Z1167" t="s">
        <v>57</v>
      </c>
      <c r="AA1167">
        <v>6</v>
      </c>
      <c r="AB1167" t="s">
        <v>57</v>
      </c>
      <c r="AD1167" t="s">
        <v>57</v>
      </c>
      <c r="AE1167" t="s">
        <v>57</v>
      </c>
      <c r="AF1167" t="s">
        <v>57</v>
      </c>
      <c r="AG1167">
        <v>1</v>
      </c>
      <c r="AH1167" t="s">
        <v>57</v>
      </c>
      <c r="AL1167" t="s">
        <v>57</v>
      </c>
      <c r="AM1167" s="11">
        <v>44776</v>
      </c>
      <c r="AN1167" t="s">
        <v>184</v>
      </c>
      <c r="AO1167" t="s">
        <v>65</v>
      </c>
      <c r="AP1167">
        <v>1206</v>
      </c>
      <c r="AQ1167" t="s">
        <v>66</v>
      </c>
      <c r="AR1167">
        <v>206793</v>
      </c>
      <c r="AU1167" t="s">
        <v>57</v>
      </c>
      <c r="AV1167" t="s">
        <v>68</v>
      </c>
      <c r="AX1167" t="s">
        <v>57</v>
      </c>
      <c r="AY1167">
        <v>631110</v>
      </c>
      <c r="AZ1167">
        <v>1206.63111</v>
      </c>
      <c r="BA1167" s="23" t="s">
        <v>14</v>
      </c>
    </row>
    <row r="1168" spans="1:53" x14ac:dyDescent="0.25">
      <c r="A1168" t="s">
        <v>134</v>
      </c>
      <c r="B1168" t="s">
        <v>135</v>
      </c>
      <c r="C1168">
        <v>22002502</v>
      </c>
      <c r="D1168">
        <v>1206</v>
      </c>
      <c r="E1168" s="11">
        <v>44776</v>
      </c>
      <c r="F1168" t="s">
        <v>174</v>
      </c>
      <c r="G1168">
        <v>20.56</v>
      </c>
      <c r="H1168">
        <v>20.56</v>
      </c>
      <c r="I1168" t="s">
        <v>56</v>
      </c>
      <c r="O1168" t="s">
        <v>57</v>
      </c>
      <c r="Q1168" t="s">
        <v>57</v>
      </c>
      <c r="R1168" t="s">
        <v>137</v>
      </c>
      <c r="T1168" t="s">
        <v>59</v>
      </c>
      <c r="U1168" t="s">
        <v>60</v>
      </c>
      <c r="V1168" t="s">
        <v>138</v>
      </c>
      <c r="W1168" t="s">
        <v>139</v>
      </c>
      <c r="X1168">
        <v>1927037</v>
      </c>
      <c r="Y1168" s="11">
        <v>44776</v>
      </c>
      <c r="Z1168" t="s">
        <v>57</v>
      </c>
      <c r="AA1168">
        <v>8</v>
      </c>
      <c r="AB1168" t="s">
        <v>57</v>
      </c>
      <c r="AD1168" t="s">
        <v>57</v>
      </c>
      <c r="AE1168" t="s">
        <v>57</v>
      </c>
      <c r="AF1168" t="s">
        <v>57</v>
      </c>
      <c r="AG1168">
        <v>2</v>
      </c>
      <c r="AH1168" t="s">
        <v>57</v>
      </c>
      <c r="AL1168" t="s">
        <v>57</v>
      </c>
      <c r="AM1168" s="11">
        <v>44776</v>
      </c>
      <c r="AN1168" t="s">
        <v>184</v>
      </c>
      <c r="AO1168" t="s">
        <v>65</v>
      </c>
      <c r="AP1168">
        <v>1206</v>
      </c>
      <c r="AQ1168" t="s">
        <v>66</v>
      </c>
      <c r="AR1168">
        <v>89976</v>
      </c>
      <c r="AU1168" t="s">
        <v>57</v>
      </c>
      <c r="AV1168" t="s">
        <v>68</v>
      </c>
      <c r="AX1168" t="s">
        <v>57</v>
      </c>
      <c r="AY1168">
        <v>631110</v>
      </c>
      <c r="AZ1168">
        <v>1206.63111</v>
      </c>
      <c r="BA1168" s="23" t="s">
        <v>14</v>
      </c>
    </row>
    <row r="1169" spans="1:53" x14ac:dyDescent="0.25">
      <c r="A1169" t="s">
        <v>134</v>
      </c>
      <c r="B1169" t="s">
        <v>135</v>
      </c>
      <c r="C1169">
        <v>22002503</v>
      </c>
      <c r="D1169">
        <v>1206</v>
      </c>
      <c r="E1169" s="11">
        <v>44776</v>
      </c>
      <c r="F1169" t="s">
        <v>159</v>
      </c>
      <c r="G1169">
        <v>15.5</v>
      </c>
      <c r="H1169">
        <v>15.5</v>
      </c>
      <c r="I1169" t="s">
        <v>56</v>
      </c>
      <c r="O1169" t="s">
        <v>57</v>
      </c>
      <c r="Q1169" t="s">
        <v>57</v>
      </c>
      <c r="R1169" t="s">
        <v>137</v>
      </c>
      <c r="T1169" t="s">
        <v>59</v>
      </c>
      <c r="U1169" t="s">
        <v>60</v>
      </c>
      <c r="V1169" t="s">
        <v>138</v>
      </c>
      <c r="W1169" t="s">
        <v>139</v>
      </c>
      <c r="X1169">
        <v>1927037</v>
      </c>
      <c r="Y1169" s="11">
        <v>44776</v>
      </c>
      <c r="Z1169" t="s">
        <v>57</v>
      </c>
      <c r="AA1169">
        <v>2</v>
      </c>
      <c r="AB1169" t="s">
        <v>57</v>
      </c>
      <c r="AD1169" t="s">
        <v>57</v>
      </c>
      <c r="AE1169" t="s">
        <v>57</v>
      </c>
      <c r="AF1169" t="s">
        <v>57</v>
      </c>
      <c r="AG1169">
        <v>1</v>
      </c>
      <c r="AH1169" t="s">
        <v>57</v>
      </c>
      <c r="AL1169" t="s">
        <v>57</v>
      </c>
      <c r="AM1169" s="11">
        <v>44776</v>
      </c>
      <c r="AN1169" t="s">
        <v>184</v>
      </c>
      <c r="AO1169" t="s">
        <v>65</v>
      </c>
      <c r="AP1169">
        <v>1206</v>
      </c>
      <c r="AQ1169" t="s">
        <v>66</v>
      </c>
      <c r="AR1169">
        <v>163472</v>
      </c>
      <c r="AU1169" t="s">
        <v>57</v>
      </c>
      <c r="AV1169" t="s">
        <v>68</v>
      </c>
      <c r="AX1169" t="s">
        <v>57</v>
      </c>
      <c r="AY1169">
        <v>631110</v>
      </c>
      <c r="AZ1169">
        <v>1206.63111</v>
      </c>
      <c r="BA1169" s="23" t="s">
        <v>14</v>
      </c>
    </row>
    <row r="1170" spans="1:53" x14ac:dyDescent="0.25">
      <c r="A1170" t="s">
        <v>134</v>
      </c>
      <c r="B1170" t="s">
        <v>135</v>
      </c>
      <c r="C1170">
        <v>22002503</v>
      </c>
      <c r="D1170">
        <v>1206</v>
      </c>
      <c r="E1170" s="11">
        <v>44776</v>
      </c>
      <c r="F1170" t="s">
        <v>159</v>
      </c>
      <c r="G1170">
        <v>13.59</v>
      </c>
      <c r="H1170">
        <v>13.59</v>
      </c>
      <c r="I1170" t="s">
        <v>56</v>
      </c>
      <c r="O1170" t="s">
        <v>57</v>
      </c>
      <c r="Q1170" t="s">
        <v>57</v>
      </c>
      <c r="R1170" t="s">
        <v>137</v>
      </c>
      <c r="T1170" t="s">
        <v>59</v>
      </c>
      <c r="U1170" t="s">
        <v>60</v>
      </c>
      <c r="V1170" t="s">
        <v>138</v>
      </c>
      <c r="W1170" t="s">
        <v>139</v>
      </c>
      <c r="X1170">
        <v>1927037</v>
      </c>
      <c r="Y1170" s="11">
        <v>44776</v>
      </c>
      <c r="Z1170" t="s">
        <v>57</v>
      </c>
      <c r="AA1170">
        <v>4</v>
      </c>
      <c r="AB1170" t="s">
        <v>57</v>
      </c>
      <c r="AD1170" t="s">
        <v>57</v>
      </c>
      <c r="AE1170" t="s">
        <v>57</v>
      </c>
      <c r="AF1170" t="s">
        <v>57</v>
      </c>
      <c r="AG1170">
        <v>10</v>
      </c>
      <c r="AH1170" t="s">
        <v>57</v>
      </c>
      <c r="AL1170" t="s">
        <v>57</v>
      </c>
      <c r="AM1170" s="11">
        <v>44776</v>
      </c>
      <c r="AN1170" t="s">
        <v>184</v>
      </c>
      <c r="AO1170" t="s">
        <v>65</v>
      </c>
      <c r="AP1170">
        <v>1206</v>
      </c>
      <c r="AQ1170" t="s">
        <v>66</v>
      </c>
      <c r="AR1170">
        <v>163503</v>
      </c>
      <c r="AU1170" t="s">
        <v>57</v>
      </c>
      <c r="AV1170" t="s">
        <v>68</v>
      </c>
      <c r="AX1170" t="s">
        <v>57</v>
      </c>
      <c r="AY1170">
        <v>631110</v>
      </c>
      <c r="AZ1170">
        <v>1206.63111</v>
      </c>
      <c r="BA1170" s="23" t="s">
        <v>14</v>
      </c>
    </row>
    <row r="1171" spans="1:53" x14ac:dyDescent="0.25">
      <c r="A1171" t="s">
        <v>134</v>
      </c>
      <c r="B1171" t="s">
        <v>135</v>
      </c>
      <c r="C1171">
        <v>22002505</v>
      </c>
      <c r="D1171">
        <v>1206</v>
      </c>
      <c r="E1171" s="11">
        <v>44776</v>
      </c>
      <c r="F1171" t="s">
        <v>185</v>
      </c>
      <c r="G1171">
        <v>21.89</v>
      </c>
      <c r="H1171">
        <v>21.89</v>
      </c>
      <c r="I1171" t="s">
        <v>56</v>
      </c>
      <c r="O1171" t="s">
        <v>57</v>
      </c>
      <c r="Q1171" t="s">
        <v>57</v>
      </c>
      <c r="R1171" t="s">
        <v>137</v>
      </c>
      <c r="T1171" t="s">
        <v>59</v>
      </c>
      <c r="U1171" t="s">
        <v>60</v>
      </c>
      <c r="V1171" t="s">
        <v>138</v>
      </c>
      <c r="W1171" t="s">
        <v>139</v>
      </c>
      <c r="X1171">
        <v>1927077</v>
      </c>
      <c r="Y1171" s="11">
        <v>44777</v>
      </c>
      <c r="Z1171" t="s">
        <v>57</v>
      </c>
      <c r="AA1171">
        <v>2</v>
      </c>
      <c r="AB1171" t="s">
        <v>57</v>
      </c>
      <c r="AD1171" t="s">
        <v>57</v>
      </c>
      <c r="AE1171" t="s">
        <v>57</v>
      </c>
      <c r="AF1171" t="s">
        <v>57</v>
      </c>
      <c r="AG1171">
        <v>60</v>
      </c>
      <c r="AH1171" t="s">
        <v>57</v>
      </c>
      <c r="AL1171" t="s">
        <v>57</v>
      </c>
      <c r="AM1171" s="11">
        <v>44776</v>
      </c>
      <c r="AN1171" t="s">
        <v>183</v>
      </c>
      <c r="AO1171" t="s">
        <v>65</v>
      </c>
      <c r="AP1171">
        <v>1206</v>
      </c>
      <c r="AQ1171" t="s">
        <v>66</v>
      </c>
      <c r="AR1171">
        <v>91011</v>
      </c>
      <c r="AU1171" t="s">
        <v>57</v>
      </c>
      <c r="AV1171" t="s">
        <v>68</v>
      </c>
      <c r="AX1171" t="s">
        <v>57</v>
      </c>
      <c r="AY1171">
        <v>631110</v>
      </c>
      <c r="AZ1171">
        <v>1206.63111</v>
      </c>
      <c r="BA1171" s="23" t="s">
        <v>14</v>
      </c>
    </row>
    <row r="1172" spans="1:53" x14ac:dyDescent="0.25">
      <c r="A1172" t="s">
        <v>134</v>
      </c>
      <c r="B1172" t="s">
        <v>135</v>
      </c>
      <c r="C1172">
        <v>22002505</v>
      </c>
      <c r="D1172">
        <v>1206</v>
      </c>
      <c r="E1172" s="11">
        <v>44776</v>
      </c>
      <c r="F1172" t="s">
        <v>185</v>
      </c>
      <c r="G1172">
        <v>3.06</v>
      </c>
      <c r="H1172">
        <v>3.06</v>
      </c>
      <c r="I1172" t="s">
        <v>56</v>
      </c>
      <c r="O1172" t="s">
        <v>57</v>
      </c>
      <c r="Q1172" t="s">
        <v>57</v>
      </c>
      <c r="R1172" t="s">
        <v>137</v>
      </c>
      <c r="T1172" t="s">
        <v>59</v>
      </c>
      <c r="U1172" t="s">
        <v>60</v>
      </c>
      <c r="V1172" t="s">
        <v>138</v>
      </c>
      <c r="W1172" t="s">
        <v>139</v>
      </c>
      <c r="X1172">
        <v>1927077</v>
      </c>
      <c r="Y1172" s="11">
        <v>44777</v>
      </c>
      <c r="Z1172" t="s">
        <v>57</v>
      </c>
      <c r="AA1172">
        <v>4</v>
      </c>
      <c r="AB1172" t="s">
        <v>57</v>
      </c>
      <c r="AD1172" t="s">
        <v>57</v>
      </c>
      <c r="AE1172" t="s">
        <v>57</v>
      </c>
      <c r="AF1172" t="s">
        <v>57</v>
      </c>
      <c r="AG1172">
        <v>20</v>
      </c>
      <c r="AH1172" t="s">
        <v>57</v>
      </c>
      <c r="AL1172" t="s">
        <v>57</v>
      </c>
      <c r="AM1172" s="11">
        <v>44776</v>
      </c>
      <c r="AN1172" t="s">
        <v>183</v>
      </c>
      <c r="AO1172" t="s">
        <v>65</v>
      </c>
      <c r="AP1172">
        <v>1206</v>
      </c>
      <c r="AQ1172" t="s">
        <v>66</v>
      </c>
      <c r="AR1172">
        <v>144854</v>
      </c>
      <c r="AU1172" t="s">
        <v>57</v>
      </c>
      <c r="AV1172" t="s">
        <v>68</v>
      </c>
      <c r="AX1172" t="s">
        <v>57</v>
      </c>
      <c r="AY1172">
        <v>631110</v>
      </c>
      <c r="AZ1172">
        <v>1206.63111</v>
      </c>
      <c r="BA1172" s="23" t="s">
        <v>14</v>
      </c>
    </row>
    <row r="1173" spans="1:53" x14ac:dyDescent="0.25">
      <c r="A1173" t="s">
        <v>134</v>
      </c>
      <c r="B1173" t="s">
        <v>135</v>
      </c>
      <c r="C1173">
        <v>22002505</v>
      </c>
      <c r="D1173">
        <v>1206</v>
      </c>
      <c r="E1173" s="11">
        <v>44776</v>
      </c>
      <c r="F1173" t="s">
        <v>185</v>
      </c>
      <c r="G1173">
        <v>6.27</v>
      </c>
      <c r="H1173">
        <v>6.27</v>
      </c>
      <c r="I1173" t="s">
        <v>56</v>
      </c>
      <c r="O1173" t="s">
        <v>57</v>
      </c>
      <c r="Q1173" t="s">
        <v>57</v>
      </c>
      <c r="R1173" t="s">
        <v>137</v>
      </c>
      <c r="T1173" t="s">
        <v>59</v>
      </c>
      <c r="U1173" t="s">
        <v>60</v>
      </c>
      <c r="V1173" t="s">
        <v>138</v>
      </c>
      <c r="W1173" t="s">
        <v>139</v>
      </c>
      <c r="X1173">
        <v>1927077</v>
      </c>
      <c r="Y1173" s="11">
        <v>44777</v>
      </c>
      <c r="Z1173" t="s">
        <v>57</v>
      </c>
      <c r="AA1173">
        <v>6</v>
      </c>
      <c r="AB1173" t="s">
        <v>57</v>
      </c>
      <c r="AD1173" t="s">
        <v>57</v>
      </c>
      <c r="AE1173" t="s">
        <v>57</v>
      </c>
      <c r="AF1173" t="s">
        <v>57</v>
      </c>
      <c r="AG1173">
        <v>40</v>
      </c>
      <c r="AH1173" t="s">
        <v>57</v>
      </c>
      <c r="AL1173" t="s">
        <v>57</v>
      </c>
      <c r="AM1173" s="11">
        <v>44776</v>
      </c>
      <c r="AN1173" t="s">
        <v>183</v>
      </c>
      <c r="AO1173" t="s">
        <v>65</v>
      </c>
      <c r="AP1173">
        <v>1206</v>
      </c>
      <c r="AQ1173" t="s">
        <v>66</v>
      </c>
      <c r="AR1173">
        <v>89712</v>
      </c>
      <c r="AU1173" t="s">
        <v>57</v>
      </c>
      <c r="AV1173" t="s">
        <v>68</v>
      </c>
      <c r="AX1173" t="s">
        <v>57</v>
      </c>
      <c r="AY1173">
        <v>631110</v>
      </c>
      <c r="AZ1173">
        <v>1206.63111</v>
      </c>
      <c r="BA1173" s="23" t="s">
        <v>14</v>
      </c>
    </row>
    <row r="1174" spans="1:53" x14ac:dyDescent="0.25">
      <c r="A1174" t="s">
        <v>134</v>
      </c>
      <c r="B1174" t="s">
        <v>135</v>
      </c>
      <c r="C1174">
        <v>22002505</v>
      </c>
      <c r="D1174">
        <v>1206</v>
      </c>
      <c r="E1174" s="11">
        <v>44776</v>
      </c>
      <c r="F1174" t="s">
        <v>185</v>
      </c>
      <c r="G1174">
        <v>0.77</v>
      </c>
      <c r="H1174">
        <v>0.77</v>
      </c>
      <c r="I1174" t="s">
        <v>56</v>
      </c>
      <c r="O1174" t="s">
        <v>57</v>
      </c>
      <c r="Q1174" t="s">
        <v>57</v>
      </c>
      <c r="R1174" t="s">
        <v>137</v>
      </c>
      <c r="T1174" t="s">
        <v>59</v>
      </c>
      <c r="U1174" t="s">
        <v>60</v>
      </c>
      <c r="V1174" t="s">
        <v>138</v>
      </c>
      <c r="W1174" t="s">
        <v>139</v>
      </c>
      <c r="X1174">
        <v>1927077</v>
      </c>
      <c r="Y1174" s="11">
        <v>44777</v>
      </c>
      <c r="Z1174" t="s">
        <v>57</v>
      </c>
      <c r="AA1174">
        <v>8</v>
      </c>
      <c r="AB1174" t="s">
        <v>57</v>
      </c>
      <c r="AD1174" t="s">
        <v>57</v>
      </c>
      <c r="AE1174" t="s">
        <v>57</v>
      </c>
      <c r="AF1174" t="s">
        <v>57</v>
      </c>
      <c r="AG1174">
        <v>10</v>
      </c>
      <c r="AH1174" t="s">
        <v>57</v>
      </c>
      <c r="AL1174" t="s">
        <v>57</v>
      </c>
      <c r="AM1174" s="11">
        <v>44776</v>
      </c>
      <c r="AN1174" t="s">
        <v>183</v>
      </c>
      <c r="AO1174" t="s">
        <v>65</v>
      </c>
      <c r="AP1174">
        <v>1206</v>
      </c>
      <c r="AQ1174" t="s">
        <v>66</v>
      </c>
      <c r="AR1174">
        <v>267129</v>
      </c>
      <c r="AU1174" t="s">
        <v>57</v>
      </c>
      <c r="AV1174" t="s">
        <v>68</v>
      </c>
      <c r="AX1174" t="s">
        <v>57</v>
      </c>
      <c r="AY1174">
        <v>631110</v>
      </c>
      <c r="AZ1174">
        <v>1206.63111</v>
      </c>
      <c r="BA1174" s="23" t="s">
        <v>14</v>
      </c>
    </row>
    <row r="1175" spans="1:53" x14ac:dyDescent="0.25">
      <c r="A1175" t="s">
        <v>134</v>
      </c>
      <c r="B1175" t="s">
        <v>135</v>
      </c>
      <c r="C1175">
        <v>22002505</v>
      </c>
      <c r="D1175">
        <v>1206</v>
      </c>
      <c r="E1175" s="11">
        <v>44776</v>
      </c>
      <c r="F1175" t="s">
        <v>185</v>
      </c>
      <c r="G1175">
        <v>0.41</v>
      </c>
      <c r="H1175">
        <v>0.41</v>
      </c>
      <c r="I1175" t="s">
        <v>56</v>
      </c>
      <c r="O1175" t="s">
        <v>57</v>
      </c>
      <c r="Q1175" t="s">
        <v>57</v>
      </c>
      <c r="R1175" t="s">
        <v>137</v>
      </c>
      <c r="T1175" t="s">
        <v>59</v>
      </c>
      <c r="U1175" t="s">
        <v>60</v>
      </c>
      <c r="V1175" t="s">
        <v>138</v>
      </c>
      <c r="W1175" t="s">
        <v>139</v>
      </c>
      <c r="X1175">
        <v>1927077</v>
      </c>
      <c r="Y1175" s="11">
        <v>44777</v>
      </c>
      <c r="Z1175" t="s">
        <v>57</v>
      </c>
      <c r="AA1175">
        <v>10</v>
      </c>
      <c r="AB1175" t="s">
        <v>57</v>
      </c>
      <c r="AD1175" t="s">
        <v>57</v>
      </c>
      <c r="AE1175" t="s">
        <v>57</v>
      </c>
      <c r="AF1175" t="s">
        <v>57</v>
      </c>
      <c r="AG1175">
        <v>5</v>
      </c>
      <c r="AH1175" t="s">
        <v>57</v>
      </c>
      <c r="AL1175" t="s">
        <v>57</v>
      </c>
      <c r="AM1175" s="11">
        <v>44776</v>
      </c>
      <c r="AN1175" t="s">
        <v>183</v>
      </c>
      <c r="AO1175" t="s">
        <v>65</v>
      </c>
      <c r="AP1175">
        <v>1206</v>
      </c>
      <c r="AQ1175" t="s">
        <v>66</v>
      </c>
      <c r="AR1175">
        <v>93455</v>
      </c>
      <c r="AU1175" t="s">
        <v>57</v>
      </c>
      <c r="AV1175" t="s">
        <v>68</v>
      </c>
      <c r="AX1175" t="s">
        <v>57</v>
      </c>
      <c r="AY1175">
        <v>631110</v>
      </c>
      <c r="AZ1175">
        <v>1206.63111</v>
      </c>
      <c r="BA1175" s="23" t="s">
        <v>14</v>
      </c>
    </row>
    <row r="1176" spans="1:53" x14ac:dyDescent="0.25">
      <c r="A1176" t="s">
        <v>134</v>
      </c>
      <c r="B1176" t="s">
        <v>135</v>
      </c>
      <c r="C1176">
        <v>22002506</v>
      </c>
      <c r="D1176">
        <v>1206</v>
      </c>
      <c r="E1176" s="11">
        <v>44776</v>
      </c>
      <c r="F1176" t="s">
        <v>174</v>
      </c>
      <c r="G1176">
        <v>3.09</v>
      </c>
      <c r="H1176">
        <v>3.09</v>
      </c>
      <c r="I1176" t="s">
        <v>56</v>
      </c>
      <c r="O1176" t="s">
        <v>57</v>
      </c>
      <c r="Q1176" t="s">
        <v>57</v>
      </c>
      <c r="R1176" t="s">
        <v>137</v>
      </c>
      <c r="T1176" t="s">
        <v>59</v>
      </c>
      <c r="U1176" t="s">
        <v>60</v>
      </c>
      <c r="V1176" t="s">
        <v>138</v>
      </c>
      <c r="W1176" t="s">
        <v>139</v>
      </c>
      <c r="X1176">
        <v>1927633</v>
      </c>
      <c r="Y1176" s="11">
        <v>44777</v>
      </c>
      <c r="Z1176" t="s">
        <v>57</v>
      </c>
      <c r="AA1176">
        <v>2</v>
      </c>
      <c r="AB1176" t="s">
        <v>57</v>
      </c>
      <c r="AD1176" t="s">
        <v>57</v>
      </c>
      <c r="AE1176" t="s">
        <v>57</v>
      </c>
      <c r="AF1176" t="s">
        <v>57</v>
      </c>
      <c r="AG1176">
        <v>1</v>
      </c>
      <c r="AH1176" t="s">
        <v>57</v>
      </c>
      <c r="AL1176" t="s">
        <v>57</v>
      </c>
      <c r="AM1176" s="11">
        <v>44776</v>
      </c>
      <c r="AN1176" t="s">
        <v>184</v>
      </c>
      <c r="AO1176" t="s">
        <v>65</v>
      </c>
      <c r="AP1176">
        <v>1206</v>
      </c>
      <c r="AQ1176" t="s">
        <v>66</v>
      </c>
      <c r="AR1176">
        <v>156040</v>
      </c>
      <c r="AU1176" t="s">
        <v>57</v>
      </c>
      <c r="AV1176" t="s">
        <v>68</v>
      </c>
      <c r="AX1176" t="s">
        <v>57</v>
      </c>
      <c r="AY1176">
        <v>631110</v>
      </c>
      <c r="AZ1176">
        <v>1206.63111</v>
      </c>
      <c r="BA1176" s="23" t="s">
        <v>14</v>
      </c>
    </row>
    <row r="1177" spans="1:53" x14ac:dyDescent="0.25">
      <c r="A1177" t="s">
        <v>134</v>
      </c>
      <c r="B1177" t="s">
        <v>135</v>
      </c>
      <c r="C1177">
        <v>22002506</v>
      </c>
      <c r="D1177">
        <v>1206</v>
      </c>
      <c r="E1177" s="11">
        <v>44776</v>
      </c>
      <c r="F1177" t="s">
        <v>174</v>
      </c>
      <c r="G1177">
        <v>60.11</v>
      </c>
      <c r="H1177">
        <v>60.11</v>
      </c>
      <c r="I1177" t="s">
        <v>56</v>
      </c>
      <c r="O1177" t="s">
        <v>57</v>
      </c>
      <c r="Q1177" t="s">
        <v>57</v>
      </c>
      <c r="R1177" t="s">
        <v>137</v>
      </c>
      <c r="T1177" t="s">
        <v>59</v>
      </c>
      <c r="U1177" t="s">
        <v>60</v>
      </c>
      <c r="V1177" t="s">
        <v>138</v>
      </c>
      <c r="W1177" t="s">
        <v>139</v>
      </c>
      <c r="X1177">
        <v>1927633</v>
      </c>
      <c r="Y1177" s="11">
        <v>44777</v>
      </c>
      <c r="Z1177" t="s">
        <v>57</v>
      </c>
      <c r="AA1177">
        <v>4</v>
      </c>
      <c r="AB1177" t="s">
        <v>57</v>
      </c>
      <c r="AD1177" t="s">
        <v>57</v>
      </c>
      <c r="AE1177" t="s">
        <v>57</v>
      </c>
      <c r="AF1177" t="s">
        <v>57</v>
      </c>
      <c r="AG1177">
        <v>1</v>
      </c>
      <c r="AH1177" t="s">
        <v>57</v>
      </c>
      <c r="AL1177" t="s">
        <v>57</v>
      </c>
      <c r="AM1177" s="11">
        <v>44776</v>
      </c>
      <c r="AN1177" t="s">
        <v>184</v>
      </c>
      <c r="AO1177" t="s">
        <v>65</v>
      </c>
      <c r="AP1177">
        <v>1206</v>
      </c>
      <c r="AQ1177" t="s">
        <v>66</v>
      </c>
      <c r="AR1177">
        <v>97071</v>
      </c>
      <c r="AU1177" t="s">
        <v>57</v>
      </c>
      <c r="AV1177" t="s">
        <v>68</v>
      </c>
      <c r="AX1177" t="s">
        <v>57</v>
      </c>
      <c r="AY1177">
        <v>631110</v>
      </c>
      <c r="AZ1177">
        <v>1206.63111</v>
      </c>
      <c r="BA1177" s="23" t="s">
        <v>14</v>
      </c>
    </row>
    <row r="1178" spans="1:53" x14ac:dyDescent="0.25">
      <c r="A1178" t="s">
        <v>134</v>
      </c>
      <c r="B1178" t="s">
        <v>135</v>
      </c>
      <c r="C1178">
        <v>22002506</v>
      </c>
      <c r="D1178">
        <v>1206</v>
      </c>
      <c r="E1178" s="11">
        <v>44776</v>
      </c>
      <c r="F1178" t="s">
        <v>174</v>
      </c>
      <c r="G1178">
        <v>26.06</v>
      </c>
      <c r="H1178">
        <v>26.06</v>
      </c>
      <c r="I1178" t="s">
        <v>56</v>
      </c>
      <c r="O1178" t="s">
        <v>57</v>
      </c>
      <c r="Q1178" t="s">
        <v>57</v>
      </c>
      <c r="R1178" t="s">
        <v>137</v>
      </c>
      <c r="T1178" t="s">
        <v>59</v>
      </c>
      <c r="U1178" t="s">
        <v>60</v>
      </c>
      <c r="V1178" t="s">
        <v>138</v>
      </c>
      <c r="W1178" t="s">
        <v>139</v>
      </c>
      <c r="X1178">
        <v>1927633</v>
      </c>
      <c r="Y1178" s="11">
        <v>44777</v>
      </c>
      <c r="Z1178" t="s">
        <v>57</v>
      </c>
      <c r="AA1178">
        <v>6</v>
      </c>
      <c r="AB1178" t="s">
        <v>57</v>
      </c>
      <c r="AD1178" t="s">
        <v>57</v>
      </c>
      <c r="AE1178" t="s">
        <v>57</v>
      </c>
      <c r="AF1178" t="s">
        <v>57</v>
      </c>
      <c r="AG1178">
        <v>1</v>
      </c>
      <c r="AH1178" t="s">
        <v>57</v>
      </c>
      <c r="AL1178" t="s">
        <v>57</v>
      </c>
      <c r="AM1178" s="11">
        <v>44776</v>
      </c>
      <c r="AN1178" t="s">
        <v>184</v>
      </c>
      <c r="AO1178" t="s">
        <v>65</v>
      </c>
      <c r="AP1178">
        <v>1206</v>
      </c>
      <c r="AQ1178" t="s">
        <v>66</v>
      </c>
      <c r="AR1178">
        <v>143093</v>
      </c>
      <c r="AU1178" t="s">
        <v>57</v>
      </c>
      <c r="AV1178" t="s">
        <v>68</v>
      </c>
      <c r="AX1178" t="s">
        <v>57</v>
      </c>
      <c r="AY1178">
        <v>631110</v>
      </c>
      <c r="AZ1178">
        <v>1206.63111</v>
      </c>
      <c r="BA1178" s="23" t="s">
        <v>14</v>
      </c>
    </row>
    <row r="1179" spans="1:53" x14ac:dyDescent="0.25">
      <c r="A1179" t="s">
        <v>134</v>
      </c>
      <c r="B1179" t="s">
        <v>135</v>
      </c>
      <c r="C1179">
        <v>22002506</v>
      </c>
      <c r="D1179">
        <v>1206</v>
      </c>
      <c r="E1179" s="11">
        <v>44776</v>
      </c>
      <c r="F1179" t="s">
        <v>174</v>
      </c>
      <c r="G1179">
        <v>26.81</v>
      </c>
      <c r="H1179">
        <v>26.81</v>
      </c>
      <c r="I1179" t="s">
        <v>56</v>
      </c>
      <c r="O1179" t="s">
        <v>57</v>
      </c>
      <c r="Q1179" t="s">
        <v>57</v>
      </c>
      <c r="R1179" t="s">
        <v>137</v>
      </c>
      <c r="T1179" t="s">
        <v>59</v>
      </c>
      <c r="U1179" t="s">
        <v>60</v>
      </c>
      <c r="V1179" t="s">
        <v>138</v>
      </c>
      <c r="W1179" t="s">
        <v>139</v>
      </c>
      <c r="X1179">
        <v>1927633</v>
      </c>
      <c r="Y1179" s="11">
        <v>44777</v>
      </c>
      <c r="Z1179" t="s">
        <v>57</v>
      </c>
      <c r="AA1179">
        <v>8</v>
      </c>
      <c r="AB1179" t="s">
        <v>57</v>
      </c>
      <c r="AD1179" t="s">
        <v>57</v>
      </c>
      <c r="AE1179" t="s">
        <v>57</v>
      </c>
      <c r="AF1179" t="s">
        <v>57</v>
      </c>
      <c r="AG1179">
        <v>1</v>
      </c>
      <c r="AH1179" t="s">
        <v>57</v>
      </c>
      <c r="AL1179" t="s">
        <v>57</v>
      </c>
      <c r="AM1179" s="11">
        <v>44776</v>
      </c>
      <c r="AN1179" t="s">
        <v>184</v>
      </c>
      <c r="AO1179" t="s">
        <v>65</v>
      </c>
      <c r="AP1179">
        <v>1206</v>
      </c>
      <c r="AQ1179" t="s">
        <v>66</v>
      </c>
      <c r="AR1179">
        <v>143095</v>
      </c>
      <c r="AU1179" t="s">
        <v>57</v>
      </c>
      <c r="AV1179" t="s">
        <v>68</v>
      </c>
      <c r="AX1179" t="s">
        <v>57</v>
      </c>
      <c r="AY1179">
        <v>631110</v>
      </c>
      <c r="AZ1179">
        <v>1206.63111</v>
      </c>
      <c r="BA1179" s="23" t="s">
        <v>14</v>
      </c>
    </row>
    <row r="1180" spans="1:53" x14ac:dyDescent="0.25">
      <c r="A1180" t="s">
        <v>134</v>
      </c>
      <c r="B1180" t="s">
        <v>135</v>
      </c>
      <c r="C1180">
        <v>22002506</v>
      </c>
      <c r="D1180">
        <v>1206</v>
      </c>
      <c r="E1180" s="11">
        <v>44776</v>
      </c>
      <c r="F1180" t="s">
        <v>174</v>
      </c>
      <c r="G1180">
        <v>0.56000000000000005</v>
      </c>
      <c r="H1180">
        <v>0.56000000000000005</v>
      </c>
      <c r="I1180" t="s">
        <v>56</v>
      </c>
      <c r="O1180" t="s">
        <v>57</v>
      </c>
      <c r="Q1180" t="s">
        <v>57</v>
      </c>
      <c r="R1180" t="s">
        <v>137</v>
      </c>
      <c r="T1180" t="s">
        <v>59</v>
      </c>
      <c r="U1180" t="s">
        <v>60</v>
      </c>
      <c r="V1180" t="s">
        <v>138</v>
      </c>
      <c r="W1180" t="s">
        <v>139</v>
      </c>
      <c r="X1180">
        <v>1927633</v>
      </c>
      <c r="Y1180" s="11">
        <v>44777</v>
      </c>
      <c r="Z1180" t="s">
        <v>57</v>
      </c>
      <c r="AA1180">
        <v>10</v>
      </c>
      <c r="AB1180" t="s">
        <v>57</v>
      </c>
      <c r="AD1180" t="s">
        <v>57</v>
      </c>
      <c r="AE1180" t="s">
        <v>57</v>
      </c>
      <c r="AF1180" t="s">
        <v>57</v>
      </c>
      <c r="AG1180">
        <v>1</v>
      </c>
      <c r="AH1180" t="s">
        <v>57</v>
      </c>
      <c r="AL1180" t="s">
        <v>57</v>
      </c>
      <c r="AM1180" s="11">
        <v>44776</v>
      </c>
      <c r="AN1180" t="s">
        <v>184</v>
      </c>
      <c r="AO1180" t="s">
        <v>65</v>
      </c>
      <c r="AP1180">
        <v>1206</v>
      </c>
      <c r="AQ1180" t="s">
        <v>66</v>
      </c>
      <c r="AR1180">
        <v>140249</v>
      </c>
      <c r="AU1180" t="s">
        <v>57</v>
      </c>
      <c r="AV1180" t="s">
        <v>68</v>
      </c>
      <c r="AX1180" t="s">
        <v>57</v>
      </c>
      <c r="AY1180">
        <v>631110</v>
      </c>
      <c r="AZ1180">
        <v>1206.63111</v>
      </c>
      <c r="BA1180" s="23" t="s">
        <v>14</v>
      </c>
    </row>
    <row r="1181" spans="1:53" x14ac:dyDescent="0.25">
      <c r="A1181" t="s">
        <v>134</v>
      </c>
      <c r="B1181" t="s">
        <v>135</v>
      </c>
      <c r="C1181">
        <v>22002506</v>
      </c>
      <c r="D1181">
        <v>1206</v>
      </c>
      <c r="E1181" s="11">
        <v>44776</v>
      </c>
      <c r="F1181" t="s">
        <v>174</v>
      </c>
      <c r="G1181">
        <v>50.38</v>
      </c>
      <c r="H1181">
        <v>50.38</v>
      </c>
      <c r="I1181" t="s">
        <v>56</v>
      </c>
      <c r="O1181" t="s">
        <v>57</v>
      </c>
      <c r="Q1181" t="s">
        <v>57</v>
      </c>
      <c r="R1181" t="s">
        <v>137</v>
      </c>
      <c r="T1181" t="s">
        <v>59</v>
      </c>
      <c r="U1181" t="s">
        <v>60</v>
      </c>
      <c r="V1181" t="s">
        <v>138</v>
      </c>
      <c r="W1181" t="s">
        <v>139</v>
      </c>
      <c r="X1181">
        <v>1927633</v>
      </c>
      <c r="Y1181" s="11">
        <v>44777</v>
      </c>
      <c r="Z1181" t="s">
        <v>57</v>
      </c>
      <c r="AA1181">
        <v>12</v>
      </c>
      <c r="AB1181" t="s">
        <v>57</v>
      </c>
      <c r="AD1181" t="s">
        <v>57</v>
      </c>
      <c r="AE1181" t="s">
        <v>57</v>
      </c>
      <c r="AF1181" t="s">
        <v>57</v>
      </c>
      <c r="AG1181">
        <v>1</v>
      </c>
      <c r="AH1181" t="s">
        <v>57</v>
      </c>
      <c r="AL1181" t="s">
        <v>57</v>
      </c>
      <c r="AM1181" s="11">
        <v>44776</v>
      </c>
      <c r="AN1181" t="s">
        <v>184</v>
      </c>
      <c r="AO1181" t="s">
        <v>65</v>
      </c>
      <c r="AP1181">
        <v>1206</v>
      </c>
      <c r="AQ1181" t="s">
        <v>66</v>
      </c>
      <c r="AR1181">
        <v>122819</v>
      </c>
      <c r="AU1181" t="s">
        <v>57</v>
      </c>
      <c r="AV1181" t="s">
        <v>68</v>
      </c>
      <c r="AX1181" t="s">
        <v>57</v>
      </c>
      <c r="AY1181">
        <v>631110</v>
      </c>
      <c r="AZ1181">
        <v>1206.63111</v>
      </c>
      <c r="BA1181" s="23" t="s">
        <v>14</v>
      </c>
    </row>
    <row r="1182" spans="1:53" x14ac:dyDescent="0.25">
      <c r="A1182" t="s">
        <v>134</v>
      </c>
      <c r="B1182" t="s">
        <v>135</v>
      </c>
      <c r="C1182">
        <v>22002506</v>
      </c>
      <c r="D1182">
        <v>1206</v>
      </c>
      <c r="E1182" s="11">
        <v>44776</v>
      </c>
      <c r="F1182" t="s">
        <v>174</v>
      </c>
      <c r="G1182">
        <v>13.78</v>
      </c>
      <c r="H1182">
        <v>13.78</v>
      </c>
      <c r="I1182" t="s">
        <v>56</v>
      </c>
      <c r="O1182" t="s">
        <v>57</v>
      </c>
      <c r="Q1182" t="s">
        <v>57</v>
      </c>
      <c r="R1182" t="s">
        <v>137</v>
      </c>
      <c r="T1182" t="s">
        <v>59</v>
      </c>
      <c r="U1182" t="s">
        <v>60</v>
      </c>
      <c r="V1182" t="s">
        <v>138</v>
      </c>
      <c r="W1182" t="s">
        <v>139</v>
      </c>
      <c r="X1182">
        <v>1927633</v>
      </c>
      <c r="Y1182" s="11">
        <v>44777</v>
      </c>
      <c r="Z1182" t="s">
        <v>57</v>
      </c>
      <c r="AA1182">
        <v>14</v>
      </c>
      <c r="AB1182" t="s">
        <v>57</v>
      </c>
      <c r="AD1182" t="s">
        <v>57</v>
      </c>
      <c r="AE1182" t="s">
        <v>57</v>
      </c>
      <c r="AF1182" t="s">
        <v>57</v>
      </c>
      <c r="AG1182">
        <v>1</v>
      </c>
      <c r="AH1182" t="s">
        <v>57</v>
      </c>
      <c r="AL1182" t="s">
        <v>57</v>
      </c>
      <c r="AM1182" s="11">
        <v>44776</v>
      </c>
      <c r="AN1182" t="s">
        <v>184</v>
      </c>
      <c r="AO1182" t="s">
        <v>65</v>
      </c>
      <c r="AP1182">
        <v>1206</v>
      </c>
      <c r="AQ1182" t="s">
        <v>66</v>
      </c>
      <c r="AR1182">
        <v>96021</v>
      </c>
      <c r="AU1182" t="s">
        <v>57</v>
      </c>
      <c r="AV1182" t="s">
        <v>68</v>
      </c>
      <c r="AX1182" t="s">
        <v>57</v>
      </c>
      <c r="AY1182">
        <v>631110</v>
      </c>
      <c r="AZ1182">
        <v>1206.63111</v>
      </c>
      <c r="BA1182" s="23" t="s">
        <v>14</v>
      </c>
    </row>
    <row r="1183" spans="1:53" x14ac:dyDescent="0.25">
      <c r="A1183" t="s">
        <v>134</v>
      </c>
      <c r="B1183" t="s">
        <v>135</v>
      </c>
      <c r="C1183">
        <v>22002506</v>
      </c>
      <c r="D1183">
        <v>1206</v>
      </c>
      <c r="E1183" s="11">
        <v>44776</v>
      </c>
      <c r="F1183" t="s">
        <v>174</v>
      </c>
      <c r="G1183">
        <v>60.95</v>
      </c>
      <c r="H1183">
        <v>60.95</v>
      </c>
      <c r="I1183" t="s">
        <v>56</v>
      </c>
      <c r="O1183" t="s">
        <v>57</v>
      </c>
      <c r="Q1183" t="s">
        <v>57</v>
      </c>
      <c r="R1183" t="s">
        <v>137</v>
      </c>
      <c r="T1183" t="s">
        <v>59</v>
      </c>
      <c r="U1183" t="s">
        <v>60</v>
      </c>
      <c r="V1183" t="s">
        <v>138</v>
      </c>
      <c r="W1183" t="s">
        <v>139</v>
      </c>
      <c r="X1183">
        <v>1927633</v>
      </c>
      <c r="Y1183" s="11">
        <v>44777</v>
      </c>
      <c r="Z1183" t="s">
        <v>57</v>
      </c>
      <c r="AA1183">
        <v>16</v>
      </c>
      <c r="AB1183" t="s">
        <v>57</v>
      </c>
      <c r="AD1183" t="s">
        <v>57</v>
      </c>
      <c r="AE1183" t="s">
        <v>57</v>
      </c>
      <c r="AF1183" t="s">
        <v>57</v>
      </c>
      <c r="AG1183">
        <v>2</v>
      </c>
      <c r="AH1183" t="s">
        <v>57</v>
      </c>
      <c r="AL1183" t="s">
        <v>57</v>
      </c>
      <c r="AM1183" s="11">
        <v>44776</v>
      </c>
      <c r="AN1183" t="s">
        <v>184</v>
      </c>
      <c r="AO1183" t="s">
        <v>65</v>
      </c>
      <c r="AP1183">
        <v>1206</v>
      </c>
      <c r="AQ1183" t="s">
        <v>66</v>
      </c>
      <c r="AR1183">
        <v>227906</v>
      </c>
      <c r="AU1183" t="s">
        <v>57</v>
      </c>
      <c r="AV1183" t="s">
        <v>68</v>
      </c>
      <c r="AX1183" t="s">
        <v>57</v>
      </c>
      <c r="AY1183">
        <v>631110</v>
      </c>
      <c r="AZ1183">
        <v>1206.63111</v>
      </c>
      <c r="BA1183" s="23" t="s">
        <v>14</v>
      </c>
    </row>
    <row r="1184" spans="1:53" x14ac:dyDescent="0.25">
      <c r="A1184" t="s">
        <v>134</v>
      </c>
      <c r="B1184" t="s">
        <v>135</v>
      </c>
      <c r="C1184">
        <v>22002507</v>
      </c>
      <c r="D1184">
        <v>1206</v>
      </c>
      <c r="E1184" s="11">
        <v>44777</v>
      </c>
      <c r="F1184" t="s">
        <v>159</v>
      </c>
      <c r="G1184">
        <v>0.68</v>
      </c>
      <c r="H1184">
        <v>0.68</v>
      </c>
      <c r="I1184" t="s">
        <v>56</v>
      </c>
      <c r="O1184" t="s">
        <v>57</v>
      </c>
      <c r="Q1184" t="s">
        <v>57</v>
      </c>
      <c r="R1184" t="s">
        <v>137</v>
      </c>
      <c r="T1184" t="s">
        <v>59</v>
      </c>
      <c r="U1184" t="s">
        <v>60</v>
      </c>
      <c r="V1184" t="s">
        <v>138</v>
      </c>
      <c r="W1184" t="s">
        <v>139</v>
      </c>
      <c r="X1184">
        <v>1927633</v>
      </c>
      <c r="Y1184" s="11">
        <v>44777</v>
      </c>
      <c r="Z1184" t="s">
        <v>57</v>
      </c>
      <c r="AA1184">
        <v>2</v>
      </c>
      <c r="AB1184" t="s">
        <v>57</v>
      </c>
      <c r="AD1184" t="s">
        <v>57</v>
      </c>
      <c r="AE1184" t="s">
        <v>57</v>
      </c>
      <c r="AF1184" t="s">
        <v>57</v>
      </c>
      <c r="AG1184">
        <v>1</v>
      </c>
      <c r="AH1184" t="s">
        <v>57</v>
      </c>
      <c r="AL1184" t="s">
        <v>57</v>
      </c>
      <c r="AM1184" s="11">
        <v>44777</v>
      </c>
      <c r="AN1184" t="s">
        <v>184</v>
      </c>
      <c r="AO1184" t="s">
        <v>65</v>
      </c>
      <c r="AP1184">
        <v>1206</v>
      </c>
      <c r="AQ1184" t="s">
        <v>66</v>
      </c>
      <c r="AR1184">
        <v>88732</v>
      </c>
      <c r="AU1184" t="s">
        <v>57</v>
      </c>
      <c r="AV1184" t="s">
        <v>68</v>
      </c>
      <c r="AX1184" t="s">
        <v>57</v>
      </c>
      <c r="AY1184">
        <v>631110</v>
      </c>
      <c r="AZ1184">
        <v>1206.63111</v>
      </c>
      <c r="BA1184" s="23" t="s">
        <v>14</v>
      </c>
    </row>
    <row r="1185" spans="1:53" x14ac:dyDescent="0.25">
      <c r="A1185" t="s">
        <v>134</v>
      </c>
      <c r="B1185" t="s">
        <v>135</v>
      </c>
      <c r="C1185">
        <v>22002507</v>
      </c>
      <c r="D1185">
        <v>1206</v>
      </c>
      <c r="E1185" s="11">
        <v>44777</v>
      </c>
      <c r="F1185" t="s">
        <v>159</v>
      </c>
      <c r="G1185">
        <v>15.5</v>
      </c>
      <c r="H1185">
        <v>15.5</v>
      </c>
      <c r="I1185" t="s">
        <v>56</v>
      </c>
      <c r="O1185" t="s">
        <v>57</v>
      </c>
      <c r="Q1185" t="s">
        <v>57</v>
      </c>
      <c r="R1185" t="s">
        <v>137</v>
      </c>
      <c r="T1185" t="s">
        <v>59</v>
      </c>
      <c r="U1185" t="s">
        <v>60</v>
      </c>
      <c r="V1185" t="s">
        <v>138</v>
      </c>
      <c r="W1185" t="s">
        <v>139</v>
      </c>
      <c r="X1185">
        <v>1927633</v>
      </c>
      <c r="Y1185" s="11">
        <v>44777</v>
      </c>
      <c r="Z1185" t="s">
        <v>57</v>
      </c>
      <c r="AA1185">
        <v>4</v>
      </c>
      <c r="AB1185" t="s">
        <v>57</v>
      </c>
      <c r="AD1185" t="s">
        <v>57</v>
      </c>
      <c r="AE1185" t="s">
        <v>57</v>
      </c>
      <c r="AF1185" t="s">
        <v>57</v>
      </c>
      <c r="AG1185">
        <v>1</v>
      </c>
      <c r="AH1185" t="s">
        <v>57</v>
      </c>
      <c r="AL1185" t="s">
        <v>57</v>
      </c>
      <c r="AM1185" s="11">
        <v>44777</v>
      </c>
      <c r="AN1185" t="s">
        <v>184</v>
      </c>
      <c r="AO1185" t="s">
        <v>65</v>
      </c>
      <c r="AP1185">
        <v>1206</v>
      </c>
      <c r="AQ1185" t="s">
        <v>66</v>
      </c>
      <c r="AR1185">
        <v>163472</v>
      </c>
      <c r="AU1185" t="s">
        <v>57</v>
      </c>
      <c r="AV1185" t="s">
        <v>68</v>
      </c>
      <c r="AX1185" t="s">
        <v>57</v>
      </c>
      <c r="AY1185">
        <v>631110</v>
      </c>
      <c r="AZ1185">
        <v>1206.63111</v>
      </c>
      <c r="BA1185" s="23" t="s">
        <v>14</v>
      </c>
    </row>
    <row r="1186" spans="1:53" x14ac:dyDescent="0.25">
      <c r="A1186" t="s">
        <v>134</v>
      </c>
      <c r="B1186" t="s">
        <v>135</v>
      </c>
      <c r="C1186">
        <v>22002508</v>
      </c>
      <c r="D1186">
        <v>1206</v>
      </c>
      <c r="E1186" s="11">
        <v>44777</v>
      </c>
      <c r="F1186" t="s">
        <v>174</v>
      </c>
      <c r="G1186">
        <v>26.06</v>
      </c>
      <c r="H1186">
        <v>26.06</v>
      </c>
      <c r="I1186" t="s">
        <v>56</v>
      </c>
      <c r="O1186" t="s">
        <v>57</v>
      </c>
      <c r="Q1186" t="s">
        <v>57</v>
      </c>
      <c r="R1186" t="s">
        <v>137</v>
      </c>
      <c r="T1186" t="s">
        <v>59</v>
      </c>
      <c r="U1186" t="s">
        <v>60</v>
      </c>
      <c r="V1186" t="s">
        <v>138</v>
      </c>
      <c r="W1186" t="s">
        <v>139</v>
      </c>
      <c r="X1186">
        <v>1927633</v>
      </c>
      <c r="Y1186" s="11">
        <v>44777</v>
      </c>
      <c r="Z1186" t="s">
        <v>57</v>
      </c>
      <c r="AA1186">
        <v>12</v>
      </c>
      <c r="AB1186" t="s">
        <v>57</v>
      </c>
      <c r="AD1186" t="s">
        <v>57</v>
      </c>
      <c r="AE1186" t="s">
        <v>57</v>
      </c>
      <c r="AF1186" t="s">
        <v>57</v>
      </c>
      <c r="AG1186">
        <v>1</v>
      </c>
      <c r="AH1186" t="s">
        <v>57</v>
      </c>
      <c r="AL1186" t="s">
        <v>57</v>
      </c>
      <c r="AM1186" s="11">
        <v>44777</v>
      </c>
      <c r="AN1186" t="s">
        <v>184</v>
      </c>
      <c r="AO1186" t="s">
        <v>65</v>
      </c>
      <c r="AP1186">
        <v>1206</v>
      </c>
      <c r="AQ1186" t="s">
        <v>66</v>
      </c>
      <c r="AR1186">
        <v>143093</v>
      </c>
      <c r="AU1186" t="s">
        <v>57</v>
      </c>
      <c r="AV1186" t="s">
        <v>68</v>
      </c>
      <c r="AX1186" t="s">
        <v>57</v>
      </c>
      <c r="AY1186">
        <v>631110</v>
      </c>
      <c r="AZ1186">
        <v>1206.63111</v>
      </c>
      <c r="BA1186" s="23" t="s">
        <v>14</v>
      </c>
    </row>
    <row r="1187" spans="1:53" x14ac:dyDescent="0.25">
      <c r="A1187" t="s">
        <v>134</v>
      </c>
      <c r="B1187" t="s">
        <v>135</v>
      </c>
      <c r="C1187">
        <v>22002508</v>
      </c>
      <c r="D1187">
        <v>1206</v>
      </c>
      <c r="E1187" s="11">
        <v>44777</v>
      </c>
      <c r="F1187" t="s">
        <v>174</v>
      </c>
      <c r="G1187">
        <v>1.37</v>
      </c>
      <c r="H1187">
        <v>1.37</v>
      </c>
      <c r="I1187" t="s">
        <v>56</v>
      </c>
      <c r="O1187" t="s">
        <v>57</v>
      </c>
      <c r="Q1187" t="s">
        <v>57</v>
      </c>
      <c r="R1187" t="s">
        <v>137</v>
      </c>
      <c r="T1187" t="s">
        <v>59</v>
      </c>
      <c r="U1187" t="s">
        <v>60</v>
      </c>
      <c r="V1187" t="s">
        <v>138</v>
      </c>
      <c r="W1187" t="s">
        <v>139</v>
      </c>
      <c r="X1187">
        <v>1927633</v>
      </c>
      <c r="Y1187" s="11">
        <v>44777</v>
      </c>
      <c r="Z1187" t="s">
        <v>57</v>
      </c>
      <c r="AA1187">
        <v>14</v>
      </c>
      <c r="AB1187" t="s">
        <v>57</v>
      </c>
      <c r="AD1187" t="s">
        <v>57</v>
      </c>
      <c r="AE1187" t="s">
        <v>57</v>
      </c>
      <c r="AF1187" t="s">
        <v>57</v>
      </c>
      <c r="AG1187">
        <v>2</v>
      </c>
      <c r="AH1187" t="s">
        <v>57</v>
      </c>
      <c r="AL1187" t="s">
        <v>57</v>
      </c>
      <c r="AM1187" s="11">
        <v>44777</v>
      </c>
      <c r="AN1187" t="s">
        <v>184</v>
      </c>
      <c r="AO1187" t="s">
        <v>65</v>
      </c>
      <c r="AP1187">
        <v>1206</v>
      </c>
      <c r="AQ1187" t="s">
        <v>66</v>
      </c>
      <c r="AR1187">
        <v>90167</v>
      </c>
      <c r="AU1187" t="s">
        <v>57</v>
      </c>
      <c r="AV1187" t="s">
        <v>68</v>
      </c>
      <c r="AX1187" t="s">
        <v>57</v>
      </c>
      <c r="AY1187">
        <v>631110</v>
      </c>
      <c r="AZ1187">
        <v>1206.63111</v>
      </c>
      <c r="BA1187" s="23" t="s">
        <v>14</v>
      </c>
    </row>
    <row r="1188" spans="1:53" x14ac:dyDescent="0.25">
      <c r="A1188" t="s">
        <v>134</v>
      </c>
      <c r="B1188" t="s">
        <v>135</v>
      </c>
      <c r="C1188">
        <v>22002508</v>
      </c>
      <c r="D1188">
        <v>1206</v>
      </c>
      <c r="E1188" s="11">
        <v>44777</v>
      </c>
      <c r="F1188" t="s">
        <v>174</v>
      </c>
      <c r="G1188">
        <v>59.5</v>
      </c>
      <c r="H1188">
        <v>59.5</v>
      </c>
      <c r="I1188" t="s">
        <v>56</v>
      </c>
      <c r="O1188" t="s">
        <v>57</v>
      </c>
      <c r="Q1188" t="s">
        <v>57</v>
      </c>
      <c r="R1188" t="s">
        <v>137</v>
      </c>
      <c r="T1188" t="s">
        <v>59</v>
      </c>
      <c r="U1188" t="s">
        <v>60</v>
      </c>
      <c r="V1188" t="s">
        <v>138</v>
      </c>
      <c r="W1188" t="s">
        <v>139</v>
      </c>
      <c r="X1188">
        <v>1927633</v>
      </c>
      <c r="Y1188" s="11">
        <v>44777</v>
      </c>
      <c r="Z1188" t="s">
        <v>57</v>
      </c>
      <c r="AA1188">
        <v>8</v>
      </c>
      <c r="AB1188" t="s">
        <v>57</v>
      </c>
      <c r="AD1188" t="s">
        <v>57</v>
      </c>
      <c r="AE1188" t="s">
        <v>57</v>
      </c>
      <c r="AF1188" t="s">
        <v>57</v>
      </c>
      <c r="AG1188">
        <v>1</v>
      </c>
      <c r="AH1188" t="s">
        <v>57</v>
      </c>
      <c r="AL1188" t="s">
        <v>57</v>
      </c>
      <c r="AM1188" s="11">
        <v>44777</v>
      </c>
      <c r="AN1188" t="s">
        <v>184</v>
      </c>
      <c r="AO1188" t="s">
        <v>65</v>
      </c>
      <c r="AP1188">
        <v>1206</v>
      </c>
      <c r="AQ1188" t="s">
        <v>66</v>
      </c>
      <c r="AR1188">
        <v>121226</v>
      </c>
      <c r="AU1188" t="s">
        <v>57</v>
      </c>
      <c r="AV1188" t="s">
        <v>68</v>
      </c>
      <c r="AX1188" t="s">
        <v>57</v>
      </c>
      <c r="AY1188">
        <v>631110</v>
      </c>
      <c r="AZ1188">
        <v>1206.63111</v>
      </c>
      <c r="BA1188" s="23" t="s">
        <v>14</v>
      </c>
    </row>
    <row r="1189" spans="1:53" x14ac:dyDescent="0.25">
      <c r="A1189" t="s">
        <v>134</v>
      </c>
      <c r="B1189" t="s">
        <v>135</v>
      </c>
      <c r="C1189">
        <v>22002508</v>
      </c>
      <c r="D1189">
        <v>1206</v>
      </c>
      <c r="E1189" s="11">
        <v>44777</v>
      </c>
      <c r="F1189" t="s">
        <v>174</v>
      </c>
      <c r="G1189">
        <v>1.25</v>
      </c>
      <c r="H1189">
        <v>1.25</v>
      </c>
      <c r="I1189" t="s">
        <v>56</v>
      </c>
      <c r="O1189" t="s">
        <v>57</v>
      </c>
      <c r="Q1189" t="s">
        <v>57</v>
      </c>
      <c r="R1189" t="s">
        <v>137</v>
      </c>
      <c r="T1189" t="s">
        <v>59</v>
      </c>
      <c r="U1189" t="s">
        <v>60</v>
      </c>
      <c r="V1189" t="s">
        <v>138</v>
      </c>
      <c r="W1189" t="s">
        <v>139</v>
      </c>
      <c r="X1189">
        <v>1927633</v>
      </c>
      <c r="Y1189" s="11">
        <v>44777</v>
      </c>
      <c r="Z1189" t="s">
        <v>57</v>
      </c>
      <c r="AA1189">
        <v>10</v>
      </c>
      <c r="AB1189" t="s">
        <v>57</v>
      </c>
      <c r="AD1189" t="s">
        <v>57</v>
      </c>
      <c r="AE1189" t="s">
        <v>57</v>
      </c>
      <c r="AF1189" t="s">
        <v>57</v>
      </c>
      <c r="AG1189">
        <v>1</v>
      </c>
      <c r="AH1189" t="s">
        <v>57</v>
      </c>
      <c r="AL1189" t="s">
        <v>57</v>
      </c>
      <c r="AM1189" s="11">
        <v>44777</v>
      </c>
      <c r="AN1189" t="s">
        <v>184</v>
      </c>
      <c r="AO1189" t="s">
        <v>65</v>
      </c>
      <c r="AP1189">
        <v>1206</v>
      </c>
      <c r="AQ1189" t="s">
        <v>66</v>
      </c>
      <c r="AR1189">
        <v>215741</v>
      </c>
      <c r="AU1189" t="s">
        <v>57</v>
      </c>
      <c r="AV1189" t="s">
        <v>68</v>
      </c>
      <c r="AX1189" t="s">
        <v>57</v>
      </c>
      <c r="AY1189">
        <v>631110</v>
      </c>
      <c r="AZ1189">
        <v>1206.63111</v>
      </c>
      <c r="BA1189" s="23" t="s">
        <v>14</v>
      </c>
    </row>
    <row r="1190" spans="1:53" x14ac:dyDescent="0.25">
      <c r="A1190" t="s">
        <v>134</v>
      </c>
      <c r="B1190" t="s">
        <v>135</v>
      </c>
      <c r="C1190">
        <v>22002508</v>
      </c>
      <c r="D1190">
        <v>1206</v>
      </c>
      <c r="E1190" s="11">
        <v>44777</v>
      </c>
      <c r="F1190" t="s">
        <v>174</v>
      </c>
      <c r="G1190">
        <v>5.35</v>
      </c>
      <c r="H1190">
        <v>5.35</v>
      </c>
      <c r="I1190" t="s">
        <v>56</v>
      </c>
      <c r="O1190" t="s">
        <v>57</v>
      </c>
      <c r="Q1190" t="s">
        <v>57</v>
      </c>
      <c r="R1190" t="s">
        <v>137</v>
      </c>
      <c r="T1190" t="s">
        <v>59</v>
      </c>
      <c r="U1190" t="s">
        <v>60</v>
      </c>
      <c r="V1190" t="s">
        <v>138</v>
      </c>
      <c r="W1190" t="s">
        <v>139</v>
      </c>
      <c r="X1190">
        <v>1927633</v>
      </c>
      <c r="Y1190" s="11">
        <v>44777</v>
      </c>
      <c r="Z1190" t="s">
        <v>57</v>
      </c>
      <c r="AA1190">
        <v>2</v>
      </c>
      <c r="AB1190" t="s">
        <v>57</v>
      </c>
      <c r="AD1190" t="s">
        <v>57</v>
      </c>
      <c r="AE1190" t="s">
        <v>57</v>
      </c>
      <c r="AF1190" t="s">
        <v>57</v>
      </c>
      <c r="AG1190">
        <v>1</v>
      </c>
      <c r="AH1190" t="s">
        <v>57</v>
      </c>
      <c r="AL1190" t="s">
        <v>57</v>
      </c>
      <c r="AM1190" s="11">
        <v>44777</v>
      </c>
      <c r="AN1190" t="s">
        <v>184</v>
      </c>
      <c r="AO1190" t="s">
        <v>65</v>
      </c>
      <c r="AP1190">
        <v>1206</v>
      </c>
      <c r="AQ1190" t="s">
        <v>66</v>
      </c>
      <c r="AR1190">
        <v>217171</v>
      </c>
      <c r="AU1190" t="s">
        <v>57</v>
      </c>
      <c r="AV1190" t="s">
        <v>68</v>
      </c>
      <c r="AX1190" t="s">
        <v>57</v>
      </c>
      <c r="AY1190">
        <v>631110</v>
      </c>
      <c r="AZ1190">
        <v>1206.63111</v>
      </c>
      <c r="BA1190" s="23" t="s">
        <v>14</v>
      </c>
    </row>
    <row r="1191" spans="1:53" x14ac:dyDescent="0.25">
      <c r="A1191" t="s">
        <v>134</v>
      </c>
      <c r="B1191" t="s">
        <v>135</v>
      </c>
      <c r="C1191">
        <v>22002508</v>
      </c>
      <c r="D1191">
        <v>1206</v>
      </c>
      <c r="E1191" s="11">
        <v>44777</v>
      </c>
      <c r="F1191" t="s">
        <v>174</v>
      </c>
      <c r="G1191">
        <v>4.55</v>
      </c>
      <c r="H1191">
        <v>4.55</v>
      </c>
      <c r="I1191" t="s">
        <v>56</v>
      </c>
      <c r="O1191" t="s">
        <v>57</v>
      </c>
      <c r="Q1191" t="s">
        <v>57</v>
      </c>
      <c r="R1191" t="s">
        <v>137</v>
      </c>
      <c r="T1191" t="s">
        <v>59</v>
      </c>
      <c r="U1191" t="s">
        <v>60</v>
      </c>
      <c r="V1191" t="s">
        <v>138</v>
      </c>
      <c r="W1191" t="s">
        <v>139</v>
      </c>
      <c r="X1191">
        <v>1927633</v>
      </c>
      <c r="Y1191" s="11">
        <v>44777</v>
      </c>
      <c r="Z1191" t="s">
        <v>57</v>
      </c>
      <c r="AA1191">
        <v>4</v>
      </c>
      <c r="AB1191" t="s">
        <v>57</v>
      </c>
      <c r="AD1191" t="s">
        <v>57</v>
      </c>
      <c r="AE1191" t="s">
        <v>57</v>
      </c>
      <c r="AF1191" t="s">
        <v>57</v>
      </c>
      <c r="AG1191">
        <v>1</v>
      </c>
      <c r="AH1191" t="s">
        <v>57</v>
      </c>
      <c r="AL1191" t="s">
        <v>57</v>
      </c>
      <c r="AM1191" s="11">
        <v>44777</v>
      </c>
      <c r="AN1191" t="s">
        <v>184</v>
      </c>
      <c r="AO1191" t="s">
        <v>65</v>
      </c>
      <c r="AP1191">
        <v>1206</v>
      </c>
      <c r="AQ1191" t="s">
        <v>66</v>
      </c>
      <c r="AR1191">
        <v>142795</v>
      </c>
      <c r="AU1191" t="s">
        <v>57</v>
      </c>
      <c r="AV1191" t="s">
        <v>68</v>
      </c>
      <c r="AX1191" t="s">
        <v>57</v>
      </c>
      <c r="AY1191">
        <v>631110</v>
      </c>
      <c r="AZ1191">
        <v>1206.63111</v>
      </c>
      <c r="BA1191" s="23" t="s">
        <v>14</v>
      </c>
    </row>
    <row r="1192" spans="1:53" x14ac:dyDescent="0.25">
      <c r="A1192" t="s">
        <v>134</v>
      </c>
      <c r="B1192" t="s">
        <v>135</v>
      </c>
      <c r="C1192">
        <v>22002508</v>
      </c>
      <c r="D1192">
        <v>1206</v>
      </c>
      <c r="E1192" s="11">
        <v>44777</v>
      </c>
      <c r="F1192" t="s">
        <v>174</v>
      </c>
      <c r="G1192">
        <v>0.12</v>
      </c>
      <c r="H1192">
        <v>0.12</v>
      </c>
      <c r="I1192" t="s">
        <v>56</v>
      </c>
      <c r="O1192" t="s">
        <v>57</v>
      </c>
      <c r="Q1192" t="s">
        <v>57</v>
      </c>
      <c r="R1192" t="s">
        <v>137</v>
      </c>
      <c r="T1192" t="s">
        <v>59</v>
      </c>
      <c r="U1192" t="s">
        <v>60</v>
      </c>
      <c r="V1192" t="s">
        <v>138</v>
      </c>
      <c r="W1192" t="s">
        <v>139</v>
      </c>
      <c r="X1192">
        <v>1927633</v>
      </c>
      <c r="Y1192" s="11">
        <v>44777</v>
      </c>
      <c r="Z1192" t="s">
        <v>57</v>
      </c>
      <c r="AA1192">
        <v>6</v>
      </c>
      <c r="AB1192" t="s">
        <v>57</v>
      </c>
      <c r="AD1192" t="s">
        <v>57</v>
      </c>
      <c r="AE1192" t="s">
        <v>57</v>
      </c>
      <c r="AF1192" t="s">
        <v>57</v>
      </c>
      <c r="AG1192">
        <v>1</v>
      </c>
      <c r="AH1192" t="s">
        <v>57</v>
      </c>
      <c r="AL1192" t="s">
        <v>57</v>
      </c>
      <c r="AM1192" s="11">
        <v>44777</v>
      </c>
      <c r="AN1192" t="s">
        <v>184</v>
      </c>
      <c r="AO1192" t="s">
        <v>65</v>
      </c>
      <c r="AP1192">
        <v>1206</v>
      </c>
      <c r="AQ1192" t="s">
        <v>66</v>
      </c>
      <c r="AR1192">
        <v>226150</v>
      </c>
      <c r="AU1192" t="s">
        <v>57</v>
      </c>
      <c r="AV1192" t="s">
        <v>68</v>
      </c>
      <c r="AX1192" t="s">
        <v>57</v>
      </c>
      <c r="AY1192">
        <v>631110</v>
      </c>
      <c r="AZ1192">
        <v>1206.63111</v>
      </c>
      <c r="BA1192" s="23" t="s">
        <v>14</v>
      </c>
    </row>
    <row r="1193" spans="1:53" x14ac:dyDescent="0.25">
      <c r="A1193" t="s">
        <v>134</v>
      </c>
      <c r="B1193" t="s">
        <v>135</v>
      </c>
      <c r="C1193">
        <v>22002509</v>
      </c>
      <c r="D1193">
        <v>1206</v>
      </c>
      <c r="E1193" s="11">
        <v>44777</v>
      </c>
      <c r="F1193" t="s">
        <v>159</v>
      </c>
      <c r="G1193">
        <v>30.12</v>
      </c>
      <c r="H1193">
        <v>30.12</v>
      </c>
      <c r="I1193" t="s">
        <v>56</v>
      </c>
      <c r="O1193" t="s">
        <v>57</v>
      </c>
      <c r="Q1193" t="s">
        <v>57</v>
      </c>
      <c r="R1193" t="s">
        <v>137</v>
      </c>
      <c r="T1193" t="s">
        <v>59</v>
      </c>
      <c r="U1193" t="s">
        <v>60</v>
      </c>
      <c r="V1193" t="s">
        <v>138</v>
      </c>
      <c r="W1193" t="s">
        <v>139</v>
      </c>
      <c r="X1193">
        <v>1927633</v>
      </c>
      <c r="Y1193" s="11">
        <v>44777</v>
      </c>
      <c r="Z1193" t="s">
        <v>57</v>
      </c>
      <c r="AA1193">
        <v>2</v>
      </c>
      <c r="AB1193" t="s">
        <v>57</v>
      </c>
      <c r="AD1193" t="s">
        <v>57</v>
      </c>
      <c r="AE1193" t="s">
        <v>57</v>
      </c>
      <c r="AF1193" t="s">
        <v>57</v>
      </c>
      <c r="AG1193">
        <v>1</v>
      </c>
      <c r="AH1193" t="s">
        <v>57</v>
      </c>
      <c r="AL1193" t="s">
        <v>57</v>
      </c>
      <c r="AM1193" s="11">
        <v>44777</v>
      </c>
      <c r="AN1193" t="s">
        <v>184</v>
      </c>
      <c r="AO1193" t="s">
        <v>65</v>
      </c>
      <c r="AP1193">
        <v>1206</v>
      </c>
      <c r="AQ1193" t="s">
        <v>66</v>
      </c>
      <c r="AR1193">
        <v>222067</v>
      </c>
      <c r="AU1193" t="s">
        <v>57</v>
      </c>
      <c r="AV1193" t="s">
        <v>68</v>
      </c>
      <c r="AX1193" t="s">
        <v>57</v>
      </c>
      <c r="AY1193">
        <v>631110</v>
      </c>
      <c r="AZ1193">
        <v>1206.63111</v>
      </c>
      <c r="BA1193" s="23" t="s">
        <v>14</v>
      </c>
    </row>
    <row r="1194" spans="1:53" x14ac:dyDescent="0.25">
      <c r="A1194" t="s">
        <v>134</v>
      </c>
      <c r="B1194" t="s">
        <v>135</v>
      </c>
      <c r="C1194">
        <v>22002510</v>
      </c>
      <c r="D1194">
        <v>1206</v>
      </c>
      <c r="E1194" s="11">
        <v>44777</v>
      </c>
      <c r="F1194" t="s">
        <v>172</v>
      </c>
      <c r="G1194">
        <v>7.42</v>
      </c>
      <c r="H1194">
        <v>7.42</v>
      </c>
      <c r="I1194" t="s">
        <v>56</v>
      </c>
      <c r="O1194" t="s">
        <v>57</v>
      </c>
      <c r="Q1194" t="s">
        <v>57</v>
      </c>
      <c r="R1194" t="s">
        <v>137</v>
      </c>
      <c r="T1194" t="s">
        <v>59</v>
      </c>
      <c r="U1194" t="s">
        <v>60</v>
      </c>
      <c r="V1194" t="s">
        <v>138</v>
      </c>
      <c r="W1194" t="s">
        <v>139</v>
      </c>
      <c r="X1194">
        <v>1927633</v>
      </c>
      <c r="Y1194" s="11">
        <v>44777</v>
      </c>
      <c r="Z1194" t="s">
        <v>57</v>
      </c>
      <c r="AA1194">
        <v>2</v>
      </c>
      <c r="AB1194" t="s">
        <v>57</v>
      </c>
      <c r="AD1194" t="s">
        <v>57</v>
      </c>
      <c r="AE1194" t="s">
        <v>57</v>
      </c>
      <c r="AF1194" t="s">
        <v>57</v>
      </c>
      <c r="AG1194">
        <v>1</v>
      </c>
      <c r="AH1194" t="s">
        <v>57</v>
      </c>
      <c r="AL1194" t="s">
        <v>57</v>
      </c>
      <c r="AM1194" s="11">
        <v>44777</v>
      </c>
      <c r="AN1194" t="s">
        <v>184</v>
      </c>
      <c r="AO1194" t="s">
        <v>65</v>
      </c>
      <c r="AP1194">
        <v>1206</v>
      </c>
      <c r="AQ1194" t="s">
        <v>66</v>
      </c>
      <c r="AR1194">
        <v>225948</v>
      </c>
      <c r="AU1194" t="s">
        <v>57</v>
      </c>
      <c r="AV1194" t="s">
        <v>68</v>
      </c>
      <c r="AX1194" t="s">
        <v>57</v>
      </c>
      <c r="AY1194">
        <v>631110</v>
      </c>
      <c r="AZ1194">
        <v>1206.63111</v>
      </c>
      <c r="BA1194" s="23" t="s">
        <v>14</v>
      </c>
    </row>
    <row r="1195" spans="1:53" x14ac:dyDescent="0.25">
      <c r="A1195" t="s">
        <v>134</v>
      </c>
      <c r="B1195" t="s">
        <v>135</v>
      </c>
      <c r="C1195">
        <v>22002510</v>
      </c>
      <c r="D1195">
        <v>1206</v>
      </c>
      <c r="E1195" s="11">
        <v>44777</v>
      </c>
      <c r="F1195" t="s">
        <v>172</v>
      </c>
      <c r="G1195">
        <v>8.06</v>
      </c>
      <c r="H1195">
        <v>8.06</v>
      </c>
      <c r="I1195" t="s">
        <v>56</v>
      </c>
      <c r="O1195" t="s">
        <v>57</v>
      </c>
      <c r="Q1195" t="s">
        <v>57</v>
      </c>
      <c r="R1195" t="s">
        <v>137</v>
      </c>
      <c r="T1195" t="s">
        <v>59</v>
      </c>
      <c r="U1195" t="s">
        <v>60</v>
      </c>
      <c r="V1195" t="s">
        <v>138</v>
      </c>
      <c r="W1195" t="s">
        <v>139</v>
      </c>
      <c r="X1195">
        <v>1927633</v>
      </c>
      <c r="Y1195" s="11">
        <v>44777</v>
      </c>
      <c r="Z1195" t="s">
        <v>57</v>
      </c>
      <c r="AA1195">
        <v>4</v>
      </c>
      <c r="AB1195" t="s">
        <v>57</v>
      </c>
      <c r="AD1195" t="s">
        <v>57</v>
      </c>
      <c r="AE1195" t="s">
        <v>57</v>
      </c>
      <c r="AF1195" t="s">
        <v>57</v>
      </c>
      <c r="AG1195">
        <v>1</v>
      </c>
      <c r="AH1195" t="s">
        <v>57</v>
      </c>
      <c r="AL1195" t="s">
        <v>57</v>
      </c>
      <c r="AM1195" s="11">
        <v>44777</v>
      </c>
      <c r="AN1195" t="s">
        <v>184</v>
      </c>
      <c r="AO1195" t="s">
        <v>65</v>
      </c>
      <c r="AP1195">
        <v>1206</v>
      </c>
      <c r="AQ1195" t="s">
        <v>66</v>
      </c>
      <c r="AR1195">
        <v>279991</v>
      </c>
      <c r="AU1195" t="s">
        <v>57</v>
      </c>
      <c r="AV1195" t="s">
        <v>68</v>
      </c>
      <c r="AX1195" t="s">
        <v>57</v>
      </c>
      <c r="AY1195">
        <v>631110</v>
      </c>
      <c r="AZ1195">
        <v>1206.63111</v>
      </c>
      <c r="BA1195" s="23" t="s">
        <v>14</v>
      </c>
    </row>
    <row r="1196" spans="1:53" x14ac:dyDescent="0.25">
      <c r="A1196" t="s">
        <v>134</v>
      </c>
      <c r="B1196" t="s">
        <v>135</v>
      </c>
      <c r="C1196">
        <v>22002511</v>
      </c>
      <c r="D1196">
        <v>1206</v>
      </c>
      <c r="E1196" s="11">
        <v>44777</v>
      </c>
      <c r="F1196" t="s">
        <v>174</v>
      </c>
      <c r="G1196">
        <v>6.86</v>
      </c>
      <c r="H1196">
        <v>6.86</v>
      </c>
      <c r="I1196" t="s">
        <v>56</v>
      </c>
      <c r="O1196" t="s">
        <v>57</v>
      </c>
      <c r="Q1196" t="s">
        <v>57</v>
      </c>
      <c r="R1196" t="s">
        <v>137</v>
      </c>
      <c r="T1196" t="s">
        <v>59</v>
      </c>
      <c r="U1196" t="s">
        <v>60</v>
      </c>
      <c r="V1196" t="s">
        <v>138</v>
      </c>
      <c r="W1196" t="s">
        <v>139</v>
      </c>
      <c r="X1196">
        <v>1927633</v>
      </c>
      <c r="Y1196" s="11">
        <v>44777</v>
      </c>
      <c r="Z1196" t="s">
        <v>57</v>
      </c>
      <c r="AA1196">
        <v>6</v>
      </c>
      <c r="AB1196" t="s">
        <v>57</v>
      </c>
      <c r="AD1196" t="s">
        <v>57</v>
      </c>
      <c r="AE1196" t="s">
        <v>57</v>
      </c>
      <c r="AF1196" t="s">
        <v>57</v>
      </c>
      <c r="AG1196">
        <v>2</v>
      </c>
      <c r="AH1196" t="s">
        <v>57</v>
      </c>
      <c r="AL1196" t="s">
        <v>57</v>
      </c>
      <c r="AM1196" s="11">
        <v>44777</v>
      </c>
      <c r="AN1196" t="s">
        <v>184</v>
      </c>
      <c r="AO1196" t="s">
        <v>65</v>
      </c>
      <c r="AP1196">
        <v>1206</v>
      </c>
      <c r="AQ1196" t="s">
        <v>66</v>
      </c>
      <c r="AR1196">
        <v>206793</v>
      </c>
      <c r="AU1196" t="s">
        <v>57</v>
      </c>
      <c r="AV1196" t="s">
        <v>68</v>
      </c>
      <c r="AX1196" t="s">
        <v>57</v>
      </c>
      <c r="AY1196">
        <v>631110</v>
      </c>
      <c r="AZ1196">
        <v>1206.63111</v>
      </c>
      <c r="BA1196" s="23" t="s">
        <v>14</v>
      </c>
    </row>
    <row r="1197" spans="1:53" x14ac:dyDescent="0.25">
      <c r="A1197" t="s">
        <v>134</v>
      </c>
      <c r="B1197" t="s">
        <v>135</v>
      </c>
      <c r="C1197">
        <v>22002511</v>
      </c>
      <c r="D1197">
        <v>1206</v>
      </c>
      <c r="E1197" s="11">
        <v>44777</v>
      </c>
      <c r="F1197" t="s">
        <v>174</v>
      </c>
      <c r="G1197">
        <v>0.6</v>
      </c>
      <c r="H1197">
        <v>0.6</v>
      </c>
      <c r="I1197" t="s">
        <v>56</v>
      </c>
      <c r="O1197" t="s">
        <v>57</v>
      </c>
      <c r="Q1197" t="s">
        <v>57</v>
      </c>
      <c r="R1197" t="s">
        <v>137</v>
      </c>
      <c r="T1197" t="s">
        <v>59</v>
      </c>
      <c r="U1197" t="s">
        <v>60</v>
      </c>
      <c r="V1197" t="s">
        <v>138</v>
      </c>
      <c r="W1197" t="s">
        <v>139</v>
      </c>
      <c r="X1197">
        <v>1927633</v>
      </c>
      <c r="Y1197" s="11">
        <v>44777</v>
      </c>
      <c r="Z1197" t="s">
        <v>57</v>
      </c>
      <c r="AA1197">
        <v>2</v>
      </c>
      <c r="AB1197" t="s">
        <v>57</v>
      </c>
      <c r="AD1197" t="s">
        <v>57</v>
      </c>
      <c r="AE1197" t="s">
        <v>57</v>
      </c>
      <c r="AF1197" t="s">
        <v>57</v>
      </c>
      <c r="AG1197">
        <v>1</v>
      </c>
      <c r="AH1197" t="s">
        <v>57</v>
      </c>
      <c r="AL1197" t="s">
        <v>57</v>
      </c>
      <c r="AM1197" s="11">
        <v>44777</v>
      </c>
      <c r="AN1197" t="s">
        <v>184</v>
      </c>
      <c r="AO1197" t="s">
        <v>65</v>
      </c>
      <c r="AP1197">
        <v>1206</v>
      </c>
      <c r="AQ1197" t="s">
        <v>66</v>
      </c>
      <c r="AR1197">
        <v>271900</v>
      </c>
      <c r="AU1197" t="s">
        <v>57</v>
      </c>
      <c r="AV1197" t="s">
        <v>68</v>
      </c>
      <c r="AX1197" t="s">
        <v>57</v>
      </c>
      <c r="AY1197">
        <v>631110</v>
      </c>
      <c r="AZ1197">
        <v>1206.63111</v>
      </c>
      <c r="BA1197" s="23" t="s">
        <v>14</v>
      </c>
    </row>
    <row r="1198" spans="1:53" x14ac:dyDescent="0.25">
      <c r="A1198" t="s">
        <v>134</v>
      </c>
      <c r="B1198" t="s">
        <v>135</v>
      </c>
      <c r="C1198">
        <v>22002511</v>
      </c>
      <c r="D1198">
        <v>1206</v>
      </c>
      <c r="E1198" s="11">
        <v>44777</v>
      </c>
      <c r="F1198" t="s">
        <v>174</v>
      </c>
      <c r="G1198">
        <v>1.73</v>
      </c>
      <c r="H1198">
        <v>1.73</v>
      </c>
      <c r="I1198" t="s">
        <v>56</v>
      </c>
      <c r="O1198" t="s">
        <v>57</v>
      </c>
      <c r="Q1198" t="s">
        <v>57</v>
      </c>
      <c r="R1198" t="s">
        <v>137</v>
      </c>
      <c r="T1198" t="s">
        <v>59</v>
      </c>
      <c r="U1198" t="s">
        <v>60</v>
      </c>
      <c r="V1198" t="s">
        <v>138</v>
      </c>
      <c r="W1198" t="s">
        <v>139</v>
      </c>
      <c r="X1198">
        <v>1927633</v>
      </c>
      <c r="Y1198" s="11">
        <v>44777</v>
      </c>
      <c r="Z1198" t="s">
        <v>57</v>
      </c>
      <c r="AA1198">
        <v>4</v>
      </c>
      <c r="AB1198" t="s">
        <v>57</v>
      </c>
      <c r="AD1198" t="s">
        <v>57</v>
      </c>
      <c r="AE1198" t="s">
        <v>57</v>
      </c>
      <c r="AF1198" t="s">
        <v>57</v>
      </c>
      <c r="AG1198">
        <v>1</v>
      </c>
      <c r="AH1198" t="s">
        <v>57</v>
      </c>
      <c r="AL1198" t="s">
        <v>57</v>
      </c>
      <c r="AM1198" s="11">
        <v>44777</v>
      </c>
      <c r="AN1198" t="s">
        <v>184</v>
      </c>
      <c r="AO1198" t="s">
        <v>65</v>
      </c>
      <c r="AP1198">
        <v>1206</v>
      </c>
      <c r="AQ1198" t="s">
        <v>66</v>
      </c>
      <c r="AR1198">
        <v>174953</v>
      </c>
      <c r="AU1198" t="s">
        <v>57</v>
      </c>
      <c r="AV1198" t="s">
        <v>68</v>
      </c>
      <c r="AX1198" t="s">
        <v>57</v>
      </c>
      <c r="AY1198">
        <v>631110</v>
      </c>
      <c r="AZ1198">
        <v>1206.63111</v>
      </c>
      <c r="BA1198" s="23" t="s">
        <v>14</v>
      </c>
    </row>
    <row r="1199" spans="1:53" x14ac:dyDescent="0.25">
      <c r="A1199" t="s">
        <v>134</v>
      </c>
      <c r="B1199" t="s">
        <v>135</v>
      </c>
      <c r="C1199">
        <v>22002518</v>
      </c>
      <c r="D1199">
        <v>1206</v>
      </c>
      <c r="E1199" s="11">
        <v>44777</v>
      </c>
      <c r="F1199" t="s">
        <v>185</v>
      </c>
      <c r="G1199">
        <v>21.89</v>
      </c>
      <c r="H1199">
        <v>21.89</v>
      </c>
      <c r="I1199" t="s">
        <v>56</v>
      </c>
      <c r="O1199" t="s">
        <v>57</v>
      </c>
      <c r="Q1199" t="s">
        <v>57</v>
      </c>
      <c r="R1199" t="s">
        <v>137</v>
      </c>
      <c r="T1199" t="s">
        <v>59</v>
      </c>
      <c r="U1199" t="s">
        <v>60</v>
      </c>
      <c r="V1199" t="s">
        <v>138</v>
      </c>
      <c r="W1199" t="s">
        <v>139</v>
      </c>
      <c r="X1199">
        <v>1927715</v>
      </c>
      <c r="Y1199" s="11">
        <v>44778</v>
      </c>
      <c r="Z1199" t="s">
        <v>57</v>
      </c>
      <c r="AA1199">
        <v>2</v>
      </c>
      <c r="AB1199" t="s">
        <v>57</v>
      </c>
      <c r="AD1199" t="s">
        <v>57</v>
      </c>
      <c r="AE1199" t="s">
        <v>57</v>
      </c>
      <c r="AF1199" t="s">
        <v>57</v>
      </c>
      <c r="AG1199">
        <v>60</v>
      </c>
      <c r="AH1199" t="s">
        <v>57</v>
      </c>
      <c r="AL1199" t="s">
        <v>57</v>
      </c>
      <c r="AM1199" s="11">
        <v>44777</v>
      </c>
      <c r="AN1199" t="s">
        <v>183</v>
      </c>
      <c r="AO1199" t="s">
        <v>65</v>
      </c>
      <c r="AP1199">
        <v>1206</v>
      </c>
      <c r="AQ1199" t="s">
        <v>66</v>
      </c>
      <c r="AR1199">
        <v>91011</v>
      </c>
      <c r="AU1199" t="s">
        <v>57</v>
      </c>
      <c r="AV1199" t="s">
        <v>68</v>
      </c>
      <c r="AX1199" t="s">
        <v>57</v>
      </c>
      <c r="AY1199">
        <v>631110</v>
      </c>
      <c r="AZ1199">
        <v>1206.63111</v>
      </c>
      <c r="BA1199" s="23" t="s">
        <v>14</v>
      </c>
    </row>
    <row r="1200" spans="1:53" x14ac:dyDescent="0.25">
      <c r="A1200" t="s">
        <v>134</v>
      </c>
      <c r="B1200" t="s">
        <v>135</v>
      </c>
      <c r="C1200">
        <v>22002518</v>
      </c>
      <c r="D1200">
        <v>1206</v>
      </c>
      <c r="E1200" s="11">
        <v>44777</v>
      </c>
      <c r="F1200" t="s">
        <v>185</v>
      </c>
      <c r="G1200">
        <v>1.53</v>
      </c>
      <c r="H1200">
        <v>1.53</v>
      </c>
      <c r="I1200" t="s">
        <v>56</v>
      </c>
      <c r="O1200" t="s">
        <v>57</v>
      </c>
      <c r="Q1200" t="s">
        <v>57</v>
      </c>
      <c r="R1200" t="s">
        <v>137</v>
      </c>
      <c r="T1200" t="s">
        <v>59</v>
      </c>
      <c r="U1200" t="s">
        <v>60</v>
      </c>
      <c r="V1200" t="s">
        <v>138</v>
      </c>
      <c r="W1200" t="s">
        <v>139</v>
      </c>
      <c r="X1200">
        <v>1927715</v>
      </c>
      <c r="Y1200" s="11">
        <v>44778</v>
      </c>
      <c r="Z1200" t="s">
        <v>57</v>
      </c>
      <c r="AA1200">
        <v>4</v>
      </c>
      <c r="AB1200" t="s">
        <v>57</v>
      </c>
      <c r="AD1200" t="s">
        <v>57</v>
      </c>
      <c r="AE1200" t="s">
        <v>57</v>
      </c>
      <c r="AF1200" t="s">
        <v>57</v>
      </c>
      <c r="AG1200">
        <v>10</v>
      </c>
      <c r="AH1200" t="s">
        <v>57</v>
      </c>
      <c r="AL1200" t="s">
        <v>57</v>
      </c>
      <c r="AM1200" s="11">
        <v>44777</v>
      </c>
      <c r="AN1200" t="s">
        <v>183</v>
      </c>
      <c r="AO1200" t="s">
        <v>65</v>
      </c>
      <c r="AP1200">
        <v>1206</v>
      </c>
      <c r="AQ1200" t="s">
        <v>66</v>
      </c>
      <c r="AR1200">
        <v>144854</v>
      </c>
      <c r="AU1200" t="s">
        <v>57</v>
      </c>
      <c r="AV1200" t="s">
        <v>68</v>
      </c>
      <c r="AX1200" t="s">
        <v>57</v>
      </c>
      <c r="AY1200">
        <v>631110</v>
      </c>
      <c r="AZ1200">
        <v>1206.63111</v>
      </c>
      <c r="BA1200" s="23" t="s">
        <v>14</v>
      </c>
    </row>
    <row r="1201" spans="1:53" x14ac:dyDescent="0.25">
      <c r="A1201" t="s">
        <v>134</v>
      </c>
      <c r="B1201" t="s">
        <v>135</v>
      </c>
      <c r="C1201">
        <v>22002518</v>
      </c>
      <c r="D1201">
        <v>1206</v>
      </c>
      <c r="E1201" s="11">
        <v>44777</v>
      </c>
      <c r="F1201" t="s">
        <v>185</v>
      </c>
      <c r="G1201">
        <v>6.14</v>
      </c>
      <c r="H1201">
        <v>6.14</v>
      </c>
      <c r="I1201" t="s">
        <v>56</v>
      </c>
      <c r="O1201" t="s">
        <v>57</v>
      </c>
      <c r="Q1201" t="s">
        <v>57</v>
      </c>
      <c r="R1201" t="s">
        <v>137</v>
      </c>
      <c r="T1201" t="s">
        <v>59</v>
      </c>
      <c r="U1201" t="s">
        <v>60</v>
      </c>
      <c r="V1201" t="s">
        <v>138</v>
      </c>
      <c r="W1201" t="s">
        <v>139</v>
      </c>
      <c r="X1201">
        <v>1927715</v>
      </c>
      <c r="Y1201" s="11">
        <v>44778</v>
      </c>
      <c r="Z1201" t="s">
        <v>57</v>
      </c>
      <c r="AA1201">
        <v>6</v>
      </c>
      <c r="AB1201" t="s">
        <v>57</v>
      </c>
      <c r="AD1201" t="s">
        <v>57</v>
      </c>
      <c r="AE1201" t="s">
        <v>57</v>
      </c>
      <c r="AF1201" t="s">
        <v>57</v>
      </c>
      <c r="AG1201">
        <v>40</v>
      </c>
      <c r="AH1201" t="s">
        <v>57</v>
      </c>
      <c r="AL1201" t="s">
        <v>57</v>
      </c>
      <c r="AM1201" s="11">
        <v>44777</v>
      </c>
      <c r="AN1201" t="s">
        <v>183</v>
      </c>
      <c r="AO1201" t="s">
        <v>65</v>
      </c>
      <c r="AP1201">
        <v>1206</v>
      </c>
      <c r="AQ1201" t="s">
        <v>66</v>
      </c>
      <c r="AR1201">
        <v>89712</v>
      </c>
      <c r="AU1201" t="s">
        <v>57</v>
      </c>
      <c r="AV1201" t="s">
        <v>68</v>
      </c>
      <c r="AX1201" t="s">
        <v>57</v>
      </c>
      <c r="AY1201">
        <v>631110</v>
      </c>
      <c r="AZ1201">
        <v>1206.63111</v>
      </c>
      <c r="BA1201" s="23" t="s">
        <v>14</v>
      </c>
    </row>
    <row r="1202" spans="1:53" x14ac:dyDescent="0.25">
      <c r="A1202" t="s">
        <v>134</v>
      </c>
      <c r="B1202" t="s">
        <v>135</v>
      </c>
      <c r="C1202">
        <v>22002518</v>
      </c>
      <c r="D1202">
        <v>1206</v>
      </c>
      <c r="E1202" s="11">
        <v>44777</v>
      </c>
      <c r="F1202" t="s">
        <v>185</v>
      </c>
      <c r="G1202">
        <v>0.77</v>
      </c>
      <c r="H1202">
        <v>0.77</v>
      </c>
      <c r="I1202" t="s">
        <v>56</v>
      </c>
      <c r="O1202" t="s">
        <v>57</v>
      </c>
      <c r="Q1202" t="s">
        <v>57</v>
      </c>
      <c r="R1202" t="s">
        <v>137</v>
      </c>
      <c r="T1202" t="s">
        <v>59</v>
      </c>
      <c r="U1202" t="s">
        <v>60</v>
      </c>
      <c r="V1202" t="s">
        <v>138</v>
      </c>
      <c r="W1202" t="s">
        <v>139</v>
      </c>
      <c r="X1202">
        <v>1927715</v>
      </c>
      <c r="Y1202" s="11">
        <v>44778</v>
      </c>
      <c r="Z1202" t="s">
        <v>57</v>
      </c>
      <c r="AA1202">
        <v>8</v>
      </c>
      <c r="AB1202" t="s">
        <v>57</v>
      </c>
      <c r="AD1202" t="s">
        <v>57</v>
      </c>
      <c r="AE1202" t="s">
        <v>57</v>
      </c>
      <c r="AF1202" t="s">
        <v>57</v>
      </c>
      <c r="AG1202">
        <v>10</v>
      </c>
      <c r="AH1202" t="s">
        <v>57</v>
      </c>
      <c r="AL1202" t="s">
        <v>57</v>
      </c>
      <c r="AM1202" s="11">
        <v>44777</v>
      </c>
      <c r="AN1202" t="s">
        <v>183</v>
      </c>
      <c r="AO1202" t="s">
        <v>65</v>
      </c>
      <c r="AP1202">
        <v>1206</v>
      </c>
      <c r="AQ1202" t="s">
        <v>66</v>
      </c>
      <c r="AR1202">
        <v>267129</v>
      </c>
      <c r="AU1202" t="s">
        <v>57</v>
      </c>
      <c r="AV1202" t="s">
        <v>68</v>
      </c>
      <c r="AX1202" t="s">
        <v>57</v>
      </c>
      <c r="AY1202">
        <v>631110</v>
      </c>
      <c r="AZ1202">
        <v>1206.63111</v>
      </c>
      <c r="BA1202" s="23" t="s">
        <v>14</v>
      </c>
    </row>
    <row r="1203" spans="1:53" x14ac:dyDescent="0.25">
      <c r="A1203" t="s">
        <v>134</v>
      </c>
      <c r="B1203" t="s">
        <v>135</v>
      </c>
      <c r="C1203">
        <v>22002518</v>
      </c>
      <c r="D1203">
        <v>1206</v>
      </c>
      <c r="E1203" s="11">
        <v>44777</v>
      </c>
      <c r="F1203" t="s">
        <v>185</v>
      </c>
      <c r="G1203">
        <v>0.77</v>
      </c>
      <c r="H1203">
        <v>0.77</v>
      </c>
      <c r="I1203" t="s">
        <v>56</v>
      </c>
      <c r="O1203" t="s">
        <v>57</v>
      </c>
      <c r="Q1203" t="s">
        <v>57</v>
      </c>
      <c r="R1203" t="s">
        <v>137</v>
      </c>
      <c r="T1203" t="s">
        <v>59</v>
      </c>
      <c r="U1203" t="s">
        <v>60</v>
      </c>
      <c r="V1203" t="s">
        <v>138</v>
      </c>
      <c r="W1203" t="s">
        <v>139</v>
      </c>
      <c r="X1203">
        <v>1927715</v>
      </c>
      <c r="Y1203" s="11">
        <v>44778</v>
      </c>
      <c r="Z1203" t="s">
        <v>57</v>
      </c>
      <c r="AA1203">
        <v>10</v>
      </c>
      <c r="AB1203" t="s">
        <v>57</v>
      </c>
      <c r="AD1203" t="s">
        <v>57</v>
      </c>
      <c r="AE1203" t="s">
        <v>57</v>
      </c>
      <c r="AF1203" t="s">
        <v>57</v>
      </c>
      <c r="AG1203">
        <v>10</v>
      </c>
      <c r="AH1203" t="s">
        <v>57</v>
      </c>
      <c r="AL1203" t="s">
        <v>57</v>
      </c>
      <c r="AM1203" s="11">
        <v>44777</v>
      </c>
      <c r="AN1203" t="s">
        <v>183</v>
      </c>
      <c r="AO1203" t="s">
        <v>65</v>
      </c>
      <c r="AP1203">
        <v>1206</v>
      </c>
      <c r="AQ1203" t="s">
        <v>66</v>
      </c>
      <c r="AR1203">
        <v>91479</v>
      </c>
      <c r="AU1203" t="s">
        <v>57</v>
      </c>
      <c r="AV1203" t="s">
        <v>68</v>
      </c>
      <c r="AX1203" t="s">
        <v>57</v>
      </c>
      <c r="AY1203">
        <v>631110</v>
      </c>
      <c r="AZ1203">
        <v>1206.63111</v>
      </c>
      <c r="BA1203" s="23" t="s">
        <v>14</v>
      </c>
    </row>
    <row r="1204" spans="1:53" x14ac:dyDescent="0.25">
      <c r="A1204" t="s">
        <v>134</v>
      </c>
      <c r="B1204" t="s">
        <v>135</v>
      </c>
      <c r="C1204">
        <v>22002518</v>
      </c>
      <c r="D1204">
        <v>1206</v>
      </c>
      <c r="E1204" s="11">
        <v>44777</v>
      </c>
      <c r="F1204" t="s">
        <v>185</v>
      </c>
      <c r="G1204">
        <v>0.86</v>
      </c>
      <c r="H1204">
        <v>0.86</v>
      </c>
      <c r="I1204" t="s">
        <v>56</v>
      </c>
      <c r="O1204" t="s">
        <v>57</v>
      </c>
      <c r="Q1204" t="s">
        <v>57</v>
      </c>
      <c r="R1204" t="s">
        <v>137</v>
      </c>
      <c r="T1204" t="s">
        <v>59</v>
      </c>
      <c r="U1204" t="s">
        <v>60</v>
      </c>
      <c r="V1204" t="s">
        <v>138</v>
      </c>
      <c r="W1204" t="s">
        <v>139</v>
      </c>
      <c r="X1204">
        <v>1927715</v>
      </c>
      <c r="Y1204" s="11">
        <v>44778</v>
      </c>
      <c r="Z1204" t="s">
        <v>57</v>
      </c>
      <c r="AA1204">
        <v>12</v>
      </c>
      <c r="AB1204" t="s">
        <v>57</v>
      </c>
      <c r="AD1204" t="s">
        <v>57</v>
      </c>
      <c r="AE1204" t="s">
        <v>57</v>
      </c>
      <c r="AF1204" t="s">
        <v>57</v>
      </c>
      <c r="AG1204">
        <v>10</v>
      </c>
      <c r="AH1204" t="s">
        <v>57</v>
      </c>
      <c r="AL1204" t="s">
        <v>57</v>
      </c>
      <c r="AM1204" s="11">
        <v>44777</v>
      </c>
      <c r="AN1204" t="s">
        <v>183</v>
      </c>
      <c r="AO1204" t="s">
        <v>65</v>
      </c>
      <c r="AP1204">
        <v>1206</v>
      </c>
      <c r="AQ1204" t="s">
        <v>66</v>
      </c>
      <c r="AR1204">
        <v>92908</v>
      </c>
      <c r="AU1204" t="s">
        <v>57</v>
      </c>
      <c r="AV1204" t="s">
        <v>68</v>
      </c>
      <c r="AX1204" t="s">
        <v>57</v>
      </c>
      <c r="AY1204">
        <v>631110</v>
      </c>
      <c r="AZ1204">
        <v>1206.63111</v>
      </c>
      <c r="BA1204" s="23" t="s">
        <v>14</v>
      </c>
    </row>
    <row r="1205" spans="1:53" x14ac:dyDescent="0.25">
      <c r="A1205" t="s">
        <v>134</v>
      </c>
      <c r="B1205" t="s">
        <v>135</v>
      </c>
      <c r="C1205">
        <v>22002481</v>
      </c>
      <c r="D1205">
        <v>1206</v>
      </c>
      <c r="E1205" s="11">
        <v>44778</v>
      </c>
      <c r="F1205" t="s">
        <v>159</v>
      </c>
      <c r="G1205">
        <v>1.36</v>
      </c>
      <c r="H1205">
        <v>1.36</v>
      </c>
      <c r="I1205" t="s">
        <v>56</v>
      </c>
      <c r="O1205" t="s">
        <v>57</v>
      </c>
      <c r="Q1205" t="s">
        <v>57</v>
      </c>
      <c r="R1205" t="s">
        <v>137</v>
      </c>
      <c r="T1205" t="s">
        <v>59</v>
      </c>
      <c r="U1205" t="s">
        <v>60</v>
      </c>
      <c r="V1205" t="s">
        <v>138</v>
      </c>
      <c r="W1205" t="s">
        <v>139</v>
      </c>
      <c r="X1205">
        <v>1925333</v>
      </c>
      <c r="Y1205" s="11">
        <v>44771</v>
      </c>
      <c r="Z1205" t="s">
        <v>57</v>
      </c>
      <c r="AA1205">
        <v>2</v>
      </c>
      <c r="AB1205" t="s">
        <v>57</v>
      </c>
      <c r="AD1205" t="s">
        <v>57</v>
      </c>
      <c r="AE1205" t="s">
        <v>57</v>
      </c>
      <c r="AF1205" t="s">
        <v>57</v>
      </c>
      <c r="AG1205">
        <v>2</v>
      </c>
      <c r="AH1205" t="s">
        <v>57</v>
      </c>
      <c r="AL1205" t="s">
        <v>57</v>
      </c>
      <c r="AM1205" s="11">
        <v>44778</v>
      </c>
      <c r="AN1205" t="s">
        <v>184</v>
      </c>
      <c r="AO1205" t="s">
        <v>65</v>
      </c>
      <c r="AP1205">
        <v>1206</v>
      </c>
      <c r="AQ1205" t="s">
        <v>66</v>
      </c>
      <c r="AR1205">
        <v>88732</v>
      </c>
      <c r="AU1205" t="s">
        <v>57</v>
      </c>
      <c r="AV1205" t="s">
        <v>68</v>
      </c>
      <c r="AX1205" t="s">
        <v>57</v>
      </c>
      <c r="AY1205">
        <v>631110</v>
      </c>
      <c r="AZ1205">
        <v>1206.63111</v>
      </c>
      <c r="BA1205" s="23" t="s">
        <v>14</v>
      </c>
    </row>
    <row r="1206" spans="1:53" x14ac:dyDescent="0.25">
      <c r="A1206" t="s">
        <v>134</v>
      </c>
      <c r="B1206" t="s">
        <v>135</v>
      </c>
      <c r="C1206">
        <v>22002524</v>
      </c>
      <c r="D1206">
        <v>1206</v>
      </c>
      <c r="E1206" s="11">
        <v>44778</v>
      </c>
      <c r="F1206" t="s">
        <v>174</v>
      </c>
      <c r="G1206">
        <v>0.81</v>
      </c>
      <c r="H1206">
        <v>0.81</v>
      </c>
      <c r="I1206" t="s">
        <v>56</v>
      </c>
      <c r="O1206" t="s">
        <v>57</v>
      </c>
      <c r="Q1206" t="s">
        <v>57</v>
      </c>
      <c r="R1206" t="s">
        <v>137</v>
      </c>
      <c r="T1206" t="s">
        <v>59</v>
      </c>
      <c r="U1206" t="s">
        <v>60</v>
      </c>
      <c r="V1206" t="s">
        <v>138</v>
      </c>
      <c r="W1206" t="s">
        <v>139</v>
      </c>
      <c r="X1206">
        <v>1928766</v>
      </c>
      <c r="Y1206" s="11">
        <v>44778</v>
      </c>
      <c r="Z1206" t="s">
        <v>57</v>
      </c>
      <c r="AA1206">
        <v>18</v>
      </c>
      <c r="AB1206" t="s">
        <v>57</v>
      </c>
      <c r="AD1206" t="s">
        <v>57</v>
      </c>
      <c r="AE1206" t="s">
        <v>57</v>
      </c>
      <c r="AF1206" t="s">
        <v>57</v>
      </c>
      <c r="AG1206">
        <v>1</v>
      </c>
      <c r="AH1206" t="s">
        <v>57</v>
      </c>
      <c r="AL1206" t="s">
        <v>57</v>
      </c>
      <c r="AM1206" s="11">
        <v>44778</v>
      </c>
      <c r="AN1206" t="s">
        <v>184</v>
      </c>
      <c r="AO1206" t="s">
        <v>65</v>
      </c>
      <c r="AP1206">
        <v>1206</v>
      </c>
      <c r="AQ1206" t="s">
        <v>66</v>
      </c>
      <c r="AR1206">
        <v>270709</v>
      </c>
      <c r="AU1206" t="s">
        <v>57</v>
      </c>
      <c r="AV1206" t="s">
        <v>68</v>
      </c>
      <c r="AX1206" t="s">
        <v>57</v>
      </c>
      <c r="AY1206">
        <v>631110</v>
      </c>
      <c r="AZ1206">
        <v>1206.63111</v>
      </c>
      <c r="BA1206" s="23" t="s">
        <v>14</v>
      </c>
    </row>
    <row r="1207" spans="1:53" x14ac:dyDescent="0.25">
      <c r="A1207" t="s">
        <v>134</v>
      </c>
      <c r="B1207" t="s">
        <v>135</v>
      </c>
      <c r="C1207">
        <v>22002524</v>
      </c>
      <c r="D1207">
        <v>1206</v>
      </c>
      <c r="E1207" s="11">
        <v>44778</v>
      </c>
      <c r="F1207" t="s">
        <v>174</v>
      </c>
      <c r="G1207">
        <v>26.81</v>
      </c>
      <c r="H1207">
        <v>26.81</v>
      </c>
      <c r="I1207" t="s">
        <v>56</v>
      </c>
      <c r="O1207" t="s">
        <v>57</v>
      </c>
      <c r="Q1207" t="s">
        <v>57</v>
      </c>
      <c r="R1207" t="s">
        <v>137</v>
      </c>
      <c r="T1207" t="s">
        <v>59</v>
      </c>
      <c r="U1207" t="s">
        <v>60</v>
      </c>
      <c r="V1207" t="s">
        <v>138</v>
      </c>
      <c r="W1207" t="s">
        <v>139</v>
      </c>
      <c r="X1207">
        <v>1928766</v>
      </c>
      <c r="Y1207" s="11">
        <v>44778</v>
      </c>
      <c r="Z1207" t="s">
        <v>57</v>
      </c>
      <c r="AA1207">
        <v>2</v>
      </c>
      <c r="AB1207" t="s">
        <v>57</v>
      </c>
      <c r="AD1207" t="s">
        <v>57</v>
      </c>
      <c r="AE1207" t="s">
        <v>57</v>
      </c>
      <c r="AF1207" t="s">
        <v>57</v>
      </c>
      <c r="AG1207">
        <v>1</v>
      </c>
      <c r="AH1207" t="s">
        <v>57</v>
      </c>
      <c r="AL1207" t="s">
        <v>57</v>
      </c>
      <c r="AM1207" s="11">
        <v>44778</v>
      </c>
      <c r="AN1207" t="s">
        <v>184</v>
      </c>
      <c r="AO1207" t="s">
        <v>65</v>
      </c>
      <c r="AP1207">
        <v>1206</v>
      </c>
      <c r="AQ1207" t="s">
        <v>66</v>
      </c>
      <c r="AR1207">
        <v>143095</v>
      </c>
      <c r="AU1207" t="s">
        <v>57</v>
      </c>
      <c r="AV1207" t="s">
        <v>68</v>
      </c>
      <c r="AX1207" t="s">
        <v>57</v>
      </c>
      <c r="AY1207">
        <v>631110</v>
      </c>
      <c r="AZ1207">
        <v>1206.63111</v>
      </c>
      <c r="BA1207" s="23" t="s">
        <v>14</v>
      </c>
    </row>
    <row r="1208" spans="1:53" x14ac:dyDescent="0.25">
      <c r="A1208" t="s">
        <v>134</v>
      </c>
      <c r="B1208" t="s">
        <v>135</v>
      </c>
      <c r="C1208">
        <v>22002524</v>
      </c>
      <c r="D1208">
        <v>1206</v>
      </c>
      <c r="E1208" s="11">
        <v>44778</v>
      </c>
      <c r="F1208" t="s">
        <v>174</v>
      </c>
      <c r="G1208">
        <v>0.97</v>
      </c>
      <c r="H1208">
        <v>0.97</v>
      </c>
      <c r="I1208" t="s">
        <v>56</v>
      </c>
      <c r="O1208" t="s">
        <v>57</v>
      </c>
      <c r="Q1208" t="s">
        <v>57</v>
      </c>
      <c r="R1208" t="s">
        <v>137</v>
      </c>
      <c r="T1208" t="s">
        <v>59</v>
      </c>
      <c r="U1208" t="s">
        <v>60</v>
      </c>
      <c r="V1208" t="s">
        <v>138</v>
      </c>
      <c r="W1208" t="s">
        <v>139</v>
      </c>
      <c r="X1208">
        <v>1928766</v>
      </c>
      <c r="Y1208" s="11">
        <v>44778</v>
      </c>
      <c r="Z1208" t="s">
        <v>57</v>
      </c>
      <c r="AA1208">
        <v>4</v>
      </c>
      <c r="AB1208" t="s">
        <v>57</v>
      </c>
      <c r="AD1208" t="s">
        <v>57</v>
      </c>
      <c r="AE1208" t="s">
        <v>57</v>
      </c>
      <c r="AF1208" t="s">
        <v>57</v>
      </c>
      <c r="AG1208">
        <v>2</v>
      </c>
      <c r="AH1208" t="s">
        <v>57</v>
      </c>
      <c r="AL1208" t="s">
        <v>57</v>
      </c>
      <c r="AM1208" s="11">
        <v>44778</v>
      </c>
      <c r="AN1208" t="s">
        <v>184</v>
      </c>
      <c r="AO1208" t="s">
        <v>65</v>
      </c>
      <c r="AP1208">
        <v>1206</v>
      </c>
      <c r="AQ1208" t="s">
        <v>66</v>
      </c>
      <c r="AR1208">
        <v>90122</v>
      </c>
      <c r="AU1208" t="s">
        <v>57</v>
      </c>
      <c r="AV1208" t="s">
        <v>68</v>
      </c>
      <c r="AX1208" t="s">
        <v>57</v>
      </c>
      <c r="AY1208">
        <v>631110</v>
      </c>
      <c r="AZ1208">
        <v>1206.63111</v>
      </c>
      <c r="BA1208" s="23" t="s">
        <v>14</v>
      </c>
    </row>
    <row r="1209" spans="1:53" x14ac:dyDescent="0.25">
      <c r="A1209" t="s">
        <v>134</v>
      </c>
      <c r="B1209" t="s">
        <v>135</v>
      </c>
      <c r="C1209">
        <v>22002524</v>
      </c>
      <c r="D1209">
        <v>1206</v>
      </c>
      <c r="E1209" s="11">
        <v>44778</v>
      </c>
      <c r="F1209" t="s">
        <v>174</v>
      </c>
      <c r="G1209">
        <v>0.12</v>
      </c>
      <c r="H1209">
        <v>0.12</v>
      </c>
      <c r="I1209" t="s">
        <v>56</v>
      </c>
      <c r="O1209" t="s">
        <v>57</v>
      </c>
      <c r="Q1209" t="s">
        <v>57</v>
      </c>
      <c r="R1209" t="s">
        <v>137</v>
      </c>
      <c r="T1209" t="s">
        <v>59</v>
      </c>
      <c r="U1209" t="s">
        <v>60</v>
      </c>
      <c r="V1209" t="s">
        <v>138</v>
      </c>
      <c r="W1209" t="s">
        <v>139</v>
      </c>
      <c r="X1209">
        <v>1928766</v>
      </c>
      <c r="Y1209" s="11">
        <v>44778</v>
      </c>
      <c r="Z1209" t="s">
        <v>57</v>
      </c>
      <c r="AA1209">
        <v>6</v>
      </c>
      <c r="AB1209" t="s">
        <v>57</v>
      </c>
      <c r="AD1209" t="s">
        <v>57</v>
      </c>
      <c r="AE1209" t="s">
        <v>57</v>
      </c>
      <c r="AF1209" t="s">
        <v>57</v>
      </c>
      <c r="AG1209">
        <v>1</v>
      </c>
      <c r="AH1209" t="s">
        <v>57</v>
      </c>
      <c r="AL1209" t="s">
        <v>57</v>
      </c>
      <c r="AM1209" s="11">
        <v>44778</v>
      </c>
      <c r="AN1209" t="s">
        <v>184</v>
      </c>
      <c r="AO1209" t="s">
        <v>65</v>
      </c>
      <c r="AP1209">
        <v>1206</v>
      </c>
      <c r="AQ1209" t="s">
        <v>66</v>
      </c>
      <c r="AR1209">
        <v>226150</v>
      </c>
      <c r="AU1209" t="s">
        <v>57</v>
      </c>
      <c r="AV1209" t="s">
        <v>68</v>
      </c>
      <c r="AX1209" t="s">
        <v>57</v>
      </c>
      <c r="AY1209">
        <v>631110</v>
      </c>
      <c r="AZ1209">
        <v>1206.63111</v>
      </c>
      <c r="BA1209" s="23" t="s">
        <v>14</v>
      </c>
    </row>
    <row r="1210" spans="1:53" x14ac:dyDescent="0.25">
      <c r="A1210" t="s">
        <v>134</v>
      </c>
      <c r="B1210" t="s">
        <v>135</v>
      </c>
      <c r="C1210">
        <v>22002524</v>
      </c>
      <c r="D1210">
        <v>1206</v>
      </c>
      <c r="E1210" s="11">
        <v>44778</v>
      </c>
      <c r="F1210" t="s">
        <v>174</v>
      </c>
      <c r="G1210">
        <v>4.57</v>
      </c>
      <c r="H1210">
        <v>4.57</v>
      </c>
      <c r="I1210" t="s">
        <v>56</v>
      </c>
      <c r="O1210" t="s">
        <v>57</v>
      </c>
      <c r="Q1210" t="s">
        <v>57</v>
      </c>
      <c r="R1210" t="s">
        <v>137</v>
      </c>
      <c r="T1210" t="s">
        <v>59</v>
      </c>
      <c r="U1210" t="s">
        <v>60</v>
      </c>
      <c r="V1210" t="s">
        <v>138</v>
      </c>
      <c r="W1210" t="s">
        <v>139</v>
      </c>
      <c r="X1210">
        <v>1928766</v>
      </c>
      <c r="Y1210" s="11">
        <v>44778</v>
      </c>
      <c r="Z1210" t="s">
        <v>57</v>
      </c>
      <c r="AA1210">
        <v>8</v>
      </c>
      <c r="AB1210" t="s">
        <v>57</v>
      </c>
      <c r="AD1210" t="s">
        <v>57</v>
      </c>
      <c r="AE1210" t="s">
        <v>57</v>
      </c>
      <c r="AF1210" t="s">
        <v>57</v>
      </c>
      <c r="AG1210">
        <v>1</v>
      </c>
      <c r="AH1210" t="s">
        <v>57</v>
      </c>
      <c r="AL1210" t="s">
        <v>57</v>
      </c>
      <c r="AM1210" s="11">
        <v>44778</v>
      </c>
      <c r="AN1210" t="s">
        <v>184</v>
      </c>
      <c r="AO1210" t="s">
        <v>65</v>
      </c>
      <c r="AP1210">
        <v>1206</v>
      </c>
      <c r="AQ1210" t="s">
        <v>66</v>
      </c>
      <c r="AR1210">
        <v>206435</v>
      </c>
      <c r="AU1210" t="s">
        <v>57</v>
      </c>
      <c r="AV1210" t="s">
        <v>68</v>
      </c>
      <c r="AX1210" t="s">
        <v>57</v>
      </c>
      <c r="AY1210">
        <v>631110</v>
      </c>
      <c r="AZ1210">
        <v>1206.63111</v>
      </c>
      <c r="BA1210" s="23" t="s">
        <v>14</v>
      </c>
    </row>
    <row r="1211" spans="1:53" x14ac:dyDescent="0.25">
      <c r="A1211" t="s">
        <v>134</v>
      </c>
      <c r="B1211" t="s">
        <v>135</v>
      </c>
      <c r="C1211">
        <v>22002524</v>
      </c>
      <c r="D1211">
        <v>1206</v>
      </c>
      <c r="E1211" s="11">
        <v>44778</v>
      </c>
      <c r="F1211" t="s">
        <v>174</v>
      </c>
      <c r="G1211">
        <v>7.0000000000000007E-2</v>
      </c>
      <c r="H1211">
        <v>7.0000000000000007E-2</v>
      </c>
      <c r="I1211" t="s">
        <v>56</v>
      </c>
      <c r="O1211" t="s">
        <v>57</v>
      </c>
      <c r="Q1211" t="s">
        <v>57</v>
      </c>
      <c r="R1211" t="s">
        <v>137</v>
      </c>
      <c r="T1211" t="s">
        <v>59</v>
      </c>
      <c r="U1211" t="s">
        <v>60</v>
      </c>
      <c r="V1211" t="s">
        <v>138</v>
      </c>
      <c r="W1211" t="s">
        <v>139</v>
      </c>
      <c r="X1211">
        <v>1928766</v>
      </c>
      <c r="Y1211" s="11">
        <v>44778</v>
      </c>
      <c r="Z1211" t="s">
        <v>57</v>
      </c>
      <c r="AA1211">
        <v>10</v>
      </c>
      <c r="AB1211" t="s">
        <v>57</v>
      </c>
      <c r="AD1211" t="s">
        <v>57</v>
      </c>
      <c r="AE1211" t="s">
        <v>57</v>
      </c>
      <c r="AF1211" t="s">
        <v>57</v>
      </c>
      <c r="AG1211">
        <v>1</v>
      </c>
      <c r="AH1211" t="s">
        <v>57</v>
      </c>
      <c r="AL1211" t="s">
        <v>57</v>
      </c>
      <c r="AM1211" s="11">
        <v>44778</v>
      </c>
      <c r="AN1211" t="s">
        <v>184</v>
      </c>
      <c r="AO1211" t="s">
        <v>65</v>
      </c>
      <c r="AP1211">
        <v>1206</v>
      </c>
      <c r="AQ1211" t="s">
        <v>66</v>
      </c>
      <c r="AR1211">
        <v>88799</v>
      </c>
      <c r="AU1211" t="s">
        <v>57</v>
      </c>
      <c r="AV1211" t="s">
        <v>68</v>
      </c>
      <c r="AX1211" t="s">
        <v>57</v>
      </c>
      <c r="AY1211">
        <v>631110</v>
      </c>
      <c r="AZ1211">
        <v>1206.63111</v>
      </c>
      <c r="BA1211" s="23" t="s">
        <v>14</v>
      </c>
    </row>
    <row r="1212" spans="1:53" x14ac:dyDescent="0.25">
      <c r="A1212" t="s">
        <v>134</v>
      </c>
      <c r="B1212" t="s">
        <v>135</v>
      </c>
      <c r="C1212">
        <v>22002524</v>
      </c>
      <c r="D1212">
        <v>1206</v>
      </c>
      <c r="E1212" s="11">
        <v>44778</v>
      </c>
      <c r="F1212" t="s">
        <v>174</v>
      </c>
      <c r="G1212">
        <v>1.25</v>
      </c>
      <c r="H1212">
        <v>1.25</v>
      </c>
      <c r="I1212" t="s">
        <v>56</v>
      </c>
      <c r="O1212" t="s">
        <v>57</v>
      </c>
      <c r="Q1212" t="s">
        <v>57</v>
      </c>
      <c r="R1212" t="s">
        <v>137</v>
      </c>
      <c r="T1212" t="s">
        <v>59</v>
      </c>
      <c r="U1212" t="s">
        <v>60</v>
      </c>
      <c r="V1212" t="s">
        <v>138</v>
      </c>
      <c r="W1212" t="s">
        <v>139</v>
      </c>
      <c r="X1212">
        <v>1928766</v>
      </c>
      <c r="Y1212" s="11">
        <v>44778</v>
      </c>
      <c r="Z1212" t="s">
        <v>57</v>
      </c>
      <c r="AA1212">
        <v>12</v>
      </c>
      <c r="AB1212" t="s">
        <v>57</v>
      </c>
      <c r="AD1212" t="s">
        <v>57</v>
      </c>
      <c r="AE1212" t="s">
        <v>57</v>
      </c>
      <c r="AF1212" t="s">
        <v>57</v>
      </c>
      <c r="AG1212">
        <v>1</v>
      </c>
      <c r="AH1212" t="s">
        <v>57</v>
      </c>
      <c r="AL1212" t="s">
        <v>57</v>
      </c>
      <c r="AM1212" s="11">
        <v>44778</v>
      </c>
      <c r="AN1212" t="s">
        <v>184</v>
      </c>
      <c r="AO1212" t="s">
        <v>65</v>
      </c>
      <c r="AP1212">
        <v>1206</v>
      </c>
      <c r="AQ1212" t="s">
        <v>66</v>
      </c>
      <c r="AR1212">
        <v>215741</v>
      </c>
      <c r="AU1212" t="s">
        <v>57</v>
      </c>
      <c r="AV1212" t="s">
        <v>68</v>
      </c>
      <c r="AX1212" t="s">
        <v>57</v>
      </c>
      <c r="AY1212">
        <v>631110</v>
      </c>
      <c r="AZ1212">
        <v>1206.63111</v>
      </c>
      <c r="BA1212" s="23" t="s">
        <v>14</v>
      </c>
    </row>
    <row r="1213" spans="1:53" x14ac:dyDescent="0.25">
      <c r="A1213" t="s">
        <v>134</v>
      </c>
      <c r="B1213" t="s">
        <v>135</v>
      </c>
      <c r="C1213">
        <v>22002524</v>
      </c>
      <c r="D1213">
        <v>1206</v>
      </c>
      <c r="E1213" s="11">
        <v>44778</v>
      </c>
      <c r="F1213" t="s">
        <v>174</v>
      </c>
      <c r="G1213">
        <v>13.78</v>
      </c>
      <c r="H1213">
        <v>13.78</v>
      </c>
      <c r="I1213" t="s">
        <v>56</v>
      </c>
      <c r="O1213" t="s">
        <v>57</v>
      </c>
      <c r="Q1213" t="s">
        <v>57</v>
      </c>
      <c r="R1213" t="s">
        <v>137</v>
      </c>
      <c r="T1213" t="s">
        <v>59</v>
      </c>
      <c r="U1213" t="s">
        <v>60</v>
      </c>
      <c r="V1213" t="s">
        <v>138</v>
      </c>
      <c r="W1213" t="s">
        <v>139</v>
      </c>
      <c r="X1213">
        <v>1928766</v>
      </c>
      <c r="Y1213" s="11">
        <v>44778</v>
      </c>
      <c r="Z1213" t="s">
        <v>57</v>
      </c>
      <c r="AA1213">
        <v>14</v>
      </c>
      <c r="AB1213" t="s">
        <v>57</v>
      </c>
      <c r="AD1213" t="s">
        <v>57</v>
      </c>
      <c r="AE1213" t="s">
        <v>57</v>
      </c>
      <c r="AF1213" t="s">
        <v>57</v>
      </c>
      <c r="AG1213">
        <v>1</v>
      </c>
      <c r="AH1213" t="s">
        <v>57</v>
      </c>
      <c r="AL1213" t="s">
        <v>57</v>
      </c>
      <c r="AM1213" s="11">
        <v>44778</v>
      </c>
      <c r="AN1213" t="s">
        <v>184</v>
      </c>
      <c r="AO1213" t="s">
        <v>65</v>
      </c>
      <c r="AP1213">
        <v>1206</v>
      </c>
      <c r="AQ1213" t="s">
        <v>66</v>
      </c>
      <c r="AR1213">
        <v>96021</v>
      </c>
      <c r="AU1213" t="s">
        <v>57</v>
      </c>
      <c r="AV1213" t="s">
        <v>68</v>
      </c>
      <c r="AX1213" t="s">
        <v>57</v>
      </c>
      <c r="AY1213">
        <v>631110</v>
      </c>
      <c r="AZ1213">
        <v>1206.63111</v>
      </c>
      <c r="BA1213" s="23" t="s">
        <v>14</v>
      </c>
    </row>
    <row r="1214" spans="1:53" x14ac:dyDescent="0.25">
      <c r="A1214" t="s">
        <v>134</v>
      </c>
      <c r="B1214" t="s">
        <v>135</v>
      </c>
      <c r="C1214">
        <v>22002524</v>
      </c>
      <c r="D1214">
        <v>1206</v>
      </c>
      <c r="E1214" s="11">
        <v>44778</v>
      </c>
      <c r="F1214" t="s">
        <v>174</v>
      </c>
      <c r="G1214">
        <v>1.04</v>
      </c>
      <c r="H1214">
        <v>1.04</v>
      </c>
      <c r="I1214" t="s">
        <v>56</v>
      </c>
      <c r="O1214" t="s">
        <v>57</v>
      </c>
      <c r="Q1214" t="s">
        <v>57</v>
      </c>
      <c r="R1214" t="s">
        <v>137</v>
      </c>
      <c r="T1214" t="s">
        <v>59</v>
      </c>
      <c r="U1214" t="s">
        <v>60</v>
      </c>
      <c r="V1214" t="s">
        <v>138</v>
      </c>
      <c r="W1214" t="s">
        <v>139</v>
      </c>
      <c r="X1214">
        <v>1928766</v>
      </c>
      <c r="Y1214" s="11">
        <v>44778</v>
      </c>
      <c r="Z1214" t="s">
        <v>57</v>
      </c>
      <c r="AA1214">
        <v>16</v>
      </c>
      <c r="AB1214" t="s">
        <v>57</v>
      </c>
      <c r="AD1214" t="s">
        <v>57</v>
      </c>
      <c r="AE1214" t="s">
        <v>57</v>
      </c>
      <c r="AF1214" t="s">
        <v>57</v>
      </c>
      <c r="AG1214">
        <v>1</v>
      </c>
      <c r="AH1214" t="s">
        <v>57</v>
      </c>
      <c r="AL1214" t="s">
        <v>57</v>
      </c>
      <c r="AM1214" s="11">
        <v>44778</v>
      </c>
      <c r="AN1214" t="s">
        <v>184</v>
      </c>
      <c r="AO1214" t="s">
        <v>65</v>
      </c>
      <c r="AP1214">
        <v>1206</v>
      </c>
      <c r="AQ1214" t="s">
        <v>66</v>
      </c>
      <c r="AR1214">
        <v>88527</v>
      </c>
      <c r="AU1214" t="s">
        <v>57</v>
      </c>
      <c r="AV1214" t="s">
        <v>68</v>
      </c>
      <c r="AX1214" t="s">
        <v>57</v>
      </c>
      <c r="AY1214">
        <v>631110</v>
      </c>
      <c r="AZ1214">
        <v>1206.63111</v>
      </c>
      <c r="BA1214" s="23" t="s">
        <v>14</v>
      </c>
    </row>
    <row r="1215" spans="1:53" x14ac:dyDescent="0.25">
      <c r="A1215" t="s">
        <v>134</v>
      </c>
      <c r="B1215" t="s">
        <v>135</v>
      </c>
      <c r="C1215">
        <v>22002525</v>
      </c>
      <c r="D1215">
        <v>1206</v>
      </c>
      <c r="E1215" s="11">
        <v>44778</v>
      </c>
      <c r="F1215" t="s">
        <v>159</v>
      </c>
      <c r="G1215">
        <v>0.68</v>
      </c>
      <c r="H1215">
        <v>0.68</v>
      </c>
      <c r="I1215" t="s">
        <v>56</v>
      </c>
      <c r="O1215" t="s">
        <v>57</v>
      </c>
      <c r="Q1215" t="s">
        <v>57</v>
      </c>
      <c r="R1215" t="s">
        <v>137</v>
      </c>
      <c r="T1215" t="s">
        <v>59</v>
      </c>
      <c r="U1215" t="s">
        <v>60</v>
      </c>
      <c r="V1215" t="s">
        <v>138</v>
      </c>
      <c r="W1215" t="s">
        <v>139</v>
      </c>
      <c r="X1215">
        <v>1928766</v>
      </c>
      <c r="Y1215" s="11">
        <v>44778</v>
      </c>
      <c r="Z1215" t="s">
        <v>57</v>
      </c>
      <c r="AA1215">
        <v>2</v>
      </c>
      <c r="AB1215" t="s">
        <v>57</v>
      </c>
      <c r="AD1215" t="s">
        <v>57</v>
      </c>
      <c r="AE1215" t="s">
        <v>57</v>
      </c>
      <c r="AF1215" t="s">
        <v>57</v>
      </c>
      <c r="AG1215">
        <v>1</v>
      </c>
      <c r="AH1215" t="s">
        <v>57</v>
      </c>
      <c r="AL1215" t="s">
        <v>57</v>
      </c>
      <c r="AM1215" s="11">
        <v>44778</v>
      </c>
      <c r="AN1215" t="s">
        <v>184</v>
      </c>
      <c r="AO1215" t="s">
        <v>65</v>
      </c>
      <c r="AP1215">
        <v>1206</v>
      </c>
      <c r="AQ1215" t="s">
        <v>66</v>
      </c>
      <c r="AR1215">
        <v>88732</v>
      </c>
      <c r="AU1215" t="s">
        <v>57</v>
      </c>
      <c r="AV1215" t="s">
        <v>68</v>
      </c>
      <c r="AX1215" t="s">
        <v>57</v>
      </c>
      <c r="AY1215">
        <v>631110</v>
      </c>
      <c r="AZ1215">
        <v>1206.63111</v>
      </c>
      <c r="BA1215" s="23" t="s">
        <v>14</v>
      </c>
    </row>
    <row r="1216" spans="1:53" x14ac:dyDescent="0.25">
      <c r="A1216" t="s">
        <v>134</v>
      </c>
      <c r="B1216" t="s">
        <v>135</v>
      </c>
      <c r="C1216">
        <v>22002526</v>
      </c>
      <c r="D1216">
        <v>1206</v>
      </c>
      <c r="E1216" s="11">
        <v>44778</v>
      </c>
      <c r="F1216" t="s">
        <v>172</v>
      </c>
      <c r="G1216">
        <v>16.13</v>
      </c>
      <c r="H1216">
        <v>16.13</v>
      </c>
      <c r="I1216" t="s">
        <v>56</v>
      </c>
      <c r="O1216" t="s">
        <v>57</v>
      </c>
      <c r="Q1216" t="s">
        <v>57</v>
      </c>
      <c r="R1216" t="s">
        <v>137</v>
      </c>
      <c r="T1216" t="s">
        <v>59</v>
      </c>
      <c r="U1216" t="s">
        <v>60</v>
      </c>
      <c r="V1216" t="s">
        <v>138</v>
      </c>
      <c r="W1216" t="s">
        <v>139</v>
      </c>
      <c r="X1216">
        <v>1928766</v>
      </c>
      <c r="Y1216" s="11">
        <v>44778</v>
      </c>
      <c r="Z1216" t="s">
        <v>57</v>
      </c>
      <c r="AA1216">
        <v>2</v>
      </c>
      <c r="AB1216" t="s">
        <v>57</v>
      </c>
      <c r="AD1216" t="s">
        <v>57</v>
      </c>
      <c r="AE1216" t="s">
        <v>57</v>
      </c>
      <c r="AF1216" t="s">
        <v>57</v>
      </c>
      <c r="AG1216">
        <v>2</v>
      </c>
      <c r="AH1216" t="s">
        <v>57</v>
      </c>
      <c r="AL1216" t="s">
        <v>57</v>
      </c>
      <c r="AM1216" s="11">
        <v>44778</v>
      </c>
      <c r="AN1216" t="s">
        <v>184</v>
      </c>
      <c r="AO1216" t="s">
        <v>65</v>
      </c>
      <c r="AP1216">
        <v>1206</v>
      </c>
      <c r="AQ1216" t="s">
        <v>66</v>
      </c>
      <c r="AR1216">
        <v>279991</v>
      </c>
      <c r="AU1216" t="s">
        <v>57</v>
      </c>
      <c r="AV1216" t="s">
        <v>68</v>
      </c>
      <c r="AX1216" t="s">
        <v>57</v>
      </c>
      <c r="AY1216">
        <v>631110</v>
      </c>
      <c r="AZ1216">
        <v>1206.63111</v>
      </c>
      <c r="BA1216" s="23" t="s">
        <v>14</v>
      </c>
    </row>
    <row r="1217" spans="1:53" x14ac:dyDescent="0.25">
      <c r="A1217" t="s">
        <v>134</v>
      </c>
      <c r="B1217" t="s">
        <v>135</v>
      </c>
      <c r="C1217">
        <v>22002527</v>
      </c>
      <c r="D1217">
        <v>1206</v>
      </c>
      <c r="E1217" s="11">
        <v>44778</v>
      </c>
      <c r="F1217" t="s">
        <v>174</v>
      </c>
      <c r="G1217">
        <v>0.6</v>
      </c>
      <c r="H1217">
        <v>0.6</v>
      </c>
      <c r="I1217" t="s">
        <v>56</v>
      </c>
      <c r="O1217" t="s">
        <v>57</v>
      </c>
      <c r="Q1217" t="s">
        <v>57</v>
      </c>
      <c r="R1217" t="s">
        <v>137</v>
      </c>
      <c r="T1217" t="s">
        <v>59</v>
      </c>
      <c r="U1217" t="s">
        <v>60</v>
      </c>
      <c r="V1217" t="s">
        <v>138</v>
      </c>
      <c r="W1217" t="s">
        <v>139</v>
      </c>
      <c r="X1217">
        <v>1928766</v>
      </c>
      <c r="Y1217" s="11">
        <v>44778</v>
      </c>
      <c r="Z1217" t="s">
        <v>57</v>
      </c>
      <c r="AA1217">
        <v>2</v>
      </c>
      <c r="AB1217" t="s">
        <v>57</v>
      </c>
      <c r="AD1217" t="s">
        <v>57</v>
      </c>
      <c r="AE1217" t="s">
        <v>57</v>
      </c>
      <c r="AF1217" t="s">
        <v>57</v>
      </c>
      <c r="AG1217">
        <v>1</v>
      </c>
      <c r="AH1217" t="s">
        <v>57</v>
      </c>
      <c r="AL1217" t="s">
        <v>57</v>
      </c>
      <c r="AM1217" s="11">
        <v>44778</v>
      </c>
      <c r="AN1217" t="s">
        <v>184</v>
      </c>
      <c r="AO1217" t="s">
        <v>65</v>
      </c>
      <c r="AP1217">
        <v>1206</v>
      </c>
      <c r="AQ1217" t="s">
        <v>66</v>
      </c>
      <c r="AR1217">
        <v>271900</v>
      </c>
      <c r="AU1217" t="s">
        <v>57</v>
      </c>
      <c r="AV1217" t="s">
        <v>68</v>
      </c>
      <c r="AX1217" t="s">
        <v>57</v>
      </c>
      <c r="AY1217">
        <v>631110</v>
      </c>
      <c r="AZ1217">
        <v>1206.63111</v>
      </c>
      <c r="BA1217" s="23" t="s">
        <v>14</v>
      </c>
    </row>
    <row r="1218" spans="1:53" x14ac:dyDescent="0.25">
      <c r="A1218" t="s">
        <v>134</v>
      </c>
      <c r="B1218" t="s">
        <v>135</v>
      </c>
      <c r="C1218">
        <v>22002527</v>
      </c>
      <c r="D1218">
        <v>1206</v>
      </c>
      <c r="E1218" s="11">
        <v>44778</v>
      </c>
      <c r="F1218" t="s">
        <v>174</v>
      </c>
      <c r="G1218">
        <v>3.43</v>
      </c>
      <c r="H1218">
        <v>3.43</v>
      </c>
      <c r="I1218" t="s">
        <v>56</v>
      </c>
      <c r="O1218" t="s">
        <v>57</v>
      </c>
      <c r="Q1218" t="s">
        <v>57</v>
      </c>
      <c r="R1218" t="s">
        <v>137</v>
      </c>
      <c r="T1218" t="s">
        <v>59</v>
      </c>
      <c r="U1218" t="s">
        <v>60</v>
      </c>
      <c r="V1218" t="s">
        <v>138</v>
      </c>
      <c r="W1218" t="s">
        <v>139</v>
      </c>
      <c r="X1218">
        <v>1928766</v>
      </c>
      <c r="Y1218" s="11">
        <v>44778</v>
      </c>
      <c r="Z1218" t="s">
        <v>57</v>
      </c>
      <c r="AA1218">
        <v>4</v>
      </c>
      <c r="AB1218" t="s">
        <v>57</v>
      </c>
      <c r="AD1218" t="s">
        <v>57</v>
      </c>
      <c r="AE1218" t="s">
        <v>57</v>
      </c>
      <c r="AF1218" t="s">
        <v>57</v>
      </c>
      <c r="AG1218">
        <v>1</v>
      </c>
      <c r="AH1218" t="s">
        <v>57</v>
      </c>
      <c r="AL1218" t="s">
        <v>57</v>
      </c>
      <c r="AM1218" s="11">
        <v>44778</v>
      </c>
      <c r="AN1218" t="s">
        <v>184</v>
      </c>
      <c r="AO1218" t="s">
        <v>65</v>
      </c>
      <c r="AP1218">
        <v>1206</v>
      </c>
      <c r="AQ1218" t="s">
        <v>66</v>
      </c>
      <c r="AR1218">
        <v>206793</v>
      </c>
      <c r="AU1218" t="s">
        <v>57</v>
      </c>
      <c r="AV1218" t="s">
        <v>68</v>
      </c>
      <c r="AX1218" t="s">
        <v>57</v>
      </c>
      <c r="AY1218">
        <v>631110</v>
      </c>
      <c r="AZ1218">
        <v>1206.63111</v>
      </c>
      <c r="BA1218" s="23" t="s">
        <v>14</v>
      </c>
    </row>
    <row r="1219" spans="1:53" x14ac:dyDescent="0.25">
      <c r="A1219" t="s">
        <v>134</v>
      </c>
      <c r="B1219" t="s">
        <v>135</v>
      </c>
      <c r="C1219">
        <v>22002527</v>
      </c>
      <c r="D1219">
        <v>1206</v>
      </c>
      <c r="E1219" s="11">
        <v>44778</v>
      </c>
      <c r="F1219" t="s">
        <v>174</v>
      </c>
      <c r="G1219">
        <v>5.84</v>
      </c>
      <c r="H1219">
        <v>5.84</v>
      </c>
      <c r="I1219" t="s">
        <v>56</v>
      </c>
      <c r="O1219" t="s">
        <v>57</v>
      </c>
      <c r="Q1219" t="s">
        <v>57</v>
      </c>
      <c r="R1219" t="s">
        <v>137</v>
      </c>
      <c r="T1219" t="s">
        <v>59</v>
      </c>
      <c r="U1219" t="s">
        <v>60</v>
      </c>
      <c r="V1219" t="s">
        <v>138</v>
      </c>
      <c r="W1219" t="s">
        <v>139</v>
      </c>
      <c r="X1219">
        <v>1928766</v>
      </c>
      <c r="Y1219" s="11">
        <v>44778</v>
      </c>
      <c r="Z1219" t="s">
        <v>57</v>
      </c>
      <c r="AA1219">
        <v>6</v>
      </c>
      <c r="AB1219" t="s">
        <v>57</v>
      </c>
      <c r="AD1219" t="s">
        <v>57</v>
      </c>
      <c r="AE1219" t="s">
        <v>57</v>
      </c>
      <c r="AF1219" t="s">
        <v>57</v>
      </c>
      <c r="AG1219">
        <v>5</v>
      </c>
      <c r="AH1219" t="s">
        <v>57</v>
      </c>
      <c r="AL1219" t="s">
        <v>57</v>
      </c>
      <c r="AM1219" s="11">
        <v>44778</v>
      </c>
      <c r="AN1219" t="s">
        <v>184</v>
      </c>
      <c r="AO1219" t="s">
        <v>65</v>
      </c>
      <c r="AP1219">
        <v>1206</v>
      </c>
      <c r="AQ1219" t="s">
        <v>66</v>
      </c>
      <c r="AR1219">
        <v>267571</v>
      </c>
      <c r="AU1219" t="s">
        <v>57</v>
      </c>
      <c r="AV1219" t="s">
        <v>68</v>
      </c>
      <c r="AX1219" t="s">
        <v>57</v>
      </c>
      <c r="AY1219">
        <v>631110</v>
      </c>
      <c r="AZ1219">
        <v>1206.63111</v>
      </c>
      <c r="BA1219" s="23" t="s">
        <v>14</v>
      </c>
    </row>
    <row r="1220" spans="1:53" x14ac:dyDescent="0.25">
      <c r="A1220" t="s">
        <v>134</v>
      </c>
      <c r="B1220" t="s">
        <v>135</v>
      </c>
      <c r="C1220">
        <v>22002527</v>
      </c>
      <c r="D1220">
        <v>1206</v>
      </c>
      <c r="E1220" s="11">
        <v>44778</v>
      </c>
      <c r="F1220" t="s">
        <v>174</v>
      </c>
      <c r="G1220">
        <v>0.79</v>
      </c>
      <c r="H1220">
        <v>0.79</v>
      </c>
      <c r="I1220" t="s">
        <v>56</v>
      </c>
      <c r="O1220" t="s">
        <v>57</v>
      </c>
      <c r="Q1220" t="s">
        <v>57</v>
      </c>
      <c r="R1220" t="s">
        <v>137</v>
      </c>
      <c r="T1220" t="s">
        <v>59</v>
      </c>
      <c r="U1220" t="s">
        <v>60</v>
      </c>
      <c r="V1220" t="s">
        <v>138</v>
      </c>
      <c r="W1220" t="s">
        <v>139</v>
      </c>
      <c r="X1220">
        <v>1928766</v>
      </c>
      <c r="Y1220" s="11">
        <v>44778</v>
      </c>
      <c r="Z1220" t="s">
        <v>57</v>
      </c>
      <c r="AA1220">
        <v>8</v>
      </c>
      <c r="AB1220" t="s">
        <v>57</v>
      </c>
      <c r="AD1220" t="s">
        <v>57</v>
      </c>
      <c r="AE1220" t="s">
        <v>57</v>
      </c>
      <c r="AF1220" t="s">
        <v>57</v>
      </c>
      <c r="AG1220">
        <v>1</v>
      </c>
      <c r="AH1220" t="s">
        <v>57</v>
      </c>
      <c r="AL1220" t="s">
        <v>57</v>
      </c>
      <c r="AM1220" s="11">
        <v>44778</v>
      </c>
      <c r="AN1220" t="s">
        <v>184</v>
      </c>
      <c r="AO1220" t="s">
        <v>65</v>
      </c>
      <c r="AP1220">
        <v>1206</v>
      </c>
      <c r="AQ1220" t="s">
        <v>66</v>
      </c>
      <c r="AR1220">
        <v>220124</v>
      </c>
      <c r="AU1220" t="s">
        <v>57</v>
      </c>
      <c r="AV1220" t="s">
        <v>68</v>
      </c>
      <c r="AX1220" t="s">
        <v>57</v>
      </c>
      <c r="AY1220">
        <v>631110</v>
      </c>
      <c r="AZ1220">
        <v>1206.63111</v>
      </c>
      <c r="BA1220" s="23" t="s">
        <v>14</v>
      </c>
    </row>
    <row r="1221" spans="1:53" x14ac:dyDescent="0.25">
      <c r="A1221" t="s">
        <v>134</v>
      </c>
      <c r="B1221" t="s">
        <v>135</v>
      </c>
      <c r="C1221">
        <v>22002527</v>
      </c>
      <c r="D1221">
        <v>1206</v>
      </c>
      <c r="E1221" s="11">
        <v>44778</v>
      </c>
      <c r="F1221" t="s">
        <v>174</v>
      </c>
      <c r="G1221">
        <v>3.8</v>
      </c>
      <c r="H1221">
        <v>3.8</v>
      </c>
      <c r="I1221" t="s">
        <v>56</v>
      </c>
      <c r="O1221" t="s">
        <v>57</v>
      </c>
      <c r="Q1221" t="s">
        <v>57</v>
      </c>
      <c r="R1221" t="s">
        <v>137</v>
      </c>
      <c r="T1221" t="s">
        <v>59</v>
      </c>
      <c r="U1221" t="s">
        <v>60</v>
      </c>
      <c r="V1221" t="s">
        <v>138</v>
      </c>
      <c r="W1221" t="s">
        <v>139</v>
      </c>
      <c r="X1221">
        <v>1928766</v>
      </c>
      <c r="Y1221" s="11">
        <v>44778</v>
      </c>
      <c r="Z1221" t="s">
        <v>57</v>
      </c>
      <c r="AA1221">
        <v>10</v>
      </c>
      <c r="AB1221" t="s">
        <v>57</v>
      </c>
      <c r="AD1221" t="s">
        <v>57</v>
      </c>
      <c r="AE1221" t="s">
        <v>57</v>
      </c>
      <c r="AF1221" t="s">
        <v>57</v>
      </c>
      <c r="AG1221">
        <v>1</v>
      </c>
      <c r="AH1221" t="s">
        <v>57</v>
      </c>
      <c r="AL1221" t="s">
        <v>57</v>
      </c>
      <c r="AM1221" s="11">
        <v>44778</v>
      </c>
      <c r="AN1221" t="s">
        <v>184</v>
      </c>
      <c r="AO1221" t="s">
        <v>65</v>
      </c>
      <c r="AP1221">
        <v>1206</v>
      </c>
      <c r="AQ1221" t="s">
        <v>66</v>
      </c>
      <c r="AR1221">
        <v>220122</v>
      </c>
      <c r="AU1221" t="s">
        <v>57</v>
      </c>
      <c r="AV1221" t="s">
        <v>68</v>
      </c>
      <c r="AX1221" t="s">
        <v>57</v>
      </c>
      <c r="AY1221">
        <v>631110</v>
      </c>
      <c r="AZ1221">
        <v>1206.63111</v>
      </c>
      <c r="BA1221" s="23" t="s">
        <v>14</v>
      </c>
    </row>
    <row r="1222" spans="1:53" x14ac:dyDescent="0.25">
      <c r="A1222" t="s">
        <v>134</v>
      </c>
      <c r="B1222" t="s">
        <v>135</v>
      </c>
      <c r="C1222">
        <v>22002530</v>
      </c>
      <c r="D1222">
        <v>1206</v>
      </c>
      <c r="E1222" s="11">
        <v>44778</v>
      </c>
      <c r="F1222" t="s">
        <v>185</v>
      </c>
      <c r="G1222">
        <v>40.14</v>
      </c>
      <c r="H1222">
        <v>40.14</v>
      </c>
      <c r="I1222" t="s">
        <v>56</v>
      </c>
      <c r="O1222" t="s">
        <v>57</v>
      </c>
      <c r="Q1222" t="s">
        <v>57</v>
      </c>
      <c r="R1222" t="s">
        <v>137</v>
      </c>
      <c r="T1222" t="s">
        <v>59</v>
      </c>
      <c r="U1222" t="s">
        <v>60</v>
      </c>
      <c r="V1222" t="s">
        <v>138</v>
      </c>
      <c r="W1222" t="s">
        <v>139</v>
      </c>
      <c r="X1222">
        <v>1928799</v>
      </c>
      <c r="Y1222" s="11">
        <v>44781</v>
      </c>
      <c r="Z1222" t="s">
        <v>57</v>
      </c>
      <c r="AA1222">
        <v>2</v>
      </c>
      <c r="AB1222" t="s">
        <v>57</v>
      </c>
      <c r="AD1222" t="s">
        <v>57</v>
      </c>
      <c r="AE1222" t="s">
        <v>57</v>
      </c>
      <c r="AF1222" t="s">
        <v>57</v>
      </c>
      <c r="AG1222">
        <v>110</v>
      </c>
      <c r="AH1222" t="s">
        <v>57</v>
      </c>
      <c r="AL1222" t="s">
        <v>57</v>
      </c>
      <c r="AM1222" s="11">
        <v>44778</v>
      </c>
      <c r="AN1222" t="s">
        <v>183</v>
      </c>
      <c r="AO1222" t="s">
        <v>65</v>
      </c>
      <c r="AP1222">
        <v>1206</v>
      </c>
      <c r="AQ1222" t="s">
        <v>66</v>
      </c>
      <c r="AR1222">
        <v>91011</v>
      </c>
      <c r="AU1222" t="s">
        <v>57</v>
      </c>
      <c r="AV1222" t="s">
        <v>68</v>
      </c>
      <c r="AX1222" t="s">
        <v>57</v>
      </c>
      <c r="AY1222">
        <v>631110</v>
      </c>
      <c r="AZ1222">
        <v>1206.63111</v>
      </c>
      <c r="BA1222" s="23" t="s">
        <v>14</v>
      </c>
    </row>
    <row r="1223" spans="1:53" x14ac:dyDescent="0.25">
      <c r="A1223" t="s">
        <v>134</v>
      </c>
      <c r="B1223" t="s">
        <v>135</v>
      </c>
      <c r="C1223">
        <v>22002530</v>
      </c>
      <c r="D1223">
        <v>1206</v>
      </c>
      <c r="E1223" s="11">
        <v>44778</v>
      </c>
      <c r="F1223" t="s">
        <v>185</v>
      </c>
      <c r="G1223">
        <v>4.58</v>
      </c>
      <c r="H1223">
        <v>4.58</v>
      </c>
      <c r="I1223" t="s">
        <v>56</v>
      </c>
      <c r="O1223" t="s">
        <v>57</v>
      </c>
      <c r="Q1223" t="s">
        <v>57</v>
      </c>
      <c r="R1223" t="s">
        <v>137</v>
      </c>
      <c r="T1223" t="s">
        <v>59</v>
      </c>
      <c r="U1223" t="s">
        <v>60</v>
      </c>
      <c r="V1223" t="s">
        <v>138</v>
      </c>
      <c r="W1223" t="s">
        <v>139</v>
      </c>
      <c r="X1223">
        <v>1928799</v>
      </c>
      <c r="Y1223" s="11">
        <v>44781</v>
      </c>
      <c r="Z1223" t="s">
        <v>57</v>
      </c>
      <c r="AA1223">
        <v>4</v>
      </c>
      <c r="AB1223" t="s">
        <v>57</v>
      </c>
      <c r="AD1223" t="s">
        <v>57</v>
      </c>
      <c r="AE1223" t="s">
        <v>57</v>
      </c>
      <c r="AF1223" t="s">
        <v>57</v>
      </c>
      <c r="AG1223">
        <v>30</v>
      </c>
      <c r="AH1223" t="s">
        <v>57</v>
      </c>
      <c r="AL1223" t="s">
        <v>57</v>
      </c>
      <c r="AM1223" s="11">
        <v>44778</v>
      </c>
      <c r="AN1223" t="s">
        <v>183</v>
      </c>
      <c r="AO1223" t="s">
        <v>65</v>
      </c>
      <c r="AP1223">
        <v>1206</v>
      </c>
      <c r="AQ1223" t="s">
        <v>66</v>
      </c>
      <c r="AR1223">
        <v>144854</v>
      </c>
      <c r="AU1223" t="s">
        <v>57</v>
      </c>
      <c r="AV1223" t="s">
        <v>68</v>
      </c>
      <c r="AX1223" t="s">
        <v>57</v>
      </c>
      <c r="AY1223">
        <v>631110</v>
      </c>
      <c r="AZ1223">
        <v>1206.63111</v>
      </c>
      <c r="BA1223" s="23" t="s">
        <v>14</v>
      </c>
    </row>
    <row r="1224" spans="1:53" x14ac:dyDescent="0.25">
      <c r="A1224" t="s">
        <v>134</v>
      </c>
      <c r="B1224" t="s">
        <v>135</v>
      </c>
      <c r="C1224">
        <v>22002530</v>
      </c>
      <c r="D1224">
        <v>1206</v>
      </c>
      <c r="E1224" s="11">
        <v>44778</v>
      </c>
      <c r="F1224" t="s">
        <v>185</v>
      </c>
      <c r="G1224">
        <v>6.14</v>
      </c>
      <c r="H1224">
        <v>6.14</v>
      </c>
      <c r="I1224" t="s">
        <v>56</v>
      </c>
      <c r="O1224" t="s">
        <v>57</v>
      </c>
      <c r="Q1224" t="s">
        <v>57</v>
      </c>
      <c r="R1224" t="s">
        <v>137</v>
      </c>
      <c r="T1224" t="s">
        <v>59</v>
      </c>
      <c r="U1224" t="s">
        <v>60</v>
      </c>
      <c r="V1224" t="s">
        <v>138</v>
      </c>
      <c r="W1224" t="s">
        <v>139</v>
      </c>
      <c r="X1224">
        <v>1928799</v>
      </c>
      <c r="Y1224" s="11">
        <v>44781</v>
      </c>
      <c r="Z1224" t="s">
        <v>57</v>
      </c>
      <c r="AA1224">
        <v>6</v>
      </c>
      <c r="AB1224" t="s">
        <v>57</v>
      </c>
      <c r="AD1224" t="s">
        <v>57</v>
      </c>
      <c r="AE1224" t="s">
        <v>57</v>
      </c>
      <c r="AF1224" t="s">
        <v>57</v>
      </c>
      <c r="AG1224">
        <v>40</v>
      </c>
      <c r="AH1224" t="s">
        <v>57</v>
      </c>
      <c r="AL1224" t="s">
        <v>57</v>
      </c>
      <c r="AM1224" s="11">
        <v>44778</v>
      </c>
      <c r="AN1224" t="s">
        <v>183</v>
      </c>
      <c r="AO1224" t="s">
        <v>65</v>
      </c>
      <c r="AP1224">
        <v>1206</v>
      </c>
      <c r="AQ1224" t="s">
        <v>66</v>
      </c>
      <c r="AR1224">
        <v>89712</v>
      </c>
      <c r="AU1224" t="s">
        <v>57</v>
      </c>
      <c r="AV1224" t="s">
        <v>68</v>
      </c>
      <c r="AX1224" t="s">
        <v>57</v>
      </c>
      <c r="AY1224">
        <v>631110</v>
      </c>
      <c r="AZ1224">
        <v>1206.63111</v>
      </c>
      <c r="BA1224" s="23" t="s">
        <v>14</v>
      </c>
    </row>
    <row r="1225" spans="1:53" x14ac:dyDescent="0.25">
      <c r="A1225" t="s">
        <v>134</v>
      </c>
      <c r="B1225" t="s">
        <v>135</v>
      </c>
      <c r="C1225">
        <v>22002530</v>
      </c>
      <c r="D1225">
        <v>1206</v>
      </c>
      <c r="E1225" s="11">
        <v>44778</v>
      </c>
      <c r="F1225" t="s">
        <v>185</v>
      </c>
      <c r="G1225">
        <v>0.77</v>
      </c>
      <c r="H1225">
        <v>0.77</v>
      </c>
      <c r="I1225" t="s">
        <v>56</v>
      </c>
      <c r="O1225" t="s">
        <v>57</v>
      </c>
      <c r="Q1225" t="s">
        <v>57</v>
      </c>
      <c r="R1225" t="s">
        <v>137</v>
      </c>
      <c r="T1225" t="s">
        <v>59</v>
      </c>
      <c r="U1225" t="s">
        <v>60</v>
      </c>
      <c r="V1225" t="s">
        <v>138</v>
      </c>
      <c r="W1225" t="s">
        <v>139</v>
      </c>
      <c r="X1225">
        <v>1928799</v>
      </c>
      <c r="Y1225" s="11">
        <v>44781</v>
      </c>
      <c r="Z1225" t="s">
        <v>57</v>
      </c>
      <c r="AA1225">
        <v>8</v>
      </c>
      <c r="AB1225" t="s">
        <v>57</v>
      </c>
      <c r="AD1225" t="s">
        <v>57</v>
      </c>
      <c r="AE1225" t="s">
        <v>57</v>
      </c>
      <c r="AF1225" t="s">
        <v>57</v>
      </c>
      <c r="AG1225">
        <v>10</v>
      </c>
      <c r="AH1225" t="s">
        <v>57</v>
      </c>
      <c r="AL1225" t="s">
        <v>57</v>
      </c>
      <c r="AM1225" s="11">
        <v>44778</v>
      </c>
      <c r="AN1225" t="s">
        <v>183</v>
      </c>
      <c r="AO1225" t="s">
        <v>65</v>
      </c>
      <c r="AP1225">
        <v>1206</v>
      </c>
      <c r="AQ1225" t="s">
        <v>66</v>
      </c>
      <c r="AR1225">
        <v>91479</v>
      </c>
      <c r="AU1225" t="s">
        <v>57</v>
      </c>
      <c r="AV1225" t="s">
        <v>68</v>
      </c>
      <c r="AX1225" t="s">
        <v>57</v>
      </c>
      <c r="AY1225">
        <v>631110</v>
      </c>
      <c r="AZ1225">
        <v>1206.63111</v>
      </c>
      <c r="BA1225" s="23" t="s">
        <v>14</v>
      </c>
    </row>
    <row r="1226" spans="1:53" x14ac:dyDescent="0.25">
      <c r="A1226" t="s">
        <v>134</v>
      </c>
      <c r="B1226" t="s">
        <v>135</v>
      </c>
      <c r="C1226">
        <v>22002531</v>
      </c>
      <c r="D1226">
        <v>1206</v>
      </c>
      <c r="E1226" s="11">
        <v>44781</v>
      </c>
      <c r="F1226" t="s">
        <v>174</v>
      </c>
      <c r="G1226">
        <v>0.69</v>
      </c>
      <c r="H1226">
        <v>0.69</v>
      </c>
      <c r="I1226" t="s">
        <v>56</v>
      </c>
      <c r="O1226" t="s">
        <v>57</v>
      </c>
      <c r="Q1226" t="s">
        <v>57</v>
      </c>
      <c r="R1226" t="s">
        <v>137</v>
      </c>
      <c r="T1226" t="s">
        <v>59</v>
      </c>
      <c r="U1226" t="s">
        <v>60</v>
      </c>
      <c r="V1226" t="s">
        <v>138</v>
      </c>
      <c r="W1226" t="s">
        <v>139</v>
      </c>
      <c r="X1226">
        <v>1928975</v>
      </c>
      <c r="Y1226" s="11">
        <v>44781</v>
      </c>
      <c r="Z1226" t="s">
        <v>57</v>
      </c>
      <c r="AA1226">
        <v>2</v>
      </c>
      <c r="AB1226" t="s">
        <v>57</v>
      </c>
      <c r="AD1226" t="s">
        <v>57</v>
      </c>
      <c r="AE1226" t="s">
        <v>57</v>
      </c>
      <c r="AF1226" t="s">
        <v>57</v>
      </c>
      <c r="AG1226">
        <v>1</v>
      </c>
      <c r="AH1226" t="s">
        <v>57</v>
      </c>
      <c r="AL1226" t="s">
        <v>57</v>
      </c>
      <c r="AM1226" s="11">
        <v>44781</v>
      </c>
      <c r="AN1226" t="s">
        <v>184</v>
      </c>
      <c r="AO1226" t="s">
        <v>65</v>
      </c>
      <c r="AP1226">
        <v>1206</v>
      </c>
      <c r="AQ1226" t="s">
        <v>66</v>
      </c>
      <c r="AR1226">
        <v>112854</v>
      </c>
      <c r="AU1226" t="s">
        <v>57</v>
      </c>
      <c r="AV1226" t="s">
        <v>68</v>
      </c>
      <c r="AX1226" t="s">
        <v>57</v>
      </c>
      <c r="AY1226">
        <v>631110</v>
      </c>
      <c r="AZ1226">
        <v>1206.63111</v>
      </c>
      <c r="BA1226" s="23" t="s">
        <v>14</v>
      </c>
    </row>
    <row r="1227" spans="1:53" x14ac:dyDescent="0.25">
      <c r="A1227" t="s">
        <v>134</v>
      </c>
      <c r="B1227" t="s">
        <v>135</v>
      </c>
      <c r="C1227">
        <v>22002531</v>
      </c>
      <c r="D1227">
        <v>1206</v>
      </c>
      <c r="E1227" s="11">
        <v>44781</v>
      </c>
      <c r="F1227" t="s">
        <v>174</v>
      </c>
      <c r="G1227">
        <v>13.78</v>
      </c>
      <c r="H1227">
        <v>13.78</v>
      </c>
      <c r="I1227" t="s">
        <v>56</v>
      </c>
      <c r="O1227" t="s">
        <v>57</v>
      </c>
      <c r="Q1227" t="s">
        <v>57</v>
      </c>
      <c r="R1227" t="s">
        <v>137</v>
      </c>
      <c r="T1227" t="s">
        <v>59</v>
      </c>
      <c r="U1227" t="s">
        <v>60</v>
      </c>
      <c r="V1227" t="s">
        <v>138</v>
      </c>
      <c r="W1227" t="s">
        <v>139</v>
      </c>
      <c r="X1227">
        <v>1928975</v>
      </c>
      <c r="Y1227" s="11">
        <v>44781</v>
      </c>
      <c r="Z1227" t="s">
        <v>57</v>
      </c>
      <c r="AA1227">
        <v>4</v>
      </c>
      <c r="AB1227" t="s">
        <v>57</v>
      </c>
      <c r="AD1227" t="s">
        <v>57</v>
      </c>
      <c r="AE1227" t="s">
        <v>57</v>
      </c>
      <c r="AF1227" t="s">
        <v>57</v>
      </c>
      <c r="AG1227">
        <v>1</v>
      </c>
      <c r="AH1227" t="s">
        <v>57</v>
      </c>
      <c r="AL1227" t="s">
        <v>57</v>
      </c>
      <c r="AM1227" s="11">
        <v>44781</v>
      </c>
      <c r="AN1227" t="s">
        <v>184</v>
      </c>
      <c r="AO1227" t="s">
        <v>65</v>
      </c>
      <c r="AP1227">
        <v>1206</v>
      </c>
      <c r="AQ1227" t="s">
        <v>66</v>
      </c>
      <c r="AR1227">
        <v>96021</v>
      </c>
      <c r="AU1227" t="s">
        <v>57</v>
      </c>
      <c r="AV1227" t="s">
        <v>68</v>
      </c>
      <c r="AX1227" t="s">
        <v>57</v>
      </c>
      <c r="AY1227">
        <v>631110</v>
      </c>
      <c r="AZ1227">
        <v>1206.63111</v>
      </c>
      <c r="BA1227" s="23" t="s">
        <v>14</v>
      </c>
    </row>
    <row r="1228" spans="1:53" x14ac:dyDescent="0.25">
      <c r="A1228" t="s">
        <v>134</v>
      </c>
      <c r="B1228" t="s">
        <v>135</v>
      </c>
      <c r="C1228">
        <v>22002532</v>
      </c>
      <c r="D1228">
        <v>1206</v>
      </c>
      <c r="E1228" s="11">
        <v>44781</v>
      </c>
      <c r="F1228" t="s">
        <v>174</v>
      </c>
      <c r="G1228">
        <v>11.25</v>
      </c>
      <c r="H1228">
        <v>11.25</v>
      </c>
      <c r="I1228" t="s">
        <v>56</v>
      </c>
      <c r="O1228" t="s">
        <v>57</v>
      </c>
      <c r="Q1228" t="s">
        <v>57</v>
      </c>
      <c r="R1228" t="s">
        <v>137</v>
      </c>
      <c r="T1228" t="s">
        <v>59</v>
      </c>
      <c r="U1228" t="s">
        <v>60</v>
      </c>
      <c r="V1228" t="s">
        <v>138</v>
      </c>
      <c r="W1228" t="s">
        <v>139</v>
      </c>
      <c r="X1228">
        <v>1928975</v>
      </c>
      <c r="Y1228" s="11">
        <v>44781</v>
      </c>
      <c r="Z1228" t="s">
        <v>57</v>
      </c>
      <c r="AA1228">
        <v>2</v>
      </c>
      <c r="AB1228" t="s">
        <v>57</v>
      </c>
      <c r="AD1228" t="s">
        <v>57</v>
      </c>
      <c r="AE1228" t="s">
        <v>57</v>
      </c>
      <c r="AF1228" t="s">
        <v>57</v>
      </c>
      <c r="AG1228">
        <v>1</v>
      </c>
      <c r="AH1228" t="s">
        <v>57</v>
      </c>
      <c r="AL1228" t="s">
        <v>57</v>
      </c>
      <c r="AM1228" s="11">
        <v>44781</v>
      </c>
      <c r="AN1228" t="s">
        <v>184</v>
      </c>
      <c r="AO1228" t="s">
        <v>65</v>
      </c>
      <c r="AP1228">
        <v>1206</v>
      </c>
      <c r="AQ1228" t="s">
        <v>66</v>
      </c>
      <c r="AR1228">
        <v>219277</v>
      </c>
      <c r="AU1228" t="s">
        <v>57</v>
      </c>
      <c r="AV1228" t="s">
        <v>68</v>
      </c>
      <c r="AX1228" t="s">
        <v>57</v>
      </c>
      <c r="AY1228">
        <v>631110</v>
      </c>
      <c r="AZ1228">
        <v>1206.63111</v>
      </c>
      <c r="BA1228" s="23" t="s">
        <v>14</v>
      </c>
    </row>
    <row r="1229" spans="1:53" x14ac:dyDescent="0.25">
      <c r="A1229" t="s">
        <v>134</v>
      </c>
      <c r="B1229" t="s">
        <v>135</v>
      </c>
      <c r="C1229">
        <v>22002532</v>
      </c>
      <c r="D1229">
        <v>1206</v>
      </c>
      <c r="E1229" s="11">
        <v>44781</v>
      </c>
      <c r="F1229" t="s">
        <v>174</v>
      </c>
      <c r="G1229">
        <v>0.61</v>
      </c>
      <c r="H1229">
        <v>0.61</v>
      </c>
      <c r="I1229" t="s">
        <v>56</v>
      </c>
      <c r="O1229" t="s">
        <v>57</v>
      </c>
      <c r="Q1229" t="s">
        <v>57</v>
      </c>
      <c r="R1229" t="s">
        <v>137</v>
      </c>
      <c r="T1229" t="s">
        <v>59</v>
      </c>
      <c r="U1229" t="s">
        <v>60</v>
      </c>
      <c r="V1229" t="s">
        <v>138</v>
      </c>
      <c r="W1229" t="s">
        <v>139</v>
      </c>
      <c r="X1229">
        <v>1928975</v>
      </c>
      <c r="Y1229" s="11">
        <v>44781</v>
      </c>
      <c r="Z1229" t="s">
        <v>57</v>
      </c>
      <c r="AA1229">
        <v>4</v>
      </c>
      <c r="AB1229" t="s">
        <v>57</v>
      </c>
      <c r="AD1229" t="s">
        <v>57</v>
      </c>
      <c r="AE1229" t="s">
        <v>57</v>
      </c>
      <c r="AF1229" t="s">
        <v>57</v>
      </c>
      <c r="AG1229">
        <v>1</v>
      </c>
      <c r="AH1229" t="s">
        <v>57</v>
      </c>
      <c r="AL1229" t="s">
        <v>57</v>
      </c>
      <c r="AM1229" s="11">
        <v>44781</v>
      </c>
      <c r="AN1229" t="s">
        <v>184</v>
      </c>
      <c r="AO1229" t="s">
        <v>65</v>
      </c>
      <c r="AP1229">
        <v>1206</v>
      </c>
      <c r="AQ1229" t="s">
        <v>66</v>
      </c>
      <c r="AR1229">
        <v>142793</v>
      </c>
      <c r="AU1229" t="s">
        <v>57</v>
      </c>
      <c r="AV1229" t="s">
        <v>68</v>
      </c>
      <c r="AX1229" t="s">
        <v>57</v>
      </c>
      <c r="AY1229">
        <v>631110</v>
      </c>
      <c r="AZ1229">
        <v>1206.63111</v>
      </c>
      <c r="BA1229" s="23" t="s">
        <v>14</v>
      </c>
    </row>
    <row r="1230" spans="1:53" x14ac:dyDescent="0.25">
      <c r="A1230" t="s">
        <v>134</v>
      </c>
      <c r="B1230" t="s">
        <v>135</v>
      </c>
      <c r="C1230">
        <v>22002532</v>
      </c>
      <c r="D1230">
        <v>1206</v>
      </c>
      <c r="E1230" s="11">
        <v>44781</v>
      </c>
      <c r="F1230" t="s">
        <v>174</v>
      </c>
      <c r="G1230">
        <v>45.6</v>
      </c>
      <c r="H1230">
        <v>45.6</v>
      </c>
      <c r="I1230" t="s">
        <v>56</v>
      </c>
      <c r="O1230" t="s">
        <v>57</v>
      </c>
      <c r="Q1230" t="s">
        <v>57</v>
      </c>
      <c r="R1230" t="s">
        <v>137</v>
      </c>
      <c r="T1230" t="s">
        <v>59</v>
      </c>
      <c r="U1230" t="s">
        <v>60</v>
      </c>
      <c r="V1230" t="s">
        <v>138</v>
      </c>
      <c r="W1230" t="s">
        <v>139</v>
      </c>
      <c r="X1230">
        <v>1928975</v>
      </c>
      <c r="Y1230" s="11">
        <v>44781</v>
      </c>
      <c r="Z1230" t="s">
        <v>57</v>
      </c>
      <c r="AA1230">
        <v>6</v>
      </c>
      <c r="AB1230" t="s">
        <v>57</v>
      </c>
      <c r="AD1230" t="s">
        <v>57</v>
      </c>
      <c r="AE1230" t="s">
        <v>57</v>
      </c>
      <c r="AF1230" t="s">
        <v>57</v>
      </c>
      <c r="AG1230">
        <v>1</v>
      </c>
      <c r="AH1230" t="s">
        <v>57</v>
      </c>
      <c r="AL1230" t="s">
        <v>57</v>
      </c>
      <c r="AM1230" s="11">
        <v>44781</v>
      </c>
      <c r="AN1230" t="s">
        <v>184</v>
      </c>
      <c r="AO1230" t="s">
        <v>65</v>
      </c>
      <c r="AP1230">
        <v>1206</v>
      </c>
      <c r="AQ1230" t="s">
        <v>66</v>
      </c>
      <c r="AR1230">
        <v>190655</v>
      </c>
      <c r="AU1230" t="s">
        <v>57</v>
      </c>
      <c r="AV1230" t="s">
        <v>68</v>
      </c>
      <c r="AX1230" t="s">
        <v>57</v>
      </c>
      <c r="AY1230">
        <v>631110</v>
      </c>
      <c r="AZ1230">
        <v>1206.63111</v>
      </c>
      <c r="BA1230" s="23" t="s">
        <v>14</v>
      </c>
    </row>
    <row r="1231" spans="1:53" x14ac:dyDescent="0.25">
      <c r="A1231" t="s">
        <v>134</v>
      </c>
      <c r="B1231" t="s">
        <v>135</v>
      </c>
      <c r="C1231">
        <v>22002532</v>
      </c>
      <c r="D1231">
        <v>1206</v>
      </c>
      <c r="E1231" s="11">
        <v>44781</v>
      </c>
      <c r="F1231" t="s">
        <v>174</v>
      </c>
      <c r="G1231">
        <v>4.55</v>
      </c>
      <c r="H1231">
        <v>4.55</v>
      </c>
      <c r="I1231" t="s">
        <v>56</v>
      </c>
      <c r="O1231" t="s">
        <v>57</v>
      </c>
      <c r="Q1231" t="s">
        <v>57</v>
      </c>
      <c r="R1231" t="s">
        <v>137</v>
      </c>
      <c r="T1231" t="s">
        <v>59</v>
      </c>
      <c r="U1231" t="s">
        <v>60</v>
      </c>
      <c r="V1231" t="s">
        <v>138</v>
      </c>
      <c r="W1231" t="s">
        <v>139</v>
      </c>
      <c r="X1231">
        <v>1928975</v>
      </c>
      <c r="Y1231" s="11">
        <v>44781</v>
      </c>
      <c r="Z1231" t="s">
        <v>57</v>
      </c>
      <c r="AA1231">
        <v>8</v>
      </c>
      <c r="AB1231" t="s">
        <v>57</v>
      </c>
      <c r="AD1231" t="s">
        <v>57</v>
      </c>
      <c r="AE1231" t="s">
        <v>57</v>
      </c>
      <c r="AF1231" t="s">
        <v>57</v>
      </c>
      <c r="AG1231">
        <v>1</v>
      </c>
      <c r="AH1231" t="s">
        <v>57</v>
      </c>
      <c r="AL1231" t="s">
        <v>57</v>
      </c>
      <c r="AM1231" s="11">
        <v>44781</v>
      </c>
      <c r="AN1231" t="s">
        <v>184</v>
      </c>
      <c r="AO1231" t="s">
        <v>65</v>
      </c>
      <c r="AP1231">
        <v>1206</v>
      </c>
      <c r="AQ1231" t="s">
        <v>66</v>
      </c>
      <c r="AR1231">
        <v>142795</v>
      </c>
      <c r="AU1231" t="s">
        <v>57</v>
      </c>
      <c r="AV1231" t="s">
        <v>68</v>
      </c>
      <c r="AX1231" t="s">
        <v>57</v>
      </c>
      <c r="AY1231">
        <v>631110</v>
      </c>
      <c r="AZ1231">
        <v>1206.63111</v>
      </c>
      <c r="BA1231" s="23" t="s">
        <v>14</v>
      </c>
    </row>
    <row r="1232" spans="1:53" x14ac:dyDescent="0.25">
      <c r="A1232" t="s">
        <v>134</v>
      </c>
      <c r="B1232" t="s">
        <v>135</v>
      </c>
      <c r="C1232">
        <v>22002533</v>
      </c>
      <c r="D1232">
        <v>1206</v>
      </c>
      <c r="E1232" s="11">
        <v>44781</v>
      </c>
      <c r="F1232" t="s">
        <v>174</v>
      </c>
      <c r="G1232">
        <v>4.57</v>
      </c>
      <c r="H1232">
        <v>4.57</v>
      </c>
      <c r="I1232" t="s">
        <v>56</v>
      </c>
      <c r="O1232" t="s">
        <v>57</v>
      </c>
      <c r="Q1232" t="s">
        <v>57</v>
      </c>
      <c r="R1232" t="s">
        <v>137</v>
      </c>
      <c r="T1232" t="s">
        <v>59</v>
      </c>
      <c r="U1232" t="s">
        <v>60</v>
      </c>
      <c r="V1232" t="s">
        <v>138</v>
      </c>
      <c r="W1232" t="s">
        <v>139</v>
      </c>
      <c r="X1232">
        <v>1928975</v>
      </c>
      <c r="Y1232" s="11">
        <v>44781</v>
      </c>
      <c r="Z1232" t="s">
        <v>57</v>
      </c>
      <c r="AA1232">
        <v>2</v>
      </c>
      <c r="AB1232" t="s">
        <v>57</v>
      </c>
      <c r="AD1232" t="s">
        <v>57</v>
      </c>
      <c r="AE1232" t="s">
        <v>57</v>
      </c>
      <c r="AF1232" t="s">
        <v>57</v>
      </c>
      <c r="AG1232">
        <v>1</v>
      </c>
      <c r="AH1232" t="s">
        <v>57</v>
      </c>
      <c r="AL1232" t="s">
        <v>57</v>
      </c>
      <c r="AM1232" s="11">
        <v>44781</v>
      </c>
      <c r="AN1232" t="s">
        <v>184</v>
      </c>
      <c r="AO1232" t="s">
        <v>65</v>
      </c>
      <c r="AP1232">
        <v>1206</v>
      </c>
      <c r="AQ1232" t="s">
        <v>66</v>
      </c>
      <c r="AR1232">
        <v>206435</v>
      </c>
      <c r="AU1232" t="s">
        <v>57</v>
      </c>
      <c r="AV1232" t="s">
        <v>68</v>
      </c>
      <c r="AX1232" t="s">
        <v>57</v>
      </c>
      <c r="AY1232">
        <v>631110</v>
      </c>
      <c r="AZ1232">
        <v>1206.63111</v>
      </c>
      <c r="BA1232" s="23" t="s">
        <v>14</v>
      </c>
    </row>
    <row r="1233" spans="1:53" x14ac:dyDescent="0.25">
      <c r="A1233" t="s">
        <v>134</v>
      </c>
      <c r="B1233" t="s">
        <v>135</v>
      </c>
      <c r="C1233">
        <v>22002533</v>
      </c>
      <c r="D1233">
        <v>1206</v>
      </c>
      <c r="E1233" s="11">
        <v>44781</v>
      </c>
      <c r="F1233" t="s">
        <v>174</v>
      </c>
      <c r="G1233">
        <v>13.41</v>
      </c>
      <c r="H1233">
        <v>13.41</v>
      </c>
      <c r="I1233" t="s">
        <v>56</v>
      </c>
      <c r="O1233" t="s">
        <v>57</v>
      </c>
      <c r="Q1233" t="s">
        <v>57</v>
      </c>
      <c r="R1233" t="s">
        <v>137</v>
      </c>
      <c r="T1233" t="s">
        <v>59</v>
      </c>
      <c r="U1233" t="s">
        <v>60</v>
      </c>
      <c r="V1233" t="s">
        <v>138</v>
      </c>
      <c r="W1233" t="s">
        <v>139</v>
      </c>
      <c r="X1233">
        <v>1928975</v>
      </c>
      <c r="Y1233" s="11">
        <v>44781</v>
      </c>
      <c r="Z1233" t="s">
        <v>57</v>
      </c>
      <c r="AA1233">
        <v>4</v>
      </c>
      <c r="AB1233" t="s">
        <v>57</v>
      </c>
      <c r="AD1233" t="s">
        <v>57</v>
      </c>
      <c r="AE1233" t="s">
        <v>57</v>
      </c>
      <c r="AF1233" t="s">
        <v>57</v>
      </c>
      <c r="AG1233">
        <v>1</v>
      </c>
      <c r="AH1233" t="s">
        <v>57</v>
      </c>
      <c r="AL1233" t="s">
        <v>57</v>
      </c>
      <c r="AM1233" s="11">
        <v>44781</v>
      </c>
      <c r="AN1233" t="s">
        <v>184</v>
      </c>
      <c r="AO1233" t="s">
        <v>65</v>
      </c>
      <c r="AP1233">
        <v>1206</v>
      </c>
      <c r="AQ1233" t="s">
        <v>66</v>
      </c>
      <c r="AR1233">
        <v>96020</v>
      </c>
      <c r="AU1233" t="s">
        <v>57</v>
      </c>
      <c r="AV1233" t="s">
        <v>68</v>
      </c>
      <c r="AX1233" t="s">
        <v>57</v>
      </c>
      <c r="AY1233">
        <v>631110</v>
      </c>
      <c r="AZ1233">
        <v>1206.63111</v>
      </c>
      <c r="BA1233" s="23" t="s">
        <v>14</v>
      </c>
    </row>
    <row r="1234" spans="1:53" x14ac:dyDescent="0.25">
      <c r="A1234" t="s">
        <v>134</v>
      </c>
      <c r="B1234" t="s">
        <v>135</v>
      </c>
      <c r="C1234">
        <v>22002533</v>
      </c>
      <c r="D1234">
        <v>1206</v>
      </c>
      <c r="E1234" s="11">
        <v>44781</v>
      </c>
      <c r="F1234" t="s">
        <v>174</v>
      </c>
      <c r="G1234">
        <v>41.32</v>
      </c>
      <c r="H1234">
        <v>41.32</v>
      </c>
      <c r="I1234" t="s">
        <v>56</v>
      </c>
      <c r="O1234" t="s">
        <v>57</v>
      </c>
      <c r="Q1234" t="s">
        <v>57</v>
      </c>
      <c r="R1234" t="s">
        <v>137</v>
      </c>
      <c r="T1234" t="s">
        <v>59</v>
      </c>
      <c r="U1234" t="s">
        <v>60</v>
      </c>
      <c r="V1234" t="s">
        <v>138</v>
      </c>
      <c r="W1234" t="s">
        <v>139</v>
      </c>
      <c r="X1234">
        <v>1928975</v>
      </c>
      <c r="Y1234" s="11">
        <v>44781</v>
      </c>
      <c r="Z1234" t="s">
        <v>57</v>
      </c>
      <c r="AA1234">
        <v>6</v>
      </c>
      <c r="AB1234" t="s">
        <v>57</v>
      </c>
      <c r="AD1234" t="s">
        <v>57</v>
      </c>
      <c r="AE1234" t="s">
        <v>57</v>
      </c>
      <c r="AF1234" t="s">
        <v>57</v>
      </c>
      <c r="AG1234">
        <v>1</v>
      </c>
      <c r="AH1234" t="s">
        <v>57</v>
      </c>
      <c r="AL1234" t="s">
        <v>57</v>
      </c>
      <c r="AM1234" s="11">
        <v>44781</v>
      </c>
      <c r="AN1234" t="s">
        <v>184</v>
      </c>
      <c r="AO1234" t="s">
        <v>65</v>
      </c>
      <c r="AP1234">
        <v>1206</v>
      </c>
      <c r="AQ1234" t="s">
        <v>66</v>
      </c>
      <c r="AR1234">
        <v>221867</v>
      </c>
      <c r="AU1234" t="s">
        <v>57</v>
      </c>
      <c r="AV1234" t="s">
        <v>68</v>
      </c>
      <c r="AX1234" t="s">
        <v>57</v>
      </c>
      <c r="AY1234">
        <v>631110</v>
      </c>
      <c r="AZ1234">
        <v>1206.63111</v>
      </c>
      <c r="BA1234" s="23" t="s">
        <v>14</v>
      </c>
    </row>
    <row r="1235" spans="1:53" x14ac:dyDescent="0.25">
      <c r="A1235" t="s">
        <v>134</v>
      </c>
      <c r="B1235" t="s">
        <v>135</v>
      </c>
      <c r="C1235">
        <v>22002538</v>
      </c>
      <c r="D1235">
        <v>1206</v>
      </c>
      <c r="E1235" s="11">
        <v>44781</v>
      </c>
      <c r="F1235" t="s">
        <v>172</v>
      </c>
      <c r="G1235">
        <v>8.06</v>
      </c>
      <c r="H1235">
        <v>8.06</v>
      </c>
      <c r="I1235" t="s">
        <v>56</v>
      </c>
      <c r="O1235" t="s">
        <v>57</v>
      </c>
      <c r="Q1235" t="s">
        <v>57</v>
      </c>
      <c r="R1235" t="s">
        <v>137</v>
      </c>
      <c r="T1235" t="s">
        <v>59</v>
      </c>
      <c r="U1235" t="s">
        <v>60</v>
      </c>
      <c r="V1235" t="s">
        <v>138</v>
      </c>
      <c r="W1235" t="s">
        <v>139</v>
      </c>
      <c r="X1235">
        <v>1929247</v>
      </c>
      <c r="Y1235" s="11">
        <v>44782</v>
      </c>
      <c r="Z1235" t="s">
        <v>57</v>
      </c>
      <c r="AA1235">
        <v>2</v>
      </c>
      <c r="AB1235" t="s">
        <v>57</v>
      </c>
      <c r="AD1235" t="s">
        <v>57</v>
      </c>
      <c r="AE1235" t="s">
        <v>57</v>
      </c>
      <c r="AF1235" t="s">
        <v>57</v>
      </c>
      <c r="AG1235">
        <v>1</v>
      </c>
      <c r="AH1235" t="s">
        <v>57</v>
      </c>
      <c r="AL1235" t="s">
        <v>57</v>
      </c>
      <c r="AM1235" s="11">
        <v>44781</v>
      </c>
      <c r="AN1235" t="s">
        <v>184</v>
      </c>
      <c r="AO1235" t="s">
        <v>65</v>
      </c>
      <c r="AP1235">
        <v>1206</v>
      </c>
      <c r="AQ1235" t="s">
        <v>66</v>
      </c>
      <c r="AR1235">
        <v>279991</v>
      </c>
      <c r="AU1235" t="s">
        <v>57</v>
      </c>
      <c r="AV1235" t="s">
        <v>68</v>
      </c>
      <c r="AX1235" t="s">
        <v>57</v>
      </c>
      <c r="AY1235">
        <v>631110</v>
      </c>
      <c r="AZ1235">
        <v>1206.63111</v>
      </c>
      <c r="BA1235" s="23" t="s">
        <v>14</v>
      </c>
    </row>
    <row r="1236" spans="1:53" x14ac:dyDescent="0.25">
      <c r="A1236" t="s">
        <v>134</v>
      </c>
      <c r="B1236" t="s">
        <v>135</v>
      </c>
      <c r="C1236">
        <v>22002538</v>
      </c>
      <c r="D1236">
        <v>1206</v>
      </c>
      <c r="E1236" s="11">
        <v>44781</v>
      </c>
      <c r="F1236" t="s">
        <v>172</v>
      </c>
      <c r="G1236">
        <v>8.3699999999999992</v>
      </c>
      <c r="H1236">
        <v>8.3699999999999992</v>
      </c>
      <c r="I1236" t="s">
        <v>56</v>
      </c>
      <c r="O1236" t="s">
        <v>57</v>
      </c>
      <c r="Q1236" t="s">
        <v>57</v>
      </c>
      <c r="R1236" t="s">
        <v>137</v>
      </c>
      <c r="T1236" t="s">
        <v>59</v>
      </c>
      <c r="U1236" t="s">
        <v>60</v>
      </c>
      <c r="V1236" t="s">
        <v>138</v>
      </c>
      <c r="W1236" t="s">
        <v>139</v>
      </c>
      <c r="X1236">
        <v>1929247</v>
      </c>
      <c r="Y1236" s="11">
        <v>44782</v>
      </c>
      <c r="Z1236" t="s">
        <v>57</v>
      </c>
      <c r="AA1236">
        <v>4</v>
      </c>
      <c r="AB1236" t="s">
        <v>57</v>
      </c>
      <c r="AD1236" t="s">
        <v>57</v>
      </c>
      <c r="AE1236" t="s">
        <v>57</v>
      </c>
      <c r="AF1236" t="s">
        <v>57</v>
      </c>
      <c r="AG1236">
        <v>1</v>
      </c>
      <c r="AH1236" t="s">
        <v>57</v>
      </c>
      <c r="AL1236" t="s">
        <v>57</v>
      </c>
      <c r="AM1236" s="11">
        <v>44781</v>
      </c>
      <c r="AN1236" t="s">
        <v>184</v>
      </c>
      <c r="AO1236" t="s">
        <v>65</v>
      </c>
      <c r="AP1236">
        <v>1206</v>
      </c>
      <c r="AQ1236" t="s">
        <v>66</v>
      </c>
      <c r="AR1236">
        <v>239927</v>
      </c>
      <c r="AU1236" t="s">
        <v>57</v>
      </c>
      <c r="AV1236" t="s">
        <v>68</v>
      </c>
      <c r="AX1236" t="s">
        <v>57</v>
      </c>
      <c r="AY1236">
        <v>631110</v>
      </c>
      <c r="AZ1236">
        <v>1206.63111</v>
      </c>
      <c r="BA1236" s="23" t="s">
        <v>14</v>
      </c>
    </row>
    <row r="1237" spans="1:53" x14ac:dyDescent="0.25">
      <c r="A1237" t="s">
        <v>134</v>
      </c>
      <c r="B1237" t="s">
        <v>135</v>
      </c>
      <c r="C1237">
        <v>22002538</v>
      </c>
      <c r="D1237">
        <v>1206</v>
      </c>
      <c r="E1237" s="11">
        <v>44781</v>
      </c>
      <c r="F1237" t="s">
        <v>172</v>
      </c>
      <c r="G1237">
        <v>24.4</v>
      </c>
      <c r="H1237">
        <v>24.4</v>
      </c>
      <c r="I1237" t="s">
        <v>56</v>
      </c>
      <c r="O1237" t="s">
        <v>57</v>
      </c>
      <c r="Q1237" t="s">
        <v>57</v>
      </c>
      <c r="R1237" t="s">
        <v>137</v>
      </c>
      <c r="T1237" t="s">
        <v>59</v>
      </c>
      <c r="U1237" t="s">
        <v>60</v>
      </c>
      <c r="V1237" t="s">
        <v>138</v>
      </c>
      <c r="W1237" t="s">
        <v>139</v>
      </c>
      <c r="X1237">
        <v>1929247</v>
      </c>
      <c r="Y1237" s="11">
        <v>44782</v>
      </c>
      <c r="Z1237" t="s">
        <v>57</v>
      </c>
      <c r="AA1237">
        <v>6</v>
      </c>
      <c r="AB1237" t="s">
        <v>57</v>
      </c>
      <c r="AD1237" t="s">
        <v>57</v>
      </c>
      <c r="AE1237" t="s">
        <v>57</v>
      </c>
      <c r="AF1237" t="s">
        <v>57</v>
      </c>
      <c r="AG1237">
        <v>1</v>
      </c>
      <c r="AH1237" t="s">
        <v>57</v>
      </c>
      <c r="AL1237" t="s">
        <v>57</v>
      </c>
      <c r="AM1237" s="11">
        <v>44781</v>
      </c>
      <c r="AN1237" t="s">
        <v>184</v>
      </c>
      <c r="AO1237" t="s">
        <v>65</v>
      </c>
      <c r="AP1237">
        <v>1206</v>
      </c>
      <c r="AQ1237" t="s">
        <v>66</v>
      </c>
      <c r="AR1237">
        <v>247146</v>
      </c>
      <c r="AU1237" t="s">
        <v>57</v>
      </c>
      <c r="AV1237" t="s">
        <v>68</v>
      </c>
      <c r="AX1237" t="s">
        <v>57</v>
      </c>
      <c r="AY1237">
        <v>631110</v>
      </c>
      <c r="AZ1237">
        <v>1206.63111</v>
      </c>
      <c r="BA1237" s="23" t="s">
        <v>14</v>
      </c>
    </row>
    <row r="1238" spans="1:53" x14ac:dyDescent="0.25">
      <c r="A1238" t="s">
        <v>134</v>
      </c>
      <c r="B1238" t="s">
        <v>135</v>
      </c>
      <c r="C1238">
        <v>22002539</v>
      </c>
      <c r="D1238">
        <v>1206</v>
      </c>
      <c r="E1238" s="11">
        <v>44781</v>
      </c>
      <c r="F1238" t="s">
        <v>174</v>
      </c>
      <c r="G1238">
        <v>3.77</v>
      </c>
      <c r="H1238">
        <v>3.77</v>
      </c>
      <c r="I1238" t="s">
        <v>56</v>
      </c>
      <c r="O1238" t="s">
        <v>57</v>
      </c>
      <c r="Q1238" t="s">
        <v>57</v>
      </c>
      <c r="R1238" t="s">
        <v>137</v>
      </c>
      <c r="T1238" t="s">
        <v>59</v>
      </c>
      <c r="U1238" t="s">
        <v>60</v>
      </c>
      <c r="V1238" t="s">
        <v>138</v>
      </c>
      <c r="W1238" t="s">
        <v>139</v>
      </c>
      <c r="X1238">
        <v>1929247</v>
      </c>
      <c r="Y1238" s="11">
        <v>44782</v>
      </c>
      <c r="Z1238" t="s">
        <v>57</v>
      </c>
      <c r="AA1238">
        <v>2</v>
      </c>
      <c r="AB1238" t="s">
        <v>57</v>
      </c>
      <c r="AD1238" t="s">
        <v>57</v>
      </c>
      <c r="AE1238" t="s">
        <v>57</v>
      </c>
      <c r="AF1238" t="s">
        <v>57</v>
      </c>
      <c r="AG1238">
        <v>1</v>
      </c>
      <c r="AH1238" t="s">
        <v>57</v>
      </c>
      <c r="AL1238" t="s">
        <v>57</v>
      </c>
      <c r="AM1238" s="11">
        <v>44781</v>
      </c>
      <c r="AN1238" t="s">
        <v>184</v>
      </c>
      <c r="AO1238" t="s">
        <v>65</v>
      </c>
      <c r="AP1238">
        <v>1206</v>
      </c>
      <c r="AQ1238" t="s">
        <v>66</v>
      </c>
      <c r="AR1238">
        <v>271731</v>
      </c>
      <c r="AU1238" t="s">
        <v>57</v>
      </c>
      <c r="AV1238" t="s">
        <v>68</v>
      </c>
      <c r="AX1238" t="s">
        <v>57</v>
      </c>
      <c r="AY1238">
        <v>631110</v>
      </c>
      <c r="AZ1238">
        <v>1206.63111</v>
      </c>
      <c r="BA1238" s="23" t="s">
        <v>14</v>
      </c>
    </row>
    <row r="1239" spans="1:53" x14ac:dyDescent="0.25">
      <c r="A1239" t="s">
        <v>134</v>
      </c>
      <c r="B1239" t="s">
        <v>135</v>
      </c>
      <c r="C1239">
        <v>22002539</v>
      </c>
      <c r="D1239">
        <v>1206</v>
      </c>
      <c r="E1239" s="11">
        <v>44781</v>
      </c>
      <c r="F1239" t="s">
        <v>174</v>
      </c>
      <c r="G1239">
        <v>2.34</v>
      </c>
      <c r="H1239">
        <v>2.34</v>
      </c>
      <c r="I1239" t="s">
        <v>56</v>
      </c>
      <c r="O1239" t="s">
        <v>57</v>
      </c>
      <c r="Q1239" t="s">
        <v>57</v>
      </c>
      <c r="R1239" t="s">
        <v>137</v>
      </c>
      <c r="T1239" t="s">
        <v>59</v>
      </c>
      <c r="U1239" t="s">
        <v>60</v>
      </c>
      <c r="V1239" t="s">
        <v>138</v>
      </c>
      <c r="W1239" t="s">
        <v>139</v>
      </c>
      <c r="X1239">
        <v>1929247</v>
      </c>
      <c r="Y1239" s="11">
        <v>44782</v>
      </c>
      <c r="Z1239" t="s">
        <v>57</v>
      </c>
      <c r="AA1239">
        <v>4</v>
      </c>
      <c r="AB1239" t="s">
        <v>57</v>
      </c>
      <c r="AD1239" t="s">
        <v>57</v>
      </c>
      <c r="AE1239" t="s">
        <v>57</v>
      </c>
      <c r="AF1239" t="s">
        <v>57</v>
      </c>
      <c r="AG1239">
        <v>2</v>
      </c>
      <c r="AH1239" t="s">
        <v>57</v>
      </c>
      <c r="AL1239" t="s">
        <v>57</v>
      </c>
      <c r="AM1239" s="11">
        <v>44781</v>
      </c>
      <c r="AN1239" t="s">
        <v>184</v>
      </c>
      <c r="AO1239" t="s">
        <v>65</v>
      </c>
      <c r="AP1239">
        <v>1206</v>
      </c>
      <c r="AQ1239" t="s">
        <v>66</v>
      </c>
      <c r="AR1239">
        <v>267571</v>
      </c>
      <c r="AU1239" t="s">
        <v>57</v>
      </c>
      <c r="AV1239" t="s">
        <v>68</v>
      </c>
      <c r="AX1239" t="s">
        <v>57</v>
      </c>
      <c r="AY1239">
        <v>631110</v>
      </c>
      <c r="AZ1239">
        <v>1206.63111</v>
      </c>
      <c r="BA1239" s="23" t="s">
        <v>14</v>
      </c>
    </row>
    <row r="1240" spans="1:53" x14ac:dyDescent="0.25">
      <c r="A1240" t="s">
        <v>134</v>
      </c>
      <c r="B1240" t="s">
        <v>135</v>
      </c>
      <c r="C1240">
        <v>22002539</v>
      </c>
      <c r="D1240">
        <v>1206</v>
      </c>
      <c r="E1240" s="11">
        <v>44781</v>
      </c>
      <c r="F1240" t="s">
        <v>174</v>
      </c>
      <c r="G1240">
        <v>3.43</v>
      </c>
      <c r="H1240">
        <v>3.43</v>
      </c>
      <c r="I1240" t="s">
        <v>56</v>
      </c>
      <c r="O1240" t="s">
        <v>57</v>
      </c>
      <c r="Q1240" t="s">
        <v>57</v>
      </c>
      <c r="R1240" t="s">
        <v>137</v>
      </c>
      <c r="T1240" t="s">
        <v>59</v>
      </c>
      <c r="U1240" t="s">
        <v>60</v>
      </c>
      <c r="V1240" t="s">
        <v>138</v>
      </c>
      <c r="W1240" t="s">
        <v>139</v>
      </c>
      <c r="X1240">
        <v>1929247</v>
      </c>
      <c r="Y1240" s="11">
        <v>44782</v>
      </c>
      <c r="Z1240" t="s">
        <v>57</v>
      </c>
      <c r="AA1240">
        <v>6</v>
      </c>
      <c r="AB1240" t="s">
        <v>57</v>
      </c>
      <c r="AD1240" t="s">
        <v>57</v>
      </c>
      <c r="AE1240" t="s">
        <v>57</v>
      </c>
      <c r="AF1240" t="s">
        <v>57</v>
      </c>
      <c r="AG1240">
        <v>1</v>
      </c>
      <c r="AH1240" t="s">
        <v>57</v>
      </c>
      <c r="AL1240" t="s">
        <v>57</v>
      </c>
      <c r="AM1240" s="11">
        <v>44781</v>
      </c>
      <c r="AN1240" t="s">
        <v>184</v>
      </c>
      <c r="AO1240" t="s">
        <v>65</v>
      </c>
      <c r="AP1240">
        <v>1206</v>
      </c>
      <c r="AQ1240" t="s">
        <v>66</v>
      </c>
      <c r="AR1240">
        <v>206793</v>
      </c>
      <c r="AU1240" t="s">
        <v>57</v>
      </c>
      <c r="AV1240" t="s">
        <v>68</v>
      </c>
      <c r="AX1240" t="s">
        <v>57</v>
      </c>
      <c r="AY1240">
        <v>631110</v>
      </c>
      <c r="AZ1240">
        <v>1206.63111</v>
      </c>
      <c r="BA1240" s="23" t="s">
        <v>14</v>
      </c>
    </row>
    <row r="1241" spans="1:53" x14ac:dyDescent="0.25">
      <c r="A1241" t="s">
        <v>134</v>
      </c>
      <c r="B1241" t="s">
        <v>135</v>
      </c>
      <c r="C1241">
        <v>22002539</v>
      </c>
      <c r="D1241">
        <v>1206</v>
      </c>
      <c r="E1241" s="11">
        <v>44781</v>
      </c>
      <c r="F1241" t="s">
        <v>174</v>
      </c>
      <c r="G1241">
        <v>3.74</v>
      </c>
      <c r="H1241">
        <v>3.74</v>
      </c>
      <c r="I1241" t="s">
        <v>56</v>
      </c>
      <c r="O1241" t="s">
        <v>57</v>
      </c>
      <c r="Q1241" t="s">
        <v>57</v>
      </c>
      <c r="R1241" t="s">
        <v>137</v>
      </c>
      <c r="T1241" t="s">
        <v>59</v>
      </c>
      <c r="U1241" t="s">
        <v>60</v>
      </c>
      <c r="V1241" t="s">
        <v>138</v>
      </c>
      <c r="W1241" t="s">
        <v>139</v>
      </c>
      <c r="X1241">
        <v>1929247</v>
      </c>
      <c r="Y1241" s="11">
        <v>44782</v>
      </c>
      <c r="Z1241" t="s">
        <v>57</v>
      </c>
      <c r="AA1241">
        <v>8</v>
      </c>
      <c r="AB1241" t="s">
        <v>57</v>
      </c>
      <c r="AD1241" t="s">
        <v>57</v>
      </c>
      <c r="AE1241" t="s">
        <v>57</v>
      </c>
      <c r="AF1241" t="s">
        <v>57</v>
      </c>
      <c r="AG1241">
        <v>1</v>
      </c>
      <c r="AH1241" t="s">
        <v>57</v>
      </c>
      <c r="AL1241" t="s">
        <v>57</v>
      </c>
      <c r="AM1241" s="11">
        <v>44781</v>
      </c>
      <c r="AN1241" t="s">
        <v>184</v>
      </c>
      <c r="AO1241" t="s">
        <v>65</v>
      </c>
      <c r="AP1241">
        <v>1206</v>
      </c>
      <c r="AQ1241" t="s">
        <v>66</v>
      </c>
      <c r="AR1241">
        <v>209528</v>
      </c>
      <c r="AU1241" t="s">
        <v>57</v>
      </c>
      <c r="AV1241" t="s">
        <v>68</v>
      </c>
      <c r="AX1241" t="s">
        <v>57</v>
      </c>
      <c r="AY1241">
        <v>631110</v>
      </c>
      <c r="AZ1241">
        <v>1206.63111</v>
      </c>
      <c r="BA1241" s="23" t="s">
        <v>14</v>
      </c>
    </row>
    <row r="1242" spans="1:53" x14ac:dyDescent="0.25">
      <c r="A1242" t="s">
        <v>134</v>
      </c>
      <c r="B1242" t="s">
        <v>135</v>
      </c>
      <c r="C1242">
        <v>22002545</v>
      </c>
      <c r="D1242">
        <v>1206</v>
      </c>
      <c r="E1242" s="11">
        <v>44781</v>
      </c>
      <c r="F1242" t="s">
        <v>185</v>
      </c>
      <c r="G1242">
        <v>36.49</v>
      </c>
      <c r="H1242">
        <v>36.49</v>
      </c>
      <c r="I1242" t="s">
        <v>56</v>
      </c>
      <c r="O1242" t="s">
        <v>57</v>
      </c>
      <c r="Q1242" t="s">
        <v>57</v>
      </c>
      <c r="R1242" t="s">
        <v>137</v>
      </c>
      <c r="T1242" t="s">
        <v>59</v>
      </c>
      <c r="U1242" t="s">
        <v>60</v>
      </c>
      <c r="V1242" t="s">
        <v>138</v>
      </c>
      <c r="W1242" t="s">
        <v>139</v>
      </c>
      <c r="X1242">
        <v>1929986</v>
      </c>
      <c r="Y1242" s="11">
        <v>44783</v>
      </c>
      <c r="Z1242" t="s">
        <v>57</v>
      </c>
      <c r="AA1242">
        <v>2</v>
      </c>
      <c r="AB1242" t="s">
        <v>57</v>
      </c>
      <c r="AD1242" t="s">
        <v>57</v>
      </c>
      <c r="AE1242" t="s">
        <v>57</v>
      </c>
      <c r="AF1242" t="s">
        <v>57</v>
      </c>
      <c r="AG1242">
        <v>100</v>
      </c>
      <c r="AH1242" t="s">
        <v>57</v>
      </c>
      <c r="AL1242" t="s">
        <v>57</v>
      </c>
      <c r="AM1242" s="11">
        <v>44781</v>
      </c>
      <c r="AN1242" t="s">
        <v>183</v>
      </c>
      <c r="AO1242" t="s">
        <v>65</v>
      </c>
      <c r="AP1242">
        <v>1206</v>
      </c>
      <c r="AQ1242" t="s">
        <v>66</v>
      </c>
      <c r="AR1242">
        <v>91011</v>
      </c>
      <c r="AU1242" t="s">
        <v>57</v>
      </c>
      <c r="AV1242" t="s">
        <v>68</v>
      </c>
      <c r="AX1242" t="s">
        <v>57</v>
      </c>
      <c r="AY1242">
        <v>631110</v>
      </c>
      <c r="AZ1242">
        <v>1206.63111</v>
      </c>
      <c r="BA1242" s="23" t="s">
        <v>14</v>
      </c>
    </row>
    <row r="1243" spans="1:53" x14ac:dyDescent="0.25">
      <c r="A1243" t="s">
        <v>134</v>
      </c>
      <c r="B1243" t="s">
        <v>135</v>
      </c>
      <c r="C1243">
        <v>22002545</v>
      </c>
      <c r="D1243">
        <v>1206</v>
      </c>
      <c r="E1243" s="11">
        <v>44781</v>
      </c>
      <c r="F1243" t="s">
        <v>185</v>
      </c>
      <c r="G1243">
        <v>4.58</v>
      </c>
      <c r="H1243">
        <v>4.58</v>
      </c>
      <c r="I1243" t="s">
        <v>56</v>
      </c>
      <c r="O1243" t="s">
        <v>57</v>
      </c>
      <c r="Q1243" t="s">
        <v>57</v>
      </c>
      <c r="R1243" t="s">
        <v>137</v>
      </c>
      <c r="T1243" t="s">
        <v>59</v>
      </c>
      <c r="U1243" t="s">
        <v>60</v>
      </c>
      <c r="V1243" t="s">
        <v>138</v>
      </c>
      <c r="W1243" t="s">
        <v>139</v>
      </c>
      <c r="X1243">
        <v>1929986</v>
      </c>
      <c r="Y1243" s="11">
        <v>44783</v>
      </c>
      <c r="Z1243" t="s">
        <v>57</v>
      </c>
      <c r="AA1243">
        <v>4</v>
      </c>
      <c r="AB1243" t="s">
        <v>57</v>
      </c>
      <c r="AD1243" t="s">
        <v>57</v>
      </c>
      <c r="AE1243" t="s">
        <v>57</v>
      </c>
      <c r="AF1243" t="s">
        <v>57</v>
      </c>
      <c r="AG1243">
        <v>30</v>
      </c>
      <c r="AH1243" t="s">
        <v>57</v>
      </c>
      <c r="AL1243" t="s">
        <v>57</v>
      </c>
      <c r="AM1243" s="11">
        <v>44781</v>
      </c>
      <c r="AN1243" t="s">
        <v>183</v>
      </c>
      <c r="AO1243" t="s">
        <v>65</v>
      </c>
      <c r="AP1243">
        <v>1206</v>
      </c>
      <c r="AQ1243" t="s">
        <v>66</v>
      </c>
      <c r="AR1243">
        <v>144854</v>
      </c>
      <c r="AU1243" t="s">
        <v>57</v>
      </c>
      <c r="AV1243" t="s">
        <v>68</v>
      </c>
      <c r="AX1243" t="s">
        <v>57</v>
      </c>
      <c r="AY1243">
        <v>631110</v>
      </c>
      <c r="AZ1243">
        <v>1206.63111</v>
      </c>
      <c r="BA1243" s="23" t="s">
        <v>14</v>
      </c>
    </row>
    <row r="1244" spans="1:53" x14ac:dyDescent="0.25">
      <c r="A1244" t="s">
        <v>134</v>
      </c>
      <c r="B1244" t="s">
        <v>135</v>
      </c>
      <c r="C1244">
        <v>22002545</v>
      </c>
      <c r="D1244">
        <v>1206</v>
      </c>
      <c r="E1244" s="11">
        <v>44781</v>
      </c>
      <c r="F1244" t="s">
        <v>185</v>
      </c>
      <c r="G1244">
        <v>4.7</v>
      </c>
      <c r="H1244">
        <v>4.7</v>
      </c>
      <c r="I1244" t="s">
        <v>56</v>
      </c>
      <c r="O1244" t="s">
        <v>57</v>
      </c>
      <c r="Q1244" t="s">
        <v>57</v>
      </c>
      <c r="R1244" t="s">
        <v>137</v>
      </c>
      <c r="T1244" t="s">
        <v>59</v>
      </c>
      <c r="U1244" t="s">
        <v>60</v>
      </c>
      <c r="V1244" t="s">
        <v>138</v>
      </c>
      <c r="W1244" t="s">
        <v>139</v>
      </c>
      <c r="X1244">
        <v>1929986</v>
      </c>
      <c r="Y1244" s="11">
        <v>44783</v>
      </c>
      <c r="Z1244" t="s">
        <v>57</v>
      </c>
      <c r="AA1244">
        <v>6</v>
      </c>
      <c r="AB1244" t="s">
        <v>57</v>
      </c>
      <c r="AD1244" t="s">
        <v>57</v>
      </c>
      <c r="AE1244" t="s">
        <v>57</v>
      </c>
      <c r="AF1244" t="s">
        <v>57</v>
      </c>
      <c r="AG1244">
        <v>30</v>
      </c>
      <c r="AH1244" t="s">
        <v>57</v>
      </c>
      <c r="AL1244" t="s">
        <v>57</v>
      </c>
      <c r="AM1244" s="11">
        <v>44781</v>
      </c>
      <c r="AN1244" t="s">
        <v>183</v>
      </c>
      <c r="AO1244" t="s">
        <v>65</v>
      </c>
      <c r="AP1244">
        <v>1206</v>
      </c>
      <c r="AQ1244" t="s">
        <v>66</v>
      </c>
      <c r="AR1244">
        <v>89712</v>
      </c>
      <c r="AU1244" t="s">
        <v>57</v>
      </c>
      <c r="AV1244" t="s">
        <v>68</v>
      </c>
      <c r="AX1244" t="s">
        <v>57</v>
      </c>
      <c r="AY1244">
        <v>631110</v>
      </c>
      <c r="AZ1244">
        <v>1206.63111</v>
      </c>
      <c r="BA1244" s="23" t="s">
        <v>14</v>
      </c>
    </row>
    <row r="1245" spans="1:53" x14ac:dyDescent="0.25">
      <c r="A1245" t="s">
        <v>134</v>
      </c>
      <c r="B1245" t="s">
        <v>135</v>
      </c>
      <c r="C1245">
        <v>22002540</v>
      </c>
      <c r="D1245">
        <v>1206</v>
      </c>
      <c r="E1245" s="11">
        <v>44782</v>
      </c>
      <c r="F1245" t="s">
        <v>174</v>
      </c>
      <c r="G1245">
        <v>1.62</v>
      </c>
      <c r="H1245">
        <v>1.62</v>
      </c>
      <c r="I1245" t="s">
        <v>56</v>
      </c>
      <c r="O1245" t="s">
        <v>57</v>
      </c>
      <c r="Q1245" t="s">
        <v>57</v>
      </c>
      <c r="R1245" t="s">
        <v>137</v>
      </c>
      <c r="T1245" t="s">
        <v>59</v>
      </c>
      <c r="U1245" t="s">
        <v>60</v>
      </c>
      <c r="V1245" t="s">
        <v>138</v>
      </c>
      <c r="W1245" t="s">
        <v>139</v>
      </c>
      <c r="X1245">
        <v>1929247</v>
      </c>
      <c r="Y1245" s="11">
        <v>44782</v>
      </c>
      <c r="Z1245" t="s">
        <v>57</v>
      </c>
      <c r="AA1245">
        <v>2</v>
      </c>
      <c r="AB1245" t="s">
        <v>57</v>
      </c>
      <c r="AD1245" t="s">
        <v>57</v>
      </c>
      <c r="AE1245" t="s">
        <v>57</v>
      </c>
      <c r="AF1245" t="s">
        <v>57</v>
      </c>
      <c r="AG1245">
        <v>1</v>
      </c>
      <c r="AH1245" t="s">
        <v>57</v>
      </c>
      <c r="AL1245" t="s">
        <v>57</v>
      </c>
      <c r="AM1245" s="11">
        <v>44782</v>
      </c>
      <c r="AN1245" t="s">
        <v>184</v>
      </c>
      <c r="AO1245" t="s">
        <v>65</v>
      </c>
      <c r="AP1245">
        <v>1206</v>
      </c>
      <c r="AQ1245" t="s">
        <v>66</v>
      </c>
      <c r="AR1245">
        <v>284092</v>
      </c>
      <c r="AU1245" t="s">
        <v>57</v>
      </c>
      <c r="AV1245" t="s">
        <v>68</v>
      </c>
      <c r="AX1245" t="s">
        <v>57</v>
      </c>
      <c r="AY1245">
        <v>631110</v>
      </c>
      <c r="AZ1245">
        <v>1206.63111</v>
      </c>
      <c r="BA1245" s="23" t="s">
        <v>14</v>
      </c>
    </row>
    <row r="1246" spans="1:53" x14ac:dyDescent="0.25">
      <c r="A1246" t="s">
        <v>134</v>
      </c>
      <c r="B1246" t="s">
        <v>135</v>
      </c>
      <c r="C1246">
        <v>22002540</v>
      </c>
      <c r="D1246">
        <v>1206</v>
      </c>
      <c r="E1246" s="11">
        <v>44782</v>
      </c>
      <c r="F1246" t="s">
        <v>174</v>
      </c>
      <c r="G1246">
        <v>0.81</v>
      </c>
      <c r="H1246">
        <v>0.81</v>
      </c>
      <c r="I1246" t="s">
        <v>56</v>
      </c>
      <c r="O1246" t="s">
        <v>57</v>
      </c>
      <c r="Q1246" t="s">
        <v>57</v>
      </c>
      <c r="R1246" t="s">
        <v>137</v>
      </c>
      <c r="T1246" t="s">
        <v>59</v>
      </c>
      <c r="U1246" t="s">
        <v>60</v>
      </c>
      <c r="V1246" t="s">
        <v>138</v>
      </c>
      <c r="W1246" t="s">
        <v>139</v>
      </c>
      <c r="X1246">
        <v>1929247</v>
      </c>
      <c r="Y1246" s="11">
        <v>44782</v>
      </c>
      <c r="Z1246" t="s">
        <v>57</v>
      </c>
      <c r="AA1246">
        <v>4</v>
      </c>
      <c r="AB1246" t="s">
        <v>57</v>
      </c>
      <c r="AD1246" t="s">
        <v>57</v>
      </c>
      <c r="AE1246" t="s">
        <v>57</v>
      </c>
      <c r="AF1246" t="s">
        <v>57</v>
      </c>
      <c r="AG1246">
        <v>1</v>
      </c>
      <c r="AH1246" t="s">
        <v>57</v>
      </c>
      <c r="AL1246" t="s">
        <v>57</v>
      </c>
      <c r="AM1246" s="11">
        <v>44782</v>
      </c>
      <c r="AN1246" t="s">
        <v>184</v>
      </c>
      <c r="AO1246" t="s">
        <v>65</v>
      </c>
      <c r="AP1246">
        <v>1206</v>
      </c>
      <c r="AQ1246" t="s">
        <v>66</v>
      </c>
      <c r="AR1246">
        <v>270709</v>
      </c>
      <c r="AU1246" t="s">
        <v>57</v>
      </c>
      <c r="AV1246" t="s">
        <v>68</v>
      </c>
      <c r="AX1246" t="s">
        <v>57</v>
      </c>
      <c r="AY1246">
        <v>631110</v>
      </c>
      <c r="AZ1246">
        <v>1206.63111</v>
      </c>
      <c r="BA1246" s="23" t="s">
        <v>14</v>
      </c>
    </row>
    <row r="1247" spans="1:53" x14ac:dyDescent="0.25">
      <c r="A1247" t="s">
        <v>134</v>
      </c>
      <c r="B1247" t="s">
        <v>135</v>
      </c>
      <c r="C1247">
        <v>22002540</v>
      </c>
      <c r="D1247">
        <v>1206</v>
      </c>
      <c r="E1247" s="11">
        <v>44782</v>
      </c>
      <c r="F1247" t="s">
        <v>174</v>
      </c>
      <c r="G1247">
        <v>0.74</v>
      </c>
      <c r="H1247">
        <v>0.74</v>
      </c>
      <c r="I1247" t="s">
        <v>56</v>
      </c>
      <c r="O1247" t="s">
        <v>57</v>
      </c>
      <c r="Q1247" t="s">
        <v>57</v>
      </c>
      <c r="R1247" t="s">
        <v>137</v>
      </c>
      <c r="T1247" t="s">
        <v>59</v>
      </c>
      <c r="U1247" t="s">
        <v>60</v>
      </c>
      <c r="V1247" t="s">
        <v>138</v>
      </c>
      <c r="W1247" t="s">
        <v>139</v>
      </c>
      <c r="X1247">
        <v>1929247</v>
      </c>
      <c r="Y1247" s="11">
        <v>44782</v>
      </c>
      <c r="Z1247" t="s">
        <v>57</v>
      </c>
      <c r="AA1247">
        <v>6</v>
      </c>
      <c r="AB1247" t="s">
        <v>57</v>
      </c>
      <c r="AD1247" t="s">
        <v>57</v>
      </c>
      <c r="AE1247" t="s">
        <v>57</v>
      </c>
      <c r="AF1247" t="s">
        <v>57</v>
      </c>
      <c r="AG1247">
        <v>1</v>
      </c>
      <c r="AH1247" t="s">
        <v>57</v>
      </c>
      <c r="AL1247" t="s">
        <v>57</v>
      </c>
      <c r="AM1247" s="11">
        <v>44782</v>
      </c>
      <c r="AN1247" t="s">
        <v>184</v>
      </c>
      <c r="AO1247" t="s">
        <v>65</v>
      </c>
      <c r="AP1247">
        <v>1206</v>
      </c>
      <c r="AQ1247" t="s">
        <v>66</v>
      </c>
      <c r="AR1247">
        <v>284097</v>
      </c>
      <c r="AU1247" t="s">
        <v>57</v>
      </c>
      <c r="AV1247" t="s">
        <v>68</v>
      </c>
      <c r="AX1247" t="s">
        <v>57</v>
      </c>
      <c r="AY1247">
        <v>631110</v>
      </c>
      <c r="AZ1247">
        <v>1206.63111</v>
      </c>
      <c r="BA1247" s="23" t="s">
        <v>14</v>
      </c>
    </row>
    <row r="1248" spans="1:53" x14ac:dyDescent="0.25">
      <c r="A1248" t="s">
        <v>134</v>
      </c>
      <c r="B1248" t="s">
        <v>135</v>
      </c>
      <c r="C1248">
        <v>22002541</v>
      </c>
      <c r="D1248">
        <v>1206</v>
      </c>
      <c r="E1248" s="11">
        <v>44782</v>
      </c>
      <c r="F1248" t="s">
        <v>174</v>
      </c>
      <c r="G1248">
        <v>87.32</v>
      </c>
      <c r="H1248">
        <v>87.32</v>
      </c>
      <c r="I1248" t="s">
        <v>56</v>
      </c>
      <c r="O1248" t="s">
        <v>57</v>
      </c>
      <c r="Q1248" t="s">
        <v>57</v>
      </c>
      <c r="R1248" t="s">
        <v>137</v>
      </c>
      <c r="T1248" t="s">
        <v>59</v>
      </c>
      <c r="U1248" t="s">
        <v>60</v>
      </c>
      <c r="V1248" t="s">
        <v>138</v>
      </c>
      <c r="W1248" t="s">
        <v>139</v>
      </c>
      <c r="X1248">
        <v>1929848</v>
      </c>
      <c r="Y1248" s="11">
        <v>44782</v>
      </c>
      <c r="Z1248" t="s">
        <v>57</v>
      </c>
      <c r="AA1248">
        <v>2</v>
      </c>
      <c r="AB1248" t="s">
        <v>57</v>
      </c>
      <c r="AD1248" t="s">
        <v>57</v>
      </c>
      <c r="AE1248" t="s">
        <v>57</v>
      </c>
      <c r="AF1248" t="s">
        <v>57</v>
      </c>
      <c r="AG1248">
        <v>1</v>
      </c>
      <c r="AH1248" t="s">
        <v>57</v>
      </c>
      <c r="AL1248" t="s">
        <v>57</v>
      </c>
      <c r="AM1248" s="11">
        <v>44782</v>
      </c>
      <c r="AN1248" t="s">
        <v>184</v>
      </c>
      <c r="AO1248" t="s">
        <v>65</v>
      </c>
      <c r="AP1248">
        <v>1206</v>
      </c>
      <c r="AQ1248" t="s">
        <v>66</v>
      </c>
      <c r="AR1248">
        <v>143865</v>
      </c>
      <c r="AU1248" t="s">
        <v>57</v>
      </c>
      <c r="AV1248" t="s">
        <v>68</v>
      </c>
      <c r="AX1248" t="s">
        <v>57</v>
      </c>
      <c r="AY1248">
        <v>631110</v>
      </c>
      <c r="AZ1248">
        <v>1206.63111</v>
      </c>
      <c r="BA1248" s="23" t="s">
        <v>14</v>
      </c>
    </row>
    <row r="1249" spans="1:53" x14ac:dyDescent="0.25">
      <c r="A1249" t="s">
        <v>134</v>
      </c>
      <c r="B1249" t="s">
        <v>135</v>
      </c>
      <c r="C1249">
        <v>22002541</v>
      </c>
      <c r="D1249">
        <v>1206</v>
      </c>
      <c r="E1249" s="11">
        <v>44782</v>
      </c>
      <c r="F1249" t="s">
        <v>174</v>
      </c>
      <c r="G1249">
        <v>2.06</v>
      </c>
      <c r="H1249">
        <v>2.06</v>
      </c>
      <c r="I1249" t="s">
        <v>56</v>
      </c>
      <c r="O1249" t="s">
        <v>57</v>
      </c>
      <c r="Q1249" t="s">
        <v>57</v>
      </c>
      <c r="R1249" t="s">
        <v>137</v>
      </c>
      <c r="T1249" t="s">
        <v>59</v>
      </c>
      <c r="U1249" t="s">
        <v>60</v>
      </c>
      <c r="V1249" t="s">
        <v>138</v>
      </c>
      <c r="W1249" t="s">
        <v>139</v>
      </c>
      <c r="X1249">
        <v>1929848</v>
      </c>
      <c r="Y1249" s="11">
        <v>44782</v>
      </c>
      <c r="Z1249" t="s">
        <v>57</v>
      </c>
      <c r="AA1249">
        <v>4</v>
      </c>
      <c r="AB1249" t="s">
        <v>57</v>
      </c>
      <c r="AD1249" t="s">
        <v>57</v>
      </c>
      <c r="AE1249" t="s">
        <v>57</v>
      </c>
      <c r="AF1249" t="s">
        <v>57</v>
      </c>
      <c r="AG1249">
        <v>2</v>
      </c>
      <c r="AH1249" t="s">
        <v>57</v>
      </c>
      <c r="AL1249" t="s">
        <v>57</v>
      </c>
      <c r="AM1249" s="11">
        <v>44782</v>
      </c>
      <c r="AN1249" t="s">
        <v>184</v>
      </c>
      <c r="AO1249" t="s">
        <v>65</v>
      </c>
      <c r="AP1249">
        <v>1206</v>
      </c>
      <c r="AQ1249" t="s">
        <v>66</v>
      </c>
      <c r="AR1249">
        <v>187398</v>
      </c>
      <c r="AU1249" t="s">
        <v>57</v>
      </c>
      <c r="AV1249" t="s">
        <v>68</v>
      </c>
      <c r="AX1249" t="s">
        <v>57</v>
      </c>
      <c r="AY1249">
        <v>631110</v>
      </c>
      <c r="AZ1249">
        <v>1206.63111</v>
      </c>
      <c r="BA1249" s="23" t="s">
        <v>14</v>
      </c>
    </row>
    <row r="1250" spans="1:53" x14ac:dyDescent="0.25">
      <c r="A1250" t="s">
        <v>134</v>
      </c>
      <c r="B1250" t="s">
        <v>135</v>
      </c>
      <c r="C1250">
        <v>22002541</v>
      </c>
      <c r="D1250">
        <v>1206</v>
      </c>
      <c r="E1250" s="11">
        <v>44782</v>
      </c>
      <c r="F1250" t="s">
        <v>174</v>
      </c>
      <c r="G1250">
        <v>0.14000000000000001</v>
      </c>
      <c r="H1250">
        <v>0.14000000000000001</v>
      </c>
      <c r="I1250" t="s">
        <v>56</v>
      </c>
      <c r="O1250" t="s">
        <v>57</v>
      </c>
      <c r="Q1250" t="s">
        <v>57</v>
      </c>
      <c r="R1250" t="s">
        <v>137</v>
      </c>
      <c r="T1250" t="s">
        <v>59</v>
      </c>
      <c r="U1250" t="s">
        <v>60</v>
      </c>
      <c r="V1250" t="s">
        <v>138</v>
      </c>
      <c r="W1250" t="s">
        <v>139</v>
      </c>
      <c r="X1250">
        <v>1929848</v>
      </c>
      <c r="Y1250" s="11">
        <v>44782</v>
      </c>
      <c r="Z1250" t="s">
        <v>57</v>
      </c>
      <c r="AA1250">
        <v>6</v>
      </c>
      <c r="AB1250" t="s">
        <v>57</v>
      </c>
      <c r="AD1250" t="s">
        <v>57</v>
      </c>
      <c r="AE1250" t="s">
        <v>57</v>
      </c>
      <c r="AF1250" t="s">
        <v>57</v>
      </c>
      <c r="AG1250">
        <v>2</v>
      </c>
      <c r="AH1250" t="s">
        <v>57</v>
      </c>
      <c r="AL1250" t="s">
        <v>57</v>
      </c>
      <c r="AM1250" s="11">
        <v>44782</v>
      </c>
      <c r="AN1250" t="s">
        <v>184</v>
      </c>
      <c r="AO1250" t="s">
        <v>65</v>
      </c>
      <c r="AP1250">
        <v>1206</v>
      </c>
      <c r="AQ1250" t="s">
        <v>66</v>
      </c>
      <c r="AR1250">
        <v>88799</v>
      </c>
      <c r="AU1250" t="s">
        <v>57</v>
      </c>
      <c r="AV1250" t="s">
        <v>68</v>
      </c>
      <c r="AX1250" t="s">
        <v>57</v>
      </c>
      <c r="AY1250">
        <v>631110</v>
      </c>
      <c r="AZ1250">
        <v>1206.63111</v>
      </c>
      <c r="BA1250" s="23" t="s">
        <v>14</v>
      </c>
    </row>
    <row r="1251" spans="1:53" x14ac:dyDescent="0.25">
      <c r="A1251" t="s">
        <v>134</v>
      </c>
      <c r="B1251" t="s">
        <v>135</v>
      </c>
      <c r="C1251">
        <v>22002542</v>
      </c>
      <c r="D1251">
        <v>1206</v>
      </c>
      <c r="E1251" s="11">
        <v>44782</v>
      </c>
      <c r="F1251" t="s">
        <v>174</v>
      </c>
      <c r="G1251">
        <v>33.83</v>
      </c>
      <c r="H1251">
        <v>33.83</v>
      </c>
      <c r="I1251" t="s">
        <v>56</v>
      </c>
      <c r="O1251" t="s">
        <v>57</v>
      </c>
      <c r="Q1251" t="s">
        <v>57</v>
      </c>
      <c r="R1251" t="s">
        <v>137</v>
      </c>
      <c r="T1251" t="s">
        <v>59</v>
      </c>
      <c r="U1251" t="s">
        <v>60</v>
      </c>
      <c r="V1251" t="s">
        <v>138</v>
      </c>
      <c r="W1251" t="s">
        <v>139</v>
      </c>
      <c r="X1251">
        <v>1929848</v>
      </c>
      <c r="Y1251" s="11">
        <v>44782</v>
      </c>
      <c r="Z1251" t="s">
        <v>57</v>
      </c>
      <c r="AA1251">
        <v>2</v>
      </c>
      <c r="AB1251" t="s">
        <v>57</v>
      </c>
      <c r="AD1251" t="s">
        <v>57</v>
      </c>
      <c r="AE1251" t="s">
        <v>57</v>
      </c>
      <c r="AF1251" t="s">
        <v>57</v>
      </c>
      <c r="AG1251">
        <v>1</v>
      </c>
      <c r="AH1251" t="s">
        <v>57</v>
      </c>
      <c r="AL1251" t="s">
        <v>57</v>
      </c>
      <c r="AM1251" s="11">
        <v>44782</v>
      </c>
      <c r="AN1251" t="s">
        <v>184</v>
      </c>
      <c r="AO1251" t="s">
        <v>65</v>
      </c>
      <c r="AP1251">
        <v>1206</v>
      </c>
      <c r="AQ1251" t="s">
        <v>66</v>
      </c>
      <c r="AR1251">
        <v>190633</v>
      </c>
      <c r="AU1251" t="s">
        <v>57</v>
      </c>
      <c r="AV1251" t="s">
        <v>68</v>
      </c>
      <c r="AX1251" t="s">
        <v>57</v>
      </c>
      <c r="AY1251">
        <v>631110</v>
      </c>
      <c r="AZ1251">
        <v>1206.63111</v>
      </c>
      <c r="BA1251" s="23" t="s">
        <v>14</v>
      </c>
    </row>
    <row r="1252" spans="1:53" x14ac:dyDescent="0.25">
      <c r="A1252" t="s">
        <v>134</v>
      </c>
      <c r="B1252" t="s">
        <v>135</v>
      </c>
      <c r="C1252">
        <v>22002542</v>
      </c>
      <c r="D1252">
        <v>1206</v>
      </c>
      <c r="E1252" s="11">
        <v>44782</v>
      </c>
      <c r="F1252" t="s">
        <v>174</v>
      </c>
      <c r="G1252">
        <v>10.210000000000001</v>
      </c>
      <c r="H1252">
        <v>10.210000000000001</v>
      </c>
      <c r="I1252" t="s">
        <v>56</v>
      </c>
      <c r="O1252" t="s">
        <v>57</v>
      </c>
      <c r="Q1252" t="s">
        <v>57</v>
      </c>
      <c r="R1252" t="s">
        <v>137</v>
      </c>
      <c r="T1252" t="s">
        <v>59</v>
      </c>
      <c r="U1252" t="s">
        <v>60</v>
      </c>
      <c r="V1252" t="s">
        <v>138</v>
      </c>
      <c r="W1252" t="s">
        <v>139</v>
      </c>
      <c r="X1252">
        <v>1929848</v>
      </c>
      <c r="Y1252" s="11">
        <v>44782</v>
      </c>
      <c r="Z1252" t="s">
        <v>57</v>
      </c>
      <c r="AA1252">
        <v>4</v>
      </c>
      <c r="AB1252" t="s">
        <v>57</v>
      </c>
      <c r="AD1252" t="s">
        <v>57</v>
      </c>
      <c r="AE1252" t="s">
        <v>57</v>
      </c>
      <c r="AF1252" t="s">
        <v>57</v>
      </c>
      <c r="AG1252">
        <v>1</v>
      </c>
      <c r="AH1252" t="s">
        <v>57</v>
      </c>
      <c r="AL1252" t="s">
        <v>57</v>
      </c>
      <c r="AM1252" s="11">
        <v>44782</v>
      </c>
      <c r="AN1252" t="s">
        <v>184</v>
      </c>
      <c r="AO1252" t="s">
        <v>65</v>
      </c>
      <c r="AP1252">
        <v>1206</v>
      </c>
      <c r="AQ1252" t="s">
        <v>66</v>
      </c>
      <c r="AR1252">
        <v>106095</v>
      </c>
      <c r="AU1252" t="s">
        <v>57</v>
      </c>
      <c r="AV1252" t="s">
        <v>68</v>
      </c>
      <c r="AX1252" t="s">
        <v>57</v>
      </c>
      <c r="AY1252">
        <v>631110</v>
      </c>
      <c r="AZ1252">
        <v>1206.63111</v>
      </c>
      <c r="BA1252" s="23" t="s">
        <v>14</v>
      </c>
    </row>
    <row r="1253" spans="1:53" x14ac:dyDescent="0.25">
      <c r="A1253" t="s">
        <v>134</v>
      </c>
      <c r="B1253" t="s">
        <v>135</v>
      </c>
      <c r="C1253">
        <v>22002542</v>
      </c>
      <c r="D1253">
        <v>1206</v>
      </c>
      <c r="E1253" s="11">
        <v>44782</v>
      </c>
      <c r="F1253" t="s">
        <v>174</v>
      </c>
      <c r="G1253">
        <v>52.13</v>
      </c>
      <c r="H1253">
        <v>52.13</v>
      </c>
      <c r="I1253" t="s">
        <v>56</v>
      </c>
      <c r="O1253" t="s">
        <v>57</v>
      </c>
      <c r="Q1253" t="s">
        <v>57</v>
      </c>
      <c r="R1253" t="s">
        <v>137</v>
      </c>
      <c r="T1253" t="s">
        <v>59</v>
      </c>
      <c r="U1253" t="s">
        <v>60</v>
      </c>
      <c r="V1253" t="s">
        <v>138</v>
      </c>
      <c r="W1253" t="s">
        <v>139</v>
      </c>
      <c r="X1253">
        <v>1929848</v>
      </c>
      <c r="Y1253" s="11">
        <v>44782</v>
      </c>
      <c r="Z1253" t="s">
        <v>57</v>
      </c>
      <c r="AA1253">
        <v>6</v>
      </c>
      <c r="AB1253" t="s">
        <v>57</v>
      </c>
      <c r="AD1253" t="s">
        <v>57</v>
      </c>
      <c r="AE1253" t="s">
        <v>57</v>
      </c>
      <c r="AF1253" t="s">
        <v>57</v>
      </c>
      <c r="AG1253">
        <v>2</v>
      </c>
      <c r="AH1253" t="s">
        <v>57</v>
      </c>
      <c r="AL1253" t="s">
        <v>57</v>
      </c>
      <c r="AM1253" s="11">
        <v>44782</v>
      </c>
      <c r="AN1253" t="s">
        <v>184</v>
      </c>
      <c r="AO1253" t="s">
        <v>65</v>
      </c>
      <c r="AP1253">
        <v>1206</v>
      </c>
      <c r="AQ1253" t="s">
        <v>66</v>
      </c>
      <c r="AR1253">
        <v>143093</v>
      </c>
      <c r="AU1253" t="s">
        <v>57</v>
      </c>
      <c r="AV1253" t="s">
        <v>68</v>
      </c>
      <c r="AX1253" t="s">
        <v>57</v>
      </c>
      <c r="AY1253">
        <v>631110</v>
      </c>
      <c r="AZ1253">
        <v>1206.63111</v>
      </c>
      <c r="BA1253" s="23" t="s">
        <v>14</v>
      </c>
    </row>
    <row r="1254" spans="1:53" x14ac:dyDescent="0.25">
      <c r="A1254" t="s">
        <v>134</v>
      </c>
      <c r="B1254" t="s">
        <v>135</v>
      </c>
      <c r="C1254">
        <v>22002543</v>
      </c>
      <c r="D1254">
        <v>1206</v>
      </c>
      <c r="E1254" s="11">
        <v>44782</v>
      </c>
      <c r="F1254" t="s">
        <v>159</v>
      </c>
      <c r="G1254">
        <v>15.5</v>
      </c>
      <c r="H1254">
        <v>15.5</v>
      </c>
      <c r="I1254" t="s">
        <v>56</v>
      </c>
      <c r="O1254" t="s">
        <v>57</v>
      </c>
      <c r="Q1254" t="s">
        <v>57</v>
      </c>
      <c r="R1254" t="s">
        <v>137</v>
      </c>
      <c r="T1254" t="s">
        <v>59</v>
      </c>
      <c r="U1254" t="s">
        <v>60</v>
      </c>
      <c r="V1254" t="s">
        <v>138</v>
      </c>
      <c r="W1254" t="s">
        <v>139</v>
      </c>
      <c r="X1254">
        <v>1929848</v>
      </c>
      <c r="Y1254" s="11">
        <v>44782</v>
      </c>
      <c r="Z1254" t="s">
        <v>57</v>
      </c>
      <c r="AA1254">
        <v>2</v>
      </c>
      <c r="AB1254" t="s">
        <v>57</v>
      </c>
      <c r="AD1254" t="s">
        <v>57</v>
      </c>
      <c r="AE1254" t="s">
        <v>57</v>
      </c>
      <c r="AF1254" t="s">
        <v>57</v>
      </c>
      <c r="AG1254">
        <v>1</v>
      </c>
      <c r="AH1254" t="s">
        <v>57</v>
      </c>
      <c r="AL1254" t="s">
        <v>57</v>
      </c>
      <c r="AM1254" s="11">
        <v>44782</v>
      </c>
      <c r="AN1254" t="s">
        <v>184</v>
      </c>
      <c r="AO1254" t="s">
        <v>65</v>
      </c>
      <c r="AP1254">
        <v>1206</v>
      </c>
      <c r="AQ1254" t="s">
        <v>66</v>
      </c>
      <c r="AR1254">
        <v>163472</v>
      </c>
      <c r="AU1254" t="s">
        <v>57</v>
      </c>
      <c r="AV1254" t="s">
        <v>68</v>
      </c>
      <c r="AX1254" t="s">
        <v>57</v>
      </c>
      <c r="AY1254">
        <v>631110</v>
      </c>
      <c r="AZ1254">
        <v>1206.63111</v>
      </c>
      <c r="BA1254" s="23" t="s">
        <v>14</v>
      </c>
    </row>
    <row r="1255" spans="1:53" x14ac:dyDescent="0.25">
      <c r="A1255" t="s">
        <v>134</v>
      </c>
      <c r="B1255" t="s">
        <v>135</v>
      </c>
      <c r="C1255">
        <v>22002543</v>
      </c>
      <c r="D1255">
        <v>1206</v>
      </c>
      <c r="E1255" s="11">
        <v>44782</v>
      </c>
      <c r="F1255" t="s">
        <v>159</v>
      </c>
      <c r="G1255">
        <v>13.59</v>
      </c>
      <c r="H1255">
        <v>13.59</v>
      </c>
      <c r="I1255" t="s">
        <v>56</v>
      </c>
      <c r="O1255" t="s">
        <v>57</v>
      </c>
      <c r="Q1255" t="s">
        <v>57</v>
      </c>
      <c r="R1255" t="s">
        <v>137</v>
      </c>
      <c r="T1255" t="s">
        <v>59</v>
      </c>
      <c r="U1255" t="s">
        <v>60</v>
      </c>
      <c r="V1255" t="s">
        <v>138</v>
      </c>
      <c r="W1255" t="s">
        <v>139</v>
      </c>
      <c r="X1255">
        <v>1929848</v>
      </c>
      <c r="Y1255" s="11">
        <v>44782</v>
      </c>
      <c r="Z1255" t="s">
        <v>57</v>
      </c>
      <c r="AA1255">
        <v>4</v>
      </c>
      <c r="AB1255" t="s">
        <v>57</v>
      </c>
      <c r="AD1255" t="s">
        <v>57</v>
      </c>
      <c r="AE1255" t="s">
        <v>57</v>
      </c>
      <c r="AF1255" t="s">
        <v>57</v>
      </c>
      <c r="AG1255">
        <v>10</v>
      </c>
      <c r="AH1255" t="s">
        <v>57</v>
      </c>
      <c r="AL1255" t="s">
        <v>57</v>
      </c>
      <c r="AM1255" s="11">
        <v>44782</v>
      </c>
      <c r="AN1255" t="s">
        <v>184</v>
      </c>
      <c r="AO1255" t="s">
        <v>65</v>
      </c>
      <c r="AP1255">
        <v>1206</v>
      </c>
      <c r="AQ1255" t="s">
        <v>66</v>
      </c>
      <c r="AR1255">
        <v>163503</v>
      </c>
      <c r="AU1255" t="s">
        <v>57</v>
      </c>
      <c r="AV1255" t="s">
        <v>68</v>
      </c>
      <c r="AX1255" t="s">
        <v>57</v>
      </c>
      <c r="AY1255">
        <v>631110</v>
      </c>
      <c r="AZ1255">
        <v>1206.63111</v>
      </c>
      <c r="BA1255" s="23" t="s">
        <v>14</v>
      </c>
    </row>
    <row r="1256" spans="1:53" x14ac:dyDescent="0.25">
      <c r="A1256" t="s">
        <v>134</v>
      </c>
      <c r="B1256" t="s">
        <v>135</v>
      </c>
      <c r="C1256">
        <v>22002543</v>
      </c>
      <c r="D1256">
        <v>1206</v>
      </c>
      <c r="E1256" s="11">
        <v>44782</v>
      </c>
      <c r="F1256" t="s">
        <v>159</v>
      </c>
      <c r="G1256">
        <v>0.68</v>
      </c>
      <c r="H1256">
        <v>0.68</v>
      </c>
      <c r="I1256" t="s">
        <v>56</v>
      </c>
      <c r="O1256" t="s">
        <v>57</v>
      </c>
      <c r="Q1256" t="s">
        <v>57</v>
      </c>
      <c r="R1256" t="s">
        <v>137</v>
      </c>
      <c r="T1256" t="s">
        <v>59</v>
      </c>
      <c r="U1256" t="s">
        <v>60</v>
      </c>
      <c r="V1256" t="s">
        <v>138</v>
      </c>
      <c r="W1256" t="s">
        <v>139</v>
      </c>
      <c r="X1256">
        <v>1929848</v>
      </c>
      <c r="Y1256" s="11">
        <v>44782</v>
      </c>
      <c r="Z1256" t="s">
        <v>57</v>
      </c>
      <c r="AA1256">
        <v>6</v>
      </c>
      <c r="AB1256" t="s">
        <v>57</v>
      </c>
      <c r="AD1256" t="s">
        <v>57</v>
      </c>
      <c r="AE1256" t="s">
        <v>57</v>
      </c>
      <c r="AF1256" t="s">
        <v>57</v>
      </c>
      <c r="AG1256">
        <v>1</v>
      </c>
      <c r="AH1256" t="s">
        <v>57</v>
      </c>
      <c r="AL1256" t="s">
        <v>57</v>
      </c>
      <c r="AM1256" s="11">
        <v>44782</v>
      </c>
      <c r="AN1256" t="s">
        <v>184</v>
      </c>
      <c r="AO1256" t="s">
        <v>65</v>
      </c>
      <c r="AP1256">
        <v>1206</v>
      </c>
      <c r="AQ1256" t="s">
        <v>66</v>
      </c>
      <c r="AR1256">
        <v>88732</v>
      </c>
      <c r="AU1256" t="s">
        <v>57</v>
      </c>
      <c r="AV1256" t="s">
        <v>68</v>
      </c>
      <c r="AX1256" t="s">
        <v>57</v>
      </c>
      <c r="AY1256">
        <v>631110</v>
      </c>
      <c r="AZ1256">
        <v>1206.63111</v>
      </c>
      <c r="BA1256" s="23" t="s">
        <v>14</v>
      </c>
    </row>
    <row r="1257" spans="1:53" x14ac:dyDescent="0.25">
      <c r="A1257" t="s">
        <v>134</v>
      </c>
      <c r="B1257" t="s">
        <v>135</v>
      </c>
      <c r="C1257">
        <v>22002546</v>
      </c>
      <c r="D1257">
        <v>1206</v>
      </c>
      <c r="E1257" s="11">
        <v>44782</v>
      </c>
      <c r="F1257" t="s">
        <v>185</v>
      </c>
      <c r="G1257">
        <v>3.07</v>
      </c>
      <c r="H1257">
        <v>3.07</v>
      </c>
      <c r="I1257" t="s">
        <v>56</v>
      </c>
      <c r="O1257" t="s">
        <v>57</v>
      </c>
      <c r="Q1257" t="s">
        <v>57</v>
      </c>
      <c r="R1257" t="s">
        <v>137</v>
      </c>
      <c r="T1257" t="s">
        <v>59</v>
      </c>
      <c r="U1257" t="s">
        <v>60</v>
      </c>
      <c r="V1257" t="s">
        <v>138</v>
      </c>
      <c r="W1257" t="s">
        <v>139</v>
      </c>
      <c r="X1257">
        <v>1930065</v>
      </c>
      <c r="Y1257" s="11">
        <v>44783</v>
      </c>
      <c r="Z1257" t="s">
        <v>57</v>
      </c>
      <c r="AA1257">
        <v>6</v>
      </c>
      <c r="AB1257" t="s">
        <v>57</v>
      </c>
      <c r="AD1257" t="s">
        <v>57</v>
      </c>
      <c r="AE1257" t="s">
        <v>57</v>
      </c>
      <c r="AF1257" t="s">
        <v>57</v>
      </c>
      <c r="AG1257">
        <v>20</v>
      </c>
      <c r="AH1257" t="s">
        <v>57</v>
      </c>
      <c r="AL1257" t="s">
        <v>57</v>
      </c>
      <c r="AM1257" s="11">
        <v>44782</v>
      </c>
      <c r="AN1257" t="s">
        <v>183</v>
      </c>
      <c r="AO1257" t="s">
        <v>65</v>
      </c>
      <c r="AP1257">
        <v>1206</v>
      </c>
      <c r="AQ1257" t="s">
        <v>66</v>
      </c>
      <c r="AR1257">
        <v>89712</v>
      </c>
      <c r="AU1257" t="s">
        <v>57</v>
      </c>
      <c r="AV1257" t="s">
        <v>68</v>
      </c>
      <c r="AX1257" t="s">
        <v>57</v>
      </c>
      <c r="AY1257">
        <v>631110</v>
      </c>
      <c r="AZ1257">
        <v>1206.63111</v>
      </c>
      <c r="BA1257" s="23" t="s">
        <v>14</v>
      </c>
    </row>
    <row r="1258" spans="1:53" x14ac:dyDescent="0.25">
      <c r="A1258" t="s">
        <v>134</v>
      </c>
      <c r="B1258" t="s">
        <v>135</v>
      </c>
      <c r="C1258">
        <v>22002546</v>
      </c>
      <c r="D1258">
        <v>1206</v>
      </c>
      <c r="E1258" s="11">
        <v>44782</v>
      </c>
      <c r="F1258" t="s">
        <v>185</v>
      </c>
      <c r="G1258">
        <v>1.54</v>
      </c>
      <c r="H1258">
        <v>1.54</v>
      </c>
      <c r="I1258" t="s">
        <v>56</v>
      </c>
      <c r="O1258" t="s">
        <v>57</v>
      </c>
      <c r="Q1258" t="s">
        <v>57</v>
      </c>
      <c r="R1258" t="s">
        <v>137</v>
      </c>
      <c r="T1258" t="s">
        <v>59</v>
      </c>
      <c r="U1258" t="s">
        <v>60</v>
      </c>
      <c r="V1258" t="s">
        <v>138</v>
      </c>
      <c r="W1258" t="s">
        <v>139</v>
      </c>
      <c r="X1258">
        <v>1930065</v>
      </c>
      <c r="Y1258" s="11">
        <v>44783</v>
      </c>
      <c r="Z1258" t="s">
        <v>57</v>
      </c>
      <c r="AA1258">
        <v>8</v>
      </c>
      <c r="AB1258" t="s">
        <v>57</v>
      </c>
      <c r="AD1258" t="s">
        <v>57</v>
      </c>
      <c r="AE1258" t="s">
        <v>57</v>
      </c>
      <c r="AF1258" t="s">
        <v>57</v>
      </c>
      <c r="AG1258">
        <v>20</v>
      </c>
      <c r="AH1258" t="s">
        <v>57</v>
      </c>
      <c r="AL1258" t="s">
        <v>57</v>
      </c>
      <c r="AM1258" s="11">
        <v>44782</v>
      </c>
      <c r="AN1258" t="s">
        <v>183</v>
      </c>
      <c r="AO1258" t="s">
        <v>65</v>
      </c>
      <c r="AP1258">
        <v>1206</v>
      </c>
      <c r="AQ1258" t="s">
        <v>66</v>
      </c>
      <c r="AR1258">
        <v>91479</v>
      </c>
      <c r="AU1258" t="s">
        <v>57</v>
      </c>
      <c r="AV1258" t="s">
        <v>68</v>
      </c>
      <c r="AX1258" t="s">
        <v>57</v>
      </c>
      <c r="AY1258">
        <v>631110</v>
      </c>
      <c r="AZ1258">
        <v>1206.63111</v>
      </c>
      <c r="BA1258" s="23" t="s">
        <v>14</v>
      </c>
    </row>
    <row r="1259" spans="1:53" x14ac:dyDescent="0.25">
      <c r="A1259" t="s">
        <v>134</v>
      </c>
      <c r="B1259" t="s">
        <v>135</v>
      </c>
      <c r="C1259">
        <v>22002546</v>
      </c>
      <c r="D1259">
        <v>1206</v>
      </c>
      <c r="E1259" s="11">
        <v>44782</v>
      </c>
      <c r="F1259" t="s">
        <v>185</v>
      </c>
      <c r="G1259">
        <v>25.54</v>
      </c>
      <c r="H1259">
        <v>25.54</v>
      </c>
      <c r="I1259" t="s">
        <v>56</v>
      </c>
      <c r="O1259" t="s">
        <v>57</v>
      </c>
      <c r="Q1259" t="s">
        <v>57</v>
      </c>
      <c r="R1259" t="s">
        <v>137</v>
      </c>
      <c r="T1259" t="s">
        <v>59</v>
      </c>
      <c r="U1259" t="s">
        <v>60</v>
      </c>
      <c r="V1259" t="s">
        <v>138</v>
      </c>
      <c r="W1259" t="s">
        <v>139</v>
      </c>
      <c r="X1259">
        <v>1930065</v>
      </c>
      <c r="Y1259" s="11">
        <v>44783</v>
      </c>
      <c r="Z1259" t="s">
        <v>57</v>
      </c>
      <c r="AA1259">
        <v>2</v>
      </c>
      <c r="AB1259" t="s">
        <v>57</v>
      </c>
      <c r="AD1259" t="s">
        <v>57</v>
      </c>
      <c r="AE1259" t="s">
        <v>57</v>
      </c>
      <c r="AF1259" t="s">
        <v>57</v>
      </c>
      <c r="AG1259">
        <v>70</v>
      </c>
      <c r="AH1259" t="s">
        <v>57</v>
      </c>
      <c r="AL1259" t="s">
        <v>57</v>
      </c>
      <c r="AM1259" s="11">
        <v>44782</v>
      </c>
      <c r="AN1259" t="s">
        <v>183</v>
      </c>
      <c r="AO1259" t="s">
        <v>65</v>
      </c>
      <c r="AP1259">
        <v>1206</v>
      </c>
      <c r="AQ1259" t="s">
        <v>66</v>
      </c>
      <c r="AR1259">
        <v>91011</v>
      </c>
      <c r="AU1259" t="s">
        <v>57</v>
      </c>
      <c r="AV1259" t="s">
        <v>68</v>
      </c>
      <c r="AX1259" t="s">
        <v>57</v>
      </c>
      <c r="AY1259">
        <v>631110</v>
      </c>
      <c r="AZ1259">
        <v>1206.63111</v>
      </c>
      <c r="BA1259" s="23" t="s">
        <v>14</v>
      </c>
    </row>
    <row r="1260" spans="1:53" x14ac:dyDescent="0.25">
      <c r="A1260" t="s">
        <v>134</v>
      </c>
      <c r="B1260" t="s">
        <v>135</v>
      </c>
      <c r="C1260">
        <v>22002546</v>
      </c>
      <c r="D1260">
        <v>1206</v>
      </c>
      <c r="E1260" s="11">
        <v>44782</v>
      </c>
      <c r="F1260" t="s">
        <v>185</v>
      </c>
      <c r="G1260">
        <v>1.53</v>
      </c>
      <c r="H1260">
        <v>1.53</v>
      </c>
      <c r="I1260" t="s">
        <v>56</v>
      </c>
      <c r="O1260" t="s">
        <v>57</v>
      </c>
      <c r="Q1260" t="s">
        <v>57</v>
      </c>
      <c r="R1260" t="s">
        <v>137</v>
      </c>
      <c r="T1260" t="s">
        <v>59</v>
      </c>
      <c r="U1260" t="s">
        <v>60</v>
      </c>
      <c r="V1260" t="s">
        <v>138</v>
      </c>
      <c r="W1260" t="s">
        <v>139</v>
      </c>
      <c r="X1260">
        <v>1930065</v>
      </c>
      <c r="Y1260" s="11">
        <v>44783</v>
      </c>
      <c r="Z1260" t="s">
        <v>57</v>
      </c>
      <c r="AA1260">
        <v>4</v>
      </c>
      <c r="AB1260" t="s">
        <v>57</v>
      </c>
      <c r="AD1260" t="s">
        <v>57</v>
      </c>
      <c r="AE1260" t="s">
        <v>57</v>
      </c>
      <c r="AF1260" t="s">
        <v>57</v>
      </c>
      <c r="AG1260">
        <v>10</v>
      </c>
      <c r="AH1260" t="s">
        <v>57</v>
      </c>
      <c r="AL1260" t="s">
        <v>57</v>
      </c>
      <c r="AM1260" s="11">
        <v>44782</v>
      </c>
      <c r="AN1260" t="s">
        <v>183</v>
      </c>
      <c r="AO1260" t="s">
        <v>65</v>
      </c>
      <c r="AP1260">
        <v>1206</v>
      </c>
      <c r="AQ1260" t="s">
        <v>66</v>
      </c>
      <c r="AR1260">
        <v>144854</v>
      </c>
      <c r="AU1260" t="s">
        <v>57</v>
      </c>
      <c r="AV1260" t="s">
        <v>68</v>
      </c>
      <c r="AX1260" t="s">
        <v>57</v>
      </c>
      <c r="AY1260">
        <v>631110</v>
      </c>
      <c r="AZ1260">
        <v>1206.63111</v>
      </c>
      <c r="BA1260" s="23" t="s">
        <v>14</v>
      </c>
    </row>
    <row r="1261" spans="1:53" x14ac:dyDescent="0.25">
      <c r="A1261" t="s">
        <v>134</v>
      </c>
      <c r="B1261" t="s">
        <v>135</v>
      </c>
      <c r="C1261">
        <v>22002547</v>
      </c>
      <c r="D1261">
        <v>1206</v>
      </c>
      <c r="E1261" s="11">
        <v>44782</v>
      </c>
      <c r="F1261" t="s">
        <v>172</v>
      </c>
      <c r="G1261">
        <v>16.13</v>
      </c>
      <c r="H1261">
        <v>16.13</v>
      </c>
      <c r="I1261" t="s">
        <v>56</v>
      </c>
      <c r="O1261" t="s">
        <v>57</v>
      </c>
      <c r="Q1261" t="s">
        <v>57</v>
      </c>
      <c r="R1261" t="s">
        <v>137</v>
      </c>
      <c r="T1261" t="s">
        <v>59</v>
      </c>
      <c r="U1261" t="s">
        <v>60</v>
      </c>
      <c r="V1261" t="s">
        <v>138</v>
      </c>
      <c r="W1261" t="s">
        <v>139</v>
      </c>
      <c r="X1261">
        <v>1930246</v>
      </c>
      <c r="Y1261" s="11">
        <v>44783</v>
      </c>
      <c r="Z1261" t="s">
        <v>57</v>
      </c>
      <c r="AA1261">
        <v>2</v>
      </c>
      <c r="AB1261" t="s">
        <v>57</v>
      </c>
      <c r="AD1261" t="s">
        <v>57</v>
      </c>
      <c r="AE1261" t="s">
        <v>57</v>
      </c>
      <c r="AF1261" t="s">
        <v>57</v>
      </c>
      <c r="AG1261">
        <v>2</v>
      </c>
      <c r="AH1261" t="s">
        <v>57</v>
      </c>
      <c r="AL1261" t="s">
        <v>57</v>
      </c>
      <c r="AM1261" s="11">
        <v>44782</v>
      </c>
      <c r="AN1261" t="s">
        <v>184</v>
      </c>
      <c r="AO1261" t="s">
        <v>65</v>
      </c>
      <c r="AP1261">
        <v>1206</v>
      </c>
      <c r="AQ1261" t="s">
        <v>66</v>
      </c>
      <c r="AR1261">
        <v>279991</v>
      </c>
      <c r="AU1261" t="s">
        <v>57</v>
      </c>
      <c r="AV1261" t="s">
        <v>68</v>
      </c>
      <c r="AX1261" t="s">
        <v>57</v>
      </c>
      <c r="AY1261">
        <v>631110</v>
      </c>
      <c r="AZ1261">
        <v>1206.63111</v>
      </c>
      <c r="BA1261" s="23" t="s">
        <v>14</v>
      </c>
    </row>
    <row r="1262" spans="1:53" x14ac:dyDescent="0.25">
      <c r="A1262" t="s">
        <v>134</v>
      </c>
      <c r="B1262" t="s">
        <v>135</v>
      </c>
      <c r="C1262">
        <v>22002547</v>
      </c>
      <c r="D1262">
        <v>1206</v>
      </c>
      <c r="E1262" s="11">
        <v>44782</v>
      </c>
      <c r="F1262" t="s">
        <v>172</v>
      </c>
      <c r="G1262">
        <v>24.4</v>
      </c>
      <c r="H1262">
        <v>24.4</v>
      </c>
      <c r="I1262" t="s">
        <v>56</v>
      </c>
      <c r="O1262" t="s">
        <v>57</v>
      </c>
      <c r="Q1262" t="s">
        <v>57</v>
      </c>
      <c r="R1262" t="s">
        <v>137</v>
      </c>
      <c r="T1262" t="s">
        <v>59</v>
      </c>
      <c r="U1262" t="s">
        <v>60</v>
      </c>
      <c r="V1262" t="s">
        <v>138</v>
      </c>
      <c r="W1262" t="s">
        <v>139</v>
      </c>
      <c r="X1262">
        <v>1930246</v>
      </c>
      <c r="Y1262" s="11">
        <v>44783</v>
      </c>
      <c r="Z1262" t="s">
        <v>57</v>
      </c>
      <c r="AA1262">
        <v>4</v>
      </c>
      <c r="AB1262" t="s">
        <v>57</v>
      </c>
      <c r="AD1262" t="s">
        <v>57</v>
      </c>
      <c r="AE1262" t="s">
        <v>57</v>
      </c>
      <c r="AF1262" t="s">
        <v>57</v>
      </c>
      <c r="AG1262">
        <v>1</v>
      </c>
      <c r="AH1262" t="s">
        <v>57</v>
      </c>
      <c r="AL1262" t="s">
        <v>57</v>
      </c>
      <c r="AM1262" s="11">
        <v>44782</v>
      </c>
      <c r="AN1262" t="s">
        <v>184</v>
      </c>
      <c r="AO1262" t="s">
        <v>65</v>
      </c>
      <c r="AP1262">
        <v>1206</v>
      </c>
      <c r="AQ1262" t="s">
        <v>66</v>
      </c>
      <c r="AR1262">
        <v>247146</v>
      </c>
      <c r="AU1262" t="s">
        <v>57</v>
      </c>
      <c r="AV1262" t="s">
        <v>68</v>
      </c>
      <c r="AX1262" t="s">
        <v>57</v>
      </c>
      <c r="AY1262">
        <v>631110</v>
      </c>
      <c r="AZ1262">
        <v>1206.63111</v>
      </c>
      <c r="BA1262" s="23" t="s">
        <v>14</v>
      </c>
    </row>
    <row r="1263" spans="1:53" x14ac:dyDescent="0.25">
      <c r="A1263" t="s">
        <v>134</v>
      </c>
      <c r="B1263" t="s">
        <v>135</v>
      </c>
      <c r="C1263">
        <v>22002548</v>
      </c>
      <c r="D1263">
        <v>1206</v>
      </c>
      <c r="E1263" s="11">
        <v>44782</v>
      </c>
      <c r="F1263" t="s">
        <v>174</v>
      </c>
      <c r="G1263">
        <v>7.29</v>
      </c>
      <c r="H1263">
        <v>7.29</v>
      </c>
      <c r="I1263" t="s">
        <v>56</v>
      </c>
      <c r="O1263" t="s">
        <v>57</v>
      </c>
      <c r="Q1263" t="s">
        <v>57</v>
      </c>
      <c r="R1263" t="s">
        <v>137</v>
      </c>
      <c r="T1263" t="s">
        <v>59</v>
      </c>
      <c r="U1263" t="s">
        <v>60</v>
      </c>
      <c r="V1263" t="s">
        <v>138</v>
      </c>
      <c r="W1263" t="s">
        <v>139</v>
      </c>
      <c r="X1263">
        <v>1930246</v>
      </c>
      <c r="Y1263" s="11">
        <v>44783</v>
      </c>
      <c r="Z1263" t="s">
        <v>57</v>
      </c>
      <c r="AA1263">
        <v>2</v>
      </c>
      <c r="AB1263" t="s">
        <v>57</v>
      </c>
      <c r="AD1263" t="s">
        <v>57</v>
      </c>
      <c r="AE1263" t="s">
        <v>57</v>
      </c>
      <c r="AF1263" t="s">
        <v>57</v>
      </c>
      <c r="AG1263">
        <v>2</v>
      </c>
      <c r="AH1263" t="s">
        <v>57</v>
      </c>
      <c r="AL1263" t="s">
        <v>57</v>
      </c>
      <c r="AM1263" s="11">
        <v>44782</v>
      </c>
      <c r="AN1263" t="s">
        <v>184</v>
      </c>
      <c r="AO1263" t="s">
        <v>65</v>
      </c>
      <c r="AP1263">
        <v>1206</v>
      </c>
      <c r="AQ1263" t="s">
        <v>66</v>
      </c>
      <c r="AR1263">
        <v>230640</v>
      </c>
      <c r="AU1263" t="s">
        <v>57</v>
      </c>
      <c r="AV1263" t="s">
        <v>68</v>
      </c>
      <c r="AX1263" t="s">
        <v>57</v>
      </c>
      <c r="AY1263">
        <v>631110</v>
      </c>
      <c r="AZ1263">
        <v>1206.63111</v>
      </c>
      <c r="BA1263" s="23" t="s">
        <v>14</v>
      </c>
    </row>
    <row r="1264" spans="1:53" x14ac:dyDescent="0.25">
      <c r="A1264" t="s">
        <v>134</v>
      </c>
      <c r="B1264" t="s">
        <v>135</v>
      </c>
      <c r="C1264">
        <v>22002548</v>
      </c>
      <c r="D1264">
        <v>1206</v>
      </c>
      <c r="E1264" s="11">
        <v>44782</v>
      </c>
      <c r="F1264" t="s">
        <v>174</v>
      </c>
      <c r="G1264">
        <v>2.09</v>
      </c>
      <c r="H1264">
        <v>2.09</v>
      </c>
      <c r="I1264" t="s">
        <v>56</v>
      </c>
      <c r="O1264" t="s">
        <v>57</v>
      </c>
      <c r="Q1264" t="s">
        <v>57</v>
      </c>
      <c r="R1264" t="s">
        <v>137</v>
      </c>
      <c r="T1264" t="s">
        <v>59</v>
      </c>
      <c r="U1264" t="s">
        <v>60</v>
      </c>
      <c r="V1264" t="s">
        <v>138</v>
      </c>
      <c r="W1264" t="s">
        <v>139</v>
      </c>
      <c r="X1264">
        <v>1930246</v>
      </c>
      <c r="Y1264" s="11">
        <v>44783</v>
      </c>
      <c r="Z1264" t="s">
        <v>57</v>
      </c>
      <c r="AA1264">
        <v>4</v>
      </c>
      <c r="AB1264" t="s">
        <v>57</v>
      </c>
      <c r="AD1264" t="s">
        <v>57</v>
      </c>
      <c r="AE1264" t="s">
        <v>57</v>
      </c>
      <c r="AF1264" t="s">
        <v>57</v>
      </c>
      <c r="AG1264">
        <v>1</v>
      </c>
      <c r="AH1264" t="s">
        <v>57</v>
      </c>
      <c r="AL1264" t="s">
        <v>57</v>
      </c>
      <c r="AM1264" s="11">
        <v>44782</v>
      </c>
      <c r="AN1264" t="s">
        <v>184</v>
      </c>
      <c r="AO1264" t="s">
        <v>65</v>
      </c>
      <c r="AP1264">
        <v>1206</v>
      </c>
      <c r="AQ1264" t="s">
        <v>66</v>
      </c>
      <c r="AR1264">
        <v>88783</v>
      </c>
      <c r="AU1264" t="s">
        <v>57</v>
      </c>
      <c r="AV1264" t="s">
        <v>68</v>
      </c>
      <c r="AX1264" t="s">
        <v>57</v>
      </c>
      <c r="AY1264">
        <v>631110</v>
      </c>
      <c r="AZ1264">
        <v>1206.63111</v>
      </c>
      <c r="BA1264" s="23" t="s">
        <v>14</v>
      </c>
    </row>
    <row r="1265" spans="1:53" x14ac:dyDescent="0.25">
      <c r="A1265" t="s">
        <v>134</v>
      </c>
      <c r="B1265" t="s">
        <v>135</v>
      </c>
      <c r="C1265">
        <v>22002548</v>
      </c>
      <c r="D1265">
        <v>1206</v>
      </c>
      <c r="E1265" s="11">
        <v>44782</v>
      </c>
      <c r="F1265" t="s">
        <v>174</v>
      </c>
      <c r="G1265">
        <v>6.86</v>
      </c>
      <c r="H1265">
        <v>6.86</v>
      </c>
      <c r="I1265" t="s">
        <v>56</v>
      </c>
      <c r="O1265" t="s">
        <v>57</v>
      </c>
      <c r="Q1265" t="s">
        <v>57</v>
      </c>
      <c r="R1265" t="s">
        <v>137</v>
      </c>
      <c r="T1265" t="s">
        <v>59</v>
      </c>
      <c r="U1265" t="s">
        <v>60</v>
      </c>
      <c r="V1265" t="s">
        <v>138</v>
      </c>
      <c r="W1265" t="s">
        <v>139</v>
      </c>
      <c r="X1265">
        <v>1930246</v>
      </c>
      <c r="Y1265" s="11">
        <v>44783</v>
      </c>
      <c r="Z1265" t="s">
        <v>57</v>
      </c>
      <c r="AA1265">
        <v>6</v>
      </c>
      <c r="AB1265" t="s">
        <v>57</v>
      </c>
      <c r="AD1265" t="s">
        <v>57</v>
      </c>
      <c r="AE1265" t="s">
        <v>57</v>
      </c>
      <c r="AF1265" t="s">
        <v>57</v>
      </c>
      <c r="AG1265">
        <v>2</v>
      </c>
      <c r="AH1265" t="s">
        <v>57</v>
      </c>
      <c r="AL1265" t="s">
        <v>57</v>
      </c>
      <c r="AM1265" s="11">
        <v>44782</v>
      </c>
      <c r="AN1265" t="s">
        <v>184</v>
      </c>
      <c r="AO1265" t="s">
        <v>65</v>
      </c>
      <c r="AP1265">
        <v>1206</v>
      </c>
      <c r="AQ1265" t="s">
        <v>66</v>
      </c>
      <c r="AR1265">
        <v>206793</v>
      </c>
      <c r="AU1265" t="s">
        <v>57</v>
      </c>
      <c r="AV1265" t="s">
        <v>68</v>
      </c>
      <c r="AX1265" t="s">
        <v>57</v>
      </c>
      <c r="AY1265">
        <v>631110</v>
      </c>
      <c r="AZ1265">
        <v>1206.63111</v>
      </c>
      <c r="BA1265" s="23" t="s">
        <v>14</v>
      </c>
    </row>
    <row r="1266" spans="1:53" x14ac:dyDescent="0.25">
      <c r="A1266" t="s">
        <v>134</v>
      </c>
      <c r="B1266" t="s">
        <v>135</v>
      </c>
      <c r="C1266">
        <v>22002548</v>
      </c>
      <c r="D1266">
        <v>1206</v>
      </c>
      <c r="E1266" s="11">
        <v>44782</v>
      </c>
      <c r="F1266" t="s">
        <v>174</v>
      </c>
      <c r="G1266">
        <v>0.6</v>
      </c>
      <c r="H1266">
        <v>0.6</v>
      </c>
      <c r="I1266" t="s">
        <v>56</v>
      </c>
      <c r="O1266" t="s">
        <v>57</v>
      </c>
      <c r="Q1266" t="s">
        <v>57</v>
      </c>
      <c r="R1266" t="s">
        <v>137</v>
      </c>
      <c r="T1266" t="s">
        <v>59</v>
      </c>
      <c r="U1266" t="s">
        <v>60</v>
      </c>
      <c r="V1266" t="s">
        <v>138</v>
      </c>
      <c r="W1266" t="s">
        <v>139</v>
      </c>
      <c r="X1266">
        <v>1930246</v>
      </c>
      <c r="Y1266" s="11">
        <v>44783</v>
      </c>
      <c r="Z1266" t="s">
        <v>57</v>
      </c>
      <c r="AA1266">
        <v>8</v>
      </c>
      <c r="AB1266" t="s">
        <v>57</v>
      </c>
      <c r="AD1266" t="s">
        <v>57</v>
      </c>
      <c r="AE1266" t="s">
        <v>57</v>
      </c>
      <c r="AF1266" t="s">
        <v>57</v>
      </c>
      <c r="AG1266">
        <v>1</v>
      </c>
      <c r="AH1266" t="s">
        <v>57</v>
      </c>
      <c r="AL1266" t="s">
        <v>57</v>
      </c>
      <c r="AM1266" s="11">
        <v>44782</v>
      </c>
      <c r="AN1266" t="s">
        <v>184</v>
      </c>
      <c r="AO1266" t="s">
        <v>65</v>
      </c>
      <c r="AP1266">
        <v>1206</v>
      </c>
      <c r="AQ1266" t="s">
        <v>66</v>
      </c>
      <c r="AR1266">
        <v>271900</v>
      </c>
      <c r="AU1266" t="s">
        <v>57</v>
      </c>
      <c r="AV1266" t="s">
        <v>68</v>
      </c>
      <c r="AX1266" t="s">
        <v>57</v>
      </c>
      <c r="AY1266">
        <v>631110</v>
      </c>
      <c r="AZ1266">
        <v>1206.63111</v>
      </c>
      <c r="BA1266" s="23" t="s">
        <v>14</v>
      </c>
    </row>
    <row r="1267" spans="1:53" x14ac:dyDescent="0.25">
      <c r="A1267" t="s">
        <v>134</v>
      </c>
      <c r="B1267" t="s">
        <v>135</v>
      </c>
      <c r="C1267">
        <v>22002548</v>
      </c>
      <c r="D1267">
        <v>1206</v>
      </c>
      <c r="E1267" s="11">
        <v>44782</v>
      </c>
      <c r="F1267" t="s">
        <v>174</v>
      </c>
      <c r="G1267">
        <v>0.86</v>
      </c>
      <c r="H1267">
        <v>0.86</v>
      </c>
      <c r="I1267" t="s">
        <v>56</v>
      </c>
      <c r="O1267" t="s">
        <v>57</v>
      </c>
      <c r="Q1267" t="s">
        <v>57</v>
      </c>
      <c r="R1267" t="s">
        <v>137</v>
      </c>
      <c r="T1267" t="s">
        <v>59</v>
      </c>
      <c r="U1267" t="s">
        <v>60</v>
      </c>
      <c r="V1267" t="s">
        <v>138</v>
      </c>
      <c r="W1267" t="s">
        <v>139</v>
      </c>
      <c r="X1267">
        <v>1930246</v>
      </c>
      <c r="Y1267" s="11">
        <v>44783</v>
      </c>
      <c r="Z1267" t="s">
        <v>57</v>
      </c>
      <c r="AA1267">
        <v>10</v>
      </c>
      <c r="AB1267" t="s">
        <v>57</v>
      </c>
      <c r="AD1267" t="s">
        <v>57</v>
      </c>
      <c r="AE1267" t="s">
        <v>57</v>
      </c>
      <c r="AF1267" t="s">
        <v>57</v>
      </c>
      <c r="AG1267">
        <v>1</v>
      </c>
      <c r="AH1267" t="s">
        <v>57</v>
      </c>
      <c r="AL1267" t="s">
        <v>57</v>
      </c>
      <c r="AM1267" s="11">
        <v>44782</v>
      </c>
      <c r="AN1267" t="s">
        <v>184</v>
      </c>
      <c r="AO1267" t="s">
        <v>65</v>
      </c>
      <c r="AP1267">
        <v>1206</v>
      </c>
      <c r="AQ1267" t="s">
        <v>66</v>
      </c>
      <c r="AR1267">
        <v>271901</v>
      </c>
      <c r="AU1267" t="s">
        <v>57</v>
      </c>
      <c r="AV1267" t="s">
        <v>68</v>
      </c>
      <c r="AX1267" t="s">
        <v>57</v>
      </c>
      <c r="AY1267">
        <v>631110</v>
      </c>
      <c r="AZ1267">
        <v>1206.63111</v>
      </c>
      <c r="BA1267" s="23" t="s">
        <v>14</v>
      </c>
    </row>
    <row r="1268" spans="1:53" x14ac:dyDescent="0.25">
      <c r="A1268" t="s">
        <v>134</v>
      </c>
      <c r="B1268" t="s">
        <v>135</v>
      </c>
      <c r="C1268">
        <v>22002549</v>
      </c>
      <c r="D1268">
        <v>1206</v>
      </c>
      <c r="E1268" s="11">
        <v>44783</v>
      </c>
      <c r="F1268" t="s">
        <v>135</v>
      </c>
      <c r="G1268">
        <v>13.41</v>
      </c>
      <c r="H1268">
        <v>13.41</v>
      </c>
      <c r="I1268" t="s">
        <v>56</v>
      </c>
      <c r="O1268" t="s">
        <v>57</v>
      </c>
      <c r="Q1268" t="s">
        <v>57</v>
      </c>
      <c r="R1268" t="s">
        <v>137</v>
      </c>
      <c r="T1268" t="s">
        <v>59</v>
      </c>
      <c r="U1268" t="s">
        <v>60</v>
      </c>
      <c r="V1268" t="s">
        <v>138</v>
      </c>
      <c r="W1268" t="s">
        <v>139</v>
      </c>
      <c r="X1268">
        <v>1930353</v>
      </c>
      <c r="Y1268" s="11">
        <v>44783</v>
      </c>
      <c r="Z1268" t="s">
        <v>57</v>
      </c>
      <c r="AA1268">
        <v>2</v>
      </c>
      <c r="AB1268" t="s">
        <v>57</v>
      </c>
      <c r="AD1268" t="s">
        <v>57</v>
      </c>
      <c r="AE1268" t="s">
        <v>57</v>
      </c>
      <c r="AF1268" t="s">
        <v>57</v>
      </c>
      <c r="AG1268">
        <v>1</v>
      </c>
      <c r="AH1268" t="s">
        <v>57</v>
      </c>
      <c r="AL1268" t="s">
        <v>57</v>
      </c>
      <c r="AM1268" s="11">
        <v>44783</v>
      </c>
      <c r="AN1268" t="s">
        <v>184</v>
      </c>
      <c r="AO1268" t="s">
        <v>65</v>
      </c>
      <c r="AP1268">
        <v>1206</v>
      </c>
      <c r="AQ1268" t="s">
        <v>66</v>
      </c>
      <c r="AR1268">
        <v>96020</v>
      </c>
      <c r="AU1268" t="s">
        <v>57</v>
      </c>
      <c r="AV1268" t="s">
        <v>68</v>
      </c>
      <c r="AX1268" t="s">
        <v>57</v>
      </c>
      <c r="AY1268">
        <v>631110</v>
      </c>
      <c r="AZ1268">
        <v>1206.63111</v>
      </c>
      <c r="BA1268" s="23" t="s">
        <v>14</v>
      </c>
    </row>
    <row r="1269" spans="1:53" x14ac:dyDescent="0.25">
      <c r="A1269" t="s">
        <v>134</v>
      </c>
      <c r="B1269" t="s">
        <v>135</v>
      </c>
      <c r="C1269">
        <v>22002549</v>
      </c>
      <c r="D1269">
        <v>1206</v>
      </c>
      <c r="E1269" s="11">
        <v>44783</v>
      </c>
      <c r="F1269" t="s">
        <v>135</v>
      </c>
      <c r="G1269">
        <v>100.75</v>
      </c>
      <c r="H1269">
        <v>100.75</v>
      </c>
      <c r="I1269" t="s">
        <v>56</v>
      </c>
      <c r="O1269" t="s">
        <v>57</v>
      </c>
      <c r="Q1269" t="s">
        <v>57</v>
      </c>
      <c r="R1269" t="s">
        <v>137</v>
      </c>
      <c r="T1269" t="s">
        <v>59</v>
      </c>
      <c r="U1269" t="s">
        <v>60</v>
      </c>
      <c r="V1269" t="s">
        <v>138</v>
      </c>
      <c r="W1269" t="s">
        <v>139</v>
      </c>
      <c r="X1269">
        <v>1930353</v>
      </c>
      <c r="Y1269" s="11">
        <v>44783</v>
      </c>
      <c r="Z1269" t="s">
        <v>57</v>
      </c>
      <c r="AA1269">
        <v>4</v>
      </c>
      <c r="AB1269" t="s">
        <v>57</v>
      </c>
      <c r="AD1269" t="s">
        <v>57</v>
      </c>
      <c r="AE1269" t="s">
        <v>57</v>
      </c>
      <c r="AF1269" t="s">
        <v>57</v>
      </c>
      <c r="AG1269">
        <v>1</v>
      </c>
      <c r="AH1269" t="s">
        <v>57</v>
      </c>
      <c r="AL1269" t="s">
        <v>57</v>
      </c>
      <c r="AM1269" s="11">
        <v>44783</v>
      </c>
      <c r="AN1269" t="s">
        <v>184</v>
      </c>
      <c r="AO1269" t="s">
        <v>65</v>
      </c>
      <c r="AP1269">
        <v>1206</v>
      </c>
      <c r="AQ1269" t="s">
        <v>66</v>
      </c>
      <c r="AR1269">
        <v>143860</v>
      </c>
      <c r="AU1269" t="s">
        <v>57</v>
      </c>
      <c r="AV1269" t="s">
        <v>68</v>
      </c>
      <c r="AX1269" t="s">
        <v>57</v>
      </c>
      <c r="AY1269">
        <v>631110</v>
      </c>
      <c r="AZ1269">
        <v>1206.63111</v>
      </c>
      <c r="BA1269" s="23" t="s">
        <v>14</v>
      </c>
    </row>
    <row r="1270" spans="1:53" x14ac:dyDescent="0.25">
      <c r="A1270" t="s">
        <v>134</v>
      </c>
      <c r="B1270" t="s">
        <v>135</v>
      </c>
      <c r="C1270">
        <v>22002549</v>
      </c>
      <c r="D1270">
        <v>1206</v>
      </c>
      <c r="E1270" s="11">
        <v>44783</v>
      </c>
      <c r="F1270" t="s">
        <v>135</v>
      </c>
      <c r="G1270">
        <v>87.32</v>
      </c>
      <c r="H1270">
        <v>87.32</v>
      </c>
      <c r="I1270" t="s">
        <v>56</v>
      </c>
      <c r="O1270" t="s">
        <v>57</v>
      </c>
      <c r="Q1270" t="s">
        <v>57</v>
      </c>
      <c r="R1270" t="s">
        <v>137</v>
      </c>
      <c r="T1270" t="s">
        <v>59</v>
      </c>
      <c r="U1270" t="s">
        <v>60</v>
      </c>
      <c r="V1270" t="s">
        <v>138</v>
      </c>
      <c r="W1270" t="s">
        <v>139</v>
      </c>
      <c r="X1270">
        <v>1930353</v>
      </c>
      <c r="Y1270" s="11">
        <v>44783</v>
      </c>
      <c r="Z1270" t="s">
        <v>57</v>
      </c>
      <c r="AA1270">
        <v>6</v>
      </c>
      <c r="AB1270" t="s">
        <v>57</v>
      </c>
      <c r="AD1270" t="s">
        <v>57</v>
      </c>
      <c r="AE1270" t="s">
        <v>57</v>
      </c>
      <c r="AF1270" t="s">
        <v>57</v>
      </c>
      <c r="AG1270">
        <v>1</v>
      </c>
      <c r="AH1270" t="s">
        <v>57</v>
      </c>
      <c r="AL1270" t="s">
        <v>57</v>
      </c>
      <c r="AM1270" s="11">
        <v>44783</v>
      </c>
      <c r="AN1270" t="s">
        <v>184</v>
      </c>
      <c r="AO1270" t="s">
        <v>65</v>
      </c>
      <c r="AP1270">
        <v>1206</v>
      </c>
      <c r="AQ1270" t="s">
        <v>66</v>
      </c>
      <c r="AR1270">
        <v>143865</v>
      </c>
      <c r="AU1270" t="s">
        <v>57</v>
      </c>
      <c r="AV1270" t="s">
        <v>68</v>
      </c>
      <c r="AX1270" t="s">
        <v>57</v>
      </c>
      <c r="AY1270">
        <v>631110</v>
      </c>
      <c r="AZ1270">
        <v>1206.63111</v>
      </c>
      <c r="BA1270" s="23" t="s">
        <v>14</v>
      </c>
    </row>
    <row r="1271" spans="1:53" x14ac:dyDescent="0.25">
      <c r="A1271" t="s">
        <v>134</v>
      </c>
      <c r="B1271" t="s">
        <v>135</v>
      </c>
      <c r="C1271">
        <v>22002550</v>
      </c>
      <c r="D1271">
        <v>1206</v>
      </c>
      <c r="E1271" s="11">
        <v>44783</v>
      </c>
      <c r="F1271" t="s">
        <v>174</v>
      </c>
      <c r="G1271">
        <v>2.06</v>
      </c>
      <c r="H1271">
        <v>2.06</v>
      </c>
      <c r="I1271" t="s">
        <v>56</v>
      </c>
      <c r="O1271" t="s">
        <v>57</v>
      </c>
      <c r="Q1271" t="s">
        <v>57</v>
      </c>
      <c r="R1271" t="s">
        <v>137</v>
      </c>
      <c r="T1271" t="s">
        <v>59</v>
      </c>
      <c r="U1271" t="s">
        <v>60</v>
      </c>
      <c r="V1271" t="s">
        <v>138</v>
      </c>
      <c r="W1271" t="s">
        <v>139</v>
      </c>
      <c r="X1271">
        <v>1930353</v>
      </c>
      <c r="Y1271" s="11">
        <v>44783</v>
      </c>
      <c r="Z1271" t="s">
        <v>57</v>
      </c>
      <c r="AA1271">
        <v>2</v>
      </c>
      <c r="AB1271" t="s">
        <v>57</v>
      </c>
      <c r="AD1271" t="s">
        <v>57</v>
      </c>
      <c r="AE1271" t="s">
        <v>57</v>
      </c>
      <c r="AF1271" t="s">
        <v>57</v>
      </c>
      <c r="AG1271">
        <v>3</v>
      </c>
      <c r="AH1271" t="s">
        <v>57</v>
      </c>
      <c r="AL1271" t="s">
        <v>57</v>
      </c>
      <c r="AM1271" s="11">
        <v>44783</v>
      </c>
      <c r="AN1271" t="s">
        <v>184</v>
      </c>
      <c r="AO1271" t="s">
        <v>65</v>
      </c>
      <c r="AP1271">
        <v>1206</v>
      </c>
      <c r="AQ1271" t="s">
        <v>66</v>
      </c>
      <c r="AR1271">
        <v>90167</v>
      </c>
      <c r="AU1271" t="s">
        <v>57</v>
      </c>
      <c r="AV1271" t="s">
        <v>68</v>
      </c>
      <c r="AX1271" t="s">
        <v>57</v>
      </c>
      <c r="AY1271">
        <v>631110</v>
      </c>
      <c r="AZ1271">
        <v>1206.63111</v>
      </c>
      <c r="BA1271" s="23" t="s">
        <v>14</v>
      </c>
    </row>
    <row r="1272" spans="1:53" x14ac:dyDescent="0.25">
      <c r="A1272" t="s">
        <v>134</v>
      </c>
      <c r="B1272" t="s">
        <v>135</v>
      </c>
      <c r="C1272">
        <v>22002550</v>
      </c>
      <c r="D1272">
        <v>1206</v>
      </c>
      <c r="E1272" s="11">
        <v>44783</v>
      </c>
      <c r="F1272" t="s">
        <v>174</v>
      </c>
      <c r="G1272">
        <v>101.85</v>
      </c>
      <c r="H1272">
        <v>101.85</v>
      </c>
      <c r="I1272" t="s">
        <v>56</v>
      </c>
      <c r="O1272" t="s">
        <v>57</v>
      </c>
      <c r="Q1272" t="s">
        <v>57</v>
      </c>
      <c r="R1272" t="s">
        <v>137</v>
      </c>
      <c r="T1272" t="s">
        <v>59</v>
      </c>
      <c r="U1272" t="s">
        <v>60</v>
      </c>
      <c r="V1272" t="s">
        <v>138</v>
      </c>
      <c r="W1272" t="s">
        <v>139</v>
      </c>
      <c r="X1272">
        <v>1930353</v>
      </c>
      <c r="Y1272" s="11">
        <v>44783</v>
      </c>
      <c r="Z1272" t="s">
        <v>57</v>
      </c>
      <c r="AA1272">
        <v>4</v>
      </c>
      <c r="AB1272" t="s">
        <v>57</v>
      </c>
      <c r="AD1272" t="s">
        <v>57</v>
      </c>
      <c r="AE1272" t="s">
        <v>57</v>
      </c>
      <c r="AF1272" t="s">
        <v>57</v>
      </c>
      <c r="AG1272">
        <v>1</v>
      </c>
      <c r="AH1272" t="s">
        <v>57</v>
      </c>
      <c r="AL1272" t="s">
        <v>57</v>
      </c>
      <c r="AM1272" s="11">
        <v>44783</v>
      </c>
      <c r="AN1272" t="s">
        <v>184</v>
      </c>
      <c r="AO1272" t="s">
        <v>65</v>
      </c>
      <c r="AP1272">
        <v>1206</v>
      </c>
      <c r="AQ1272" t="s">
        <v>66</v>
      </c>
      <c r="AR1272">
        <v>196613</v>
      </c>
      <c r="AU1272" t="s">
        <v>57</v>
      </c>
      <c r="AV1272" t="s">
        <v>68</v>
      </c>
      <c r="AX1272" t="s">
        <v>57</v>
      </c>
      <c r="AY1272">
        <v>631110</v>
      </c>
      <c r="AZ1272">
        <v>1206.63111</v>
      </c>
      <c r="BA1272" s="23" t="s">
        <v>14</v>
      </c>
    </row>
    <row r="1273" spans="1:53" x14ac:dyDescent="0.25">
      <c r="A1273" t="s">
        <v>134</v>
      </c>
      <c r="B1273" t="s">
        <v>135</v>
      </c>
      <c r="C1273">
        <v>22002550</v>
      </c>
      <c r="D1273">
        <v>1206</v>
      </c>
      <c r="E1273" s="11">
        <v>44783</v>
      </c>
      <c r="F1273" t="s">
        <v>174</v>
      </c>
      <c r="G1273">
        <v>2.76</v>
      </c>
      <c r="H1273">
        <v>2.76</v>
      </c>
      <c r="I1273" t="s">
        <v>56</v>
      </c>
      <c r="O1273" t="s">
        <v>57</v>
      </c>
      <c r="Q1273" t="s">
        <v>57</v>
      </c>
      <c r="R1273" t="s">
        <v>137</v>
      </c>
      <c r="T1273" t="s">
        <v>59</v>
      </c>
      <c r="U1273" t="s">
        <v>60</v>
      </c>
      <c r="V1273" t="s">
        <v>138</v>
      </c>
      <c r="W1273" t="s">
        <v>139</v>
      </c>
      <c r="X1273">
        <v>1930353</v>
      </c>
      <c r="Y1273" s="11">
        <v>44783</v>
      </c>
      <c r="Z1273" t="s">
        <v>57</v>
      </c>
      <c r="AA1273">
        <v>6</v>
      </c>
      <c r="AB1273" t="s">
        <v>57</v>
      </c>
      <c r="AD1273" t="s">
        <v>57</v>
      </c>
      <c r="AE1273" t="s">
        <v>57</v>
      </c>
      <c r="AF1273" t="s">
        <v>57</v>
      </c>
      <c r="AG1273">
        <v>2</v>
      </c>
      <c r="AH1273" t="s">
        <v>57</v>
      </c>
      <c r="AL1273" t="s">
        <v>57</v>
      </c>
      <c r="AM1273" s="11">
        <v>44783</v>
      </c>
      <c r="AN1273" t="s">
        <v>184</v>
      </c>
      <c r="AO1273" t="s">
        <v>65</v>
      </c>
      <c r="AP1273">
        <v>1206</v>
      </c>
      <c r="AQ1273" t="s">
        <v>66</v>
      </c>
      <c r="AR1273">
        <v>221862</v>
      </c>
      <c r="AU1273" t="s">
        <v>57</v>
      </c>
      <c r="AV1273" t="s">
        <v>68</v>
      </c>
      <c r="AX1273" t="s">
        <v>57</v>
      </c>
      <c r="AY1273">
        <v>631110</v>
      </c>
      <c r="AZ1273">
        <v>1206.63111</v>
      </c>
      <c r="BA1273" s="23" t="s">
        <v>14</v>
      </c>
    </row>
    <row r="1274" spans="1:53" x14ac:dyDescent="0.25">
      <c r="A1274" t="s">
        <v>134</v>
      </c>
      <c r="B1274" t="s">
        <v>135</v>
      </c>
      <c r="C1274">
        <v>22002551</v>
      </c>
      <c r="D1274">
        <v>1206</v>
      </c>
      <c r="E1274" s="11">
        <v>44783</v>
      </c>
      <c r="F1274" t="s">
        <v>174</v>
      </c>
      <c r="G1274">
        <v>82.64</v>
      </c>
      <c r="H1274">
        <v>82.64</v>
      </c>
      <c r="I1274" t="s">
        <v>56</v>
      </c>
      <c r="O1274" t="s">
        <v>57</v>
      </c>
      <c r="Q1274" t="s">
        <v>57</v>
      </c>
      <c r="R1274" t="s">
        <v>137</v>
      </c>
      <c r="T1274" t="s">
        <v>59</v>
      </c>
      <c r="U1274" t="s">
        <v>60</v>
      </c>
      <c r="V1274" t="s">
        <v>138</v>
      </c>
      <c r="W1274" t="s">
        <v>139</v>
      </c>
      <c r="X1274">
        <v>1930353</v>
      </c>
      <c r="Y1274" s="11">
        <v>44783</v>
      </c>
      <c r="Z1274" t="s">
        <v>57</v>
      </c>
      <c r="AA1274">
        <v>6</v>
      </c>
      <c r="AB1274" t="s">
        <v>57</v>
      </c>
      <c r="AD1274" t="s">
        <v>57</v>
      </c>
      <c r="AE1274" t="s">
        <v>57</v>
      </c>
      <c r="AF1274" t="s">
        <v>57</v>
      </c>
      <c r="AG1274">
        <v>1</v>
      </c>
      <c r="AH1274" t="s">
        <v>57</v>
      </c>
      <c r="AL1274" t="s">
        <v>57</v>
      </c>
      <c r="AM1274" s="11">
        <v>44783</v>
      </c>
      <c r="AN1274" t="s">
        <v>184</v>
      </c>
      <c r="AO1274" t="s">
        <v>65</v>
      </c>
      <c r="AP1274">
        <v>1206</v>
      </c>
      <c r="AQ1274" t="s">
        <v>66</v>
      </c>
      <c r="AR1274">
        <v>131100</v>
      </c>
      <c r="AU1274" t="s">
        <v>57</v>
      </c>
      <c r="AV1274" t="s">
        <v>68</v>
      </c>
      <c r="AX1274" t="s">
        <v>57</v>
      </c>
      <c r="AY1274">
        <v>631110</v>
      </c>
      <c r="AZ1274">
        <v>1206.63111</v>
      </c>
      <c r="BA1274" s="23" t="s">
        <v>14</v>
      </c>
    </row>
    <row r="1275" spans="1:53" x14ac:dyDescent="0.25">
      <c r="A1275" t="s">
        <v>134</v>
      </c>
      <c r="B1275" t="s">
        <v>135</v>
      </c>
      <c r="C1275">
        <v>22002551</v>
      </c>
      <c r="D1275">
        <v>1206</v>
      </c>
      <c r="E1275" s="11">
        <v>44783</v>
      </c>
      <c r="F1275" t="s">
        <v>174</v>
      </c>
      <c r="G1275">
        <v>1.03</v>
      </c>
      <c r="H1275">
        <v>1.03</v>
      </c>
      <c r="I1275" t="s">
        <v>56</v>
      </c>
      <c r="O1275" t="s">
        <v>57</v>
      </c>
      <c r="Q1275" t="s">
        <v>57</v>
      </c>
      <c r="R1275" t="s">
        <v>137</v>
      </c>
      <c r="T1275" t="s">
        <v>59</v>
      </c>
      <c r="U1275" t="s">
        <v>60</v>
      </c>
      <c r="V1275" t="s">
        <v>138</v>
      </c>
      <c r="W1275" t="s">
        <v>139</v>
      </c>
      <c r="X1275">
        <v>1930353</v>
      </c>
      <c r="Y1275" s="11">
        <v>44783</v>
      </c>
      <c r="Z1275" t="s">
        <v>57</v>
      </c>
      <c r="AA1275">
        <v>2</v>
      </c>
      <c r="AB1275" t="s">
        <v>57</v>
      </c>
      <c r="AD1275" t="s">
        <v>57</v>
      </c>
      <c r="AE1275" t="s">
        <v>57</v>
      </c>
      <c r="AF1275" t="s">
        <v>57</v>
      </c>
      <c r="AG1275">
        <v>1</v>
      </c>
      <c r="AH1275" t="s">
        <v>57</v>
      </c>
      <c r="AL1275" t="s">
        <v>57</v>
      </c>
      <c r="AM1275" s="11">
        <v>44783</v>
      </c>
      <c r="AN1275" t="s">
        <v>184</v>
      </c>
      <c r="AO1275" t="s">
        <v>65</v>
      </c>
      <c r="AP1275">
        <v>1206</v>
      </c>
      <c r="AQ1275" t="s">
        <v>66</v>
      </c>
      <c r="AR1275">
        <v>187398</v>
      </c>
      <c r="AU1275" t="s">
        <v>57</v>
      </c>
      <c r="AV1275" t="s">
        <v>68</v>
      </c>
      <c r="AX1275" t="s">
        <v>57</v>
      </c>
      <c r="AY1275">
        <v>631110</v>
      </c>
      <c r="AZ1275">
        <v>1206.63111</v>
      </c>
      <c r="BA1275" s="23" t="s">
        <v>14</v>
      </c>
    </row>
    <row r="1276" spans="1:53" x14ac:dyDescent="0.25">
      <c r="A1276" t="s">
        <v>134</v>
      </c>
      <c r="B1276" t="s">
        <v>135</v>
      </c>
      <c r="C1276">
        <v>22002551</v>
      </c>
      <c r="D1276">
        <v>1206</v>
      </c>
      <c r="E1276" s="11">
        <v>44783</v>
      </c>
      <c r="F1276" t="s">
        <v>174</v>
      </c>
      <c r="G1276">
        <v>0.69</v>
      </c>
      <c r="H1276">
        <v>0.69</v>
      </c>
      <c r="I1276" t="s">
        <v>56</v>
      </c>
      <c r="O1276" t="s">
        <v>57</v>
      </c>
      <c r="Q1276" t="s">
        <v>57</v>
      </c>
      <c r="R1276" t="s">
        <v>137</v>
      </c>
      <c r="T1276" t="s">
        <v>59</v>
      </c>
      <c r="U1276" t="s">
        <v>60</v>
      </c>
      <c r="V1276" t="s">
        <v>138</v>
      </c>
      <c r="W1276" t="s">
        <v>139</v>
      </c>
      <c r="X1276">
        <v>1930353</v>
      </c>
      <c r="Y1276" s="11">
        <v>44783</v>
      </c>
      <c r="Z1276" t="s">
        <v>57</v>
      </c>
      <c r="AA1276">
        <v>4</v>
      </c>
      <c r="AB1276" t="s">
        <v>57</v>
      </c>
      <c r="AD1276" t="s">
        <v>57</v>
      </c>
      <c r="AE1276" t="s">
        <v>57</v>
      </c>
      <c r="AF1276" t="s">
        <v>57</v>
      </c>
      <c r="AG1276">
        <v>1</v>
      </c>
      <c r="AH1276" t="s">
        <v>57</v>
      </c>
      <c r="AL1276" t="s">
        <v>57</v>
      </c>
      <c r="AM1276" s="11">
        <v>44783</v>
      </c>
      <c r="AN1276" t="s">
        <v>184</v>
      </c>
      <c r="AO1276" t="s">
        <v>65</v>
      </c>
      <c r="AP1276">
        <v>1206</v>
      </c>
      <c r="AQ1276" t="s">
        <v>66</v>
      </c>
      <c r="AR1276">
        <v>90167</v>
      </c>
      <c r="AU1276" t="s">
        <v>57</v>
      </c>
      <c r="AV1276" t="s">
        <v>68</v>
      </c>
      <c r="AX1276" t="s">
        <v>57</v>
      </c>
      <c r="AY1276">
        <v>631110</v>
      </c>
      <c r="AZ1276">
        <v>1206.63111</v>
      </c>
      <c r="BA1276" s="23" t="s">
        <v>14</v>
      </c>
    </row>
    <row r="1277" spans="1:53" x14ac:dyDescent="0.25">
      <c r="A1277" t="s">
        <v>134</v>
      </c>
      <c r="B1277" t="s">
        <v>135</v>
      </c>
      <c r="C1277">
        <v>22002553</v>
      </c>
      <c r="D1277">
        <v>1206</v>
      </c>
      <c r="E1277" s="11">
        <v>44783</v>
      </c>
      <c r="F1277" t="s">
        <v>290</v>
      </c>
      <c r="G1277">
        <v>32.840000000000003</v>
      </c>
      <c r="H1277">
        <v>32.840000000000003</v>
      </c>
      <c r="I1277" t="s">
        <v>56</v>
      </c>
      <c r="O1277" t="s">
        <v>57</v>
      </c>
      <c r="Q1277" t="s">
        <v>57</v>
      </c>
      <c r="R1277" t="s">
        <v>137</v>
      </c>
      <c r="T1277" t="s">
        <v>59</v>
      </c>
      <c r="U1277" t="s">
        <v>60</v>
      </c>
      <c r="V1277" t="s">
        <v>138</v>
      </c>
      <c r="W1277" t="s">
        <v>139</v>
      </c>
      <c r="X1277">
        <v>1930373</v>
      </c>
      <c r="Y1277" s="11">
        <v>44784</v>
      </c>
      <c r="Z1277" t="s">
        <v>57</v>
      </c>
      <c r="AA1277">
        <v>2</v>
      </c>
      <c r="AB1277" t="s">
        <v>57</v>
      </c>
      <c r="AD1277" t="s">
        <v>57</v>
      </c>
      <c r="AE1277" t="s">
        <v>57</v>
      </c>
      <c r="AF1277" t="s">
        <v>57</v>
      </c>
      <c r="AG1277">
        <v>90</v>
      </c>
      <c r="AH1277" t="s">
        <v>57</v>
      </c>
      <c r="AL1277" t="s">
        <v>57</v>
      </c>
      <c r="AM1277" s="11">
        <v>44783</v>
      </c>
      <c r="AN1277" t="s">
        <v>183</v>
      </c>
      <c r="AO1277" t="s">
        <v>65</v>
      </c>
      <c r="AP1277">
        <v>1206</v>
      </c>
      <c r="AQ1277" t="s">
        <v>66</v>
      </c>
      <c r="AR1277">
        <v>91011</v>
      </c>
      <c r="AU1277" t="s">
        <v>57</v>
      </c>
      <c r="AV1277" t="s">
        <v>68</v>
      </c>
      <c r="AX1277" t="s">
        <v>57</v>
      </c>
      <c r="AY1277">
        <v>631110</v>
      </c>
      <c r="AZ1277">
        <v>1206.63111</v>
      </c>
      <c r="BA1277" s="23" t="s">
        <v>14</v>
      </c>
    </row>
    <row r="1278" spans="1:53" x14ac:dyDescent="0.25">
      <c r="A1278" t="s">
        <v>134</v>
      </c>
      <c r="B1278" t="s">
        <v>135</v>
      </c>
      <c r="C1278">
        <v>22002553</v>
      </c>
      <c r="D1278">
        <v>1206</v>
      </c>
      <c r="E1278" s="11">
        <v>44783</v>
      </c>
      <c r="F1278" t="s">
        <v>290</v>
      </c>
      <c r="G1278">
        <v>4.49</v>
      </c>
      <c r="H1278">
        <v>4.49</v>
      </c>
      <c r="I1278" t="s">
        <v>56</v>
      </c>
      <c r="O1278" t="s">
        <v>57</v>
      </c>
      <c r="Q1278" t="s">
        <v>57</v>
      </c>
      <c r="R1278" t="s">
        <v>137</v>
      </c>
      <c r="T1278" t="s">
        <v>59</v>
      </c>
      <c r="U1278" t="s">
        <v>60</v>
      </c>
      <c r="V1278" t="s">
        <v>138</v>
      </c>
      <c r="W1278" t="s">
        <v>139</v>
      </c>
      <c r="X1278">
        <v>1930373</v>
      </c>
      <c r="Y1278" s="11">
        <v>44784</v>
      </c>
      <c r="Z1278" t="s">
        <v>57</v>
      </c>
      <c r="AA1278">
        <v>4</v>
      </c>
      <c r="AB1278" t="s">
        <v>57</v>
      </c>
      <c r="AD1278" t="s">
        <v>57</v>
      </c>
      <c r="AE1278" t="s">
        <v>57</v>
      </c>
      <c r="AF1278" t="s">
        <v>57</v>
      </c>
      <c r="AG1278">
        <v>30</v>
      </c>
      <c r="AH1278" t="s">
        <v>57</v>
      </c>
      <c r="AL1278" t="s">
        <v>57</v>
      </c>
      <c r="AM1278" s="11">
        <v>44783</v>
      </c>
      <c r="AN1278" t="s">
        <v>183</v>
      </c>
      <c r="AO1278" t="s">
        <v>65</v>
      </c>
      <c r="AP1278">
        <v>1206</v>
      </c>
      <c r="AQ1278" t="s">
        <v>66</v>
      </c>
      <c r="AR1278">
        <v>144854</v>
      </c>
      <c r="AU1278" t="s">
        <v>57</v>
      </c>
      <c r="AV1278" t="s">
        <v>68</v>
      </c>
      <c r="AX1278" t="s">
        <v>57</v>
      </c>
      <c r="AY1278">
        <v>631110</v>
      </c>
      <c r="AZ1278">
        <v>1206.63111</v>
      </c>
      <c r="BA1278" s="23" t="s">
        <v>14</v>
      </c>
    </row>
    <row r="1279" spans="1:53" x14ac:dyDescent="0.25">
      <c r="A1279" t="s">
        <v>134</v>
      </c>
      <c r="B1279" t="s">
        <v>135</v>
      </c>
      <c r="C1279">
        <v>22002553</v>
      </c>
      <c r="D1279">
        <v>1206</v>
      </c>
      <c r="E1279" s="11">
        <v>44783</v>
      </c>
      <c r="F1279" t="s">
        <v>290</v>
      </c>
      <c r="G1279">
        <v>3.07</v>
      </c>
      <c r="H1279">
        <v>3.07</v>
      </c>
      <c r="I1279" t="s">
        <v>56</v>
      </c>
      <c r="O1279" t="s">
        <v>57</v>
      </c>
      <c r="Q1279" t="s">
        <v>57</v>
      </c>
      <c r="R1279" t="s">
        <v>137</v>
      </c>
      <c r="T1279" t="s">
        <v>59</v>
      </c>
      <c r="U1279" t="s">
        <v>60</v>
      </c>
      <c r="V1279" t="s">
        <v>138</v>
      </c>
      <c r="W1279" t="s">
        <v>139</v>
      </c>
      <c r="X1279">
        <v>1930373</v>
      </c>
      <c r="Y1279" s="11">
        <v>44784</v>
      </c>
      <c r="Z1279" t="s">
        <v>57</v>
      </c>
      <c r="AA1279">
        <v>6</v>
      </c>
      <c r="AB1279" t="s">
        <v>57</v>
      </c>
      <c r="AD1279" t="s">
        <v>57</v>
      </c>
      <c r="AE1279" t="s">
        <v>57</v>
      </c>
      <c r="AF1279" t="s">
        <v>57</v>
      </c>
      <c r="AG1279">
        <v>20</v>
      </c>
      <c r="AH1279" t="s">
        <v>57</v>
      </c>
      <c r="AL1279" t="s">
        <v>57</v>
      </c>
      <c r="AM1279" s="11">
        <v>44783</v>
      </c>
      <c r="AN1279" t="s">
        <v>183</v>
      </c>
      <c r="AO1279" t="s">
        <v>65</v>
      </c>
      <c r="AP1279">
        <v>1206</v>
      </c>
      <c r="AQ1279" t="s">
        <v>66</v>
      </c>
      <c r="AR1279">
        <v>89712</v>
      </c>
      <c r="AU1279" t="s">
        <v>57</v>
      </c>
      <c r="AV1279" t="s">
        <v>68</v>
      </c>
      <c r="AX1279" t="s">
        <v>57</v>
      </c>
      <c r="AY1279">
        <v>631110</v>
      </c>
      <c r="AZ1279">
        <v>1206.63111</v>
      </c>
      <c r="BA1279" s="23" t="s">
        <v>14</v>
      </c>
    </row>
    <row r="1280" spans="1:53" x14ac:dyDescent="0.25">
      <c r="A1280" t="s">
        <v>134</v>
      </c>
      <c r="B1280" t="s">
        <v>135</v>
      </c>
      <c r="C1280">
        <v>22002553</v>
      </c>
      <c r="D1280">
        <v>1206</v>
      </c>
      <c r="E1280" s="11">
        <v>44783</v>
      </c>
      <c r="F1280" t="s">
        <v>290</v>
      </c>
      <c r="G1280">
        <v>2.52</v>
      </c>
      <c r="H1280">
        <v>2.52</v>
      </c>
      <c r="I1280" t="s">
        <v>56</v>
      </c>
      <c r="O1280" t="s">
        <v>57</v>
      </c>
      <c r="Q1280" t="s">
        <v>57</v>
      </c>
      <c r="R1280" t="s">
        <v>137</v>
      </c>
      <c r="T1280" t="s">
        <v>59</v>
      </c>
      <c r="U1280" t="s">
        <v>60</v>
      </c>
      <c r="V1280" t="s">
        <v>138</v>
      </c>
      <c r="W1280" t="s">
        <v>139</v>
      </c>
      <c r="X1280">
        <v>1930373</v>
      </c>
      <c r="Y1280" s="11">
        <v>44784</v>
      </c>
      <c r="Z1280" t="s">
        <v>57</v>
      </c>
      <c r="AA1280">
        <v>8</v>
      </c>
      <c r="AB1280" t="s">
        <v>57</v>
      </c>
      <c r="AD1280" t="s">
        <v>57</v>
      </c>
      <c r="AE1280" t="s">
        <v>57</v>
      </c>
      <c r="AF1280" t="s">
        <v>57</v>
      </c>
      <c r="AG1280">
        <v>10</v>
      </c>
      <c r="AH1280" t="s">
        <v>57</v>
      </c>
      <c r="AL1280" t="s">
        <v>57</v>
      </c>
      <c r="AM1280" s="11">
        <v>44783</v>
      </c>
      <c r="AN1280" t="s">
        <v>183</v>
      </c>
      <c r="AO1280" t="s">
        <v>65</v>
      </c>
      <c r="AP1280">
        <v>1206</v>
      </c>
      <c r="AQ1280" t="s">
        <v>66</v>
      </c>
      <c r="AR1280">
        <v>265894</v>
      </c>
      <c r="AU1280" t="s">
        <v>57</v>
      </c>
      <c r="AV1280" t="s">
        <v>68</v>
      </c>
      <c r="AX1280" t="s">
        <v>57</v>
      </c>
      <c r="AY1280">
        <v>631110</v>
      </c>
      <c r="AZ1280">
        <v>1206.63111</v>
      </c>
      <c r="BA1280" s="23" t="s">
        <v>14</v>
      </c>
    </row>
    <row r="1281" spans="1:53" x14ac:dyDescent="0.25">
      <c r="A1281" t="s">
        <v>134</v>
      </c>
      <c r="B1281" t="s">
        <v>135</v>
      </c>
      <c r="C1281">
        <v>22002553</v>
      </c>
      <c r="D1281">
        <v>1206</v>
      </c>
      <c r="E1281" s="11">
        <v>44783</v>
      </c>
      <c r="F1281" t="s">
        <v>290</v>
      </c>
      <c r="G1281">
        <v>1.57</v>
      </c>
      <c r="H1281">
        <v>1.57</v>
      </c>
      <c r="I1281" t="s">
        <v>56</v>
      </c>
      <c r="O1281" t="s">
        <v>57</v>
      </c>
      <c r="Q1281" t="s">
        <v>57</v>
      </c>
      <c r="R1281" t="s">
        <v>137</v>
      </c>
      <c r="T1281" t="s">
        <v>59</v>
      </c>
      <c r="U1281" t="s">
        <v>60</v>
      </c>
      <c r="V1281" t="s">
        <v>138</v>
      </c>
      <c r="W1281" t="s">
        <v>139</v>
      </c>
      <c r="X1281">
        <v>1930373</v>
      </c>
      <c r="Y1281" s="11">
        <v>44784</v>
      </c>
      <c r="Z1281" t="s">
        <v>57</v>
      </c>
      <c r="AA1281">
        <v>10</v>
      </c>
      <c r="AB1281" t="s">
        <v>57</v>
      </c>
      <c r="AD1281" t="s">
        <v>57</v>
      </c>
      <c r="AE1281" t="s">
        <v>57</v>
      </c>
      <c r="AF1281" t="s">
        <v>57</v>
      </c>
      <c r="AG1281">
        <v>10</v>
      </c>
      <c r="AH1281" t="s">
        <v>57</v>
      </c>
      <c r="AL1281" t="s">
        <v>57</v>
      </c>
      <c r="AM1281" s="11">
        <v>44783</v>
      </c>
      <c r="AN1281" t="s">
        <v>183</v>
      </c>
      <c r="AO1281" t="s">
        <v>65</v>
      </c>
      <c r="AP1281">
        <v>1206</v>
      </c>
      <c r="AQ1281" t="s">
        <v>66</v>
      </c>
      <c r="AR1281">
        <v>89715</v>
      </c>
      <c r="AU1281" t="s">
        <v>57</v>
      </c>
      <c r="AV1281" t="s">
        <v>68</v>
      </c>
      <c r="AX1281" t="s">
        <v>57</v>
      </c>
      <c r="AY1281">
        <v>631110</v>
      </c>
      <c r="AZ1281">
        <v>1206.63111</v>
      </c>
      <c r="BA1281" s="23" t="s">
        <v>14</v>
      </c>
    </row>
    <row r="1282" spans="1:53" x14ac:dyDescent="0.25">
      <c r="A1282" t="s">
        <v>134</v>
      </c>
      <c r="B1282" t="s">
        <v>135</v>
      </c>
      <c r="C1282">
        <v>22002554</v>
      </c>
      <c r="D1282">
        <v>1206</v>
      </c>
      <c r="E1282" s="11">
        <v>44783</v>
      </c>
      <c r="F1282" t="s">
        <v>172</v>
      </c>
      <c r="G1282">
        <v>16.13</v>
      </c>
      <c r="H1282">
        <v>16.13</v>
      </c>
      <c r="I1282" t="s">
        <v>56</v>
      </c>
      <c r="O1282" t="s">
        <v>57</v>
      </c>
      <c r="Q1282" t="s">
        <v>57</v>
      </c>
      <c r="R1282" t="s">
        <v>137</v>
      </c>
      <c r="T1282" t="s">
        <v>59</v>
      </c>
      <c r="U1282" t="s">
        <v>60</v>
      </c>
      <c r="V1282" t="s">
        <v>138</v>
      </c>
      <c r="W1282" t="s">
        <v>139</v>
      </c>
      <c r="X1282">
        <v>1930431</v>
      </c>
      <c r="Y1282" s="11">
        <v>44784</v>
      </c>
      <c r="Z1282" t="s">
        <v>57</v>
      </c>
      <c r="AA1282">
        <v>2</v>
      </c>
      <c r="AB1282" t="s">
        <v>57</v>
      </c>
      <c r="AD1282" t="s">
        <v>57</v>
      </c>
      <c r="AE1282" t="s">
        <v>57</v>
      </c>
      <c r="AF1282" t="s">
        <v>57</v>
      </c>
      <c r="AG1282">
        <v>2</v>
      </c>
      <c r="AH1282" t="s">
        <v>57</v>
      </c>
      <c r="AL1282" t="s">
        <v>57</v>
      </c>
      <c r="AM1282" s="11">
        <v>44783</v>
      </c>
      <c r="AN1282" t="s">
        <v>184</v>
      </c>
      <c r="AO1282" t="s">
        <v>65</v>
      </c>
      <c r="AP1282">
        <v>1206</v>
      </c>
      <c r="AQ1282" t="s">
        <v>66</v>
      </c>
      <c r="AR1282">
        <v>279991</v>
      </c>
      <c r="AU1282" t="s">
        <v>57</v>
      </c>
      <c r="AV1282" t="s">
        <v>68</v>
      </c>
      <c r="AX1282" t="s">
        <v>57</v>
      </c>
      <c r="AY1282">
        <v>631110</v>
      </c>
      <c r="AZ1282">
        <v>1206.63111</v>
      </c>
      <c r="BA1282" s="23" t="s">
        <v>14</v>
      </c>
    </row>
    <row r="1283" spans="1:53" x14ac:dyDescent="0.25">
      <c r="A1283" t="s">
        <v>134</v>
      </c>
      <c r="B1283" t="s">
        <v>135</v>
      </c>
      <c r="C1283">
        <v>22002554</v>
      </c>
      <c r="D1283">
        <v>1206</v>
      </c>
      <c r="E1283" s="11">
        <v>44783</v>
      </c>
      <c r="F1283" t="s">
        <v>172</v>
      </c>
      <c r="G1283">
        <v>7.42</v>
      </c>
      <c r="H1283">
        <v>7.42</v>
      </c>
      <c r="I1283" t="s">
        <v>56</v>
      </c>
      <c r="O1283" t="s">
        <v>57</v>
      </c>
      <c r="Q1283" t="s">
        <v>57</v>
      </c>
      <c r="R1283" t="s">
        <v>137</v>
      </c>
      <c r="T1283" t="s">
        <v>59</v>
      </c>
      <c r="U1283" t="s">
        <v>60</v>
      </c>
      <c r="V1283" t="s">
        <v>138</v>
      </c>
      <c r="W1283" t="s">
        <v>139</v>
      </c>
      <c r="X1283">
        <v>1930431</v>
      </c>
      <c r="Y1283" s="11">
        <v>44784</v>
      </c>
      <c r="Z1283" t="s">
        <v>57</v>
      </c>
      <c r="AA1283">
        <v>4</v>
      </c>
      <c r="AB1283" t="s">
        <v>57</v>
      </c>
      <c r="AD1283" t="s">
        <v>57</v>
      </c>
      <c r="AE1283" t="s">
        <v>57</v>
      </c>
      <c r="AF1283" t="s">
        <v>57</v>
      </c>
      <c r="AG1283">
        <v>1</v>
      </c>
      <c r="AH1283" t="s">
        <v>57</v>
      </c>
      <c r="AL1283" t="s">
        <v>57</v>
      </c>
      <c r="AM1283" s="11">
        <v>44783</v>
      </c>
      <c r="AN1283" t="s">
        <v>184</v>
      </c>
      <c r="AO1283" t="s">
        <v>65</v>
      </c>
      <c r="AP1283">
        <v>1206</v>
      </c>
      <c r="AQ1283" t="s">
        <v>66</v>
      </c>
      <c r="AR1283">
        <v>225948</v>
      </c>
      <c r="AU1283" t="s">
        <v>57</v>
      </c>
      <c r="AV1283" t="s">
        <v>68</v>
      </c>
      <c r="AX1283" t="s">
        <v>57</v>
      </c>
      <c r="AY1283">
        <v>631110</v>
      </c>
      <c r="AZ1283">
        <v>1206.63111</v>
      </c>
      <c r="BA1283" s="23" t="s">
        <v>14</v>
      </c>
    </row>
    <row r="1284" spans="1:53" x14ac:dyDescent="0.25">
      <c r="A1284" t="s">
        <v>134</v>
      </c>
      <c r="B1284" t="s">
        <v>135</v>
      </c>
      <c r="C1284">
        <v>22002555</v>
      </c>
      <c r="D1284">
        <v>1206</v>
      </c>
      <c r="E1284" s="11">
        <v>44783</v>
      </c>
      <c r="F1284" t="s">
        <v>174</v>
      </c>
      <c r="G1284">
        <v>3.77</v>
      </c>
      <c r="H1284">
        <v>3.77</v>
      </c>
      <c r="I1284" t="s">
        <v>56</v>
      </c>
      <c r="O1284" t="s">
        <v>57</v>
      </c>
      <c r="Q1284" t="s">
        <v>57</v>
      </c>
      <c r="R1284" t="s">
        <v>137</v>
      </c>
      <c r="T1284" t="s">
        <v>59</v>
      </c>
      <c r="U1284" t="s">
        <v>60</v>
      </c>
      <c r="V1284" t="s">
        <v>138</v>
      </c>
      <c r="W1284" t="s">
        <v>139</v>
      </c>
      <c r="X1284">
        <v>1930431</v>
      </c>
      <c r="Y1284" s="11">
        <v>44784</v>
      </c>
      <c r="Z1284" t="s">
        <v>57</v>
      </c>
      <c r="AA1284">
        <v>2</v>
      </c>
      <c r="AB1284" t="s">
        <v>57</v>
      </c>
      <c r="AD1284" t="s">
        <v>57</v>
      </c>
      <c r="AE1284" t="s">
        <v>57</v>
      </c>
      <c r="AF1284" t="s">
        <v>57</v>
      </c>
      <c r="AG1284">
        <v>1</v>
      </c>
      <c r="AH1284" t="s">
        <v>57</v>
      </c>
      <c r="AL1284" t="s">
        <v>57</v>
      </c>
      <c r="AM1284" s="11">
        <v>44783</v>
      </c>
      <c r="AN1284" t="s">
        <v>184</v>
      </c>
      <c r="AO1284" t="s">
        <v>65</v>
      </c>
      <c r="AP1284">
        <v>1206</v>
      </c>
      <c r="AQ1284" t="s">
        <v>66</v>
      </c>
      <c r="AR1284">
        <v>271731</v>
      </c>
      <c r="AU1284" t="s">
        <v>57</v>
      </c>
      <c r="AV1284" t="s">
        <v>68</v>
      </c>
      <c r="AX1284" t="s">
        <v>57</v>
      </c>
      <c r="AY1284">
        <v>631110</v>
      </c>
      <c r="AZ1284">
        <v>1206.63111</v>
      </c>
      <c r="BA1284" s="23" t="s">
        <v>14</v>
      </c>
    </row>
    <row r="1285" spans="1:53" x14ac:dyDescent="0.25">
      <c r="A1285" t="s">
        <v>134</v>
      </c>
      <c r="B1285" t="s">
        <v>135</v>
      </c>
      <c r="C1285">
        <v>22002555</v>
      </c>
      <c r="D1285">
        <v>1206</v>
      </c>
      <c r="E1285" s="11">
        <v>44783</v>
      </c>
      <c r="F1285" t="s">
        <v>174</v>
      </c>
      <c r="G1285">
        <v>0.6</v>
      </c>
      <c r="H1285">
        <v>0.6</v>
      </c>
      <c r="I1285" t="s">
        <v>56</v>
      </c>
      <c r="O1285" t="s">
        <v>57</v>
      </c>
      <c r="Q1285" t="s">
        <v>57</v>
      </c>
      <c r="R1285" t="s">
        <v>137</v>
      </c>
      <c r="T1285" t="s">
        <v>59</v>
      </c>
      <c r="U1285" t="s">
        <v>60</v>
      </c>
      <c r="V1285" t="s">
        <v>138</v>
      </c>
      <c r="W1285" t="s">
        <v>139</v>
      </c>
      <c r="X1285">
        <v>1930431</v>
      </c>
      <c r="Y1285" s="11">
        <v>44784</v>
      </c>
      <c r="Z1285" t="s">
        <v>57</v>
      </c>
      <c r="AA1285">
        <v>4</v>
      </c>
      <c r="AB1285" t="s">
        <v>57</v>
      </c>
      <c r="AD1285" t="s">
        <v>57</v>
      </c>
      <c r="AE1285" t="s">
        <v>57</v>
      </c>
      <c r="AF1285" t="s">
        <v>57</v>
      </c>
      <c r="AG1285">
        <v>1</v>
      </c>
      <c r="AH1285" t="s">
        <v>57</v>
      </c>
      <c r="AL1285" t="s">
        <v>57</v>
      </c>
      <c r="AM1285" s="11">
        <v>44783</v>
      </c>
      <c r="AN1285" t="s">
        <v>184</v>
      </c>
      <c r="AO1285" t="s">
        <v>65</v>
      </c>
      <c r="AP1285">
        <v>1206</v>
      </c>
      <c r="AQ1285" t="s">
        <v>66</v>
      </c>
      <c r="AR1285">
        <v>271900</v>
      </c>
      <c r="AU1285" t="s">
        <v>57</v>
      </c>
      <c r="AV1285" t="s">
        <v>68</v>
      </c>
      <c r="AX1285" t="s">
        <v>57</v>
      </c>
      <c r="AY1285">
        <v>631110</v>
      </c>
      <c r="AZ1285">
        <v>1206.63111</v>
      </c>
      <c r="BA1285" s="23" t="s">
        <v>14</v>
      </c>
    </row>
    <row r="1286" spans="1:53" x14ac:dyDescent="0.25">
      <c r="A1286" t="s">
        <v>134</v>
      </c>
      <c r="B1286" t="s">
        <v>135</v>
      </c>
      <c r="C1286">
        <v>22002555</v>
      </c>
      <c r="D1286">
        <v>1206</v>
      </c>
      <c r="E1286" s="11">
        <v>44783</v>
      </c>
      <c r="F1286" t="s">
        <v>174</v>
      </c>
      <c r="G1286">
        <v>21.86</v>
      </c>
      <c r="H1286">
        <v>21.86</v>
      </c>
      <c r="I1286" t="s">
        <v>56</v>
      </c>
      <c r="O1286" t="s">
        <v>57</v>
      </c>
      <c r="Q1286" t="s">
        <v>57</v>
      </c>
      <c r="R1286" t="s">
        <v>137</v>
      </c>
      <c r="T1286" t="s">
        <v>59</v>
      </c>
      <c r="U1286" t="s">
        <v>60</v>
      </c>
      <c r="V1286" t="s">
        <v>138</v>
      </c>
      <c r="W1286" t="s">
        <v>139</v>
      </c>
      <c r="X1286">
        <v>1930431</v>
      </c>
      <c r="Y1286" s="11">
        <v>44784</v>
      </c>
      <c r="Z1286" t="s">
        <v>57</v>
      </c>
      <c r="AA1286">
        <v>6</v>
      </c>
      <c r="AB1286" t="s">
        <v>57</v>
      </c>
      <c r="AD1286" t="s">
        <v>57</v>
      </c>
      <c r="AE1286" t="s">
        <v>57</v>
      </c>
      <c r="AF1286" t="s">
        <v>57</v>
      </c>
      <c r="AG1286">
        <v>6</v>
      </c>
      <c r="AH1286" t="s">
        <v>57</v>
      </c>
      <c r="AL1286" t="s">
        <v>57</v>
      </c>
      <c r="AM1286" s="11">
        <v>44783</v>
      </c>
      <c r="AN1286" t="s">
        <v>184</v>
      </c>
      <c r="AO1286" t="s">
        <v>65</v>
      </c>
      <c r="AP1286">
        <v>1206</v>
      </c>
      <c r="AQ1286" t="s">
        <v>66</v>
      </c>
      <c r="AR1286">
        <v>230640</v>
      </c>
      <c r="AU1286" t="s">
        <v>57</v>
      </c>
      <c r="AV1286" t="s">
        <v>68</v>
      </c>
      <c r="AX1286" t="s">
        <v>57</v>
      </c>
      <c r="AY1286">
        <v>631110</v>
      </c>
      <c r="AZ1286">
        <v>1206.63111</v>
      </c>
      <c r="BA1286" s="23" t="s">
        <v>14</v>
      </c>
    </row>
    <row r="1287" spans="1:53" x14ac:dyDescent="0.25">
      <c r="A1287" t="s">
        <v>134</v>
      </c>
      <c r="B1287" t="s">
        <v>135</v>
      </c>
      <c r="C1287">
        <v>22002560</v>
      </c>
      <c r="D1287">
        <v>1206</v>
      </c>
      <c r="E1287" s="11">
        <v>44784</v>
      </c>
      <c r="F1287" t="s">
        <v>174</v>
      </c>
      <c r="G1287">
        <v>0.48</v>
      </c>
      <c r="H1287">
        <v>0.48</v>
      </c>
      <c r="I1287" t="s">
        <v>56</v>
      </c>
      <c r="O1287" t="s">
        <v>57</v>
      </c>
      <c r="Q1287" t="s">
        <v>57</v>
      </c>
      <c r="R1287" t="s">
        <v>137</v>
      </c>
      <c r="T1287" t="s">
        <v>59</v>
      </c>
      <c r="U1287" t="s">
        <v>60</v>
      </c>
      <c r="V1287" t="s">
        <v>138</v>
      </c>
      <c r="W1287" t="s">
        <v>139</v>
      </c>
      <c r="X1287">
        <v>1930489</v>
      </c>
      <c r="Y1287" s="11">
        <v>44784</v>
      </c>
      <c r="Z1287" t="s">
        <v>57</v>
      </c>
      <c r="AA1287">
        <v>2</v>
      </c>
      <c r="AB1287" t="s">
        <v>57</v>
      </c>
      <c r="AD1287" t="s">
        <v>57</v>
      </c>
      <c r="AE1287" t="s">
        <v>57</v>
      </c>
      <c r="AF1287" t="s">
        <v>57</v>
      </c>
      <c r="AG1287">
        <v>1</v>
      </c>
      <c r="AH1287" t="s">
        <v>57</v>
      </c>
      <c r="AL1287" t="s">
        <v>57</v>
      </c>
      <c r="AM1287" s="11">
        <v>44784</v>
      </c>
      <c r="AN1287" t="s">
        <v>184</v>
      </c>
      <c r="AO1287" t="s">
        <v>65</v>
      </c>
      <c r="AP1287">
        <v>1206</v>
      </c>
      <c r="AQ1287" t="s">
        <v>66</v>
      </c>
      <c r="AR1287">
        <v>90122</v>
      </c>
      <c r="AU1287" t="s">
        <v>57</v>
      </c>
      <c r="AV1287" t="s">
        <v>68</v>
      </c>
      <c r="AX1287" t="s">
        <v>57</v>
      </c>
      <c r="AY1287">
        <v>631110</v>
      </c>
      <c r="AZ1287">
        <v>1206.63111</v>
      </c>
      <c r="BA1287" s="23" t="s">
        <v>14</v>
      </c>
    </row>
    <row r="1288" spans="1:53" x14ac:dyDescent="0.25">
      <c r="A1288" t="s">
        <v>134</v>
      </c>
      <c r="B1288" t="s">
        <v>135</v>
      </c>
      <c r="C1288">
        <v>22002560</v>
      </c>
      <c r="D1288">
        <v>1206</v>
      </c>
      <c r="E1288" s="11">
        <v>44784</v>
      </c>
      <c r="F1288" t="s">
        <v>174</v>
      </c>
      <c r="G1288">
        <v>1.22</v>
      </c>
      <c r="H1288">
        <v>1.22</v>
      </c>
      <c r="I1288" t="s">
        <v>56</v>
      </c>
      <c r="O1288" t="s">
        <v>57</v>
      </c>
      <c r="Q1288" t="s">
        <v>57</v>
      </c>
      <c r="R1288" t="s">
        <v>137</v>
      </c>
      <c r="T1288" t="s">
        <v>59</v>
      </c>
      <c r="U1288" t="s">
        <v>60</v>
      </c>
      <c r="V1288" t="s">
        <v>138</v>
      </c>
      <c r="W1288" t="s">
        <v>139</v>
      </c>
      <c r="X1288">
        <v>1930489</v>
      </c>
      <c r="Y1288" s="11">
        <v>44784</v>
      </c>
      <c r="Z1288" t="s">
        <v>57</v>
      </c>
      <c r="AA1288">
        <v>4</v>
      </c>
      <c r="AB1288" t="s">
        <v>57</v>
      </c>
      <c r="AD1288" t="s">
        <v>57</v>
      </c>
      <c r="AE1288" t="s">
        <v>57</v>
      </c>
      <c r="AF1288" t="s">
        <v>57</v>
      </c>
      <c r="AG1288">
        <v>2</v>
      </c>
      <c r="AH1288" t="s">
        <v>57</v>
      </c>
      <c r="AL1288" t="s">
        <v>57</v>
      </c>
      <c r="AM1288" s="11">
        <v>44784</v>
      </c>
      <c r="AN1288" t="s">
        <v>184</v>
      </c>
      <c r="AO1288" t="s">
        <v>65</v>
      </c>
      <c r="AP1288">
        <v>1206</v>
      </c>
      <c r="AQ1288" t="s">
        <v>66</v>
      </c>
      <c r="AR1288">
        <v>142793</v>
      </c>
      <c r="AU1288" t="s">
        <v>57</v>
      </c>
      <c r="AV1288" t="s">
        <v>68</v>
      </c>
      <c r="AX1288" t="s">
        <v>57</v>
      </c>
      <c r="AY1288">
        <v>631110</v>
      </c>
      <c r="AZ1288">
        <v>1206.63111</v>
      </c>
      <c r="BA1288" s="23" t="s">
        <v>14</v>
      </c>
    </row>
    <row r="1289" spans="1:53" x14ac:dyDescent="0.25">
      <c r="A1289" t="s">
        <v>134</v>
      </c>
      <c r="B1289" t="s">
        <v>135</v>
      </c>
      <c r="C1289">
        <v>22002560</v>
      </c>
      <c r="D1289">
        <v>1206</v>
      </c>
      <c r="E1289" s="11">
        <v>44784</v>
      </c>
      <c r="F1289" t="s">
        <v>174</v>
      </c>
      <c r="G1289">
        <v>83.03</v>
      </c>
      <c r="H1289">
        <v>83.03</v>
      </c>
      <c r="I1289" t="s">
        <v>56</v>
      </c>
      <c r="O1289" t="s">
        <v>57</v>
      </c>
      <c r="Q1289" t="s">
        <v>57</v>
      </c>
      <c r="R1289" t="s">
        <v>137</v>
      </c>
      <c r="T1289" t="s">
        <v>59</v>
      </c>
      <c r="U1289" t="s">
        <v>60</v>
      </c>
      <c r="V1289" t="s">
        <v>138</v>
      </c>
      <c r="W1289" t="s">
        <v>139</v>
      </c>
      <c r="X1289">
        <v>1930489</v>
      </c>
      <c r="Y1289" s="11">
        <v>44784</v>
      </c>
      <c r="Z1289" t="s">
        <v>57</v>
      </c>
      <c r="AA1289">
        <v>6</v>
      </c>
      <c r="AB1289" t="s">
        <v>57</v>
      </c>
      <c r="AD1289" t="s">
        <v>57</v>
      </c>
      <c r="AE1289" t="s">
        <v>57</v>
      </c>
      <c r="AF1289" t="s">
        <v>57</v>
      </c>
      <c r="AG1289">
        <v>1</v>
      </c>
      <c r="AH1289" t="s">
        <v>57</v>
      </c>
      <c r="AL1289" t="s">
        <v>57</v>
      </c>
      <c r="AM1289" s="11">
        <v>44784</v>
      </c>
      <c r="AN1289" t="s">
        <v>184</v>
      </c>
      <c r="AO1289" t="s">
        <v>65</v>
      </c>
      <c r="AP1289">
        <v>1206</v>
      </c>
      <c r="AQ1289" t="s">
        <v>66</v>
      </c>
      <c r="AR1289">
        <v>258399</v>
      </c>
      <c r="AU1289" t="s">
        <v>57</v>
      </c>
      <c r="AV1289" t="s">
        <v>68</v>
      </c>
      <c r="AX1289" t="s">
        <v>57</v>
      </c>
      <c r="AY1289">
        <v>631110</v>
      </c>
      <c r="AZ1289">
        <v>1206.63111</v>
      </c>
      <c r="BA1289" s="23" t="s">
        <v>14</v>
      </c>
    </row>
    <row r="1290" spans="1:53" x14ac:dyDescent="0.25">
      <c r="A1290" t="s">
        <v>134</v>
      </c>
      <c r="B1290" t="s">
        <v>135</v>
      </c>
      <c r="C1290">
        <v>22002560</v>
      </c>
      <c r="D1290">
        <v>1206</v>
      </c>
      <c r="E1290" s="11">
        <v>44784</v>
      </c>
      <c r="F1290" t="s">
        <v>174</v>
      </c>
      <c r="G1290">
        <v>26.81</v>
      </c>
      <c r="H1290">
        <v>26.81</v>
      </c>
      <c r="I1290" t="s">
        <v>56</v>
      </c>
      <c r="O1290" t="s">
        <v>57</v>
      </c>
      <c r="Q1290" t="s">
        <v>57</v>
      </c>
      <c r="R1290" t="s">
        <v>137</v>
      </c>
      <c r="T1290" t="s">
        <v>59</v>
      </c>
      <c r="U1290" t="s">
        <v>60</v>
      </c>
      <c r="V1290" t="s">
        <v>138</v>
      </c>
      <c r="W1290" t="s">
        <v>139</v>
      </c>
      <c r="X1290">
        <v>1930489</v>
      </c>
      <c r="Y1290" s="11">
        <v>44784</v>
      </c>
      <c r="Z1290" t="s">
        <v>57</v>
      </c>
      <c r="AA1290">
        <v>8</v>
      </c>
      <c r="AB1290" t="s">
        <v>57</v>
      </c>
      <c r="AD1290" t="s">
        <v>57</v>
      </c>
      <c r="AE1290" t="s">
        <v>57</v>
      </c>
      <c r="AF1290" t="s">
        <v>57</v>
      </c>
      <c r="AG1290">
        <v>1</v>
      </c>
      <c r="AH1290" t="s">
        <v>57</v>
      </c>
      <c r="AL1290" t="s">
        <v>57</v>
      </c>
      <c r="AM1290" s="11">
        <v>44784</v>
      </c>
      <c r="AN1290" t="s">
        <v>184</v>
      </c>
      <c r="AO1290" t="s">
        <v>65</v>
      </c>
      <c r="AP1290">
        <v>1206</v>
      </c>
      <c r="AQ1290" t="s">
        <v>66</v>
      </c>
      <c r="AR1290">
        <v>143095</v>
      </c>
      <c r="AU1290" t="s">
        <v>57</v>
      </c>
      <c r="AV1290" t="s">
        <v>68</v>
      </c>
      <c r="AX1290" t="s">
        <v>57</v>
      </c>
      <c r="AY1290">
        <v>631110</v>
      </c>
      <c r="AZ1290">
        <v>1206.63111</v>
      </c>
      <c r="BA1290" s="23" t="s">
        <v>14</v>
      </c>
    </row>
    <row r="1291" spans="1:53" x14ac:dyDescent="0.25">
      <c r="A1291" t="s">
        <v>134</v>
      </c>
      <c r="B1291" t="s">
        <v>135</v>
      </c>
      <c r="C1291">
        <v>22002561</v>
      </c>
      <c r="D1291">
        <v>1206</v>
      </c>
      <c r="E1291" s="11">
        <v>44784</v>
      </c>
      <c r="F1291" t="s">
        <v>174</v>
      </c>
      <c r="G1291">
        <v>0.69</v>
      </c>
      <c r="H1291">
        <v>0.69</v>
      </c>
      <c r="I1291" t="s">
        <v>56</v>
      </c>
      <c r="O1291" t="s">
        <v>57</v>
      </c>
      <c r="Q1291" t="s">
        <v>57</v>
      </c>
      <c r="R1291" t="s">
        <v>137</v>
      </c>
      <c r="T1291" t="s">
        <v>59</v>
      </c>
      <c r="U1291" t="s">
        <v>60</v>
      </c>
      <c r="V1291" t="s">
        <v>138</v>
      </c>
      <c r="W1291" t="s">
        <v>139</v>
      </c>
      <c r="X1291">
        <v>1930520</v>
      </c>
      <c r="Y1291" s="11">
        <v>44784</v>
      </c>
      <c r="Z1291" t="s">
        <v>57</v>
      </c>
      <c r="AA1291">
        <v>2</v>
      </c>
      <c r="AB1291" t="s">
        <v>57</v>
      </c>
      <c r="AD1291" t="s">
        <v>57</v>
      </c>
      <c r="AE1291" t="s">
        <v>57</v>
      </c>
      <c r="AF1291" t="s">
        <v>57</v>
      </c>
      <c r="AG1291">
        <v>1</v>
      </c>
      <c r="AH1291" t="s">
        <v>57</v>
      </c>
      <c r="AL1291" t="s">
        <v>57</v>
      </c>
      <c r="AM1291" s="11">
        <v>44784</v>
      </c>
      <c r="AN1291" t="s">
        <v>184</v>
      </c>
      <c r="AO1291" t="s">
        <v>65</v>
      </c>
      <c r="AP1291">
        <v>1206</v>
      </c>
      <c r="AQ1291" t="s">
        <v>66</v>
      </c>
      <c r="AR1291">
        <v>112854</v>
      </c>
      <c r="AU1291" t="s">
        <v>57</v>
      </c>
      <c r="AV1291" t="s">
        <v>68</v>
      </c>
      <c r="AX1291" t="s">
        <v>57</v>
      </c>
      <c r="AY1291">
        <v>631110</v>
      </c>
      <c r="AZ1291">
        <v>1206.63111</v>
      </c>
      <c r="BA1291" s="23" t="s">
        <v>14</v>
      </c>
    </row>
    <row r="1292" spans="1:53" x14ac:dyDescent="0.25">
      <c r="A1292" t="s">
        <v>134</v>
      </c>
      <c r="B1292" t="s">
        <v>135</v>
      </c>
      <c r="C1292">
        <v>22002561</v>
      </c>
      <c r="D1292">
        <v>1206</v>
      </c>
      <c r="E1292" s="11">
        <v>44784</v>
      </c>
      <c r="F1292" t="s">
        <v>174</v>
      </c>
      <c r="G1292">
        <v>82.64</v>
      </c>
      <c r="H1292">
        <v>82.64</v>
      </c>
      <c r="I1292" t="s">
        <v>56</v>
      </c>
      <c r="O1292" t="s">
        <v>57</v>
      </c>
      <c r="Q1292" t="s">
        <v>57</v>
      </c>
      <c r="R1292" t="s">
        <v>137</v>
      </c>
      <c r="T1292" t="s">
        <v>59</v>
      </c>
      <c r="U1292" t="s">
        <v>60</v>
      </c>
      <c r="V1292" t="s">
        <v>138</v>
      </c>
      <c r="W1292" t="s">
        <v>139</v>
      </c>
      <c r="X1292">
        <v>1930520</v>
      </c>
      <c r="Y1292" s="11">
        <v>44784</v>
      </c>
      <c r="Z1292" t="s">
        <v>57</v>
      </c>
      <c r="AA1292">
        <v>4</v>
      </c>
      <c r="AB1292" t="s">
        <v>57</v>
      </c>
      <c r="AD1292" t="s">
        <v>57</v>
      </c>
      <c r="AE1292" t="s">
        <v>57</v>
      </c>
      <c r="AF1292" t="s">
        <v>57</v>
      </c>
      <c r="AG1292">
        <v>1</v>
      </c>
      <c r="AH1292" t="s">
        <v>57</v>
      </c>
      <c r="AL1292" t="s">
        <v>57</v>
      </c>
      <c r="AM1292" s="11">
        <v>44784</v>
      </c>
      <c r="AN1292" t="s">
        <v>184</v>
      </c>
      <c r="AO1292" t="s">
        <v>65</v>
      </c>
      <c r="AP1292">
        <v>1206</v>
      </c>
      <c r="AQ1292" t="s">
        <v>66</v>
      </c>
      <c r="AR1292">
        <v>131100</v>
      </c>
      <c r="AU1292" t="s">
        <v>57</v>
      </c>
      <c r="AV1292" t="s">
        <v>68</v>
      </c>
      <c r="AX1292" t="s">
        <v>57</v>
      </c>
      <c r="AY1292">
        <v>631110</v>
      </c>
      <c r="AZ1292">
        <v>1206.63111</v>
      </c>
      <c r="BA1292" s="23" t="s">
        <v>14</v>
      </c>
    </row>
    <row r="1293" spans="1:53" x14ac:dyDescent="0.25">
      <c r="A1293" t="s">
        <v>134</v>
      </c>
      <c r="B1293" t="s">
        <v>135</v>
      </c>
      <c r="C1293">
        <v>22002562</v>
      </c>
      <c r="D1293">
        <v>1206</v>
      </c>
      <c r="E1293" s="11">
        <v>44784</v>
      </c>
      <c r="F1293" t="s">
        <v>174</v>
      </c>
      <c r="G1293">
        <v>4.57</v>
      </c>
      <c r="H1293">
        <v>4.57</v>
      </c>
      <c r="I1293" t="s">
        <v>56</v>
      </c>
      <c r="O1293" t="s">
        <v>57</v>
      </c>
      <c r="Q1293" t="s">
        <v>57</v>
      </c>
      <c r="R1293" t="s">
        <v>137</v>
      </c>
      <c r="T1293" t="s">
        <v>59</v>
      </c>
      <c r="U1293" t="s">
        <v>60</v>
      </c>
      <c r="V1293" t="s">
        <v>138</v>
      </c>
      <c r="W1293" t="s">
        <v>139</v>
      </c>
      <c r="X1293">
        <v>1930520</v>
      </c>
      <c r="Y1293" s="11">
        <v>44784</v>
      </c>
      <c r="Z1293" t="s">
        <v>57</v>
      </c>
      <c r="AA1293">
        <v>2</v>
      </c>
      <c r="AB1293" t="s">
        <v>57</v>
      </c>
      <c r="AD1293" t="s">
        <v>57</v>
      </c>
      <c r="AE1293" t="s">
        <v>57</v>
      </c>
      <c r="AF1293" t="s">
        <v>57</v>
      </c>
      <c r="AG1293">
        <v>1</v>
      </c>
      <c r="AH1293" t="s">
        <v>57</v>
      </c>
      <c r="AL1293" t="s">
        <v>57</v>
      </c>
      <c r="AM1293" s="11">
        <v>44784</v>
      </c>
      <c r="AN1293" t="s">
        <v>184</v>
      </c>
      <c r="AO1293" t="s">
        <v>65</v>
      </c>
      <c r="AP1293">
        <v>1206</v>
      </c>
      <c r="AQ1293" t="s">
        <v>66</v>
      </c>
      <c r="AR1293">
        <v>206435</v>
      </c>
      <c r="AU1293" t="s">
        <v>57</v>
      </c>
      <c r="AV1293" t="s">
        <v>68</v>
      </c>
      <c r="AX1293" t="s">
        <v>57</v>
      </c>
      <c r="AY1293">
        <v>631110</v>
      </c>
      <c r="AZ1293">
        <v>1206.63111</v>
      </c>
      <c r="BA1293" s="23" t="s">
        <v>14</v>
      </c>
    </row>
    <row r="1294" spans="1:53" x14ac:dyDescent="0.25">
      <c r="A1294" t="s">
        <v>134</v>
      </c>
      <c r="B1294" t="s">
        <v>135</v>
      </c>
      <c r="C1294">
        <v>22002562</v>
      </c>
      <c r="D1294">
        <v>1206</v>
      </c>
      <c r="E1294" s="11">
        <v>44784</v>
      </c>
      <c r="F1294" t="s">
        <v>174</v>
      </c>
      <c r="G1294">
        <v>0.69</v>
      </c>
      <c r="H1294">
        <v>0.69</v>
      </c>
      <c r="I1294" t="s">
        <v>56</v>
      </c>
      <c r="O1294" t="s">
        <v>57</v>
      </c>
      <c r="Q1294" t="s">
        <v>57</v>
      </c>
      <c r="R1294" t="s">
        <v>137</v>
      </c>
      <c r="T1294" t="s">
        <v>59</v>
      </c>
      <c r="U1294" t="s">
        <v>60</v>
      </c>
      <c r="V1294" t="s">
        <v>138</v>
      </c>
      <c r="W1294" t="s">
        <v>139</v>
      </c>
      <c r="X1294">
        <v>1930520</v>
      </c>
      <c r="Y1294" s="11">
        <v>44784</v>
      </c>
      <c r="Z1294" t="s">
        <v>57</v>
      </c>
      <c r="AA1294">
        <v>4</v>
      </c>
      <c r="AB1294" t="s">
        <v>57</v>
      </c>
      <c r="AD1294" t="s">
        <v>57</v>
      </c>
      <c r="AE1294" t="s">
        <v>57</v>
      </c>
      <c r="AF1294" t="s">
        <v>57</v>
      </c>
      <c r="AG1294">
        <v>1</v>
      </c>
      <c r="AH1294" t="s">
        <v>57</v>
      </c>
      <c r="AL1294" t="s">
        <v>57</v>
      </c>
      <c r="AM1294" s="11">
        <v>44784</v>
      </c>
      <c r="AN1294" t="s">
        <v>184</v>
      </c>
      <c r="AO1294" t="s">
        <v>65</v>
      </c>
      <c r="AP1294">
        <v>1206</v>
      </c>
      <c r="AQ1294" t="s">
        <v>66</v>
      </c>
      <c r="AR1294">
        <v>90167</v>
      </c>
      <c r="AU1294" t="s">
        <v>57</v>
      </c>
      <c r="AV1294" t="s">
        <v>68</v>
      </c>
      <c r="AX1294" t="s">
        <v>57</v>
      </c>
      <c r="AY1294">
        <v>631110</v>
      </c>
      <c r="AZ1294">
        <v>1206.63111</v>
      </c>
      <c r="BA1294" s="23" t="s">
        <v>14</v>
      </c>
    </row>
    <row r="1295" spans="1:53" x14ac:dyDescent="0.25">
      <c r="A1295" t="s">
        <v>134</v>
      </c>
      <c r="B1295" t="s">
        <v>135</v>
      </c>
      <c r="C1295">
        <v>22002562</v>
      </c>
      <c r="D1295">
        <v>1206</v>
      </c>
      <c r="E1295" s="11">
        <v>44784</v>
      </c>
      <c r="F1295" t="s">
        <v>174</v>
      </c>
      <c r="G1295">
        <v>4.2</v>
      </c>
      <c r="H1295">
        <v>4.2</v>
      </c>
      <c r="I1295" t="s">
        <v>56</v>
      </c>
      <c r="O1295" t="s">
        <v>57</v>
      </c>
      <c r="Q1295" t="s">
        <v>57</v>
      </c>
      <c r="R1295" t="s">
        <v>137</v>
      </c>
      <c r="T1295" t="s">
        <v>59</v>
      </c>
      <c r="U1295" t="s">
        <v>60</v>
      </c>
      <c r="V1295" t="s">
        <v>138</v>
      </c>
      <c r="W1295" t="s">
        <v>139</v>
      </c>
      <c r="X1295">
        <v>1930520</v>
      </c>
      <c r="Y1295" s="11">
        <v>44784</v>
      </c>
      <c r="Z1295" t="s">
        <v>57</v>
      </c>
      <c r="AA1295">
        <v>6</v>
      </c>
      <c r="AB1295" t="s">
        <v>57</v>
      </c>
      <c r="AD1295" t="s">
        <v>57</v>
      </c>
      <c r="AE1295" t="s">
        <v>57</v>
      </c>
      <c r="AF1295" t="s">
        <v>57</v>
      </c>
      <c r="AG1295">
        <v>1</v>
      </c>
      <c r="AH1295" t="s">
        <v>57</v>
      </c>
      <c r="AL1295" t="s">
        <v>57</v>
      </c>
      <c r="AM1295" s="11">
        <v>44784</v>
      </c>
      <c r="AN1295" t="s">
        <v>184</v>
      </c>
      <c r="AO1295" t="s">
        <v>65</v>
      </c>
      <c r="AP1295">
        <v>1206</v>
      </c>
      <c r="AQ1295" t="s">
        <v>66</v>
      </c>
      <c r="AR1295">
        <v>126941</v>
      </c>
      <c r="AU1295" t="s">
        <v>57</v>
      </c>
      <c r="AV1295" t="s">
        <v>68</v>
      </c>
      <c r="AX1295" t="s">
        <v>57</v>
      </c>
      <c r="AY1295">
        <v>631110</v>
      </c>
      <c r="AZ1295">
        <v>1206.63111</v>
      </c>
      <c r="BA1295" s="23" t="s">
        <v>14</v>
      </c>
    </row>
    <row r="1296" spans="1:53" x14ac:dyDescent="0.25">
      <c r="A1296" t="s">
        <v>134</v>
      </c>
      <c r="B1296" t="s">
        <v>135</v>
      </c>
      <c r="C1296">
        <v>22002563</v>
      </c>
      <c r="D1296">
        <v>1206</v>
      </c>
      <c r="E1296" s="11">
        <v>44784</v>
      </c>
      <c r="F1296" t="s">
        <v>159</v>
      </c>
      <c r="G1296">
        <v>15.5</v>
      </c>
      <c r="H1296">
        <v>15.5</v>
      </c>
      <c r="I1296" t="s">
        <v>56</v>
      </c>
      <c r="O1296" t="s">
        <v>57</v>
      </c>
      <c r="Q1296" t="s">
        <v>57</v>
      </c>
      <c r="R1296" t="s">
        <v>137</v>
      </c>
      <c r="T1296" t="s">
        <v>59</v>
      </c>
      <c r="U1296" t="s">
        <v>60</v>
      </c>
      <c r="V1296" t="s">
        <v>138</v>
      </c>
      <c r="W1296" t="s">
        <v>139</v>
      </c>
      <c r="X1296">
        <v>1930520</v>
      </c>
      <c r="Y1296" s="11">
        <v>44784</v>
      </c>
      <c r="Z1296" t="s">
        <v>57</v>
      </c>
      <c r="AA1296">
        <v>2</v>
      </c>
      <c r="AB1296" t="s">
        <v>57</v>
      </c>
      <c r="AD1296" t="s">
        <v>57</v>
      </c>
      <c r="AE1296" t="s">
        <v>57</v>
      </c>
      <c r="AF1296" t="s">
        <v>57</v>
      </c>
      <c r="AG1296">
        <v>1</v>
      </c>
      <c r="AH1296" t="s">
        <v>57</v>
      </c>
      <c r="AL1296" t="s">
        <v>57</v>
      </c>
      <c r="AM1296" s="11">
        <v>44784</v>
      </c>
      <c r="AN1296" t="s">
        <v>184</v>
      </c>
      <c r="AO1296" t="s">
        <v>65</v>
      </c>
      <c r="AP1296">
        <v>1206</v>
      </c>
      <c r="AQ1296" t="s">
        <v>66</v>
      </c>
      <c r="AR1296">
        <v>163472</v>
      </c>
      <c r="AU1296" t="s">
        <v>57</v>
      </c>
      <c r="AV1296" t="s">
        <v>68</v>
      </c>
      <c r="AX1296" t="s">
        <v>57</v>
      </c>
      <c r="AY1296">
        <v>631110</v>
      </c>
      <c r="AZ1296">
        <v>1206.63111</v>
      </c>
      <c r="BA1296" s="23" t="s">
        <v>14</v>
      </c>
    </row>
    <row r="1297" spans="1:53" x14ac:dyDescent="0.25">
      <c r="A1297" t="s">
        <v>134</v>
      </c>
      <c r="B1297" t="s">
        <v>135</v>
      </c>
      <c r="C1297">
        <v>22002566</v>
      </c>
      <c r="D1297">
        <v>1206</v>
      </c>
      <c r="E1297" s="11">
        <v>44784</v>
      </c>
      <c r="F1297" t="s">
        <v>185</v>
      </c>
      <c r="G1297">
        <v>18.25</v>
      </c>
      <c r="H1297">
        <v>18.25</v>
      </c>
      <c r="I1297" t="s">
        <v>56</v>
      </c>
      <c r="O1297" t="s">
        <v>57</v>
      </c>
      <c r="Q1297" t="s">
        <v>57</v>
      </c>
      <c r="R1297" t="s">
        <v>137</v>
      </c>
      <c r="T1297" t="s">
        <v>59</v>
      </c>
      <c r="U1297" t="s">
        <v>60</v>
      </c>
      <c r="V1297" t="s">
        <v>138</v>
      </c>
      <c r="W1297" t="s">
        <v>139</v>
      </c>
      <c r="X1297">
        <v>1930539</v>
      </c>
      <c r="Y1297" s="11">
        <v>44785</v>
      </c>
      <c r="Z1297" t="s">
        <v>57</v>
      </c>
      <c r="AA1297">
        <v>2</v>
      </c>
      <c r="AB1297" t="s">
        <v>57</v>
      </c>
      <c r="AD1297" t="s">
        <v>57</v>
      </c>
      <c r="AE1297" t="s">
        <v>57</v>
      </c>
      <c r="AF1297" t="s">
        <v>57</v>
      </c>
      <c r="AG1297">
        <v>50</v>
      </c>
      <c r="AH1297" t="s">
        <v>57</v>
      </c>
      <c r="AL1297" t="s">
        <v>57</v>
      </c>
      <c r="AM1297" s="11">
        <v>44784</v>
      </c>
      <c r="AN1297" t="s">
        <v>183</v>
      </c>
      <c r="AO1297" t="s">
        <v>65</v>
      </c>
      <c r="AP1297">
        <v>1206</v>
      </c>
      <c r="AQ1297" t="s">
        <v>66</v>
      </c>
      <c r="AR1297">
        <v>91011</v>
      </c>
      <c r="AU1297" t="s">
        <v>57</v>
      </c>
      <c r="AV1297" t="s">
        <v>68</v>
      </c>
      <c r="AX1297" t="s">
        <v>57</v>
      </c>
      <c r="AY1297">
        <v>631110</v>
      </c>
      <c r="AZ1297">
        <v>1206.63111</v>
      </c>
      <c r="BA1297" s="23" t="s">
        <v>14</v>
      </c>
    </row>
    <row r="1298" spans="1:53" x14ac:dyDescent="0.25">
      <c r="A1298" t="s">
        <v>134</v>
      </c>
      <c r="B1298" t="s">
        <v>135</v>
      </c>
      <c r="C1298">
        <v>22002566</v>
      </c>
      <c r="D1298">
        <v>1206</v>
      </c>
      <c r="E1298" s="11">
        <v>44784</v>
      </c>
      <c r="F1298" t="s">
        <v>185</v>
      </c>
      <c r="G1298">
        <v>1.5</v>
      </c>
      <c r="H1298">
        <v>1.5</v>
      </c>
      <c r="I1298" t="s">
        <v>56</v>
      </c>
      <c r="O1298" t="s">
        <v>57</v>
      </c>
      <c r="Q1298" t="s">
        <v>57</v>
      </c>
      <c r="R1298" t="s">
        <v>137</v>
      </c>
      <c r="T1298" t="s">
        <v>59</v>
      </c>
      <c r="U1298" t="s">
        <v>60</v>
      </c>
      <c r="V1298" t="s">
        <v>138</v>
      </c>
      <c r="W1298" t="s">
        <v>139</v>
      </c>
      <c r="X1298">
        <v>1930539</v>
      </c>
      <c r="Y1298" s="11">
        <v>44785</v>
      </c>
      <c r="Z1298" t="s">
        <v>57</v>
      </c>
      <c r="AA1298">
        <v>4</v>
      </c>
      <c r="AB1298" t="s">
        <v>57</v>
      </c>
      <c r="AD1298" t="s">
        <v>57</v>
      </c>
      <c r="AE1298" t="s">
        <v>57</v>
      </c>
      <c r="AF1298" t="s">
        <v>57</v>
      </c>
      <c r="AG1298">
        <v>10</v>
      </c>
      <c r="AH1298" t="s">
        <v>57</v>
      </c>
      <c r="AL1298" t="s">
        <v>57</v>
      </c>
      <c r="AM1298" s="11">
        <v>44784</v>
      </c>
      <c r="AN1298" t="s">
        <v>183</v>
      </c>
      <c r="AO1298" t="s">
        <v>65</v>
      </c>
      <c r="AP1298">
        <v>1206</v>
      </c>
      <c r="AQ1298" t="s">
        <v>66</v>
      </c>
      <c r="AR1298">
        <v>144854</v>
      </c>
      <c r="AU1298" t="s">
        <v>57</v>
      </c>
      <c r="AV1298" t="s">
        <v>68</v>
      </c>
      <c r="AX1298" t="s">
        <v>57</v>
      </c>
      <c r="AY1298">
        <v>631110</v>
      </c>
      <c r="AZ1298">
        <v>1206.63111</v>
      </c>
      <c r="BA1298" s="23" t="s">
        <v>14</v>
      </c>
    </row>
    <row r="1299" spans="1:53" x14ac:dyDescent="0.25">
      <c r="A1299" t="s">
        <v>134</v>
      </c>
      <c r="B1299" t="s">
        <v>135</v>
      </c>
      <c r="C1299">
        <v>22002566</v>
      </c>
      <c r="D1299">
        <v>1206</v>
      </c>
      <c r="E1299" s="11">
        <v>44784</v>
      </c>
      <c r="F1299" t="s">
        <v>185</v>
      </c>
      <c r="G1299">
        <v>6.14</v>
      </c>
      <c r="H1299">
        <v>6.14</v>
      </c>
      <c r="I1299" t="s">
        <v>56</v>
      </c>
      <c r="O1299" t="s">
        <v>57</v>
      </c>
      <c r="Q1299" t="s">
        <v>57</v>
      </c>
      <c r="R1299" t="s">
        <v>137</v>
      </c>
      <c r="T1299" t="s">
        <v>59</v>
      </c>
      <c r="U1299" t="s">
        <v>60</v>
      </c>
      <c r="V1299" t="s">
        <v>138</v>
      </c>
      <c r="W1299" t="s">
        <v>139</v>
      </c>
      <c r="X1299">
        <v>1930539</v>
      </c>
      <c r="Y1299" s="11">
        <v>44785</v>
      </c>
      <c r="Z1299" t="s">
        <v>57</v>
      </c>
      <c r="AA1299">
        <v>6</v>
      </c>
      <c r="AB1299" t="s">
        <v>57</v>
      </c>
      <c r="AD1299" t="s">
        <v>57</v>
      </c>
      <c r="AE1299" t="s">
        <v>57</v>
      </c>
      <c r="AF1299" t="s">
        <v>57</v>
      </c>
      <c r="AG1299">
        <v>40</v>
      </c>
      <c r="AH1299" t="s">
        <v>57</v>
      </c>
      <c r="AL1299" t="s">
        <v>57</v>
      </c>
      <c r="AM1299" s="11">
        <v>44784</v>
      </c>
      <c r="AN1299" t="s">
        <v>183</v>
      </c>
      <c r="AO1299" t="s">
        <v>65</v>
      </c>
      <c r="AP1299">
        <v>1206</v>
      </c>
      <c r="AQ1299" t="s">
        <v>66</v>
      </c>
      <c r="AR1299">
        <v>89712</v>
      </c>
      <c r="AU1299" t="s">
        <v>57</v>
      </c>
      <c r="AV1299" t="s">
        <v>68</v>
      </c>
      <c r="AX1299" t="s">
        <v>57</v>
      </c>
      <c r="AY1299">
        <v>631110</v>
      </c>
      <c r="AZ1299">
        <v>1206.63111</v>
      </c>
      <c r="BA1299" s="23" t="s">
        <v>14</v>
      </c>
    </row>
    <row r="1300" spans="1:53" x14ac:dyDescent="0.25">
      <c r="A1300" t="s">
        <v>134</v>
      </c>
      <c r="B1300" t="s">
        <v>135</v>
      </c>
      <c r="C1300">
        <v>22002566</v>
      </c>
      <c r="D1300">
        <v>1206</v>
      </c>
      <c r="E1300" s="11">
        <v>44784</v>
      </c>
      <c r="F1300" t="s">
        <v>185</v>
      </c>
      <c r="G1300">
        <v>0.77</v>
      </c>
      <c r="H1300">
        <v>0.77</v>
      </c>
      <c r="I1300" t="s">
        <v>56</v>
      </c>
      <c r="O1300" t="s">
        <v>57</v>
      </c>
      <c r="Q1300" t="s">
        <v>57</v>
      </c>
      <c r="R1300" t="s">
        <v>137</v>
      </c>
      <c r="T1300" t="s">
        <v>59</v>
      </c>
      <c r="U1300" t="s">
        <v>60</v>
      </c>
      <c r="V1300" t="s">
        <v>138</v>
      </c>
      <c r="W1300" t="s">
        <v>139</v>
      </c>
      <c r="X1300">
        <v>1930539</v>
      </c>
      <c r="Y1300" s="11">
        <v>44785</v>
      </c>
      <c r="Z1300" t="s">
        <v>57</v>
      </c>
      <c r="AA1300">
        <v>8</v>
      </c>
      <c r="AB1300" t="s">
        <v>57</v>
      </c>
      <c r="AD1300" t="s">
        <v>57</v>
      </c>
      <c r="AE1300" t="s">
        <v>57</v>
      </c>
      <c r="AF1300" t="s">
        <v>57</v>
      </c>
      <c r="AG1300">
        <v>10</v>
      </c>
      <c r="AH1300" t="s">
        <v>57</v>
      </c>
      <c r="AL1300" t="s">
        <v>57</v>
      </c>
      <c r="AM1300" s="11">
        <v>44784</v>
      </c>
      <c r="AN1300" t="s">
        <v>183</v>
      </c>
      <c r="AO1300" t="s">
        <v>65</v>
      </c>
      <c r="AP1300">
        <v>1206</v>
      </c>
      <c r="AQ1300" t="s">
        <v>66</v>
      </c>
      <c r="AR1300">
        <v>267129</v>
      </c>
      <c r="AU1300" t="s">
        <v>57</v>
      </c>
      <c r="AV1300" t="s">
        <v>68</v>
      </c>
      <c r="AX1300" t="s">
        <v>57</v>
      </c>
      <c r="AY1300">
        <v>631110</v>
      </c>
      <c r="AZ1300">
        <v>1206.63111</v>
      </c>
      <c r="BA1300" s="23" t="s">
        <v>14</v>
      </c>
    </row>
    <row r="1301" spans="1:53" x14ac:dyDescent="0.25">
      <c r="A1301" t="s">
        <v>134</v>
      </c>
      <c r="B1301" t="s">
        <v>135</v>
      </c>
      <c r="C1301">
        <v>22002566</v>
      </c>
      <c r="D1301">
        <v>1206</v>
      </c>
      <c r="E1301" s="11">
        <v>44784</v>
      </c>
      <c r="F1301" t="s">
        <v>185</v>
      </c>
      <c r="G1301">
        <v>0.77</v>
      </c>
      <c r="H1301">
        <v>0.77</v>
      </c>
      <c r="I1301" t="s">
        <v>56</v>
      </c>
      <c r="O1301" t="s">
        <v>57</v>
      </c>
      <c r="Q1301" t="s">
        <v>57</v>
      </c>
      <c r="R1301" t="s">
        <v>137</v>
      </c>
      <c r="T1301" t="s">
        <v>59</v>
      </c>
      <c r="U1301" t="s">
        <v>60</v>
      </c>
      <c r="V1301" t="s">
        <v>138</v>
      </c>
      <c r="W1301" t="s">
        <v>139</v>
      </c>
      <c r="X1301">
        <v>1930539</v>
      </c>
      <c r="Y1301" s="11">
        <v>44785</v>
      </c>
      <c r="Z1301" t="s">
        <v>57</v>
      </c>
      <c r="AA1301">
        <v>10</v>
      </c>
      <c r="AB1301" t="s">
        <v>57</v>
      </c>
      <c r="AD1301" t="s">
        <v>57</v>
      </c>
      <c r="AE1301" t="s">
        <v>57</v>
      </c>
      <c r="AF1301" t="s">
        <v>57</v>
      </c>
      <c r="AG1301">
        <v>10</v>
      </c>
      <c r="AH1301" t="s">
        <v>57</v>
      </c>
      <c r="AL1301" t="s">
        <v>57</v>
      </c>
      <c r="AM1301" s="11">
        <v>44784</v>
      </c>
      <c r="AN1301" t="s">
        <v>183</v>
      </c>
      <c r="AO1301" t="s">
        <v>65</v>
      </c>
      <c r="AP1301">
        <v>1206</v>
      </c>
      <c r="AQ1301" t="s">
        <v>66</v>
      </c>
      <c r="AR1301">
        <v>91479</v>
      </c>
      <c r="AU1301" t="s">
        <v>57</v>
      </c>
      <c r="AV1301" t="s">
        <v>68</v>
      </c>
      <c r="AX1301" t="s">
        <v>57</v>
      </c>
      <c r="AY1301">
        <v>631110</v>
      </c>
      <c r="AZ1301">
        <v>1206.63111</v>
      </c>
      <c r="BA1301" s="23" t="s">
        <v>14</v>
      </c>
    </row>
    <row r="1302" spans="1:53" x14ac:dyDescent="0.25">
      <c r="A1302" t="s">
        <v>134</v>
      </c>
      <c r="B1302" t="s">
        <v>135</v>
      </c>
      <c r="C1302">
        <v>22002566</v>
      </c>
      <c r="D1302">
        <v>1206</v>
      </c>
      <c r="E1302" s="11">
        <v>44784</v>
      </c>
      <c r="F1302" t="s">
        <v>185</v>
      </c>
      <c r="G1302">
        <v>2.52</v>
      </c>
      <c r="H1302">
        <v>2.52</v>
      </c>
      <c r="I1302" t="s">
        <v>56</v>
      </c>
      <c r="O1302" t="s">
        <v>57</v>
      </c>
      <c r="Q1302" t="s">
        <v>57</v>
      </c>
      <c r="R1302" t="s">
        <v>137</v>
      </c>
      <c r="T1302" t="s">
        <v>59</v>
      </c>
      <c r="U1302" t="s">
        <v>60</v>
      </c>
      <c r="V1302" t="s">
        <v>138</v>
      </c>
      <c r="W1302" t="s">
        <v>139</v>
      </c>
      <c r="X1302">
        <v>1930539</v>
      </c>
      <c r="Y1302" s="11">
        <v>44785</v>
      </c>
      <c r="Z1302" t="s">
        <v>57</v>
      </c>
      <c r="AA1302">
        <v>12</v>
      </c>
      <c r="AB1302" t="s">
        <v>57</v>
      </c>
      <c r="AD1302" t="s">
        <v>57</v>
      </c>
      <c r="AE1302" t="s">
        <v>57</v>
      </c>
      <c r="AF1302" t="s">
        <v>57</v>
      </c>
      <c r="AG1302">
        <v>10</v>
      </c>
      <c r="AH1302" t="s">
        <v>57</v>
      </c>
      <c r="AL1302" t="s">
        <v>57</v>
      </c>
      <c r="AM1302" s="11">
        <v>44784</v>
      </c>
      <c r="AN1302" t="s">
        <v>183</v>
      </c>
      <c r="AO1302" t="s">
        <v>65</v>
      </c>
      <c r="AP1302">
        <v>1206</v>
      </c>
      <c r="AQ1302" t="s">
        <v>66</v>
      </c>
      <c r="AR1302">
        <v>265894</v>
      </c>
      <c r="AU1302" t="s">
        <v>57</v>
      </c>
      <c r="AV1302" t="s">
        <v>68</v>
      </c>
      <c r="AX1302" t="s">
        <v>57</v>
      </c>
      <c r="AY1302">
        <v>631110</v>
      </c>
      <c r="AZ1302">
        <v>1206.63111</v>
      </c>
      <c r="BA1302" s="23" t="s">
        <v>14</v>
      </c>
    </row>
    <row r="1303" spans="1:53" x14ac:dyDescent="0.25">
      <c r="A1303" t="s">
        <v>134</v>
      </c>
      <c r="B1303" t="s">
        <v>135</v>
      </c>
      <c r="C1303">
        <v>22002566</v>
      </c>
      <c r="D1303">
        <v>1206</v>
      </c>
      <c r="E1303" s="11">
        <v>44784</v>
      </c>
      <c r="F1303" t="s">
        <v>185</v>
      </c>
      <c r="G1303">
        <v>2.52</v>
      </c>
      <c r="H1303">
        <v>2.52</v>
      </c>
      <c r="I1303" t="s">
        <v>56</v>
      </c>
      <c r="O1303" t="s">
        <v>57</v>
      </c>
      <c r="Q1303" t="s">
        <v>57</v>
      </c>
      <c r="R1303" t="s">
        <v>137</v>
      </c>
      <c r="T1303" t="s">
        <v>59</v>
      </c>
      <c r="U1303" t="s">
        <v>60</v>
      </c>
      <c r="V1303" t="s">
        <v>138</v>
      </c>
      <c r="W1303" t="s">
        <v>139</v>
      </c>
      <c r="X1303">
        <v>1930539</v>
      </c>
      <c r="Y1303" s="11">
        <v>44785</v>
      </c>
      <c r="Z1303" t="s">
        <v>57</v>
      </c>
      <c r="AA1303">
        <v>14</v>
      </c>
      <c r="AB1303" t="s">
        <v>57</v>
      </c>
      <c r="AD1303" t="s">
        <v>57</v>
      </c>
      <c r="AE1303" t="s">
        <v>57</v>
      </c>
      <c r="AF1303" t="s">
        <v>57</v>
      </c>
      <c r="AG1303">
        <v>10</v>
      </c>
      <c r="AH1303" t="s">
        <v>57</v>
      </c>
      <c r="AL1303" t="s">
        <v>57</v>
      </c>
      <c r="AM1303" s="11">
        <v>44784</v>
      </c>
      <c r="AN1303" t="s">
        <v>183</v>
      </c>
      <c r="AO1303" t="s">
        <v>65</v>
      </c>
      <c r="AP1303">
        <v>1206</v>
      </c>
      <c r="AQ1303" t="s">
        <v>66</v>
      </c>
      <c r="AR1303">
        <v>265891</v>
      </c>
      <c r="AU1303" t="s">
        <v>57</v>
      </c>
      <c r="AV1303" t="s">
        <v>68</v>
      </c>
      <c r="AX1303" t="s">
        <v>57</v>
      </c>
      <c r="AY1303">
        <v>631110</v>
      </c>
      <c r="AZ1303">
        <v>1206.63111</v>
      </c>
      <c r="BA1303" s="23" t="s">
        <v>14</v>
      </c>
    </row>
    <row r="1304" spans="1:53" x14ac:dyDescent="0.25">
      <c r="A1304" t="s">
        <v>134</v>
      </c>
      <c r="B1304" t="s">
        <v>135</v>
      </c>
      <c r="C1304">
        <v>22002572</v>
      </c>
      <c r="D1304">
        <v>1206</v>
      </c>
      <c r="E1304" s="11">
        <v>44784</v>
      </c>
      <c r="F1304" t="s">
        <v>172</v>
      </c>
      <c r="G1304">
        <v>24.19</v>
      </c>
      <c r="H1304">
        <v>24.19</v>
      </c>
      <c r="I1304" t="s">
        <v>56</v>
      </c>
      <c r="O1304" t="s">
        <v>57</v>
      </c>
      <c r="Q1304" t="s">
        <v>57</v>
      </c>
      <c r="R1304" t="s">
        <v>137</v>
      </c>
      <c r="T1304" t="s">
        <v>59</v>
      </c>
      <c r="U1304" t="s">
        <v>60</v>
      </c>
      <c r="V1304" t="s">
        <v>138</v>
      </c>
      <c r="W1304" t="s">
        <v>139</v>
      </c>
      <c r="X1304">
        <v>1930627</v>
      </c>
      <c r="Y1304" s="11">
        <v>44785</v>
      </c>
      <c r="Z1304" t="s">
        <v>57</v>
      </c>
      <c r="AA1304">
        <v>2</v>
      </c>
      <c r="AB1304" t="s">
        <v>57</v>
      </c>
      <c r="AD1304" t="s">
        <v>57</v>
      </c>
      <c r="AE1304" t="s">
        <v>57</v>
      </c>
      <c r="AF1304" t="s">
        <v>57</v>
      </c>
      <c r="AG1304">
        <v>3</v>
      </c>
      <c r="AH1304" t="s">
        <v>57</v>
      </c>
      <c r="AL1304" t="s">
        <v>57</v>
      </c>
      <c r="AM1304" s="11">
        <v>44784</v>
      </c>
      <c r="AN1304" t="s">
        <v>184</v>
      </c>
      <c r="AO1304" t="s">
        <v>65</v>
      </c>
      <c r="AP1304">
        <v>1206</v>
      </c>
      <c r="AQ1304" t="s">
        <v>66</v>
      </c>
      <c r="AR1304">
        <v>279991</v>
      </c>
      <c r="AU1304" t="s">
        <v>57</v>
      </c>
      <c r="AV1304" t="s">
        <v>68</v>
      </c>
      <c r="AX1304" t="s">
        <v>57</v>
      </c>
      <c r="AY1304">
        <v>631110</v>
      </c>
      <c r="AZ1304">
        <v>1206.63111</v>
      </c>
      <c r="BA1304" s="23" t="s">
        <v>14</v>
      </c>
    </row>
    <row r="1305" spans="1:53" x14ac:dyDescent="0.25">
      <c r="A1305" t="s">
        <v>134</v>
      </c>
      <c r="B1305" t="s">
        <v>135</v>
      </c>
      <c r="C1305">
        <v>22002573</v>
      </c>
      <c r="D1305">
        <v>1206</v>
      </c>
      <c r="E1305" s="11">
        <v>44784</v>
      </c>
      <c r="F1305" t="s">
        <v>174</v>
      </c>
      <c r="G1305">
        <v>18.22</v>
      </c>
      <c r="H1305">
        <v>18.22</v>
      </c>
      <c r="I1305" t="s">
        <v>56</v>
      </c>
      <c r="O1305" t="s">
        <v>57</v>
      </c>
      <c r="Q1305" t="s">
        <v>57</v>
      </c>
      <c r="R1305" t="s">
        <v>137</v>
      </c>
      <c r="T1305" t="s">
        <v>59</v>
      </c>
      <c r="U1305" t="s">
        <v>60</v>
      </c>
      <c r="V1305" t="s">
        <v>138</v>
      </c>
      <c r="W1305" t="s">
        <v>139</v>
      </c>
      <c r="X1305">
        <v>1930627</v>
      </c>
      <c r="Y1305" s="11">
        <v>44785</v>
      </c>
      <c r="Z1305" t="s">
        <v>57</v>
      </c>
      <c r="AA1305">
        <v>2</v>
      </c>
      <c r="AB1305" t="s">
        <v>57</v>
      </c>
      <c r="AD1305" t="s">
        <v>57</v>
      </c>
      <c r="AE1305" t="s">
        <v>57</v>
      </c>
      <c r="AF1305" t="s">
        <v>57</v>
      </c>
      <c r="AG1305">
        <v>5</v>
      </c>
      <c r="AH1305" t="s">
        <v>57</v>
      </c>
      <c r="AL1305" t="s">
        <v>57</v>
      </c>
      <c r="AM1305" s="11">
        <v>44784</v>
      </c>
      <c r="AN1305" t="s">
        <v>184</v>
      </c>
      <c r="AO1305" t="s">
        <v>65</v>
      </c>
      <c r="AP1305">
        <v>1206</v>
      </c>
      <c r="AQ1305" t="s">
        <v>66</v>
      </c>
      <c r="AR1305">
        <v>230640</v>
      </c>
      <c r="AU1305" t="s">
        <v>57</v>
      </c>
      <c r="AV1305" t="s">
        <v>68</v>
      </c>
      <c r="AX1305" t="s">
        <v>57</v>
      </c>
      <c r="AY1305">
        <v>631110</v>
      </c>
      <c r="AZ1305">
        <v>1206.63111</v>
      </c>
      <c r="BA1305" s="23" t="s">
        <v>14</v>
      </c>
    </row>
    <row r="1306" spans="1:53" x14ac:dyDescent="0.25">
      <c r="A1306" t="s">
        <v>134</v>
      </c>
      <c r="B1306" t="s">
        <v>135</v>
      </c>
      <c r="C1306">
        <v>22002573</v>
      </c>
      <c r="D1306">
        <v>1206</v>
      </c>
      <c r="E1306" s="11">
        <v>44784</v>
      </c>
      <c r="F1306" t="s">
        <v>174</v>
      </c>
      <c r="G1306">
        <v>2.09</v>
      </c>
      <c r="H1306">
        <v>2.09</v>
      </c>
      <c r="I1306" t="s">
        <v>56</v>
      </c>
      <c r="O1306" t="s">
        <v>57</v>
      </c>
      <c r="Q1306" t="s">
        <v>57</v>
      </c>
      <c r="R1306" t="s">
        <v>137</v>
      </c>
      <c r="T1306" t="s">
        <v>59</v>
      </c>
      <c r="U1306" t="s">
        <v>60</v>
      </c>
      <c r="V1306" t="s">
        <v>138</v>
      </c>
      <c r="W1306" t="s">
        <v>139</v>
      </c>
      <c r="X1306">
        <v>1930627</v>
      </c>
      <c r="Y1306" s="11">
        <v>44785</v>
      </c>
      <c r="Z1306" t="s">
        <v>57</v>
      </c>
      <c r="AA1306">
        <v>4</v>
      </c>
      <c r="AB1306" t="s">
        <v>57</v>
      </c>
      <c r="AD1306" t="s">
        <v>57</v>
      </c>
      <c r="AE1306" t="s">
        <v>57</v>
      </c>
      <c r="AF1306" t="s">
        <v>57</v>
      </c>
      <c r="AG1306">
        <v>1</v>
      </c>
      <c r="AH1306" t="s">
        <v>57</v>
      </c>
      <c r="AL1306" t="s">
        <v>57</v>
      </c>
      <c r="AM1306" s="11">
        <v>44784</v>
      </c>
      <c r="AN1306" t="s">
        <v>184</v>
      </c>
      <c r="AO1306" t="s">
        <v>65</v>
      </c>
      <c r="AP1306">
        <v>1206</v>
      </c>
      <c r="AQ1306" t="s">
        <v>66</v>
      </c>
      <c r="AR1306">
        <v>88783</v>
      </c>
      <c r="AU1306" t="s">
        <v>57</v>
      </c>
      <c r="AV1306" t="s">
        <v>68</v>
      </c>
      <c r="AX1306" t="s">
        <v>57</v>
      </c>
      <c r="AY1306">
        <v>631110</v>
      </c>
      <c r="AZ1306">
        <v>1206.63111</v>
      </c>
      <c r="BA1306" s="23" t="s">
        <v>14</v>
      </c>
    </row>
    <row r="1307" spans="1:53" x14ac:dyDescent="0.25">
      <c r="A1307" t="s">
        <v>134</v>
      </c>
      <c r="B1307" t="s">
        <v>135</v>
      </c>
      <c r="C1307">
        <v>22002573</v>
      </c>
      <c r="D1307">
        <v>1206</v>
      </c>
      <c r="E1307" s="11">
        <v>44784</v>
      </c>
      <c r="F1307" t="s">
        <v>174</v>
      </c>
      <c r="G1307">
        <v>1.73</v>
      </c>
      <c r="H1307">
        <v>1.73</v>
      </c>
      <c r="I1307" t="s">
        <v>56</v>
      </c>
      <c r="O1307" t="s">
        <v>57</v>
      </c>
      <c r="Q1307" t="s">
        <v>57</v>
      </c>
      <c r="R1307" t="s">
        <v>137</v>
      </c>
      <c r="T1307" t="s">
        <v>59</v>
      </c>
      <c r="U1307" t="s">
        <v>60</v>
      </c>
      <c r="V1307" t="s">
        <v>138</v>
      </c>
      <c r="W1307" t="s">
        <v>139</v>
      </c>
      <c r="X1307">
        <v>1930627</v>
      </c>
      <c r="Y1307" s="11">
        <v>44785</v>
      </c>
      <c r="Z1307" t="s">
        <v>57</v>
      </c>
      <c r="AA1307">
        <v>6</v>
      </c>
      <c r="AB1307" t="s">
        <v>57</v>
      </c>
      <c r="AD1307" t="s">
        <v>57</v>
      </c>
      <c r="AE1307" t="s">
        <v>57</v>
      </c>
      <c r="AF1307" t="s">
        <v>57</v>
      </c>
      <c r="AG1307">
        <v>1</v>
      </c>
      <c r="AH1307" t="s">
        <v>57</v>
      </c>
      <c r="AL1307" t="s">
        <v>57</v>
      </c>
      <c r="AM1307" s="11">
        <v>44784</v>
      </c>
      <c r="AN1307" t="s">
        <v>184</v>
      </c>
      <c r="AO1307" t="s">
        <v>65</v>
      </c>
      <c r="AP1307">
        <v>1206</v>
      </c>
      <c r="AQ1307" t="s">
        <v>66</v>
      </c>
      <c r="AR1307">
        <v>174953</v>
      </c>
      <c r="AU1307" t="s">
        <v>57</v>
      </c>
      <c r="AV1307" t="s">
        <v>68</v>
      </c>
      <c r="AX1307" t="s">
        <v>57</v>
      </c>
      <c r="AY1307">
        <v>631110</v>
      </c>
      <c r="AZ1307">
        <v>1206.63111</v>
      </c>
      <c r="BA1307" s="23" t="s">
        <v>14</v>
      </c>
    </row>
    <row r="1308" spans="1:53" x14ac:dyDescent="0.25">
      <c r="A1308" t="s">
        <v>134</v>
      </c>
      <c r="B1308" t="s">
        <v>135</v>
      </c>
      <c r="C1308">
        <v>22002574</v>
      </c>
      <c r="D1308">
        <v>1206</v>
      </c>
      <c r="E1308" s="11">
        <v>44785</v>
      </c>
      <c r="F1308" t="s">
        <v>172</v>
      </c>
      <c r="G1308">
        <v>24.19</v>
      </c>
      <c r="H1308">
        <v>24.19</v>
      </c>
      <c r="I1308" t="s">
        <v>56</v>
      </c>
      <c r="O1308" t="s">
        <v>57</v>
      </c>
      <c r="Q1308" t="s">
        <v>57</v>
      </c>
      <c r="R1308" t="s">
        <v>137</v>
      </c>
      <c r="T1308" t="s">
        <v>59</v>
      </c>
      <c r="U1308" t="s">
        <v>60</v>
      </c>
      <c r="V1308" t="s">
        <v>138</v>
      </c>
      <c r="W1308" t="s">
        <v>139</v>
      </c>
      <c r="X1308">
        <v>1930627</v>
      </c>
      <c r="Y1308" s="11">
        <v>44785</v>
      </c>
      <c r="Z1308" t="s">
        <v>57</v>
      </c>
      <c r="AA1308">
        <v>2</v>
      </c>
      <c r="AB1308" t="s">
        <v>57</v>
      </c>
      <c r="AD1308" t="s">
        <v>57</v>
      </c>
      <c r="AE1308" t="s">
        <v>57</v>
      </c>
      <c r="AF1308" t="s">
        <v>57</v>
      </c>
      <c r="AG1308">
        <v>3</v>
      </c>
      <c r="AH1308" t="s">
        <v>57</v>
      </c>
      <c r="AL1308" t="s">
        <v>57</v>
      </c>
      <c r="AM1308" s="11">
        <v>44785</v>
      </c>
      <c r="AN1308" t="s">
        <v>184</v>
      </c>
      <c r="AO1308" t="s">
        <v>65</v>
      </c>
      <c r="AP1308">
        <v>1206</v>
      </c>
      <c r="AQ1308" t="s">
        <v>66</v>
      </c>
      <c r="AR1308">
        <v>279991</v>
      </c>
      <c r="AU1308" t="s">
        <v>57</v>
      </c>
      <c r="AV1308" t="s">
        <v>68</v>
      </c>
      <c r="AX1308" t="s">
        <v>57</v>
      </c>
      <c r="AY1308">
        <v>631110</v>
      </c>
      <c r="AZ1308">
        <v>1206.63111</v>
      </c>
      <c r="BA1308" s="23" t="s">
        <v>14</v>
      </c>
    </row>
    <row r="1309" spans="1:53" x14ac:dyDescent="0.25">
      <c r="A1309" t="s">
        <v>134</v>
      </c>
      <c r="B1309" t="s">
        <v>135</v>
      </c>
      <c r="C1309">
        <v>22002575</v>
      </c>
      <c r="D1309">
        <v>1206</v>
      </c>
      <c r="E1309" s="11">
        <v>44785</v>
      </c>
      <c r="F1309" t="s">
        <v>174</v>
      </c>
      <c r="G1309">
        <v>14.57</v>
      </c>
      <c r="H1309">
        <v>14.57</v>
      </c>
      <c r="I1309" t="s">
        <v>56</v>
      </c>
      <c r="O1309" t="s">
        <v>57</v>
      </c>
      <c r="Q1309" t="s">
        <v>57</v>
      </c>
      <c r="R1309" t="s">
        <v>137</v>
      </c>
      <c r="T1309" t="s">
        <v>59</v>
      </c>
      <c r="U1309" t="s">
        <v>60</v>
      </c>
      <c r="V1309" t="s">
        <v>138</v>
      </c>
      <c r="W1309" t="s">
        <v>139</v>
      </c>
      <c r="X1309">
        <v>1930627</v>
      </c>
      <c r="Y1309" s="11">
        <v>44785</v>
      </c>
      <c r="Z1309" t="s">
        <v>57</v>
      </c>
      <c r="AA1309">
        <v>2</v>
      </c>
      <c r="AB1309" t="s">
        <v>57</v>
      </c>
      <c r="AD1309" t="s">
        <v>57</v>
      </c>
      <c r="AE1309" t="s">
        <v>57</v>
      </c>
      <c r="AF1309" t="s">
        <v>57</v>
      </c>
      <c r="AG1309">
        <v>4</v>
      </c>
      <c r="AH1309" t="s">
        <v>57</v>
      </c>
      <c r="AL1309" t="s">
        <v>57</v>
      </c>
      <c r="AM1309" s="11">
        <v>44785</v>
      </c>
      <c r="AN1309" t="s">
        <v>184</v>
      </c>
      <c r="AO1309" t="s">
        <v>65</v>
      </c>
      <c r="AP1309">
        <v>1206</v>
      </c>
      <c r="AQ1309" t="s">
        <v>66</v>
      </c>
      <c r="AR1309">
        <v>230640</v>
      </c>
      <c r="AU1309" t="s">
        <v>57</v>
      </c>
      <c r="AV1309" t="s">
        <v>68</v>
      </c>
      <c r="AX1309" t="s">
        <v>57</v>
      </c>
      <c r="AY1309">
        <v>631110</v>
      </c>
      <c r="AZ1309">
        <v>1206.63111</v>
      </c>
      <c r="BA1309" s="23" t="s">
        <v>14</v>
      </c>
    </row>
    <row r="1310" spans="1:53" x14ac:dyDescent="0.25">
      <c r="A1310" t="s">
        <v>134</v>
      </c>
      <c r="B1310" t="s">
        <v>135</v>
      </c>
      <c r="C1310">
        <v>22002575</v>
      </c>
      <c r="D1310">
        <v>1206</v>
      </c>
      <c r="E1310" s="11">
        <v>44785</v>
      </c>
      <c r="F1310" t="s">
        <v>174</v>
      </c>
      <c r="G1310">
        <v>6.29</v>
      </c>
      <c r="H1310">
        <v>6.29</v>
      </c>
      <c r="I1310" t="s">
        <v>56</v>
      </c>
      <c r="O1310" t="s">
        <v>57</v>
      </c>
      <c r="Q1310" t="s">
        <v>57</v>
      </c>
      <c r="R1310" t="s">
        <v>137</v>
      </c>
      <c r="T1310" t="s">
        <v>59</v>
      </c>
      <c r="U1310" t="s">
        <v>60</v>
      </c>
      <c r="V1310" t="s">
        <v>138</v>
      </c>
      <c r="W1310" t="s">
        <v>139</v>
      </c>
      <c r="X1310">
        <v>1930627</v>
      </c>
      <c r="Y1310" s="11">
        <v>44785</v>
      </c>
      <c r="Z1310" t="s">
        <v>57</v>
      </c>
      <c r="AA1310">
        <v>4</v>
      </c>
      <c r="AB1310" t="s">
        <v>57</v>
      </c>
      <c r="AD1310" t="s">
        <v>57</v>
      </c>
      <c r="AE1310" t="s">
        <v>57</v>
      </c>
      <c r="AF1310" t="s">
        <v>57</v>
      </c>
      <c r="AG1310">
        <v>1</v>
      </c>
      <c r="AH1310" t="s">
        <v>57</v>
      </c>
      <c r="AL1310" t="s">
        <v>57</v>
      </c>
      <c r="AM1310" s="11">
        <v>44785</v>
      </c>
      <c r="AN1310" t="s">
        <v>184</v>
      </c>
      <c r="AO1310" t="s">
        <v>65</v>
      </c>
      <c r="AP1310">
        <v>1206</v>
      </c>
      <c r="AQ1310" t="s">
        <v>66</v>
      </c>
      <c r="AR1310">
        <v>207987</v>
      </c>
      <c r="AU1310" t="s">
        <v>57</v>
      </c>
      <c r="AV1310" t="s">
        <v>68</v>
      </c>
      <c r="AX1310" t="s">
        <v>57</v>
      </c>
      <c r="AY1310">
        <v>631110</v>
      </c>
      <c r="AZ1310">
        <v>1206.63111</v>
      </c>
      <c r="BA1310" s="23" t="s">
        <v>14</v>
      </c>
    </row>
    <row r="1311" spans="1:53" x14ac:dyDescent="0.25">
      <c r="A1311" t="s">
        <v>134</v>
      </c>
      <c r="B1311" t="s">
        <v>135</v>
      </c>
      <c r="C1311">
        <v>22002575</v>
      </c>
      <c r="D1311">
        <v>1206</v>
      </c>
      <c r="E1311" s="11">
        <v>44785</v>
      </c>
      <c r="F1311" t="s">
        <v>174</v>
      </c>
      <c r="G1311">
        <v>2.29</v>
      </c>
      <c r="H1311">
        <v>2.29</v>
      </c>
      <c r="I1311" t="s">
        <v>56</v>
      </c>
      <c r="O1311" t="s">
        <v>57</v>
      </c>
      <c r="Q1311" t="s">
        <v>57</v>
      </c>
      <c r="R1311" t="s">
        <v>137</v>
      </c>
      <c r="T1311" t="s">
        <v>59</v>
      </c>
      <c r="U1311" t="s">
        <v>60</v>
      </c>
      <c r="V1311" t="s">
        <v>138</v>
      </c>
      <c r="W1311" t="s">
        <v>139</v>
      </c>
      <c r="X1311">
        <v>1930627</v>
      </c>
      <c r="Y1311" s="11">
        <v>44785</v>
      </c>
      <c r="Z1311" t="s">
        <v>57</v>
      </c>
      <c r="AA1311">
        <v>6</v>
      </c>
      <c r="AB1311" t="s">
        <v>57</v>
      </c>
      <c r="AD1311" t="s">
        <v>57</v>
      </c>
      <c r="AE1311" t="s">
        <v>57</v>
      </c>
      <c r="AF1311" t="s">
        <v>57</v>
      </c>
      <c r="AG1311">
        <v>1</v>
      </c>
      <c r="AH1311" t="s">
        <v>57</v>
      </c>
      <c r="AL1311" t="s">
        <v>57</v>
      </c>
      <c r="AM1311" s="11">
        <v>44785</v>
      </c>
      <c r="AN1311" t="s">
        <v>184</v>
      </c>
      <c r="AO1311" t="s">
        <v>65</v>
      </c>
      <c r="AP1311">
        <v>1206</v>
      </c>
      <c r="AQ1311" t="s">
        <v>66</v>
      </c>
      <c r="AR1311">
        <v>192520</v>
      </c>
      <c r="AU1311" t="s">
        <v>57</v>
      </c>
      <c r="AV1311" t="s">
        <v>68</v>
      </c>
      <c r="AX1311" t="s">
        <v>57</v>
      </c>
      <c r="AY1311">
        <v>631110</v>
      </c>
      <c r="AZ1311">
        <v>1206.63111</v>
      </c>
      <c r="BA1311" s="23" t="s">
        <v>14</v>
      </c>
    </row>
    <row r="1312" spans="1:53" x14ac:dyDescent="0.25">
      <c r="A1312" t="s">
        <v>134</v>
      </c>
      <c r="B1312" t="s">
        <v>135</v>
      </c>
      <c r="C1312">
        <v>22002577</v>
      </c>
      <c r="D1312">
        <v>1206</v>
      </c>
      <c r="E1312" s="11">
        <v>44785</v>
      </c>
      <c r="F1312" t="s">
        <v>174</v>
      </c>
      <c r="G1312">
        <v>21.44</v>
      </c>
      <c r="H1312">
        <v>21.44</v>
      </c>
      <c r="I1312" t="s">
        <v>56</v>
      </c>
      <c r="O1312" t="s">
        <v>57</v>
      </c>
      <c r="Q1312" t="s">
        <v>57</v>
      </c>
      <c r="R1312" t="s">
        <v>137</v>
      </c>
      <c r="T1312" t="s">
        <v>59</v>
      </c>
      <c r="U1312" t="s">
        <v>60</v>
      </c>
      <c r="V1312" t="s">
        <v>138</v>
      </c>
      <c r="W1312" t="s">
        <v>139</v>
      </c>
      <c r="X1312">
        <v>1930743</v>
      </c>
      <c r="Y1312" s="11">
        <v>44785</v>
      </c>
      <c r="Z1312" t="s">
        <v>57</v>
      </c>
      <c r="AA1312">
        <v>2</v>
      </c>
      <c r="AB1312" t="s">
        <v>57</v>
      </c>
      <c r="AD1312" t="s">
        <v>57</v>
      </c>
      <c r="AE1312" t="s">
        <v>57</v>
      </c>
      <c r="AF1312" t="s">
        <v>57</v>
      </c>
      <c r="AG1312">
        <v>1</v>
      </c>
      <c r="AH1312" t="s">
        <v>57</v>
      </c>
      <c r="AL1312" t="s">
        <v>57</v>
      </c>
      <c r="AM1312" s="11">
        <v>44785</v>
      </c>
      <c r="AN1312" t="s">
        <v>184</v>
      </c>
      <c r="AO1312" t="s">
        <v>65</v>
      </c>
      <c r="AP1312">
        <v>1206</v>
      </c>
      <c r="AQ1312" t="s">
        <v>66</v>
      </c>
      <c r="AR1312">
        <v>258398</v>
      </c>
      <c r="AU1312" t="s">
        <v>57</v>
      </c>
      <c r="AV1312" t="s">
        <v>68</v>
      </c>
      <c r="AX1312" t="s">
        <v>57</v>
      </c>
      <c r="AY1312">
        <v>631110</v>
      </c>
      <c r="AZ1312">
        <v>1206.63111</v>
      </c>
      <c r="BA1312" s="23" t="s">
        <v>14</v>
      </c>
    </row>
    <row r="1313" spans="1:53" x14ac:dyDescent="0.25">
      <c r="A1313" t="s">
        <v>134</v>
      </c>
      <c r="B1313" t="s">
        <v>135</v>
      </c>
      <c r="C1313">
        <v>22002577</v>
      </c>
      <c r="D1313">
        <v>1206</v>
      </c>
      <c r="E1313" s="11">
        <v>44785</v>
      </c>
      <c r="F1313" t="s">
        <v>174</v>
      </c>
      <c r="G1313">
        <v>13.41</v>
      </c>
      <c r="H1313">
        <v>13.41</v>
      </c>
      <c r="I1313" t="s">
        <v>56</v>
      </c>
      <c r="O1313" t="s">
        <v>57</v>
      </c>
      <c r="Q1313" t="s">
        <v>57</v>
      </c>
      <c r="R1313" t="s">
        <v>137</v>
      </c>
      <c r="T1313" t="s">
        <v>59</v>
      </c>
      <c r="U1313" t="s">
        <v>60</v>
      </c>
      <c r="V1313" t="s">
        <v>138</v>
      </c>
      <c r="W1313" t="s">
        <v>139</v>
      </c>
      <c r="X1313">
        <v>1930743</v>
      </c>
      <c r="Y1313" s="11">
        <v>44785</v>
      </c>
      <c r="Z1313" t="s">
        <v>57</v>
      </c>
      <c r="AA1313">
        <v>4</v>
      </c>
      <c r="AB1313" t="s">
        <v>57</v>
      </c>
      <c r="AD1313" t="s">
        <v>57</v>
      </c>
      <c r="AE1313" t="s">
        <v>57</v>
      </c>
      <c r="AF1313" t="s">
        <v>57</v>
      </c>
      <c r="AG1313">
        <v>1</v>
      </c>
      <c r="AH1313" t="s">
        <v>57</v>
      </c>
      <c r="AL1313" t="s">
        <v>57</v>
      </c>
      <c r="AM1313" s="11">
        <v>44785</v>
      </c>
      <c r="AN1313" t="s">
        <v>184</v>
      </c>
      <c r="AO1313" t="s">
        <v>65</v>
      </c>
      <c r="AP1313">
        <v>1206</v>
      </c>
      <c r="AQ1313" t="s">
        <v>66</v>
      </c>
      <c r="AR1313">
        <v>96020</v>
      </c>
      <c r="AU1313" t="s">
        <v>57</v>
      </c>
      <c r="AV1313" t="s">
        <v>68</v>
      </c>
      <c r="AX1313" t="s">
        <v>57</v>
      </c>
      <c r="AY1313">
        <v>631110</v>
      </c>
      <c r="AZ1313">
        <v>1206.63111</v>
      </c>
      <c r="BA1313" s="23" t="s">
        <v>14</v>
      </c>
    </row>
    <row r="1314" spans="1:53" x14ac:dyDescent="0.25">
      <c r="A1314" t="s">
        <v>134</v>
      </c>
      <c r="B1314" t="s">
        <v>135</v>
      </c>
      <c r="C1314">
        <v>22002577</v>
      </c>
      <c r="D1314">
        <v>1206</v>
      </c>
      <c r="E1314" s="11">
        <v>44785</v>
      </c>
      <c r="F1314" t="s">
        <v>174</v>
      </c>
      <c r="G1314">
        <v>60.11</v>
      </c>
      <c r="H1314">
        <v>60.11</v>
      </c>
      <c r="I1314" t="s">
        <v>56</v>
      </c>
      <c r="O1314" t="s">
        <v>57</v>
      </c>
      <c r="Q1314" t="s">
        <v>57</v>
      </c>
      <c r="R1314" t="s">
        <v>137</v>
      </c>
      <c r="T1314" t="s">
        <v>59</v>
      </c>
      <c r="U1314" t="s">
        <v>60</v>
      </c>
      <c r="V1314" t="s">
        <v>138</v>
      </c>
      <c r="W1314" t="s">
        <v>139</v>
      </c>
      <c r="X1314">
        <v>1930743</v>
      </c>
      <c r="Y1314" s="11">
        <v>44785</v>
      </c>
      <c r="Z1314" t="s">
        <v>57</v>
      </c>
      <c r="AA1314">
        <v>8</v>
      </c>
      <c r="AB1314" t="s">
        <v>57</v>
      </c>
      <c r="AD1314" t="s">
        <v>57</v>
      </c>
      <c r="AE1314" t="s">
        <v>57</v>
      </c>
      <c r="AF1314" t="s">
        <v>57</v>
      </c>
      <c r="AG1314">
        <v>1</v>
      </c>
      <c r="AH1314" t="s">
        <v>57</v>
      </c>
      <c r="AL1314" t="s">
        <v>57</v>
      </c>
      <c r="AM1314" s="11">
        <v>44785</v>
      </c>
      <c r="AN1314" t="s">
        <v>184</v>
      </c>
      <c r="AO1314" t="s">
        <v>65</v>
      </c>
      <c r="AP1314">
        <v>1206</v>
      </c>
      <c r="AQ1314" t="s">
        <v>66</v>
      </c>
      <c r="AR1314">
        <v>97071</v>
      </c>
      <c r="AU1314" t="s">
        <v>57</v>
      </c>
      <c r="AV1314" t="s">
        <v>68</v>
      </c>
      <c r="AX1314" t="s">
        <v>57</v>
      </c>
      <c r="AY1314">
        <v>631110</v>
      </c>
      <c r="AZ1314">
        <v>1206.63111</v>
      </c>
      <c r="BA1314" s="23" t="s">
        <v>14</v>
      </c>
    </row>
    <row r="1315" spans="1:53" x14ac:dyDescent="0.25">
      <c r="A1315" t="s">
        <v>134</v>
      </c>
      <c r="B1315" t="s">
        <v>135</v>
      </c>
      <c r="C1315">
        <v>22002578</v>
      </c>
      <c r="D1315">
        <v>1206</v>
      </c>
      <c r="E1315" s="11">
        <v>44785</v>
      </c>
      <c r="F1315" t="s">
        <v>174</v>
      </c>
      <c r="G1315">
        <v>73.069999999999993</v>
      </c>
      <c r="H1315">
        <v>73.069999999999993</v>
      </c>
      <c r="I1315" t="s">
        <v>56</v>
      </c>
      <c r="O1315" t="s">
        <v>57</v>
      </c>
      <c r="Q1315" t="s">
        <v>57</v>
      </c>
      <c r="R1315" t="s">
        <v>137</v>
      </c>
      <c r="T1315" t="s">
        <v>59</v>
      </c>
      <c r="U1315" t="s">
        <v>60</v>
      </c>
      <c r="V1315" t="s">
        <v>138</v>
      </c>
      <c r="W1315" t="s">
        <v>139</v>
      </c>
      <c r="X1315">
        <v>1930743</v>
      </c>
      <c r="Y1315" s="11">
        <v>44785</v>
      </c>
      <c r="Z1315" t="s">
        <v>57</v>
      </c>
      <c r="AA1315">
        <v>2</v>
      </c>
      <c r="AB1315" t="s">
        <v>57</v>
      </c>
      <c r="AD1315" t="s">
        <v>57</v>
      </c>
      <c r="AE1315" t="s">
        <v>57</v>
      </c>
      <c r="AF1315" t="s">
        <v>57</v>
      </c>
      <c r="AG1315">
        <v>1</v>
      </c>
      <c r="AH1315" t="s">
        <v>57</v>
      </c>
      <c r="AL1315" t="s">
        <v>57</v>
      </c>
      <c r="AM1315" s="11">
        <v>44785</v>
      </c>
      <c r="AN1315" t="s">
        <v>184</v>
      </c>
      <c r="AO1315" t="s">
        <v>65</v>
      </c>
      <c r="AP1315">
        <v>1206</v>
      </c>
      <c r="AQ1315" t="s">
        <v>66</v>
      </c>
      <c r="AR1315">
        <v>109378</v>
      </c>
      <c r="AU1315" t="s">
        <v>57</v>
      </c>
      <c r="AV1315" t="s">
        <v>68</v>
      </c>
      <c r="AX1315" t="s">
        <v>57</v>
      </c>
      <c r="AY1315">
        <v>631110</v>
      </c>
      <c r="AZ1315">
        <v>1206.63111</v>
      </c>
      <c r="BA1315" s="23" t="s">
        <v>14</v>
      </c>
    </row>
    <row r="1316" spans="1:53" x14ac:dyDescent="0.25">
      <c r="A1316" t="s">
        <v>134</v>
      </c>
      <c r="B1316" t="s">
        <v>135</v>
      </c>
      <c r="C1316">
        <v>22002578</v>
      </c>
      <c r="D1316">
        <v>1206</v>
      </c>
      <c r="E1316" s="11">
        <v>44785</v>
      </c>
      <c r="F1316" t="s">
        <v>174</v>
      </c>
      <c r="G1316">
        <v>0.92</v>
      </c>
      <c r="H1316">
        <v>0.92</v>
      </c>
      <c r="I1316" t="s">
        <v>56</v>
      </c>
      <c r="O1316" t="s">
        <v>57</v>
      </c>
      <c r="Q1316" t="s">
        <v>57</v>
      </c>
      <c r="R1316" t="s">
        <v>137</v>
      </c>
      <c r="T1316" t="s">
        <v>59</v>
      </c>
      <c r="U1316" t="s">
        <v>60</v>
      </c>
      <c r="V1316" t="s">
        <v>138</v>
      </c>
      <c r="W1316" t="s">
        <v>139</v>
      </c>
      <c r="X1316">
        <v>1930743</v>
      </c>
      <c r="Y1316" s="11">
        <v>44785</v>
      </c>
      <c r="Z1316" t="s">
        <v>57</v>
      </c>
      <c r="AA1316">
        <v>4</v>
      </c>
      <c r="AB1316" t="s">
        <v>57</v>
      </c>
      <c r="AD1316" t="s">
        <v>57</v>
      </c>
      <c r="AE1316" t="s">
        <v>57</v>
      </c>
      <c r="AF1316" t="s">
        <v>57</v>
      </c>
      <c r="AG1316">
        <v>1</v>
      </c>
      <c r="AH1316" t="s">
        <v>57</v>
      </c>
      <c r="AL1316" t="s">
        <v>57</v>
      </c>
      <c r="AM1316" s="11">
        <v>44785</v>
      </c>
      <c r="AN1316" t="s">
        <v>184</v>
      </c>
      <c r="AO1316" t="s">
        <v>65</v>
      </c>
      <c r="AP1316">
        <v>1206</v>
      </c>
      <c r="AQ1316" t="s">
        <v>66</v>
      </c>
      <c r="AR1316">
        <v>205690</v>
      </c>
      <c r="AU1316" t="s">
        <v>57</v>
      </c>
      <c r="AV1316" t="s">
        <v>68</v>
      </c>
      <c r="AX1316" t="s">
        <v>57</v>
      </c>
      <c r="AY1316">
        <v>631110</v>
      </c>
      <c r="AZ1316">
        <v>1206.63111</v>
      </c>
      <c r="BA1316" s="23" t="s">
        <v>14</v>
      </c>
    </row>
    <row r="1317" spans="1:53" x14ac:dyDescent="0.25">
      <c r="A1317" t="s">
        <v>134</v>
      </c>
      <c r="B1317" t="s">
        <v>135</v>
      </c>
      <c r="C1317">
        <v>22002578</v>
      </c>
      <c r="D1317">
        <v>1206</v>
      </c>
      <c r="E1317" s="11">
        <v>44785</v>
      </c>
      <c r="F1317" t="s">
        <v>174</v>
      </c>
      <c r="G1317">
        <v>3.99</v>
      </c>
      <c r="H1317">
        <v>3.99</v>
      </c>
      <c r="I1317" t="s">
        <v>56</v>
      </c>
      <c r="O1317" t="s">
        <v>57</v>
      </c>
      <c r="Q1317" t="s">
        <v>57</v>
      </c>
      <c r="R1317" t="s">
        <v>137</v>
      </c>
      <c r="T1317" t="s">
        <v>59</v>
      </c>
      <c r="U1317" t="s">
        <v>60</v>
      </c>
      <c r="V1317" t="s">
        <v>138</v>
      </c>
      <c r="W1317" t="s">
        <v>139</v>
      </c>
      <c r="X1317">
        <v>1930743</v>
      </c>
      <c r="Y1317" s="11">
        <v>44785</v>
      </c>
      <c r="Z1317" t="s">
        <v>57</v>
      </c>
      <c r="AA1317">
        <v>6</v>
      </c>
      <c r="AB1317" t="s">
        <v>57</v>
      </c>
      <c r="AD1317" t="s">
        <v>57</v>
      </c>
      <c r="AE1317" t="s">
        <v>57</v>
      </c>
      <c r="AF1317" t="s">
        <v>57</v>
      </c>
      <c r="AG1317">
        <v>1</v>
      </c>
      <c r="AH1317" t="s">
        <v>57</v>
      </c>
      <c r="AL1317" t="s">
        <v>57</v>
      </c>
      <c r="AM1317" s="11">
        <v>44785</v>
      </c>
      <c r="AN1317" t="s">
        <v>184</v>
      </c>
      <c r="AO1317" t="s">
        <v>65</v>
      </c>
      <c r="AP1317">
        <v>1206</v>
      </c>
      <c r="AQ1317" t="s">
        <v>66</v>
      </c>
      <c r="AR1317">
        <v>126941</v>
      </c>
      <c r="AU1317" t="s">
        <v>57</v>
      </c>
      <c r="AV1317" t="s">
        <v>68</v>
      </c>
      <c r="AX1317" t="s">
        <v>57</v>
      </c>
      <c r="AY1317">
        <v>631110</v>
      </c>
      <c r="AZ1317">
        <v>1206.63111</v>
      </c>
      <c r="BA1317" s="23" t="s">
        <v>14</v>
      </c>
    </row>
    <row r="1318" spans="1:53" x14ac:dyDescent="0.25">
      <c r="A1318" t="s">
        <v>134</v>
      </c>
      <c r="B1318" t="s">
        <v>135</v>
      </c>
      <c r="C1318">
        <v>22002578</v>
      </c>
      <c r="D1318">
        <v>1206</v>
      </c>
      <c r="E1318" s="11">
        <v>44785</v>
      </c>
      <c r="F1318" t="s">
        <v>174</v>
      </c>
      <c r="G1318">
        <v>0.9</v>
      </c>
      <c r="H1318">
        <v>0.9</v>
      </c>
      <c r="I1318" t="s">
        <v>56</v>
      </c>
      <c r="O1318" t="s">
        <v>57</v>
      </c>
      <c r="Q1318" t="s">
        <v>57</v>
      </c>
      <c r="R1318" t="s">
        <v>137</v>
      </c>
      <c r="T1318" t="s">
        <v>59</v>
      </c>
      <c r="U1318" t="s">
        <v>60</v>
      </c>
      <c r="V1318" t="s">
        <v>138</v>
      </c>
      <c r="W1318" t="s">
        <v>139</v>
      </c>
      <c r="X1318">
        <v>1930743</v>
      </c>
      <c r="Y1318" s="11">
        <v>44785</v>
      </c>
      <c r="Z1318" t="s">
        <v>57</v>
      </c>
      <c r="AA1318">
        <v>8</v>
      </c>
      <c r="AB1318" t="s">
        <v>57</v>
      </c>
      <c r="AD1318" t="s">
        <v>57</v>
      </c>
      <c r="AE1318" t="s">
        <v>57</v>
      </c>
      <c r="AF1318" t="s">
        <v>57</v>
      </c>
      <c r="AG1318">
        <v>1</v>
      </c>
      <c r="AH1318" t="s">
        <v>57</v>
      </c>
      <c r="AL1318" t="s">
        <v>57</v>
      </c>
      <c r="AM1318" s="11">
        <v>44785</v>
      </c>
      <c r="AN1318" t="s">
        <v>184</v>
      </c>
      <c r="AO1318" t="s">
        <v>65</v>
      </c>
      <c r="AP1318">
        <v>1206</v>
      </c>
      <c r="AQ1318" t="s">
        <v>66</v>
      </c>
      <c r="AR1318">
        <v>205690</v>
      </c>
      <c r="AU1318" t="s">
        <v>57</v>
      </c>
      <c r="AV1318" t="s">
        <v>68</v>
      </c>
      <c r="AX1318" t="s">
        <v>57</v>
      </c>
      <c r="AY1318">
        <v>631110</v>
      </c>
      <c r="AZ1318">
        <v>1206.63111</v>
      </c>
      <c r="BA1318" s="23" t="s">
        <v>14</v>
      </c>
    </row>
    <row r="1319" spans="1:53" x14ac:dyDescent="0.25">
      <c r="A1319" t="s">
        <v>134</v>
      </c>
      <c r="B1319" t="s">
        <v>135</v>
      </c>
      <c r="C1319">
        <v>22002579</v>
      </c>
      <c r="D1319">
        <v>1206</v>
      </c>
      <c r="E1319" s="11">
        <v>44785</v>
      </c>
      <c r="F1319" t="s">
        <v>185</v>
      </c>
      <c r="G1319">
        <v>32.840000000000003</v>
      </c>
      <c r="H1319">
        <v>32.840000000000003</v>
      </c>
      <c r="I1319" t="s">
        <v>56</v>
      </c>
      <c r="O1319" t="s">
        <v>57</v>
      </c>
      <c r="Q1319" t="s">
        <v>57</v>
      </c>
      <c r="R1319" t="s">
        <v>137</v>
      </c>
      <c r="T1319" t="s">
        <v>59</v>
      </c>
      <c r="U1319" t="s">
        <v>60</v>
      </c>
      <c r="V1319" t="s">
        <v>138</v>
      </c>
      <c r="W1319" t="s">
        <v>139</v>
      </c>
      <c r="X1319">
        <v>1930821</v>
      </c>
      <c r="Y1319" s="11">
        <v>44788</v>
      </c>
      <c r="Z1319" t="s">
        <v>57</v>
      </c>
      <c r="AA1319">
        <v>2</v>
      </c>
      <c r="AB1319" t="s">
        <v>57</v>
      </c>
      <c r="AD1319" t="s">
        <v>57</v>
      </c>
      <c r="AE1319" t="s">
        <v>57</v>
      </c>
      <c r="AF1319" t="s">
        <v>57</v>
      </c>
      <c r="AG1319">
        <v>90</v>
      </c>
      <c r="AH1319" t="s">
        <v>57</v>
      </c>
      <c r="AL1319" t="s">
        <v>57</v>
      </c>
      <c r="AM1319" s="11">
        <v>44785</v>
      </c>
      <c r="AN1319" t="s">
        <v>183</v>
      </c>
      <c r="AO1319" t="s">
        <v>65</v>
      </c>
      <c r="AP1319">
        <v>1206</v>
      </c>
      <c r="AQ1319" t="s">
        <v>66</v>
      </c>
      <c r="AR1319">
        <v>91011</v>
      </c>
      <c r="AU1319" t="s">
        <v>57</v>
      </c>
      <c r="AV1319" t="s">
        <v>68</v>
      </c>
      <c r="AX1319" t="s">
        <v>57</v>
      </c>
      <c r="AY1319">
        <v>631110</v>
      </c>
      <c r="AZ1319">
        <v>1206.63111</v>
      </c>
      <c r="BA1319" s="23" t="s">
        <v>14</v>
      </c>
    </row>
    <row r="1320" spans="1:53" x14ac:dyDescent="0.25">
      <c r="A1320" t="s">
        <v>134</v>
      </c>
      <c r="B1320" t="s">
        <v>135</v>
      </c>
      <c r="C1320">
        <v>22002579</v>
      </c>
      <c r="D1320">
        <v>1206</v>
      </c>
      <c r="E1320" s="11">
        <v>44785</v>
      </c>
      <c r="F1320" t="s">
        <v>185</v>
      </c>
      <c r="G1320">
        <v>3.06</v>
      </c>
      <c r="H1320">
        <v>3.06</v>
      </c>
      <c r="I1320" t="s">
        <v>56</v>
      </c>
      <c r="O1320" t="s">
        <v>57</v>
      </c>
      <c r="Q1320" t="s">
        <v>57</v>
      </c>
      <c r="R1320" t="s">
        <v>137</v>
      </c>
      <c r="T1320" t="s">
        <v>59</v>
      </c>
      <c r="U1320" t="s">
        <v>60</v>
      </c>
      <c r="V1320" t="s">
        <v>138</v>
      </c>
      <c r="W1320" t="s">
        <v>139</v>
      </c>
      <c r="X1320">
        <v>1930821</v>
      </c>
      <c r="Y1320" s="11">
        <v>44788</v>
      </c>
      <c r="Z1320" t="s">
        <v>57</v>
      </c>
      <c r="AA1320">
        <v>4</v>
      </c>
      <c r="AB1320" t="s">
        <v>57</v>
      </c>
      <c r="AD1320" t="s">
        <v>57</v>
      </c>
      <c r="AE1320" t="s">
        <v>57</v>
      </c>
      <c r="AF1320" t="s">
        <v>57</v>
      </c>
      <c r="AG1320">
        <v>20</v>
      </c>
      <c r="AH1320" t="s">
        <v>57</v>
      </c>
      <c r="AL1320" t="s">
        <v>57</v>
      </c>
      <c r="AM1320" s="11">
        <v>44785</v>
      </c>
      <c r="AN1320" t="s">
        <v>183</v>
      </c>
      <c r="AO1320" t="s">
        <v>65</v>
      </c>
      <c r="AP1320">
        <v>1206</v>
      </c>
      <c r="AQ1320" t="s">
        <v>66</v>
      </c>
      <c r="AR1320">
        <v>144854</v>
      </c>
      <c r="AU1320" t="s">
        <v>57</v>
      </c>
      <c r="AV1320" t="s">
        <v>68</v>
      </c>
      <c r="AX1320" t="s">
        <v>57</v>
      </c>
      <c r="AY1320">
        <v>631110</v>
      </c>
      <c r="AZ1320">
        <v>1206.63111</v>
      </c>
      <c r="BA1320" s="23" t="s">
        <v>14</v>
      </c>
    </row>
    <row r="1321" spans="1:53" x14ac:dyDescent="0.25">
      <c r="A1321" t="s">
        <v>134</v>
      </c>
      <c r="B1321" t="s">
        <v>135</v>
      </c>
      <c r="C1321">
        <v>22002579</v>
      </c>
      <c r="D1321">
        <v>1206</v>
      </c>
      <c r="E1321" s="11">
        <v>44785</v>
      </c>
      <c r="F1321" t="s">
        <v>185</v>
      </c>
      <c r="G1321">
        <v>3.07</v>
      </c>
      <c r="H1321">
        <v>3.07</v>
      </c>
      <c r="I1321" t="s">
        <v>56</v>
      </c>
      <c r="O1321" t="s">
        <v>57</v>
      </c>
      <c r="Q1321" t="s">
        <v>57</v>
      </c>
      <c r="R1321" t="s">
        <v>137</v>
      </c>
      <c r="T1321" t="s">
        <v>59</v>
      </c>
      <c r="U1321" t="s">
        <v>60</v>
      </c>
      <c r="V1321" t="s">
        <v>138</v>
      </c>
      <c r="W1321" t="s">
        <v>139</v>
      </c>
      <c r="X1321">
        <v>1930821</v>
      </c>
      <c r="Y1321" s="11">
        <v>44788</v>
      </c>
      <c r="Z1321" t="s">
        <v>57</v>
      </c>
      <c r="AA1321">
        <v>6</v>
      </c>
      <c r="AB1321" t="s">
        <v>57</v>
      </c>
      <c r="AD1321" t="s">
        <v>57</v>
      </c>
      <c r="AE1321" t="s">
        <v>57</v>
      </c>
      <c r="AF1321" t="s">
        <v>57</v>
      </c>
      <c r="AG1321">
        <v>20</v>
      </c>
      <c r="AH1321" t="s">
        <v>57</v>
      </c>
      <c r="AL1321" t="s">
        <v>57</v>
      </c>
      <c r="AM1321" s="11">
        <v>44785</v>
      </c>
      <c r="AN1321" t="s">
        <v>183</v>
      </c>
      <c r="AO1321" t="s">
        <v>65</v>
      </c>
      <c r="AP1321">
        <v>1206</v>
      </c>
      <c r="AQ1321" t="s">
        <v>66</v>
      </c>
      <c r="AR1321">
        <v>89712</v>
      </c>
      <c r="AU1321" t="s">
        <v>57</v>
      </c>
      <c r="AV1321" t="s">
        <v>68</v>
      </c>
      <c r="AX1321" t="s">
        <v>57</v>
      </c>
      <c r="AY1321">
        <v>631110</v>
      </c>
      <c r="AZ1321">
        <v>1206.63111</v>
      </c>
      <c r="BA1321" s="23" t="s">
        <v>14</v>
      </c>
    </row>
    <row r="1322" spans="1:53" x14ac:dyDescent="0.25">
      <c r="A1322" t="s">
        <v>134</v>
      </c>
      <c r="B1322" t="s">
        <v>135</v>
      </c>
      <c r="C1322">
        <v>22002583</v>
      </c>
      <c r="D1322">
        <v>1206</v>
      </c>
      <c r="E1322" s="11">
        <v>44788</v>
      </c>
      <c r="F1322" t="s">
        <v>185</v>
      </c>
      <c r="G1322">
        <v>21.89</v>
      </c>
      <c r="H1322">
        <v>21.89</v>
      </c>
      <c r="I1322" t="s">
        <v>56</v>
      </c>
      <c r="O1322" t="s">
        <v>57</v>
      </c>
      <c r="Q1322" t="s">
        <v>57</v>
      </c>
      <c r="R1322" t="s">
        <v>137</v>
      </c>
      <c r="T1322" t="s">
        <v>59</v>
      </c>
      <c r="U1322" t="s">
        <v>60</v>
      </c>
      <c r="V1322" t="s">
        <v>138</v>
      </c>
      <c r="W1322" t="s">
        <v>139</v>
      </c>
      <c r="X1322">
        <v>1933004</v>
      </c>
      <c r="Y1322" s="11">
        <v>44789</v>
      </c>
      <c r="Z1322" t="s">
        <v>57</v>
      </c>
      <c r="AA1322">
        <v>2</v>
      </c>
      <c r="AB1322" t="s">
        <v>57</v>
      </c>
      <c r="AD1322" t="s">
        <v>57</v>
      </c>
      <c r="AE1322" t="s">
        <v>57</v>
      </c>
      <c r="AF1322" t="s">
        <v>57</v>
      </c>
      <c r="AG1322">
        <v>60</v>
      </c>
      <c r="AH1322" t="s">
        <v>57</v>
      </c>
      <c r="AL1322" t="s">
        <v>57</v>
      </c>
      <c r="AM1322" s="11">
        <v>44788</v>
      </c>
      <c r="AN1322" t="s">
        <v>183</v>
      </c>
      <c r="AO1322" t="s">
        <v>65</v>
      </c>
      <c r="AP1322">
        <v>1206</v>
      </c>
      <c r="AQ1322" t="s">
        <v>66</v>
      </c>
      <c r="AR1322">
        <v>91011</v>
      </c>
      <c r="AU1322" t="s">
        <v>57</v>
      </c>
      <c r="AV1322" t="s">
        <v>68</v>
      </c>
      <c r="AX1322" t="s">
        <v>57</v>
      </c>
      <c r="AY1322">
        <v>631110</v>
      </c>
      <c r="AZ1322">
        <v>1206.63111</v>
      </c>
      <c r="BA1322" s="23" t="s">
        <v>14</v>
      </c>
    </row>
    <row r="1323" spans="1:53" x14ac:dyDescent="0.25">
      <c r="A1323" t="s">
        <v>134</v>
      </c>
      <c r="B1323" t="s">
        <v>135</v>
      </c>
      <c r="C1323">
        <v>22002583</v>
      </c>
      <c r="D1323">
        <v>1206</v>
      </c>
      <c r="E1323" s="11">
        <v>44788</v>
      </c>
      <c r="F1323" t="s">
        <v>185</v>
      </c>
      <c r="G1323">
        <v>3</v>
      </c>
      <c r="H1323">
        <v>3</v>
      </c>
      <c r="I1323" t="s">
        <v>56</v>
      </c>
      <c r="O1323" t="s">
        <v>57</v>
      </c>
      <c r="Q1323" t="s">
        <v>57</v>
      </c>
      <c r="R1323" t="s">
        <v>137</v>
      </c>
      <c r="T1323" t="s">
        <v>59</v>
      </c>
      <c r="U1323" t="s">
        <v>60</v>
      </c>
      <c r="V1323" t="s">
        <v>138</v>
      </c>
      <c r="W1323" t="s">
        <v>139</v>
      </c>
      <c r="X1323">
        <v>1933004</v>
      </c>
      <c r="Y1323" s="11">
        <v>44789</v>
      </c>
      <c r="Z1323" t="s">
        <v>57</v>
      </c>
      <c r="AA1323">
        <v>4</v>
      </c>
      <c r="AB1323" t="s">
        <v>57</v>
      </c>
      <c r="AD1323" t="s">
        <v>57</v>
      </c>
      <c r="AE1323" t="s">
        <v>57</v>
      </c>
      <c r="AF1323" t="s">
        <v>57</v>
      </c>
      <c r="AG1323">
        <v>20</v>
      </c>
      <c r="AH1323" t="s">
        <v>57</v>
      </c>
      <c r="AL1323" t="s">
        <v>57</v>
      </c>
      <c r="AM1323" s="11">
        <v>44788</v>
      </c>
      <c r="AN1323" t="s">
        <v>183</v>
      </c>
      <c r="AO1323" t="s">
        <v>65</v>
      </c>
      <c r="AP1323">
        <v>1206</v>
      </c>
      <c r="AQ1323" t="s">
        <v>66</v>
      </c>
      <c r="AR1323">
        <v>144854</v>
      </c>
      <c r="AU1323" t="s">
        <v>57</v>
      </c>
      <c r="AV1323" t="s">
        <v>68</v>
      </c>
      <c r="AX1323" t="s">
        <v>57</v>
      </c>
      <c r="AY1323">
        <v>631110</v>
      </c>
      <c r="AZ1323">
        <v>1206.63111</v>
      </c>
      <c r="BA1323" s="23" t="s">
        <v>14</v>
      </c>
    </row>
    <row r="1324" spans="1:53" x14ac:dyDescent="0.25">
      <c r="A1324" t="s">
        <v>134</v>
      </c>
      <c r="B1324" t="s">
        <v>135</v>
      </c>
      <c r="C1324">
        <v>22002583</v>
      </c>
      <c r="D1324">
        <v>1206</v>
      </c>
      <c r="E1324" s="11">
        <v>44788</v>
      </c>
      <c r="F1324" t="s">
        <v>185</v>
      </c>
      <c r="G1324">
        <v>3.07</v>
      </c>
      <c r="H1324">
        <v>3.07</v>
      </c>
      <c r="I1324" t="s">
        <v>56</v>
      </c>
      <c r="O1324" t="s">
        <v>57</v>
      </c>
      <c r="Q1324" t="s">
        <v>57</v>
      </c>
      <c r="R1324" t="s">
        <v>137</v>
      </c>
      <c r="T1324" t="s">
        <v>59</v>
      </c>
      <c r="U1324" t="s">
        <v>60</v>
      </c>
      <c r="V1324" t="s">
        <v>138</v>
      </c>
      <c r="W1324" t="s">
        <v>139</v>
      </c>
      <c r="X1324">
        <v>1933004</v>
      </c>
      <c r="Y1324" s="11">
        <v>44789</v>
      </c>
      <c r="Z1324" t="s">
        <v>57</v>
      </c>
      <c r="AA1324">
        <v>6</v>
      </c>
      <c r="AB1324" t="s">
        <v>57</v>
      </c>
      <c r="AD1324" t="s">
        <v>57</v>
      </c>
      <c r="AE1324" t="s">
        <v>57</v>
      </c>
      <c r="AF1324" t="s">
        <v>57</v>
      </c>
      <c r="AG1324">
        <v>20</v>
      </c>
      <c r="AH1324" t="s">
        <v>57</v>
      </c>
      <c r="AL1324" t="s">
        <v>57</v>
      </c>
      <c r="AM1324" s="11">
        <v>44788</v>
      </c>
      <c r="AN1324" t="s">
        <v>183</v>
      </c>
      <c r="AO1324" t="s">
        <v>65</v>
      </c>
      <c r="AP1324">
        <v>1206</v>
      </c>
      <c r="AQ1324" t="s">
        <v>66</v>
      </c>
      <c r="AR1324">
        <v>89712</v>
      </c>
      <c r="AU1324" t="s">
        <v>57</v>
      </c>
      <c r="AV1324" t="s">
        <v>68</v>
      </c>
      <c r="AX1324" t="s">
        <v>57</v>
      </c>
      <c r="AY1324">
        <v>631110</v>
      </c>
      <c r="AZ1324">
        <v>1206.63111</v>
      </c>
      <c r="BA1324" s="23" t="s">
        <v>14</v>
      </c>
    </row>
    <row r="1325" spans="1:53" x14ac:dyDescent="0.25">
      <c r="A1325" t="s">
        <v>134</v>
      </c>
      <c r="B1325" t="s">
        <v>135</v>
      </c>
      <c r="C1325">
        <v>22002585</v>
      </c>
      <c r="D1325">
        <v>1206</v>
      </c>
      <c r="E1325" s="11">
        <v>44788</v>
      </c>
      <c r="F1325" t="s">
        <v>172</v>
      </c>
      <c r="G1325">
        <v>24.19</v>
      </c>
      <c r="H1325">
        <v>24.19</v>
      </c>
      <c r="I1325" t="s">
        <v>56</v>
      </c>
      <c r="O1325" t="s">
        <v>57</v>
      </c>
      <c r="Q1325" t="s">
        <v>57</v>
      </c>
      <c r="R1325" t="s">
        <v>137</v>
      </c>
      <c r="T1325" t="s">
        <v>59</v>
      </c>
      <c r="U1325" t="s">
        <v>60</v>
      </c>
      <c r="V1325" t="s">
        <v>138</v>
      </c>
      <c r="W1325" t="s">
        <v>139</v>
      </c>
      <c r="X1325">
        <v>1933170</v>
      </c>
      <c r="Y1325" s="11">
        <v>44789</v>
      </c>
      <c r="Z1325" t="s">
        <v>57</v>
      </c>
      <c r="AA1325">
        <v>2</v>
      </c>
      <c r="AB1325" t="s">
        <v>57</v>
      </c>
      <c r="AD1325" t="s">
        <v>57</v>
      </c>
      <c r="AE1325" t="s">
        <v>57</v>
      </c>
      <c r="AF1325" t="s">
        <v>57</v>
      </c>
      <c r="AG1325">
        <v>3</v>
      </c>
      <c r="AH1325" t="s">
        <v>57</v>
      </c>
      <c r="AL1325" t="s">
        <v>57</v>
      </c>
      <c r="AM1325" s="11">
        <v>44788</v>
      </c>
      <c r="AN1325" t="s">
        <v>184</v>
      </c>
      <c r="AO1325" t="s">
        <v>65</v>
      </c>
      <c r="AP1325">
        <v>1206</v>
      </c>
      <c r="AQ1325" t="s">
        <v>66</v>
      </c>
      <c r="AR1325">
        <v>279991</v>
      </c>
      <c r="AU1325" t="s">
        <v>57</v>
      </c>
      <c r="AV1325" t="s">
        <v>68</v>
      </c>
      <c r="AX1325" t="s">
        <v>57</v>
      </c>
      <c r="AY1325">
        <v>631110</v>
      </c>
      <c r="AZ1325">
        <v>1206.63111</v>
      </c>
      <c r="BA1325" s="23" t="s">
        <v>14</v>
      </c>
    </row>
    <row r="1326" spans="1:53" x14ac:dyDescent="0.25">
      <c r="A1326" t="s">
        <v>134</v>
      </c>
      <c r="B1326" t="s">
        <v>135</v>
      </c>
      <c r="C1326">
        <v>22002585</v>
      </c>
      <c r="D1326">
        <v>1206</v>
      </c>
      <c r="E1326" s="11">
        <v>44788</v>
      </c>
      <c r="F1326" t="s">
        <v>172</v>
      </c>
      <c r="G1326">
        <v>7.42</v>
      </c>
      <c r="H1326">
        <v>7.42</v>
      </c>
      <c r="I1326" t="s">
        <v>56</v>
      </c>
      <c r="O1326" t="s">
        <v>57</v>
      </c>
      <c r="Q1326" t="s">
        <v>57</v>
      </c>
      <c r="R1326" t="s">
        <v>137</v>
      </c>
      <c r="T1326" t="s">
        <v>59</v>
      </c>
      <c r="U1326" t="s">
        <v>60</v>
      </c>
      <c r="V1326" t="s">
        <v>138</v>
      </c>
      <c r="W1326" t="s">
        <v>139</v>
      </c>
      <c r="X1326">
        <v>1933170</v>
      </c>
      <c r="Y1326" s="11">
        <v>44789</v>
      </c>
      <c r="Z1326" t="s">
        <v>57</v>
      </c>
      <c r="AA1326">
        <v>4</v>
      </c>
      <c r="AB1326" t="s">
        <v>57</v>
      </c>
      <c r="AD1326" t="s">
        <v>57</v>
      </c>
      <c r="AE1326" t="s">
        <v>57</v>
      </c>
      <c r="AF1326" t="s">
        <v>57</v>
      </c>
      <c r="AG1326">
        <v>1</v>
      </c>
      <c r="AH1326" t="s">
        <v>57</v>
      </c>
      <c r="AL1326" t="s">
        <v>57</v>
      </c>
      <c r="AM1326" s="11">
        <v>44788</v>
      </c>
      <c r="AN1326" t="s">
        <v>184</v>
      </c>
      <c r="AO1326" t="s">
        <v>65</v>
      </c>
      <c r="AP1326">
        <v>1206</v>
      </c>
      <c r="AQ1326" t="s">
        <v>66</v>
      </c>
      <c r="AR1326">
        <v>225948</v>
      </c>
      <c r="AU1326" t="s">
        <v>57</v>
      </c>
      <c r="AV1326" t="s">
        <v>68</v>
      </c>
      <c r="AX1326" t="s">
        <v>57</v>
      </c>
      <c r="AY1326">
        <v>631110</v>
      </c>
      <c r="AZ1326">
        <v>1206.63111</v>
      </c>
      <c r="BA1326" s="23" t="s">
        <v>14</v>
      </c>
    </row>
    <row r="1327" spans="1:53" x14ac:dyDescent="0.25">
      <c r="A1327" t="s">
        <v>134</v>
      </c>
      <c r="B1327" t="s">
        <v>135</v>
      </c>
      <c r="C1327">
        <v>22002586</v>
      </c>
      <c r="D1327">
        <v>1206</v>
      </c>
      <c r="E1327" s="11">
        <v>44788</v>
      </c>
      <c r="F1327" t="s">
        <v>174</v>
      </c>
      <c r="G1327">
        <v>2.09</v>
      </c>
      <c r="H1327">
        <v>2.09</v>
      </c>
      <c r="I1327" t="s">
        <v>56</v>
      </c>
      <c r="O1327" t="s">
        <v>57</v>
      </c>
      <c r="Q1327" t="s">
        <v>57</v>
      </c>
      <c r="R1327" t="s">
        <v>137</v>
      </c>
      <c r="T1327" t="s">
        <v>59</v>
      </c>
      <c r="U1327" t="s">
        <v>60</v>
      </c>
      <c r="V1327" t="s">
        <v>138</v>
      </c>
      <c r="W1327" t="s">
        <v>139</v>
      </c>
      <c r="X1327">
        <v>1933170</v>
      </c>
      <c r="Y1327" s="11">
        <v>44789</v>
      </c>
      <c r="Z1327" t="s">
        <v>57</v>
      </c>
      <c r="AA1327">
        <v>2</v>
      </c>
      <c r="AB1327" t="s">
        <v>57</v>
      </c>
      <c r="AD1327" t="s">
        <v>57</v>
      </c>
      <c r="AE1327" t="s">
        <v>57</v>
      </c>
      <c r="AF1327" t="s">
        <v>57</v>
      </c>
      <c r="AG1327">
        <v>1</v>
      </c>
      <c r="AH1327" t="s">
        <v>57</v>
      </c>
      <c r="AL1327" t="s">
        <v>57</v>
      </c>
      <c r="AM1327" s="11">
        <v>44788</v>
      </c>
      <c r="AN1327" t="s">
        <v>184</v>
      </c>
      <c r="AO1327" t="s">
        <v>65</v>
      </c>
      <c r="AP1327">
        <v>1206</v>
      </c>
      <c r="AQ1327" t="s">
        <v>66</v>
      </c>
      <c r="AR1327">
        <v>88783</v>
      </c>
      <c r="AU1327" t="s">
        <v>57</v>
      </c>
      <c r="AV1327" t="s">
        <v>68</v>
      </c>
      <c r="AX1327" t="s">
        <v>57</v>
      </c>
      <c r="AY1327">
        <v>631110</v>
      </c>
      <c r="AZ1327">
        <v>1206.63111</v>
      </c>
      <c r="BA1327" s="23" t="s">
        <v>14</v>
      </c>
    </row>
    <row r="1328" spans="1:53" x14ac:dyDescent="0.25">
      <c r="A1328" t="s">
        <v>134</v>
      </c>
      <c r="B1328" t="s">
        <v>135</v>
      </c>
      <c r="C1328">
        <v>22002586</v>
      </c>
      <c r="D1328">
        <v>1206</v>
      </c>
      <c r="E1328" s="11">
        <v>44788</v>
      </c>
      <c r="F1328" t="s">
        <v>174</v>
      </c>
      <c r="G1328">
        <v>3.77</v>
      </c>
      <c r="H1328">
        <v>3.77</v>
      </c>
      <c r="I1328" t="s">
        <v>56</v>
      </c>
      <c r="O1328" t="s">
        <v>57</v>
      </c>
      <c r="Q1328" t="s">
        <v>57</v>
      </c>
      <c r="R1328" t="s">
        <v>137</v>
      </c>
      <c r="T1328" t="s">
        <v>59</v>
      </c>
      <c r="U1328" t="s">
        <v>60</v>
      </c>
      <c r="V1328" t="s">
        <v>138</v>
      </c>
      <c r="W1328" t="s">
        <v>139</v>
      </c>
      <c r="X1328">
        <v>1933170</v>
      </c>
      <c r="Y1328" s="11">
        <v>44789</v>
      </c>
      <c r="Z1328" t="s">
        <v>57</v>
      </c>
      <c r="AA1328">
        <v>4</v>
      </c>
      <c r="AB1328" t="s">
        <v>57</v>
      </c>
      <c r="AD1328" t="s">
        <v>57</v>
      </c>
      <c r="AE1328" t="s">
        <v>57</v>
      </c>
      <c r="AF1328" t="s">
        <v>57</v>
      </c>
      <c r="AG1328">
        <v>1</v>
      </c>
      <c r="AH1328" t="s">
        <v>57</v>
      </c>
      <c r="AL1328" t="s">
        <v>57</v>
      </c>
      <c r="AM1328" s="11">
        <v>44788</v>
      </c>
      <c r="AN1328" t="s">
        <v>184</v>
      </c>
      <c r="AO1328" t="s">
        <v>65</v>
      </c>
      <c r="AP1328">
        <v>1206</v>
      </c>
      <c r="AQ1328" t="s">
        <v>66</v>
      </c>
      <c r="AR1328">
        <v>271731</v>
      </c>
      <c r="AU1328" t="s">
        <v>57</v>
      </c>
      <c r="AV1328" t="s">
        <v>68</v>
      </c>
      <c r="AX1328" t="s">
        <v>57</v>
      </c>
      <c r="AY1328">
        <v>631110</v>
      </c>
      <c r="AZ1328">
        <v>1206.63111</v>
      </c>
      <c r="BA1328" s="23" t="s">
        <v>14</v>
      </c>
    </row>
    <row r="1329" spans="1:53" x14ac:dyDescent="0.25">
      <c r="A1329" t="s">
        <v>134</v>
      </c>
      <c r="B1329" t="s">
        <v>135</v>
      </c>
      <c r="C1329">
        <v>22002586</v>
      </c>
      <c r="D1329">
        <v>1206</v>
      </c>
      <c r="E1329" s="11">
        <v>44788</v>
      </c>
      <c r="F1329" t="s">
        <v>174</v>
      </c>
      <c r="G1329">
        <v>0.48</v>
      </c>
      <c r="H1329">
        <v>0.48</v>
      </c>
      <c r="I1329" t="s">
        <v>56</v>
      </c>
      <c r="O1329" t="s">
        <v>57</v>
      </c>
      <c r="Q1329" t="s">
        <v>57</v>
      </c>
      <c r="R1329" t="s">
        <v>137</v>
      </c>
      <c r="T1329" t="s">
        <v>59</v>
      </c>
      <c r="U1329" t="s">
        <v>60</v>
      </c>
      <c r="V1329" t="s">
        <v>138</v>
      </c>
      <c r="W1329" t="s">
        <v>139</v>
      </c>
      <c r="X1329">
        <v>1933170</v>
      </c>
      <c r="Y1329" s="11">
        <v>44789</v>
      </c>
      <c r="Z1329" t="s">
        <v>57</v>
      </c>
      <c r="AA1329">
        <v>6</v>
      </c>
      <c r="AB1329" t="s">
        <v>57</v>
      </c>
      <c r="AD1329" t="s">
        <v>57</v>
      </c>
      <c r="AE1329" t="s">
        <v>57</v>
      </c>
      <c r="AF1329" t="s">
        <v>57</v>
      </c>
      <c r="AG1329">
        <v>1</v>
      </c>
      <c r="AH1329" t="s">
        <v>57</v>
      </c>
      <c r="AL1329" t="s">
        <v>57</v>
      </c>
      <c r="AM1329" s="11">
        <v>44788</v>
      </c>
      <c r="AN1329" t="s">
        <v>184</v>
      </c>
      <c r="AO1329" t="s">
        <v>65</v>
      </c>
      <c r="AP1329">
        <v>1206</v>
      </c>
      <c r="AQ1329" t="s">
        <v>66</v>
      </c>
      <c r="AR1329">
        <v>232942</v>
      </c>
      <c r="AU1329" t="s">
        <v>57</v>
      </c>
      <c r="AV1329" t="s">
        <v>68</v>
      </c>
      <c r="AX1329" t="s">
        <v>57</v>
      </c>
      <c r="AY1329">
        <v>631110</v>
      </c>
      <c r="AZ1329">
        <v>1206.63111</v>
      </c>
      <c r="BA1329" s="23" t="s">
        <v>14</v>
      </c>
    </row>
    <row r="1330" spans="1:53" x14ac:dyDescent="0.25">
      <c r="A1330" t="s">
        <v>134</v>
      </c>
      <c r="B1330" t="s">
        <v>135</v>
      </c>
      <c r="C1330">
        <v>22002586</v>
      </c>
      <c r="D1330">
        <v>1206</v>
      </c>
      <c r="E1330" s="11">
        <v>44788</v>
      </c>
      <c r="F1330" t="s">
        <v>174</v>
      </c>
      <c r="G1330">
        <v>2.06</v>
      </c>
      <c r="H1330">
        <v>2.06</v>
      </c>
      <c r="I1330" t="s">
        <v>56</v>
      </c>
      <c r="O1330" t="s">
        <v>57</v>
      </c>
      <c r="Q1330" t="s">
        <v>57</v>
      </c>
      <c r="R1330" t="s">
        <v>137</v>
      </c>
      <c r="T1330" t="s">
        <v>59</v>
      </c>
      <c r="U1330" t="s">
        <v>60</v>
      </c>
      <c r="V1330" t="s">
        <v>138</v>
      </c>
      <c r="W1330" t="s">
        <v>139</v>
      </c>
      <c r="X1330">
        <v>1933170</v>
      </c>
      <c r="Y1330" s="11">
        <v>44789</v>
      </c>
      <c r="Z1330" t="s">
        <v>57</v>
      </c>
      <c r="AA1330">
        <v>8</v>
      </c>
      <c r="AB1330" t="s">
        <v>57</v>
      </c>
      <c r="AD1330" t="s">
        <v>57</v>
      </c>
      <c r="AE1330" t="s">
        <v>57</v>
      </c>
      <c r="AF1330" t="s">
        <v>57</v>
      </c>
      <c r="AG1330">
        <v>1</v>
      </c>
      <c r="AH1330" t="s">
        <v>57</v>
      </c>
      <c r="AL1330" t="s">
        <v>57</v>
      </c>
      <c r="AM1330" s="11">
        <v>44788</v>
      </c>
      <c r="AN1330" t="s">
        <v>184</v>
      </c>
      <c r="AO1330" t="s">
        <v>65</v>
      </c>
      <c r="AP1330">
        <v>1206</v>
      </c>
      <c r="AQ1330" t="s">
        <v>66</v>
      </c>
      <c r="AR1330">
        <v>250199</v>
      </c>
      <c r="AU1330" t="s">
        <v>57</v>
      </c>
      <c r="AV1330" t="s">
        <v>68</v>
      </c>
      <c r="AX1330" t="s">
        <v>57</v>
      </c>
      <c r="AY1330">
        <v>631110</v>
      </c>
      <c r="AZ1330">
        <v>1206.63111</v>
      </c>
      <c r="BA1330" s="23" t="s">
        <v>14</v>
      </c>
    </row>
    <row r="1331" spans="1:53" x14ac:dyDescent="0.25">
      <c r="A1331" t="s">
        <v>134</v>
      </c>
      <c r="B1331" t="s">
        <v>135</v>
      </c>
      <c r="C1331">
        <v>22002587</v>
      </c>
      <c r="D1331">
        <v>1206</v>
      </c>
      <c r="E1331" s="11">
        <v>44788</v>
      </c>
      <c r="F1331" t="s">
        <v>174</v>
      </c>
      <c r="G1331">
        <v>2.44</v>
      </c>
      <c r="H1331">
        <v>2.44</v>
      </c>
      <c r="I1331" t="s">
        <v>56</v>
      </c>
      <c r="O1331" t="s">
        <v>57</v>
      </c>
      <c r="Q1331" t="s">
        <v>57</v>
      </c>
      <c r="R1331" t="s">
        <v>137</v>
      </c>
      <c r="T1331" t="s">
        <v>59</v>
      </c>
      <c r="U1331" t="s">
        <v>60</v>
      </c>
      <c r="V1331" t="s">
        <v>138</v>
      </c>
      <c r="W1331" t="s">
        <v>139</v>
      </c>
      <c r="X1331">
        <v>1933170</v>
      </c>
      <c r="Y1331" s="11">
        <v>44789</v>
      </c>
      <c r="Z1331" t="s">
        <v>57</v>
      </c>
      <c r="AA1331">
        <v>10</v>
      </c>
      <c r="AB1331" t="s">
        <v>57</v>
      </c>
      <c r="AD1331" t="s">
        <v>57</v>
      </c>
      <c r="AE1331" t="s">
        <v>57</v>
      </c>
      <c r="AF1331" t="s">
        <v>57</v>
      </c>
      <c r="AG1331">
        <v>1</v>
      </c>
      <c r="AH1331" t="s">
        <v>57</v>
      </c>
      <c r="AL1331" t="s">
        <v>57</v>
      </c>
      <c r="AM1331" s="11">
        <v>44788</v>
      </c>
      <c r="AN1331" t="s">
        <v>184</v>
      </c>
      <c r="AO1331" t="s">
        <v>65</v>
      </c>
      <c r="AP1331">
        <v>1206</v>
      </c>
      <c r="AQ1331" t="s">
        <v>66</v>
      </c>
      <c r="AR1331">
        <v>142798</v>
      </c>
      <c r="AU1331" t="s">
        <v>57</v>
      </c>
      <c r="AV1331" t="s">
        <v>68</v>
      </c>
      <c r="AX1331" t="s">
        <v>57</v>
      </c>
      <c r="AY1331">
        <v>631110</v>
      </c>
      <c r="AZ1331">
        <v>1206.63111</v>
      </c>
      <c r="BA1331" s="23" t="s">
        <v>14</v>
      </c>
    </row>
    <row r="1332" spans="1:53" x14ac:dyDescent="0.25">
      <c r="A1332" t="s">
        <v>134</v>
      </c>
      <c r="B1332" t="s">
        <v>135</v>
      </c>
      <c r="C1332">
        <v>22002587</v>
      </c>
      <c r="D1332">
        <v>1206</v>
      </c>
      <c r="E1332" s="11">
        <v>44788</v>
      </c>
      <c r="F1332" t="s">
        <v>174</v>
      </c>
      <c r="G1332">
        <v>2.0499999999999998</v>
      </c>
      <c r="H1332">
        <v>2.0499999999999998</v>
      </c>
      <c r="I1332" t="s">
        <v>56</v>
      </c>
      <c r="O1332" t="s">
        <v>57</v>
      </c>
      <c r="Q1332" t="s">
        <v>57</v>
      </c>
      <c r="R1332" t="s">
        <v>137</v>
      </c>
      <c r="T1332" t="s">
        <v>59</v>
      </c>
      <c r="U1332" t="s">
        <v>60</v>
      </c>
      <c r="V1332" t="s">
        <v>138</v>
      </c>
      <c r="W1332" t="s">
        <v>139</v>
      </c>
      <c r="X1332">
        <v>1933170</v>
      </c>
      <c r="Y1332" s="11">
        <v>44789</v>
      </c>
      <c r="Z1332" t="s">
        <v>57</v>
      </c>
      <c r="AA1332">
        <v>12</v>
      </c>
      <c r="AB1332" t="s">
        <v>57</v>
      </c>
      <c r="AD1332" t="s">
        <v>57</v>
      </c>
      <c r="AE1332" t="s">
        <v>57</v>
      </c>
      <c r="AF1332" t="s">
        <v>57</v>
      </c>
      <c r="AG1332">
        <v>1</v>
      </c>
      <c r="AH1332" t="s">
        <v>57</v>
      </c>
      <c r="AL1332" t="s">
        <v>57</v>
      </c>
      <c r="AM1332" s="11">
        <v>44788</v>
      </c>
      <c r="AN1332" t="s">
        <v>184</v>
      </c>
      <c r="AO1332" t="s">
        <v>65</v>
      </c>
      <c r="AP1332">
        <v>1206</v>
      </c>
      <c r="AQ1332" t="s">
        <v>66</v>
      </c>
      <c r="AR1332">
        <v>142797</v>
      </c>
      <c r="AU1332" t="s">
        <v>57</v>
      </c>
      <c r="AV1332" t="s">
        <v>68</v>
      </c>
      <c r="AX1332" t="s">
        <v>57</v>
      </c>
      <c r="AY1332">
        <v>631110</v>
      </c>
      <c r="AZ1332">
        <v>1206.63111</v>
      </c>
      <c r="BA1332" s="23" t="s">
        <v>14</v>
      </c>
    </row>
    <row r="1333" spans="1:53" x14ac:dyDescent="0.25">
      <c r="A1333" t="s">
        <v>134</v>
      </c>
      <c r="B1333" t="s">
        <v>135</v>
      </c>
      <c r="C1333">
        <v>22002587</v>
      </c>
      <c r="D1333">
        <v>1206</v>
      </c>
      <c r="E1333" s="11">
        <v>44788</v>
      </c>
      <c r="F1333" t="s">
        <v>174</v>
      </c>
      <c r="G1333">
        <v>13.78</v>
      </c>
      <c r="H1333">
        <v>13.78</v>
      </c>
      <c r="I1333" t="s">
        <v>56</v>
      </c>
      <c r="O1333" t="s">
        <v>57</v>
      </c>
      <c r="Q1333" t="s">
        <v>57</v>
      </c>
      <c r="R1333" t="s">
        <v>137</v>
      </c>
      <c r="T1333" t="s">
        <v>59</v>
      </c>
      <c r="U1333" t="s">
        <v>60</v>
      </c>
      <c r="V1333" t="s">
        <v>138</v>
      </c>
      <c r="W1333" t="s">
        <v>139</v>
      </c>
      <c r="X1333">
        <v>1933170</v>
      </c>
      <c r="Y1333" s="11">
        <v>44789</v>
      </c>
      <c r="Z1333" t="s">
        <v>57</v>
      </c>
      <c r="AA1333">
        <v>14</v>
      </c>
      <c r="AB1333" t="s">
        <v>57</v>
      </c>
      <c r="AD1333" t="s">
        <v>57</v>
      </c>
      <c r="AE1333" t="s">
        <v>57</v>
      </c>
      <c r="AF1333" t="s">
        <v>57</v>
      </c>
      <c r="AG1333">
        <v>1</v>
      </c>
      <c r="AH1333" t="s">
        <v>57</v>
      </c>
      <c r="AL1333" t="s">
        <v>57</v>
      </c>
      <c r="AM1333" s="11">
        <v>44788</v>
      </c>
      <c r="AN1333" t="s">
        <v>184</v>
      </c>
      <c r="AO1333" t="s">
        <v>65</v>
      </c>
      <c r="AP1333">
        <v>1206</v>
      </c>
      <c r="AQ1333" t="s">
        <v>66</v>
      </c>
      <c r="AR1333">
        <v>96021</v>
      </c>
      <c r="AU1333" t="s">
        <v>57</v>
      </c>
      <c r="AV1333" t="s">
        <v>68</v>
      </c>
      <c r="AX1333" t="s">
        <v>57</v>
      </c>
      <c r="AY1333">
        <v>631110</v>
      </c>
      <c r="AZ1333">
        <v>1206.63111</v>
      </c>
      <c r="BA1333" s="23" t="s">
        <v>14</v>
      </c>
    </row>
    <row r="1334" spans="1:53" x14ac:dyDescent="0.25">
      <c r="A1334" t="s">
        <v>134</v>
      </c>
      <c r="B1334" t="s">
        <v>135</v>
      </c>
      <c r="C1334">
        <v>22002587</v>
      </c>
      <c r="D1334">
        <v>1206</v>
      </c>
      <c r="E1334" s="11">
        <v>44788</v>
      </c>
      <c r="F1334" t="s">
        <v>174</v>
      </c>
      <c r="G1334">
        <v>15.41</v>
      </c>
      <c r="H1334">
        <v>15.41</v>
      </c>
      <c r="I1334" t="s">
        <v>56</v>
      </c>
      <c r="O1334" t="s">
        <v>57</v>
      </c>
      <c r="Q1334" t="s">
        <v>57</v>
      </c>
      <c r="R1334" t="s">
        <v>137</v>
      </c>
      <c r="T1334" t="s">
        <v>59</v>
      </c>
      <c r="U1334" t="s">
        <v>60</v>
      </c>
      <c r="V1334" t="s">
        <v>138</v>
      </c>
      <c r="W1334" t="s">
        <v>139</v>
      </c>
      <c r="X1334">
        <v>1933170</v>
      </c>
      <c r="Y1334" s="11">
        <v>44789</v>
      </c>
      <c r="Z1334" t="s">
        <v>57</v>
      </c>
      <c r="AA1334">
        <v>16</v>
      </c>
      <c r="AB1334" t="s">
        <v>57</v>
      </c>
      <c r="AD1334" t="s">
        <v>57</v>
      </c>
      <c r="AE1334" t="s">
        <v>57</v>
      </c>
      <c r="AF1334" t="s">
        <v>57</v>
      </c>
      <c r="AG1334">
        <v>1</v>
      </c>
      <c r="AH1334" t="s">
        <v>57</v>
      </c>
      <c r="AL1334" t="s">
        <v>57</v>
      </c>
      <c r="AM1334" s="11">
        <v>44788</v>
      </c>
      <c r="AN1334" t="s">
        <v>184</v>
      </c>
      <c r="AO1334" t="s">
        <v>65</v>
      </c>
      <c r="AP1334">
        <v>1206</v>
      </c>
      <c r="AQ1334" t="s">
        <v>66</v>
      </c>
      <c r="AR1334">
        <v>156036</v>
      </c>
      <c r="AU1334" t="s">
        <v>57</v>
      </c>
      <c r="AV1334" t="s">
        <v>68</v>
      </c>
      <c r="AX1334" t="s">
        <v>57</v>
      </c>
      <c r="AY1334">
        <v>631110</v>
      </c>
      <c r="AZ1334">
        <v>1206.63111</v>
      </c>
      <c r="BA1334" s="23" t="s">
        <v>14</v>
      </c>
    </row>
    <row r="1335" spans="1:53" x14ac:dyDescent="0.25">
      <c r="A1335" t="s">
        <v>134</v>
      </c>
      <c r="B1335" t="s">
        <v>135</v>
      </c>
      <c r="C1335">
        <v>22002587</v>
      </c>
      <c r="D1335">
        <v>1206</v>
      </c>
      <c r="E1335" s="11">
        <v>44788</v>
      </c>
      <c r="F1335" t="s">
        <v>174</v>
      </c>
      <c r="G1335">
        <v>13.78</v>
      </c>
      <c r="H1335">
        <v>13.78</v>
      </c>
      <c r="I1335" t="s">
        <v>56</v>
      </c>
      <c r="O1335" t="s">
        <v>57</v>
      </c>
      <c r="Q1335" t="s">
        <v>57</v>
      </c>
      <c r="R1335" t="s">
        <v>137</v>
      </c>
      <c r="T1335" t="s">
        <v>59</v>
      </c>
      <c r="U1335" t="s">
        <v>60</v>
      </c>
      <c r="V1335" t="s">
        <v>138</v>
      </c>
      <c r="W1335" t="s">
        <v>139</v>
      </c>
      <c r="X1335">
        <v>1933170</v>
      </c>
      <c r="Y1335" s="11">
        <v>44789</v>
      </c>
      <c r="Z1335" t="s">
        <v>57</v>
      </c>
      <c r="AA1335">
        <v>18</v>
      </c>
      <c r="AB1335" t="s">
        <v>57</v>
      </c>
      <c r="AD1335" t="s">
        <v>57</v>
      </c>
      <c r="AE1335" t="s">
        <v>57</v>
      </c>
      <c r="AF1335" t="s">
        <v>57</v>
      </c>
      <c r="AG1335">
        <v>1</v>
      </c>
      <c r="AH1335" t="s">
        <v>57</v>
      </c>
      <c r="AL1335" t="s">
        <v>57</v>
      </c>
      <c r="AM1335" s="11">
        <v>44788</v>
      </c>
      <c r="AN1335" t="s">
        <v>184</v>
      </c>
      <c r="AO1335" t="s">
        <v>65</v>
      </c>
      <c r="AP1335">
        <v>1206</v>
      </c>
      <c r="AQ1335" t="s">
        <v>66</v>
      </c>
      <c r="AR1335">
        <v>96021</v>
      </c>
      <c r="AU1335" t="s">
        <v>57</v>
      </c>
      <c r="AV1335" t="s">
        <v>68</v>
      </c>
      <c r="AX1335" t="s">
        <v>57</v>
      </c>
      <c r="AY1335">
        <v>631110</v>
      </c>
      <c r="AZ1335">
        <v>1206.63111</v>
      </c>
      <c r="BA1335" s="23" t="s">
        <v>14</v>
      </c>
    </row>
    <row r="1336" spans="1:53" x14ac:dyDescent="0.25">
      <c r="A1336" t="s">
        <v>134</v>
      </c>
      <c r="B1336" t="s">
        <v>135</v>
      </c>
      <c r="C1336">
        <v>22002587</v>
      </c>
      <c r="D1336">
        <v>1206</v>
      </c>
      <c r="E1336" s="11">
        <v>44788</v>
      </c>
      <c r="F1336" t="s">
        <v>174</v>
      </c>
      <c r="G1336">
        <v>10.210000000000001</v>
      </c>
      <c r="H1336">
        <v>10.210000000000001</v>
      </c>
      <c r="I1336" t="s">
        <v>56</v>
      </c>
      <c r="O1336" t="s">
        <v>57</v>
      </c>
      <c r="Q1336" t="s">
        <v>57</v>
      </c>
      <c r="R1336" t="s">
        <v>137</v>
      </c>
      <c r="T1336" t="s">
        <v>59</v>
      </c>
      <c r="U1336" t="s">
        <v>60</v>
      </c>
      <c r="V1336" t="s">
        <v>138</v>
      </c>
      <c r="W1336" t="s">
        <v>139</v>
      </c>
      <c r="X1336">
        <v>1933170</v>
      </c>
      <c r="Y1336" s="11">
        <v>44789</v>
      </c>
      <c r="Z1336" t="s">
        <v>57</v>
      </c>
      <c r="AA1336">
        <v>2</v>
      </c>
      <c r="AB1336" t="s">
        <v>57</v>
      </c>
      <c r="AD1336" t="s">
        <v>57</v>
      </c>
      <c r="AE1336" t="s">
        <v>57</v>
      </c>
      <c r="AF1336" t="s">
        <v>57</v>
      </c>
      <c r="AG1336">
        <v>1</v>
      </c>
      <c r="AH1336" t="s">
        <v>57</v>
      </c>
      <c r="AL1336" t="s">
        <v>57</v>
      </c>
      <c r="AM1336" s="11">
        <v>44788</v>
      </c>
      <c r="AN1336" t="s">
        <v>184</v>
      </c>
      <c r="AO1336" t="s">
        <v>65</v>
      </c>
      <c r="AP1336">
        <v>1206</v>
      </c>
      <c r="AQ1336" t="s">
        <v>66</v>
      </c>
      <c r="AR1336">
        <v>106095</v>
      </c>
      <c r="AU1336" t="s">
        <v>57</v>
      </c>
      <c r="AV1336" t="s">
        <v>68</v>
      </c>
      <c r="AX1336" t="s">
        <v>57</v>
      </c>
      <c r="AY1336">
        <v>631110</v>
      </c>
      <c r="AZ1336">
        <v>1206.63111</v>
      </c>
      <c r="BA1336" s="23" t="s">
        <v>14</v>
      </c>
    </row>
    <row r="1337" spans="1:53" x14ac:dyDescent="0.25">
      <c r="A1337" t="s">
        <v>134</v>
      </c>
      <c r="B1337" t="s">
        <v>135</v>
      </c>
      <c r="C1337">
        <v>22002587</v>
      </c>
      <c r="D1337">
        <v>1206</v>
      </c>
      <c r="E1337" s="11">
        <v>44788</v>
      </c>
      <c r="F1337" t="s">
        <v>174</v>
      </c>
      <c r="G1337">
        <v>18.850000000000001</v>
      </c>
      <c r="H1337">
        <v>18.850000000000001</v>
      </c>
      <c r="I1337" t="s">
        <v>56</v>
      </c>
      <c r="O1337" t="s">
        <v>57</v>
      </c>
      <c r="Q1337" t="s">
        <v>57</v>
      </c>
      <c r="R1337" t="s">
        <v>137</v>
      </c>
      <c r="T1337" t="s">
        <v>59</v>
      </c>
      <c r="U1337" t="s">
        <v>60</v>
      </c>
      <c r="V1337" t="s">
        <v>138</v>
      </c>
      <c r="W1337" t="s">
        <v>139</v>
      </c>
      <c r="X1337">
        <v>1933170</v>
      </c>
      <c r="Y1337" s="11">
        <v>44789</v>
      </c>
      <c r="Z1337" t="s">
        <v>57</v>
      </c>
      <c r="AA1337">
        <v>4</v>
      </c>
      <c r="AB1337" t="s">
        <v>57</v>
      </c>
      <c r="AD1337" t="s">
        <v>57</v>
      </c>
      <c r="AE1337" t="s">
        <v>57</v>
      </c>
      <c r="AF1337" t="s">
        <v>57</v>
      </c>
      <c r="AG1337">
        <v>1</v>
      </c>
      <c r="AH1337" t="s">
        <v>57</v>
      </c>
      <c r="AL1337" t="s">
        <v>57</v>
      </c>
      <c r="AM1337" s="11">
        <v>44788</v>
      </c>
      <c r="AN1337" t="s">
        <v>184</v>
      </c>
      <c r="AO1337" t="s">
        <v>65</v>
      </c>
      <c r="AP1337">
        <v>1206</v>
      </c>
      <c r="AQ1337" t="s">
        <v>66</v>
      </c>
      <c r="AR1337">
        <v>106094</v>
      </c>
      <c r="AU1337" t="s">
        <v>57</v>
      </c>
      <c r="AV1337" t="s">
        <v>68</v>
      </c>
      <c r="AX1337" t="s">
        <v>57</v>
      </c>
      <c r="AY1337">
        <v>631110</v>
      </c>
      <c r="AZ1337">
        <v>1206.63111</v>
      </c>
      <c r="BA1337" s="23" t="s">
        <v>14</v>
      </c>
    </row>
    <row r="1338" spans="1:53" x14ac:dyDescent="0.25">
      <c r="A1338" t="s">
        <v>134</v>
      </c>
      <c r="B1338" t="s">
        <v>135</v>
      </c>
      <c r="C1338">
        <v>22002587</v>
      </c>
      <c r="D1338">
        <v>1206</v>
      </c>
      <c r="E1338" s="11">
        <v>44788</v>
      </c>
      <c r="F1338" t="s">
        <v>174</v>
      </c>
      <c r="G1338">
        <v>0.9</v>
      </c>
      <c r="H1338">
        <v>0.9</v>
      </c>
      <c r="I1338" t="s">
        <v>56</v>
      </c>
      <c r="O1338" t="s">
        <v>57</v>
      </c>
      <c r="Q1338" t="s">
        <v>57</v>
      </c>
      <c r="R1338" t="s">
        <v>137</v>
      </c>
      <c r="T1338" t="s">
        <v>59</v>
      </c>
      <c r="U1338" t="s">
        <v>60</v>
      </c>
      <c r="V1338" t="s">
        <v>138</v>
      </c>
      <c r="W1338" t="s">
        <v>139</v>
      </c>
      <c r="X1338">
        <v>1933170</v>
      </c>
      <c r="Y1338" s="11">
        <v>44789</v>
      </c>
      <c r="Z1338" t="s">
        <v>57</v>
      </c>
      <c r="AA1338">
        <v>6</v>
      </c>
      <c r="AB1338" t="s">
        <v>57</v>
      </c>
      <c r="AD1338" t="s">
        <v>57</v>
      </c>
      <c r="AE1338" t="s">
        <v>57</v>
      </c>
      <c r="AF1338" t="s">
        <v>57</v>
      </c>
      <c r="AG1338">
        <v>1</v>
      </c>
      <c r="AH1338" t="s">
        <v>57</v>
      </c>
      <c r="AL1338" t="s">
        <v>57</v>
      </c>
      <c r="AM1338" s="11">
        <v>44788</v>
      </c>
      <c r="AN1338" t="s">
        <v>184</v>
      </c>
      <c r="AO1338" t="s">
        <v>65</v>
      </c>
      <c r="AP1338">
        <v>1206</v>
      </c>
      <c r="AQ1338" t="s">
        <v>66</v>
      </c>
      <c r="AR1338">
        <v>205690</v>
      </c>
      <c r="AU1338" t="s">
        <v>57</v>
      </c>
      <c r="AV1338" t="s">
        <v>68</v>
      </c>
      <c r="AX1338" t="s">
        <v>57</v>
      </c>
      <c r="AY1338">
        <v>631110</v>
      </c>
      <c r="AZ1338">
        <v>1206.63111</v>
      </c>
      <c r="BA1338" s="23" t="s">
        <v>14</v>
      </c>
    </row>
    <row r="1339" spans="1:53" x14ac:dyDescent="0.25">
      <c r="A1339" t="s">
        <v>134</v>
      </c>
      <c r="B1339" t="s">
        <v>135</v>
      </c>
      <c r="C1339">
        <v>22002587</v>
      </c>
      <c r="D1339">
        <v>1206</v>
      </c>
      <c r="E1339" s="11">
        <v>44788</v>
      </c>
      <c r="F1339" t="s">
        <v>174</v>
      </c>
      <c r="G1339">
        <v>100.75</v>
      </c>
      <c r="H1339">
        <v>100.75</v>
      </c>
      <c r="I1339" t="s">
        <v>56</v>
      </c>
      <c r="O1339" t="s">
        <v>57</v>
      </c>
      <c r="Q1339" t="s">
        <v>57</v>
      </c>
      <c r="R1339" t="s">
        <v>137</v>
      </c>
      <c r="T1339" t="s">
        <v>59</v>
      </c>
      <c r="U1339" t="s">
        <v>60</v>
      </c>
      <c r="V1339" t="s">
        <v>138</v>
      </c>
      <c r="W1339" t="s">
        <v>139</v>
      </c>
      <c r="X1339">
        <v>1933170</v>
      </c>
      <c r="Y1339" s="11">
        <v>44789</v>
      </c>
      <c r="Z1339" t="s">
        <v>57</v>
      </c>
      <c r="AA1339">
        <v>8</v>
      </c>
      <c r="AB1339" t="s">
        <v>57</v>
      </c>
      <c r="AD1339" t="s">
        <v>57</v>
      </c>
      <c r="AE1339" t="s">
        <v>57</v>
      </c>
      <c r="AF1339" t="s">
        <v>57</v>
      </c>
      <c r="AG1339">
        <v>1</v>
      </c>
      <c r="AH1339" t="s">
        <v>57</v>
      </c>
      <c r="AL1339" t="s">
        <v>57</v>
      </c>
      <c r="AM1339" s="11">
        <v>44788</v>
      </c>
      <c r="AN1339" t="s">
        <v>184</v>
      </c>
      <c r="AO1339" t="s">
        <v>65</v>
      </c>
      <c r="AP1339">
        <v>1206</v>
      </c>
      <c r="AQ1339" t="s">
        <v>66</v>
      </c>
      <c r="AR1339">
        <v>143860</v>
      </c>
      <c r="AU1339" t="s">
        <v>57</v>
      </c>
      <c r="AV1339" t="s">
        <v>68</v>
      </c>
      <c r="AX1339" t="s">
        <v>57</v>
      </c>
      <c r="AY1339">
        <v>631110</v>
      </c>
      <c r="AZ1339">
        <v>1206.63111</v>
      </c>
      <c r="BA1339" s="23" t="s">
        <v>14</v>
      </c>
    </row>
    <row r="1340" spans="1:53" x14ac:dyDescent="0.25">
      <c r="A1340" t="s">
        <v>134</v>
      </c>
      <c r="B1340" t="s">
        <v>135</v>
      </c>
      <c r="C1340">
        <v>22002588</v>
      </c>
      <c r="D1340">
        <v>1206</v>
      </c>
      <c r="E1340" s="11">
        <v>44788</v>
      </c>
      <c r="F1340" t="s">
        <v>159</v>
      </c>
      <c r="G1340">
        <v>0.68</v>
      </c>
      <c r="H1340">
        <v>0.68</v>
      </c>
      <c r="I1340" t="s">
        <v>56</v>
      </c>
      <c r="O1340" t="s">
        <v>57</v>
      </c>
      <c r="Q1340" t="s">
        <v>57</v>
      </c>
      <c r="R1340" t="s">
        <v>137</v>
      </c>
      <c r="T1340" t="s">
        <v>59</v>
      </c>
      <c r="U1340" t="s">
        <v>60</v>
      </c>
      <c r="V1340" t="s">
        <v>138</v>
      </c>
      <c r="W1340" t="s">
        <v>139</v>
      </c>
      <c r="X1340">
        <v>1933170</v>
      </c>
      <c r="Y1340" s="11">
        <v>44789</v>
      </c>
      <c r="Z1340" t="s">
        <v>57</v>
      </c>
      <c r="AA1340">
        <v>2</v>
      </c>
      <c r="AB1340" t="s">
        <v>57</v>
      </c>
      <c r="AD1340" t="s">
        <v>57</v>
      </c>
      <c r="AE1340" t="s">
        <v>57</v>
      </c>
      <c r="AF1340" t="s">
        <v>57</v>
      </c>
      <c r="AG1340">
        <v>1</v>
      </c>
      <c r="AH1340" t="s">
        <v>57</v>
      </c>
      <c r="AL1340" t="s">
        <v>57</v>
      </c>
      <c r="AM1340" s="11">
        <v>44788</v>
      </c>
      <c r="AN1340" t="s">
        <v>184</v>
      </c>
      <c r="AO1340" t="s">
        <v>65</v>
      </c>
      <c r="AP1340">
        <v>1206</v>
      </c>
      <c r="AQ1340" t="s">
        <v>66</v>
      </c>
      <c r="AR1340">
        <v>88732</v>
      </c>
      <c r="AU1340" t="s">
        <v>57</v>
      </c>
      <c r="AV1340" t="s">
        <v>68</v>
      </c>
      <c r="AX1340" t="s">
        <v>57</v>
      </c>
      <c r="AY1340">
        <v>631110</v>
      </c>
      <c r="AZ1340">
        <v>1206.63111</v>
      </c>
      <c r="BA1340" s="23" t="s">
        <v>14</v>
      </c>
    </row>
    <row r="1341" spans="1:53" x14ac:dyDescent="0.25">
      <c r="A1341" t="s">
        <v>134</v>
      </c>
      <c r="B1341" t="s">
        <v>135</v>
      </c>
      <c r="C1341">
        <v>22002589</v>
      </c>
      <c r="D1341">
        <v>1206</v>
      </c>
      <c r="E1341" s="11">
        <v>44789</v>
      </c>
      <c r="F1341" t="s">
        <v>172</v>
      </c>
      <c r="G1341">
        <v>24.19</v>
      </c>
      <c r="H1341">
        <v>24.19</v>
      </c>
      <c r="I1341" t="s">
        <v>56</v>
      </c>
      <c r="O1341" t="s">
        <v>57</v>
      </c>
      <c r="Q1341" t="s">
        <v>57</v>
      </c>
      <c r="R1341" t="s">
        <v>137</v>
      </c>
      <c r="T1341" t="s">
        <v>59</v>
      </c>
      <c r="U1341" t="s">
        <v>60</v>
      </c>
      <c r="V1341" t="s">
        <v>138</v>
      </c>
      <c r="W1341" t="s">
        <v>139</v>
      </c>
      <c r="X1341">
        <v>1933170</v>
      </c>
      <c r="Y1341" s="11">
        <v>44789</v>
      </c>
      <c r="Z1341" t="s">
        <v>57</v>
      </c>
      <c r="AA1341">
        <v>2</v>
      </c>
      <c r="AB1341" t="s">
        <v>57</v>
      </c>
      <c r="AD1341" t="s">
        <v>57</v>
      </c>
      <c r="AE1341" t="s">
        <v>57</v>
      </c>
      <c r="AF1341" t="s">
        <v>57</v>
      </c>
      <c r="AG1341">
        <v>3</v>
      </c>
      <c r="AH1341" t="s">
        <v>57</v>
      </c>
      <c r="AL1341" t="s">
        <v>57</v>
      </c>
      <c r="AM1341" s="11">
        <v>44789</v>
      </c>
      <c r="AN1341" t="s">
        <v>184</v>
      </c>
      <c r="AO1341" t="s">
        <v>65</v>
      </c>
      <c r="AP1341">
        <v>1206</v>
      </c>
      <c r="AQ1341" t="s">
        <v>66</v>
      </c>
      <c r="AR1341">
        <v>279991</v>
      </c>
      <c r="AU1341" t="s">
        <v>57</v>
      </c>
      <c r="AV1341" t="s">
        <v>68</v>
      </c>
      <c r="AX1341" t="s">
        <v>57</v>
      </c>
      <c r="AY1341">
        <v>631110</v>
      </c>
      <c r="AZ1341">
        <v>1206.63111</v>
      </c>
      <c r="BA1341" s="23" t="s">
        <v>14</v>
      </c>
    </row>
    <row r="1342" spans="1:53" x14ac:dyDescent="0.25">
      <c r="A1342" t="s">
        <v>134</v>
      </c>
      <c r="B1342" t="s">
        <v>135</v>
      </c>
      <c r="C1342">
        <v>22002589</v>
      </c>
      <c r="D1342">
        <v>1206</v>
      </c>
      <c r="E1342" s="11">
        <v>44789</v>
      </c>
      <c r="F1342" t="s">
        <v>172</v>
      </c>
      <c r="G1342">
        <v>29.57</v>
      </c>
      <c r="H1342">
        <v>29.57</v>
      </c>
      <c r="I1342" t="s">
        <v>56</v>
      </c>
      <c r="O1342" t="s">
        <v>57</v>
      </c>
      <c r="Q1342" t="s">
        <v>57</v>
      </c>
      <c r="R1342" t="s">
        <v>137</v>
      </c>
      <c r="T1342" t="s">
        <v>59</v>
      </c>
      <c r="U1342" t="s">
        <v>60</v>
      </c>
      <c r="V1342" t="s">
        <v>138</v>
      </c>
      <c r="W1342" t="s">
        <v>139</v>
      </c>
      <c r="X1342">
        <v>1933170</v>
      </c>
      <c r="Y1342" s="11">
        <v>44789</v>
      </c>
      <c r="Z1342" t="s">
        <v>57</v>
      </c>
      <c r="AA1342">
        <v>4</v>
      </c>
      <c r="AB1342" t="s">
        <v>57</v>
      </c>
      <c r="AD1342" t="s">
        <v>57</v>
      </c>
      <c r="AE1342" t="s">
        <v>57</v>
      </c>
      <c r="AF1342" t="s">
        <v>57</v>
      </c>
      <c r="AG1342">
        <v>20</v>
      </c>
      <c r="AH1342" t="s">
        <v>57</v>
      </c>
      <c r="AL1342" t="s">
        <v>57</v>
      </c>
      <c r="AM1342" s="11">
        <v>44789</v>
      </c>
      <c r="AN1342" t="s">
        <v>184</v>
      </c>
      <c r="AO1342" t="s">
        <v>65</v>
      </c>
      <c r="AP1342">
        <v>1206</v>
      </c>
      <c r="AQ1342" t="s">
        <v>66</v>
      </c>
      <c r="AR1342">
        <v>149525</v>
      </c>
      <c r="AU1342" t="s">
        <v>57</v>
      </c>
      <c r="AV1342" t="s">
        <v>68</v>
      </c>
      <c r="AX1342" t="s">
        <v>57</v>
      </c>
      <c r="AY1342">
        <v>631110</v>
      </c>
      <c r="AZ1342">
        <v>1206.63111</v>
      </c>
      <c r="BA1342" s="23" t="s">
        <v>14</v>
      </c>
    </row>
    <row r="1343" spans="1:53" x14ac:dyDescent="0.25">
      <c r="A1343" t="s">
        <v>134</v>
      </c>
      <c r="B1343" t="s">
        <v>135</v>
      </c>
      <c r="C1343">
        <v>22002591</v>
      </c>
      <c r="D1343">
        <v>1206</v>
      </c>
      <c r="E1343" s="11">
        <v>44789</v>
      </c>
      <c r="F1343" t="s">
        <v>174</v>
      </c>
      <c r="G1343">
        <v>3.77</v>
      </c>
      <c r="H1343">
        <v>3.77</v>
      </c>
      <c r="I1343" t="s">
        <v>56</v>
      </c>
      <c r="O1343" t="s">
        <v>57</v>
      </c>
      <c r="Q1343" t="s">
        <v>57</v>
      </c>
      <c r="R1343" t="s">
        <v>137</v>
      </c>
      <c r="T1343" t="s">
        <v>59</v>
      </c>
      <c r="U1343" t="s">
        <v>60</v>
      </c>
      <c r="V1343" t="s">
        <v>138</v>
      </c>
      <c r="W1343" t="s">
        <v>139</v>
      </c>
      <c r="X1343">
        <v>1933529</v>
      </c>
      <c r="Y1343" s="11">
        <v>44791</v>
      </c>
      <c r="Z1343" t="s">
        <v>57</v>
      </c>
      <c r="AA1343">
        <v>2</v>
      </c>
      <c r="AB1343" t="s">
        <v>57</v>
      </c>
      <c r="AD1343" t="s">
        <v>57</v>
      </c>
      <c r="AE1343" t="s">
        <v>57</v>
      </c>
      <c r="AF1343" t="s">
        <v>57</v>
      </c>
      <c r="AG1343">
        <v>1</v>
      </c>
      <c r="AH1343" t="s">
        <v>57</v>
      </c>
      <c r="AL1343" t="s">
        <v>57</v>
      </c>
      <c r="AM1343" s="11">
        <v>44789</v>
      </c>
      <c r="AN1343" t="s">
        <v>184</v>
      </c>
      <c r="AO1343" t="s">
        <v>65</v>
      </c>
      <c r="AP1343">
        <v>1206</v>
      </c>
      <c r="AQ1343" t="s">
        <v>66</v>
      </c>
      <c r="AR1343">
        <v>271731</v>
      </c>
      <c r="AU1343" t="s">
        <v>57</v>
      </c>
      <c r="AV1343" t="s">
        <v>68</v>
      </c>
      <c r="AX1343" t="s">
        <v>57</v>
      </c>
      <c r="AY1343">
        <v>631110</v>
      </c>
      <c r="AZ1343">
        <v>1206.63111</v>
      </c>
      <c r="BA1343" s="23" t="s">
        <v>14</v>
      </c>
    </row>
    <row r="1344" spans="1:53" x14ac:dyDescent="0.25">
      <c r="A1344" t="s">
        <v>134</v>
      </c>
      <c r="B1344" t="s">
        <v>135</v>
      </c>
      <c r="C1344">
        <v>22002591</v>
      </c>
      <c r="D1344">
        <v>1206</v>
      </c>
      <c r="E1344" s="11">
        <v>44789</v>
      </c>
      <c r="F1344" t="s">
        <v>174</v>
      </c>
      <c r="G1344">
        <v>4.18</v>
      </c>
      <c r="H1344">
        <v>4.18</v>
      </c>
      <c r="I1344" t="s">
        <v>56</v>
      </c>
      <c r="O1344" t="s">
        <v>57</v>
      </c>
      <c r="Q1344" t="s">
        <v>57</v>
      </c>
      <c r="R1344" t="s">
        <v>137</v>
      </c>
      <c r="T1344" t="s">
        <v>59</v>
      </c>
      <c r="U1344" t="s">
        <v>60</v>
      </c>
      <c r="V1344" t="s">
        <v>138</v>
      </c>
      <c r="W1344" t="s">
        <v>139</v>
      </c>
      <c r="X1344">
        <v>1933529</v>
      </c>
      <c r="Y1344" s="11">
        <v>44791</v>
      </c>
      <c r="Z1344" t="s">
        <v>57</v>
      </c>
      <c r="AA1344">
        <v>4</v>
      </c>
      <c r="AB1344" t="s">
        <v>57</v>
      </c>
      <c r="AD1344" t="s">
        <v>57</v>
      </c>
      <c r="AE1344" t="s">
        <v>57</v>
      </c>
      <c r="AF1344" t="s">
        <v>57</v>
      </c>
      <c r="AG1344">
        <v>2</v>
      </c>
      <c r="AH1344" t="s">
        <v>57</v>
      </c>
      <c r="AL1344" t="s">
        <v>57</v>
      </c>
      <c r="AM1344" s="11">
        <v>44789</v>
      </c>
      <c r="AN1344" t="s">
        <v>184</v>
      </c>
      <c r="AO1344" t="s">
        <v>65</v>
      </c>
      <c r="AP1344">
        <v>1206</v>
      </c>
      <c r="AQ1344" t="s">
        <v>66</v>
      </c>
      <c r="AR1344">
        <v>88783</v>
      </c>
      <c r="AU1344" t="s">
        <v>57</v>
      </c>
      <c r="AV1344" t="s">
        <v>68</v>
      </c>
      <c r="AX1344" t="s">
        <v>57</v>
      </c>
      <c r="AY1344">
        <v>631110</v>
      </c>
      <c r="AZ1344">
        <v>1206.63111</v>
      </c>
      <c r="BA1344" s="23" t="s">
        <v>14</v>
      </c>
    </row>
    <row r="1345" spans="1:53" x14ac:dyDescent="0.25">
      <c r="A1345" t="s">
        <v>134</v>
      </c>
      <c r="B1345" t="s">
        <v>135</v>
      </c>
      <c r="C1345">
        <v>22002591</v>
      </c>
      <c r="D1345">
        <v>1206</v>
      </c>
      <c r="E1345" s="11">
        <v>44789</v>
      </c>
      <c r="F1345" t="s">
        <v>174</v>
      </c>
      <c r="G1345">
        <v>10.28</v>
      </c>
      <c r="H1345">
        <v>10.28</v>
      </c>
      <c r="I1345" t="s">
        <v>56</v>
      </c>
      <c r="O1345" t="s">
        <v>57</v>
      </c>
      <c r="Q1345" t="s">
        <v>57</v>
      </c>
      <c r="R1345" t="s">
        <v>137</v>
      </c>
      <c r="T1345" t="s">
        <v>59</v>
      </c>
      <c r="U1345" t="s">
        <v>60</v>
      </c>
      <c r="V1345" t="s">
        <v>138</v>
      </c>
      <c r="W1345" t="s">
        <v>139</v>
      </c>
      <c r="X1345">
        <v>1933529</v>
      </c>
      <c r="Y1345" s="11">
        <v>44791</v>
      </c>
      <c r="Z1345" t="s">
        <v>57</v>
      </c>
      <c r="AA1345">
        <v>6</v>
      </c>
      <c r="AB1345" t="s">
        <v>57</v>
      </c>
      <c r="AD1345" t="s">
        <v>57</v>
      </c>
      <c r="AE1345" t="s">
        <v>57</v>
      </c>
      <c r="AF1345" t="s">
        <v>57</v>
      </c>
      <c r="AG1345">
        <v>1</v>
      </c>
      <c r="AH1345" t="s">
        <v>57</v>
      </c>
      <c r="AL1345" t="s">
        <v>57</v>
      </c>
      <c r="AM1345" s="11">
        <v>44789</v>
      </c>
      <c r="AN1345" t="s">
        <v>184</v>
      </c>
      <c r="AO1345" t="s">
        <v>65</v>
      </c>
      <c r="AP1345">
        <v>1206</v>
      </c>
      <c r="AQ1345" t="s">
        <v>66</v>
      </c>
      <c r="AR1345">
        <v>89976</v>
      </c>
      <c r="AU1345" t="s">
        <v>57</v>
      </c>
      <c r="AV1345" t="s">
        <v>68</v>
      </c>
      <c r="AX1345" t="s">
        <v>57</v>
      </c>
      <c r="AY1345">
        <v>631110</v>
      </c>
      <c r="AZ1345">
        <v>1206.63111</v>
      </c>
      <c r="BA1345" s="23" t="s">
        <v>14</v>
      </c>
    </row>
    <row r="1346" spans="1:53" x14ac:dyDescent="0.25">
      <c r="A1346" t="s">
        <v>134</v>
      </c>
      <c r="B1346" t="s">
        <v>135</v>
      </c>
      <c r="C1346">
        <v>22002592</v>
      </c>
      <c r="D1346">
        <v>1206</v>
      </c>
      <c r="E1346" s="11">
        <v>44789</v>
      </c>
      <c r="F1346" t="s">
        <v>174</v>
      </c>
      <c r="G1346">
        <v>5.76</v>
      </c>
      <c r="H1346">
        <v>5.76</v>
      </c>
      <c r="I1346" t="s">
        <v>56</v>
      </c>
      <c r="O1346" t="s">
        <v>57</v>
      </c>
      <c r="Q1346" t="s">
        <v>57</v>
      </c>
      <c r="R1346" t="s">
        <v>137</v>
      </c>
      <c r="T1346" t="s">
        <v>59</v>
      </c>
      <c r="U1346" t="s">
        <v>60</v>
      </c>
      <c r="V1346" t="s">
        <v>138</v>
      </c>
      <c r="W1346" t="s">
        <v>139</v>
      </c>
      <c r="X1346">
        <v>1933529</v>
      </c>
      <c r="Y1346" s="11">
        <v>44791</v>
      </c>
      <c r="Z1346" t="s">
        <v>57</v>
      </c>
      <c r="AA1346">
        <v>4</v>
      </c>
      <c r="AB1346" t="s">
        <v>57</v>
      </c>
      <c r="AD1346" t="s">
        <v>57</v>
      </c>
      <c r="AE1346" t="s">
        <v>57</v>
      </c>
      <c r="AF1346" t="s">
        <v>57</v>
      </c>
      <c r="AG1346">
        <v>1</v>
      </c>
      <c r="AH1346" t="s">
        <v>57</v>
      </c>
      <c r="AL1346" t="s">
        <v>57</v>
      </c>
      <c r="AM1346" s="11">
        <v>44789</v>
      </c>
      <c r="AN1346" t="s">
        <v>184</v>
      </c>
      <c r="AO1346" t="s">
        <v>65</v>
      </c>
      <c r="AP1346">
        <v>1206</v>
      </c>
      <c r="AQ1346" t="s">
        <v>66</v>
      </c>
      <c r="AR1346">
        <v>88625</v>
      </c>
      <c r="AU1346" t="s">
        <v>57</v>
      </c>
      <c r="AV1346" t="s">
        <v>68</v>
      </c>
      <c r="AX1346" t="s">
        <v>57</v>
      </c>
      <c r="AY1346">
        <v>631110</v>
      </c>
      <c r="AZ1346">
        <v>1206.63111</v>
      </c>
      <c r="BA1346" s="23" t="s">
        <v>14</v>
      </c>
    </row>
    <row r="1347" spans="1:53" x14ac:dyDescent="0.25">
      <c r="A1347" t="s">
        <v>134</v>
      </c>
      <c r="B1347" t="s">
        <v>135</v>
      </c>
      <c r="C1347">
        <v>22002592</v>
      </c>
      <c r="D1347">
        <v>1206</v>
      </c>
      <c r="E1347" s="11">
        <v>44789</v>
      </c>
      <c r="F1347" t="s">
        <v>174</v>
      </c>
      <c r="G1347">
        <v>4.03</v>
      </c>
      <c r="H1347">
        <v>4.03</v>
      </c>
      <c r="I1347" t="s">
        <v>56</v>
      </c>
      <c r="O1347" t="s">
        <v>57</v>
      </c>
      <c r="Q1347" t="s">
        <v>57</v>
      </c>
      <c r="R1347" t="s">
        <v>137</v>
      </c>
      <c r="T1347" t="s">
        <v>59</v>
      </c>
      <c r="U1347" t="s">
        <v>60</v>
      </c>
      <c r="V1347" t="s">
        <v>138</v>
      </c>
      <c r="W1347" t="s">
        <v>139</v>
      </c>
      <c r="X1347">
        <v>1933529</v>
      </c>
      <c r="Y1347" s="11">
        <v>44791</v>
      </c>
      <c r="Z1347" t="s">
        <v>57</v>
      </c>
      <c r="AA1347">
        <v>6</v>
      </c>
      <c r="AB1347" t="s">
        <v>57</v>
      </c>
      <c r="AD1347" t="s">
        <v>57</v>
      </c>
      <c r="AE1347" t="s">
        <v>57</v>
      </c>
      <c r="AF1347" t="s">
        <v>57</v>
      </c>
      <c r="AG1347">
        <v>1</v>
      </c>
      <c r="AH1347" t="s">
        <v>57</v>
      </c>
      <c r="AL1347" t="s">
        <v>57</v>
      </c>
      <c r="AM1347" s="11">
        <v>44789</v>
      </c>
      <c r="AN1347" t="s">
        <v>184</v>
      </c>
      <c r="AO1347" t="s">
        <v>65</v>
      </c>
      <c r="AP1347">
        <v>1206</v>
      </c>
      <c r="AQ1347" t="s">
        <v>66</v>
      </c>
      <c r="AR1347">
        <v>205691</v>
      </c>
      <c r="AU1347" t="s">
        <v>57</v>
      </c>
      <c r="AV1347" t="s">
        <v>68</v>
      </c>
      <c r="AX1347" t="s">
        <v>57</v>
      </c>
      <c r="AY1347">
        <v>631110</v>
      </c>
      <c r="AZ1347">
        <v>1206.63111</v>
      </c>
      <c r="BA1347" s="23" t="s">
        <v>14</v>
      </c>
    </row>
    <row r="1348" spans="1:53" x14ac:dyDescent="0.25">
      <c r="A1348" t="s">
        <v>134</v>
      </c>
      <c r="B1348" t="s">
        <v>135</v>
      </c>
      <c r="C1348">
        <v>22002592</v>
      </c>
      <c r="D1348">
        <v>1206</v>
      </c>
      <c r="E1348" s="11">
        <v>44789</v>
      </c>
      <c r="F1348" t="s">
        <v>174</v>
      </c>
      <c r="G1348">
        <v>26.81</v>
      </c>
      <c r="H1348">
        <v>26.81</v>
      </c>
      <c r="I1348" t="s">
        <v>56</v>
      </c>
      <c r="O1348" t="s">
        <v>57</v>
      </c>
      <c r="Q1348" t="s">
        <v>57</v>
      </c>
      <c r="R1348" t="s">
        <v>137</v>
      </c>
      <c r="T1348" t="s">
        <v>59</v>
      </c>
      <c r="U1348" t="s">
        <v>60</v>
      </c>
      <c r="V1348" t="s">
        <v>138</v>
      </c>
      <c r="W1348" t="s">
        <v>139</v>
      </c>
      <c r="X1348">
        <v>1933529</v>
      </c>
      <c r="Y1348" s="11">
        <v>44791</v>
      </c>
      <c r="Z1348" t="s">
        <v>57</v>
      </c>
      <c r="AA1348">
        <v>2</v>
      </c>
      <c r="AB1348" t="s">
        <v>57</v>
      </c>
      <c r="AD1348" t="s">
        <v>57</v>
      </c>
      <c r="AE1348" t="s">
        <v>57</v>
      </c>
      <c r="AF1348" t="s">
        <v>57</v>
      </c>
      <c r="AG1348">
        <v>1</v>
      </c>
      <c r="AH1348" t="s">
        <v>57</v>
      </c>
      <c r="AL1348" t="s">
        <v>57</v>
      </c>
      <c r="AM1348" s="11">
        <v>44789</v>
      </c>
      <c r="AN1348" t="s">
        <v>184</v>
      </c>
      <c r="AO1348" t="s">
        <v>65</v>
      </c>
      <c r="AP1348">
        <v>1206</v>
      </c>
      <c r="AQ1348" t="s">
        <v>66</v>
      </c>
      <c r="AR1348">
        <v>143095</v>
      </c>
      <c r="AU1348" t="s">
        <v>57</v>
      </c>
      <c r="AV1348" t="s">
        <v>68</v>
      </c>
      <c r="AX1348" t="s">
        <v>57</v>
      </c>
      <c r="AY1348">
        <v>631110</v>
      </c>
      <c r="AZ1348">
        <v>1206.63111</v>
      </c>
      <c r="BA1348" s="23" t="s">
        <v>14</v>
      </c>
    </row>
    <row r="1349" spans="1:53" x14ac:dyDescent="0.25">
      <c r="A1349" t="s">
        <v>134</v>
      </c>
      <c r="B1349" t="s">
        <v>135</v>
      </c>
      <c r="C1349">
        <v>22002593</v>
      </c>
      <c r="D1349">
        <v>1206</v>
      </c>
      <c r="E1349" s="11">
        <v>44789</v>
      </c>
      <c r="F1349" t="s">
        <v>174</v>
      </c>
      <c r="G1349">
        <v>2.83</v>
      </c>
      <c r="H1349">
        <v>2.83</v>
      </c>
      <c r="I1349" t="s">
        <v>56</v>
      </c>
      <c r="O1349" t="s">
        <v>57</v>
      </c>
      <c r="Q1349" t="s">
        <v>57</v>
      </c>
      <c r="R1349" t="s">
        <v>137</v>
      </c>
      <c r="T1349" t="s">
        <v>59</v>
      </c>
      <c r="U1349" t="s">
        <v>60</v>
      </c>
      <c r="V1349" t="s">
        <v>138</v>
      </c>
      <c r="W1349" t="s">
        <v>139</v>
      </c>
      <c r="X1349">
        <v>1933529</v>
      </c>
      <c r="Y1349" s="11">
        <v>44791</v>
      </c>
      <c r="Z1349" t="s">
        <v>57</v>
      </c>
      <c r="AA1349">
        <v>2</v>
      </c>
      <c r="AB1349" t="s">
        <v>57</v>
      </c>
      <c r="AD1349" t="s">
        <v>57</v>
      </c>
      <c r="AE1349" t="s">
        <v>57</v>
      </c>
      <c r="AF1349" t="s">
        <v>57</v>
      </c>
      <c r="AG1349">
        <v>1</v>
      </c>
      <c r="AH1349" t="s">
        <v>57</v>
      </c>
      <c r="AL1349" t="s">
        <v>57</v>
      </c>
      <c r="AM1349" s="11">
        <v>44789</v>
      </c>
      <c r="AN1349" t="s">
        <v>184</v>
      </c>
      <c r="AO1349" t="s">
        <v>65</v>
      </c>
      <c r="AP1349">
        <v>1206</v>
      </c>
      <c r="AQ1349" t="s">
        <v>66</v>
      </c>
      <c r="AR1349">
        <v>142790</v>
      </c>
      <c r="AU1349" t="s">
        <v>57</v>
      </c>
      <c r="AV1349" t="s">
        <v>68</v>
      </c>
      <c r="AX1349" t="s">
        <v>57</v>
      </c>
      <c r="AY1349">
        <v>631110</v>
      </c>
      <c r="AZ1349">
        <v>1206.63111</v>
      </c>
      <c r="BA1349" s="23" t="s">
        <v>14</v>
      </c>
    </row>
    <row r="1350" spans="1:53" x14ac:dyDescent="0.25">
      <c r="A1350" t="s">
        <v>134</v>
      </c>
      <c r="B1350" t="s">
        <v>135</v>
      </c>
      <c r="C1350">
        <v>22002593</v>
      </c>
      <c r="D1350">
        <v>1206</v>
      </c>
      <c r="E1350" s="11">
        <v>44789</v>
      </c>
      <c r="F1350" t="s">
        <v>174</v>
      </c>
      <c r="G1350">
        <v>2.57</v>
      </c>
      <c r="H1350">
        <v>2.57</v>
      </c>
      <c r="I1350" t="s">
        <v>56</v>
      </c>
      <c r="O1350" t="s">
        <v>57</v>
      </c>
      <c r="Q1350" t="s">
        <v>57</v>
      </c>
      <c r="R1350" t="s">
        <v>137</v>
      </c>
      <c r="T1350" t="s">
        <v>59</v>
      </c>
      <c r="U1350" t="s">
        <v>60</v>
      </c>
      <c r="V1350" t="s">
        <v>138</v>
      </c>
      <c r="W1350" t="s">
        <v>139</v>
      </c>
      <c r="X1350">
        <v>1933529</v>
      </c>
      <c r="Y1350" s="11">
        <v>44791</v>
      </c>
      <c r="Z1350" t="s">
        <v>57</v>
      </c>
      <c r="AA1350">
        <v>4</v>
      </c>
      <c r="AB1350" t="s">
        <v>57</v>
      </c>
      <c r="AD1350" t="s">
        <v>57</v>
      </c>
      <c r="AE1350" t="s">
        <v>57</v>
      </c>
      <c r="AF1350" t="s">
        <v>57</v>
      </c>
      <c r="AG1350">
        <v>1</v>
      </c>
      <c r="AH1350" t="s">
        <v>57</v>
      </c>
      <c r="AL1350" t="s">
        <v>57</v>
      </c>
      <c r="AM1350" s="11">
        <v>44789</v>
      </c>
      <c r="AN1350" t="s">
        <v>184</v>
      </c>
      <c r="AO1350" t="s">
        <v>65</v>
      </c>
      <c r="AP1350">
        <v>1206</v>
      </c>
      <c r="AQ1350" t="s">
        <v>66</v>
      </c>
      <c r="AR1350">
        <v>142791</v>
      </c>
      <c r="AU1350" t="s">
        <v>57</v>
      </c>
      <c r="AV1350" t="s">
        <v>68</v>
      </c>
      <c r="AX1350" t="s">
        <v>57</v>
      </c>
      <c r="AY1350">
        <v>631110</v>
      </c>
      <c r="AZ1350">
        <v>1206.63111</v>
      </c>
      <c r="BA1350" s="23" t="s">
        <v>14</v>
      </c>
    </row>
    <row r="1351" spans="1:53" x14ac:dyDescent="0.25">
      <c r="A1351" t="s">
        <v>134</v>
      </c>
      <c r="B1351" t="s">
        <v>135</v>
      </c>
      <c r="C1351">
        <v>22002593</v>
      </c>
      <c r="D1351">
        <v>1206</v>
      </c>
      <c r="E1351" s="11">
        <v>44789</v>
      </c>
      <c r="F1351" t="s">
        <v>174</v>
      </c>
      <c r="G1351">
        <v>51.48</v>
      </c>
      <c r="H1351">
        <v>51.48</v>
      </c>
      <c r="I1351" t="s">
        <v>56</v>
      </c>
      <c r="O1351" t="s">
        <v>57</v>
      </c>
      <c r="Q1351" t="s">
        <v>57</v>
      </c>
      <c r="R1351" t="s">
        <v>137</v>
      </c>
      <c r="T1351" t="s">
        <v>59</v>
      </c>
      <c r="U1351" t="s">
        <v>60</v>
      </c>
      <c r="V1351" t="s">
        <v>138</v>
      </c>
      <c r="W1351" t="s">
        <v>139</v>
      </c>
      <c r="X1351">
        <v>1933529</v>
      </c>
      <c r="Y1351" s="11">
        <v>44791</v>
      </c>
      <c r="Z1351" t="s">
        <v>57</v>
      </c>
      <c r="AA1351">
        <v>10</v>
      </c>
      <c r="AB1351" t="s">
        <v>57</v>
      </c>
      <c r="AD1351" t="s">
        <v>57</v>
      </c>
      <c r="AE1351" t="s">
        <v>57</v>
      </c>
      <c r="AF1351" t="s">
        <v>57</v>
      </c>
      <c r="AG1351">
        <v>1</v>
      </c>
      <c r="AH1351" t="s">
        <v>57</v>
      </c>
      <c r="AL1351" t="s">
        <v>57</v>
      </c>
      <c r="AM1351" s="11">
        <v>44789</v>
      </c>
      <c r="AN1351" t="s">
        <v>184</v>
      </c>
      <c r="AO1351" t="s">
        <v>65</v>
      </c>
      <c r="AP1351">
        <v>1206</v>
      </c>
      <c r="AQ1351" t="s">
        <v>66</v>
      </c>
      <c r="AR1351">
        <v>101485</v>
      </c>
      <c r="AU1351" t="s">
        <v>57</v>
      </c>
      <c r="AV1351" t="s">
        <v>68</v>
      </c>
      <c r="AX1351" t="s">
        <v>57</v>
      </c>
      <c r="AY1351">
        <v>631110</v>
      </c>
      <c r="AZ1351">
        <v>1206.63111</v>
      </c>
      <c r="BA1351" s="23" t="s">
        <v>14</v>
      </c>
    </row>
    <row r="1352" spans="1:53" x14ac:dyDescent="0.25">
      <c r="A1352" t="s">
        <v>134</v>
      </c>
      <c r="B1352" t="s">
        <v>135</v>
      </c>
      <c r="C1352">
        <v>22002593</v>
      </c>
      <c r="D1352">
        <v>1206</v>
      </c>
      <c r="E1352" s="11">
        <v>44789</v>
      </c>
      <c r="F1352" t="s">
        <v>174</v>
      </c>
      <c r="G1352">
        <v>4.03</v>
      </c>
      <c r="H1352">
        <v>4.03</v>
      </c>
      <c r="I1352" t="s">
        <v>56</v>
      </c>
      <c r="O1352" t="s">
        <v>57</v>
      </c>
      <c r="Q1352" t="s">
        <v>57</v>
      </c>
      <c r="R1352" t="s">
        <v>137</v>
      </c>
      <c r="T1352" t="s">
        <v>59</v>
      </c>
      <c r="U1352" t="s">
        <v>60</v>
      </c>
      <c r="V1352" t="s">
        <v>138</v>
      </c>
      <c r="W1352" t="s">
        <v>139</v>
      </c>
      <c r="X1352">
        <v>1933529</v>
      </c>
      <c r="Y1352" s="11">
        <v>44791</v>
      </c>
      <c r="Z1352" t="s">
        <v>57</v>
      </c>
      <c r="AA1352">
        <v>12</v>
      </c>
      <c r="AB1352" t="s">
        <v>57</v>
      </c>
      <c r="AD1352" t="s">
        <v>57</v>
      </c>
      <c r="AE1352" t="s">
        <v>57</v>
      </c>
      <c r="AF1352" t="s">
        <v>57</v>
      </c>
      <c r="AG1352">
        <v>1</v>
      </c>
      <c r="AH1352" t="s">
        <v>57</v>
      </c>
      <c r="AL1352" t="s">
        <v>57</v>
      </c>
      <c r="AM1352" s="11">
        <v>44789</v>
      </c>
      <c r="AN1352" t="s">
        <v>184</v>
      </c>
      <c r="AO1352" t="s">
        <v>65</v>
      </c>
      <c r="AP1352">
        <v>1206</v>
      </c>
      <c r="AQ1352" t="s">
        <v>66</v>
      </c>
      <c r="AR1352">
        <v>205691</v>
      </c>
      <c r="AU1352" t="s">
        <v>57</v>
      </c>
      <c r="AV1352" t="s">
        <v>68</v>
      </c>
      <c r="AX1352" t="s">
        <v>57</v>
      </c>
      <c r="AY1352">
        <v>631110</v>
      </c>
      <c r="AZ1352">
        <v>1206.63111</v>
      </c>
      <c r="BA1352" s="23" t="s">
        <v>14</v>
      </c>
    </row>
    <row r="1353" spans="1:53" x14ac:dyDescent="0.25">
      <c r="A1353" t="s">
        <v>134</v>
      </c>
      <c r="B1353" t="s">
        <v>135</v>
      </c>
      <c r="C1353">
        <v>22002593</v>
      </c>
      <c r="D1353">
        <v>1206</v>
      </c>
      <c r="E1353" s="11">
        <v>44789</v>
      </c>
      <c r="F1353" t="s">
        <v>174</v>
      </c>
      <c r="G1353">
        <v>100.75</v>
      </c>
      <c r="H1353">
        <v>100.75</v>
      </c>
      <c r="I1353" t="s">
        <v>56</v>
      </c>
      <c r="O1353" t="s">
        <v>57</v>
      </c>
      <c r="Q1353" t="s">
        <v>57</v>
      </c>
      <c r="R1353" t="s">
        <v>137</v>
      </c>
      <c r="T1353" t="s">
        <v>59</v>
      </c>
      <c r="U1353" t="s">
        <v>60</v>
      </c>
      <c r="V1353" t="s">
        <v>138</v>
      </c>
      <c r="W1353" t="s">
        <v>139</v>
      </c>
      <c r="X1353">
        <v>1933529</v>
      </c>
      <c r="Y1353" s="11">
        <v>44791</v>
      </c>
      <c r="Z1353" t="s">
        <v>57</v>
      </c>
      <c r="AA1353">
        <v>14</v>
      </c>
      <c r="AB1353" t="s">
        <v>57</v>
      </c>
      <c r="AD1353" t="s">
        <v>57</v>
      </c>
      <c r="AE1353" t="s">
        <v>57</v>
      </c>
      <c r="AF1353" t="s">
        <v>57</v>
      </c>
      <c r="AG1353">
        <v>1</v>
      </c>
      <c r="AH1353" t="s">
        <v>57</v>
      </c>
      <c r="AL1353" t="s">
        <v>57</v>
      </c>
      <c r="AM1353" s="11">
        <v>44789</v>
      </c>
      <c r="AN1353" t="s">
        <v>184</v>
      </c>
      <c r="AO1353" t="s">
        <v>65</v>
      </c>
      <c r="AP1353">
        <v>1206</v>
      </c>
      <c r="AQ1353" t="s">
        <v>66</v>
      </c>
      <c r="AR1353">
        <v>143860</v>
      </c>
      <c r="AU1353" t="s">
        <v>57</v>
      </c>
      <c r="AV1353" t="s">
        <v>68</v>
      </c>
      <c r="AX1353" t="s">
        <v>57</v>
      </c>
      <c r="AY1353">
        <v>631110</v>
      </c>
      <c r="AZ1353">
        <v>1206.63111</v>
      </c>
      <c r="BA1353" s="23" t="s">
        <v>14</v>
      </c>
    </row>
    <row r="1354" spans="1:53" x14ac:dyDescent="0.25">
      <c r="A1354" t="s">
        <v>134</v>
      </c>
      <c r="B1354" t="s">
        <v>135</v>
      </c>
      <c r="C1354">
        <v>22002593</v>
      </c>
      <c r="D1354">
        <v>1206</v>
      </c>
      <c r="E1354" s="11">
        <v>44789</v>
      </c>
      <c r="F1354" t="s">
        <v>174</v>
      </c>
      <c r="G1354">
        <v>3.67</v>
      </c>
      <c r="H1354">
        <v>3.67</v>
      </c>
      <c r="I1354" t="s">
        <v>56</v>
      </c>
      <c r="O1354" t="s">
        <v>57</v>
      </c>
      <c r="Q1354" t="s">
        <v>57</v>
      </c>
      <c r="R1354" t="s">
        <v>137</v>
      </c>
      <c r="T1354" t="s">
        <v>59</v>
      </c>
      <c r="U1354" t="s">
        <v>60</v>
      </c>
      <c r="V1354" t="s">
        <v>138</v>
      </c>
      <c r="W1354" t="s">
        <v>139</v>
      </c>
      <c r="X1354">
        <v>1933529</v>
      </c>
      <c r="Y1354" s="11">
        <v>44791</v>
      </c>
      <c r="Z1354" t="s">
        <v>57</v>
      </c>
      <c r="AA1354">
        <v>6</v>
      </c>
      <c r="AB1354" t="s">
        <v>57</v>
      </c>
      <c r="AD1354" t="s">
        <v>57</v>
      </c>
      <c r="AE1354" t="s">
        <v>57</v>
      </c>
      <c r="AF1354" t="s">
        <v>57</v>
      </c>
      <c r="AG1354">
        <v>1</v>
      </c>
      <c r="AH1354" t="s">
        <v>57</v>
      </c>
      <c r="AL1354" t="s">
        <v>57</v>
      </c>
      <c r="AM1354" s="11">
        <v>44789</v>
      </c>
      <c r="AN1354" t="s">
        <v>184</v>
      </c>
      <c r="AO1354" t="s">
        <v>65</v>
      </c>
      <c r="AP1354">
        <v>1206</v>
      </c>
      <c r="AQ1354" t="s">
        <v>66</v>
      </c>
      <c r="AR1354">
        <v>142788</v>
      </c>
      <c r="AU1354" t="s">
        <v>57</v>
      </c>
      <c r="AV1354" t="s">
        <v>68</v>
      </c>
      <c r="AX1354" t="s">
        <v>57</v>
      </c>
      <c r="AY1354">
        <v>631110</v>
      </c>
      <c r="AZ1354">
        <v>1206.63111</v>
      </c>
      <c r="BA1354" s="23" t="s">
        <v>14</v>
      </c>
    </row>
    <row r="1355" spans="1:53" x14ac:dyDescent="0.25">
      <c r="A1355" t="s">
        <v>134</v>
      </c>
      <c r="B1355" t="s">
        <v>135</v>
      </c>
      <c r="C1355">
        <v>22002593</v>
      </c>
      <c r="D1355">
        <v>1206</v>
      </c>
      <c r="E1355" s="11">
        <v>44789</v>
      </c>
      <c r="F1355" t="s">
        <v>174</v>
      </c>
      <c r="G1355">
        <v>157.97999999999999</v>
      </c>
      <c r="H1355">
        <v>157.97999999999999</v>
      </c>
      <c r="I1355" t="s">
        <v>56</v>
      </c>
      <c r="O1355" t="s">
        <v>57</v>
      </c>
      <c r="Q1355" t="s">
        <v>57</v>
      </c>
      <c r="R1355" t="s">
        <v>137</v>
      </c>
      <c r="T1355" t="s">
        <v>59</v>
      </c>
      <c r="U1355" t="s">
        <v>60</v>
      </c>
      <c r="V1355" t="s">
        <v>138</v>
      </c>
      <c r="W1355" t="s">
        <v>139</v>
      </c>
      <c r="X1355">
        <v>1933529</v>
      </c>
      <c r="Y1355" s="11">
        <v>44791</v>
      </c>
      <c r="Z1355" t="s">
        <v>57</v>
      </c>
      <c r="AA1355">
        <v>8</v>
      </c>
      <c r="AB1355" t="s">
        <v>57</v>
      </c>
      <c r="AD1355" t="s">
        <v>57</v>
      </c>
      <c r="AE1355" t="s">
        <v>57</v>
      </c>
      <c r="AF1355" t="s">
        <v>57</v>
      </c>
      <c r="AG1355">
        <v>1</v>
      </c>
      <c r="AH1355" t="s">
        <v>57</v>
      </c>
      <c r="AL1355" t="s">
        <v>57</v>
      </c>
      <c r="AM1355" s="11">
        <v>44789</v>
      </c>
      <c r="AN1355" t="s">
        <v>184</v>
      </c>
      <c r="AO1355" t="s">
        <v>65</v>
      </c>
      <c r="AP1355">
        <v>1206</v>
      </c>
      <c r="AQ1355" t="s">
        <v>66</v>
      </c>
      <c r="AR1355">
        <v>138787</v>
      </c>
      <c r="AU1355" t="s">
        <v>57</v>
      </c>
      <c r="AV1355" t="s">
        <v>68</v>
      </c>
      <c r="AX1355" t="s">
        <v>57</v>
      </c>
      <c r="AY1355">
        <v>631110</v>
      </c>
      <c r="AZ1355">
        <v>1206.63111</v>
      </c>
      <c r="BA1355" s="23" t="s">
        <v>14</v>
      </c>
    </row>
    <row r="1356" spans="1:53" x14ac:dyDescent="0.25">
      <c r="A1356" t="s">
        <v>134</v>
      </c>
      <c r="B1356" t="s">
        <v>135</v>
      </c>
      <c r="C1356">
        <v>22002593</v>
      </c>
      <c r="D1356">
        <v>1206</v>
      </c>
      <c r="E1356" s="11">
        <v>44789</v>
      </c>
      <c r="F1356" t="s">
        <v>174</v>
      </c>
      <c r="G1356">
        <v>0.83</v>
      </c>
      <c r="H1356">
        <v>0.83</v>
      </c>
      <c r="I1356" t="s">
        <v>56</v>
      </c>
      <c r="O1356" t="s">
        <v>57</v>
      </c>
      <c r="Q1356" t="s">
        <v>57</v>
      </c>
      <c r="R1356" t="s">
        <v>137</v>
      </c>
      <c r="T1356" t="s">
        <v>59</v>
      </c>
      <c r="U1356" t="s">
        <v>60</v>
      </c>
      <c r="V1356" t="s">
        <v>138</v>
      </c>
      <c r="W1356" t="s">
        <v>139</v>
      </c>
      <c r="X1356">
        <v>1933529</v>
      </c>
      <c r="Y1356" s="11">
        <v>44791</v>
      </c>
      <c r="Z1356" t="s">
        <v>57</v>
      </c>
      <c r="AA1356">
        <v>16</v>
      </c>
      <c r="AB1356" t="s">
        <v>57</v>
      </c>
      <c r="AD1356" t="s">
        <v>57</v>
      </c>
      <c r="AE1356" t="s">
        <v>57</v>
      </c>
      <c r="AF1356" t="s">
        <v>57</v>
      </c>
      <c r="AG1356">
        <v>1</v>
      </c>
      <c r="AH1356" t="s">
        <v>57</v>
      </c>
      <c r="AL1356" t="s">
        <v>57</v>
      </c>
      <c r="AM1356" s="11">
        <v>44789</v>
      </c>
      <c r="AN1356" t="s">
        <v>184</v>
      </c>
      <c r="AO1356" t="s">
        <v>65</v>
      </c>
      <c r="AP1356">
        <v>1206</v>
      </c>
      <c r="AQ1356" t="s">
        <v>66</v>
      </c>
      <c r="AR1356">
        <v>227796</v>
      </c>
      <c r="AU1356" t="s">
        <v>57</v>
      </c>
      <c r="AV1356" t="s">
        <v>68</v>
      </c>
      <c r="AX1356" t="s">
        <v>57</v>
      </c>
      <c r="AY1356">
        <v>631110</v>
      </c>
      <c r="AZ1356">
        <v>1206.63111</v>
      </c>
      <c r="BA1356" s="23" t="s">
        <v>14</v>
      </c>
    </row>
    <row r="1357" spans="1:53" x14ac:dyDescent="0.25">
      <c r="A1357" t="s">
        <v>134</v>
      </c>
      <c r="B1357" t="s">
        <v>135</v>
      </c>
      <c r="C1357">
        <v>22002593</v>
      </c>
      <c r="D1357">
        <v>1206</v>
      </c>
      <c r="E1357" s="11">
        <v>44789</v>
      </c>
      <c r="F1357" t="s">
        <v>174</v>
      </c>
      <c r="G1357">
        <v>24.03</v>
      </c>
      <c r="H1357">
        <v>24.03</v>
      </c>
      <c r="I1357" t="s">
        <v>56</v>
      </c>
      <c r="O1357" t="s">
        <v>57</v>
      </c>
      <c r="Q1357" t="s">
        <v>57</v>
      </c>
      <c r="R1357" t="s">
        <v>137</v>
      </c>
      <c r="T1357" t="s">
        <v>59</v>
      </c>
      <c r="U1357" t="s">
        <v>60</v>
      </c>
      <c r="V1357" t="s">
        <v>138</v>
      </c>
      <c r="W1357" t="s">
        <v>139</v>
      </c>
      <c r="X1357">
        <v>1933529</v>
      </c>
      <c r="Y1357" s="11">
        <v>44791</v>
      </c>
      <c r="Z1357" t="s">
        <v>57</v>
      </c>
      <c r="AA1357">
        <v>18</v>
      </c>
      <c r="AB1357" t="s">
        <v>57</v>
      </c>
      <c r="AD1357" t="s">
        <v>57</v>
      </c>
      <c r="AE1357" t="s">
        <v>57</v>
      </c>
      <c r="AF1357" t="s">
        <v>57</v>
      </c>
      <c r="AG1357">
        <v>1</v>
      </c>
      <c r="AH1357" t="s">
        <v>57</v>
      </c>
      <c r="AL1357" t="s">
        <v>57</v>
      </c>
      <c r="AM1357" s="11">
        <v>44789</v>
      </c>
      <c r="AN1357" t="s">
        <v>184</v>
      </c>
      <c r="AO1357" t="s">
        <v>65</v>
      </c>
      <c r="AP1357">
        <v>1206</v>
      </c>
      <c r="AQ1357" t="s">
        <v>66</v>
      </c>
      <c r="AR1357">
        <v>219291</v>
      </c>
      <c r="AU1357" t="s">
        <v>57</v>
      </c>
      <c r="AV1357" t="s">
        <v>68</v>
      </c>
      <c r="AX1357" t="s">
        <v>57</v>
      </c>
      <c r="AY1357">
        <v>631110</v>
      </c>
      <c r="AZ1357">
        <v>1206.63111</v>
      </c>
      <c r="BA1357" s="23" t="s">
        <v>14</v>
      </c>
    </row>
    <row r="1358" spans="1:53" x14ac:dyDescent="0.25">
      <c r="A1358" t="s">
        <v>134</v>
      </c>
      <c r="B1358" t="s">
        <v>135</v>
      </c>
      <c r="C1358">
        <v>22002597</v>
      </c>
      <c r="D1358">
        <v>1206</v>
      </c>
      <c r="E1358" s="11">
        <v>44789</v>
      </c>
      <c r="F1358" t="s">
        <v>185</v>
      </c>
      <c r="G1358">
        <v>21.89</v>
      </c>
      <c r="H1358">
        <v>21.89</v>
      </c>
      <c r="I1358" t="s">
        <v>56</v>
      </c>
      <c r="O1358" t="s">
        <v>57</v>
      </c>
      <c r="Q1358" t="s">
        <v>57</v>
      </c>
      <c r="R1358" t="s">
        <v>137</v>
      </c>
      <c r="T1358" t="s">
        <v>59</v>
      </c>
      <c r="U1358" t="s">
        <v>60</v>
      </c>
      <c r="V1358" t="s">
        <v>138</v>
      </c>
      <c r="W1358" t="s">
        <v>139</v>
      </c>
      <c r="X1358">
        <v>1933574</v>
      </c>
      <c r="Y1358" s="11">
        <v>44792</v>
      </c>
      <c r="Z1358" t="s">
        <v>57</v>
      </c>
      <c r="AA1358">
        <v>2</v>
      </c>
      <c r="AB1358" t="s">
        <v>57</v>
      </c>
      <c r="AD1358" t="s">
        <v>57</v>
      </c>
      <c r="AE1358" t="s">
        <v>57</v>
      </c>
      <c r="AF1358" t="s">
        <v>57</v>
      </c>
      <c r="AG1358">
        <v>60</v>
      </c>
      <c r="AH1358" t="s">
        <v>57</v>
      </c>
      <c r="AL1358" t="s">
        <v>57</v>
      </c>
      <c r="AM1358" s="11">
        <v>44789</v>
      </c>
      <c r="AN1358" t="s">
        <v>183</v>
      </c>
      <c r="AO1358" t="s">
        <v>65</v>
      </c>
      <c r="AP1358">
        <v>1206</v>
      </c>
      <c r="AQ1358" t="s">
        <v>66</v>
      </c>
      <c r="AR1358">
        <v>91011</v>
      </c>
      <c r="AU1358" t="s">
        <v>57</v>
      </c>
      <c r="AV1358" t="s">
        <v>68</v>
      </c>
      <c r="AX1358" t="s">
        <v>57</v>
      </c>
      <c r="AY1358">
        <v>631110</v>
      </c>
      <c r="AZ1358">
        <v>1206.63111</v>
      </c>
      <c r="BA1358" s="23" t="s">
        <v>14</v>
      </c>
    </row>
    <row r="1359" spans="1:53" x14ac:dyDescent="0.25">
      <c r="A1359" t="s">
        <v>134</v>
      </c>
      <c r="B1359" t="s">
        <v>135</v>
      </c>
      <c r="C1359">
        <v>22002597</v>
      </c>
      <c r="D1359">
        <v>1206</v>
      </c>
      <c r="E1359" s="11">
        <v>44789</v>
      </c>
      <c r="F1359" t="s">
        <v>185</v>
      </c>
      <c r="G1359">
        <v>1.5</v>
      </c>
      <c r="H1359">
        <v>1.5</v>
      </c>
      <c r="I1359" t="s">
        <v>56</v>
      </c>
      <c r="O1359" t="s">
        <v>57</v>
      </c>
      <c r="Q1359" t="s">
        <v>57</v>
      </c>
      <c r="R1359" t="s">
        <v>137</v>
      </c>
      <c r="T1359" t="s">
        <v>59</v>
      </c>
      <c r="U1359" t="s">
        <v>60</v>
      </c>
      <c r="V1359" t="s">
        <v>138</v>
      </c>
      <c r="W1359" t="s">
        <v>139</v>
      </c>
      <c r="X1359">
        <v>1933574</v>
      </c>
      <c r="Y1359" s="11">
        <v>44792</v>
      </c>
      <c r="Z1359" t="s">
        <v>57</v>
      </c>
      <c r="AA1359">
        <v>4</v>
      </c>
      <c r="AB1359" t="s">
        <v>57</v>
      </c>
      <c r="AD1359" t="s">
        <v>57</v>
      </c>
      <c r="AE1359" t="s">
        <v>57</v>
      </c>
      <c r="AF1359" t="s">
        <v>57</v>
      </c>
      <c r="AG1359">
        <v>10</v>
      </c>
      <c r="AH1359" t="s">
        <v>57</v>
      </c>
      <c r="AL1359" t="s">
        <v>57</v>
      </c>
      <c r="AM1359" s="11">
        <v>44789</v>
      </c>
      <c r="AN1359" t="s">
        <v>183</v>
      </c>
      <c r="AO1359" t="s">
        <v>65</v>
      </c>
      <c r="AP1359">
        <v>1206</v>
      </c>
      <c r="AQ1359" t="s">
        <v>66</v>
      </c>
      <c r="AR1359">
        <v>144854</v>
      </c>
      <c r="AU1359" t="s">
        <v>57</v>
      </c>
      <c r="AV1359" t="s">
        <v>68</v>
      </c>
      <c r="AX1359" t="s">
        <v>57</v>
      </c>
      <c r="AY1359">
        <v>631110</v>
      </c>
      <c r="AZ1359">
        <v>1206.63111</v>
      </c>
      <c r="BA1359" s="23" t="s">
        <v>14</v>
      </c>
    </row>
    <row r="1360" spans="1:53" x14ac:dyDescent="0.25">
      <c r="A1360" t="s">
        <v>134</v>
      </c>
      <c r="B1360" t="s">
        <v>135</v>
      </c>
      <c r="C1360">
        <v>22002597</v>
      </c>
      <c r="D1360">
        <v>1206</v>
      </c>
      <c r="E1360" s="11">
        <v>44789</v>
      </c>
      <c r="F1360" t="s">
        <v>185</v>
      </c>
      <c r="G1360">
        <v>3.08</v>
      </c>
      <c r="H1360">
        <v>3.08</v>
      </c>
      <c r="I1360" t="s">
        <v>56</v>
      </c>
      <c r="O1360" t="s">
        <v>57</v>
      </c>
      <c r="Q1360" t="s">
        <v>57</v>
      </c>
      <c r="R1360" t="s">
        <v>137</v>
      </c>
      <c r="T1360" t="s">
        <v>59</v>
      </c>
      <c r="U1360" t="s">
        <v>60</v>
      </c>
      <c r="V1360" t="s">
        <v>138</v>
      </c>
      <c r="W1360" t="s">
        <v>139</v>
      </c>
      <c r="X1360">
        <v>1933574</v>
      </c>
      <c r="Y1360" s="11">
        <v>44792</v>
      </c>
      <c r="Z1360" t="s">
        <v>57</v>
      </c>
      <c r="AA1360">
        <v>6</v>
      </c>
      <c r="AB1360" t="s">
        <v>57</v>
      </c>
      <c r="AD1360" t="s">
        <v>57</v>
      </c>
      <c r="AE1360" t="s">
        <v>57</v>
      </c>
      <c r="AF1360" t="s">
        <v>57</v>
      </c>
      <c r="AG1360">
        <v>20</v>
      </c>
      <c r="AH1360" t="s">
        <v>57</v>
      </c>
      <c r="AL1360" t="s">
        <v>57</v>
      </c>
      <c r="AM1360" s="11">
        <v>44789</v>
      </c>
      <c r="AN1360" t="s">
        <v>183</v>
      </c>
      <c r="AO1360" t="s">
        <v>65</v>
      </c>
      <c r="AP1360">
        <v>1206</v>
      </c>
      <c r="AQ1360" t="s">
        <v>66</v>
      </c>
      <c r="AR1360">
        <v>89712</v>
      </c>
      <c r="AU1360" t="s">
        <v>57</v>
      </c>
      <c r="AV1360" t="s">
        <v>68</v>
      </c>
      <c r="AX1360" t="s">
        <v>57</v>
      </c>
      <c r="AY1360">
        <v>631110</v>
      </c>
      <c r="AZ1360">
        <v>1206.63111</v>
      </c>
      <c r="BA1360" s="23" t="s">
        <v>14</v>
      </c>
    </row>
    <row r="1361" spans="1:53" x14ac:dyDescent="0.25">
      <c r="A1361" t="s">
        <v>134</v>
      </c>
      <c r="B1361" t="s">
        <v>135</v>
      </c>
      <c r="C1361">
        <v>22002598</v>
      </c>
      <c r="D1361">
        <v>1206</v>
      </c>
      <c r="E1361" s="11">
        <v>44791</v>
      </c>
      <c r="F1361" t="s">
        <v>185</v>
      </c>
      <c r="G1361">
        <v>36.54</v>
      </c>
      <c r="H1361">
        <v>36.54</v>
      </c>
      <c r="I1361" t="s">
        <v>56</v>
      </c>
      <c r="O1361" t="s">
        <v>57</v>
      </c>
      <c r="Q1361" t="s">
        <v>57</v>
      </c>
      <c r="R1361" t="s">
        <v>137</v>
      </c>
      <c r="T1361" t="s">
        <v>59</v>
      </c>
      <c r="U1361" t="s">
        <v>60</v>
      </c>
      <c r="V1361" t="s">
        <v>138</v>
      </c>
      <c r="W1361" t="s">
        <v>139</v>
      </c>
      <c r="X1361">
        <v>1933578</v>
      </c>
      <c r="Y1361" s="11">
        <v>44792</v>
      </c>
      <c r="Z1361" t="s">
        <v>57</v>
      </c>
      <c r="AA1361">
        <v>2</v>
      </c>
      <c r="AB1361" t="s">
        <v>57</v>
      </c>
      <c r="AD1361" t="s">
        <v>57</v>
      </c>
      <c r="AE1361" t="s">
        <v>57</v>
      </c>
      <c r="AF1361" t="s">
        <v>57</v>
      </c>
      <c r="AG1361">
        <v>100</v>
      </c>
      <c r="AH1361" t="s">
        <v>57</v>
      </c>
      <c r="AL1361" t="s">
        <v>57</v>
      </c>
      <c r="AM1361" s="11">
        <v>44791</v>
      </c>
      <c r="AN1361" t="s">
        <v>183</v>
      </c>
      <c r="AO1361" t="s">
        <v>65</v>
      </c>
      <c r="AP1361">
        <v>1206</v>
      </c>
      <c r="AQ1361" t="s">
        <v>66</v>
      </c>
      <c r="AR1361">
        <v>91011</v>
      </c>
      <c r="AU1361" t="s">
        <v>57</v>
      </c>
      <c r="AV1361" t="s">
        <v>68</v>
      </c>
      <c r="AX1361" t="s">
        <v>57</v>
      </c>
      <c r="AY1361">
        <v>631110</v>
      </c>
      <c r="AZ1361">
        <v>1206.63111</v>
      </c>
      <c r="BA1361" s="23" t="s">
        <v>14</v>
      </c>
    </row>
    <row r="1362" spans="1:53" x14ac:dyDescent="0.25">
      <c r="A1362" t="s">
        <v>134</v>
      </c>
      <c r="B1362" t="s">
        <v>135</v>
      </c>
      <c r="C1362">
        <v>22002598</v>
      </c>
      <c r="D1362">
        <v>1206</v>
      </c>
      <c r="E1362" s="11">
        <v>44791</v>
      </c>
      <c r="F1362" t="s">
        <v>185</v>
      </c>
      <c r="G1362">
        <v>4.5</v>
      </c>
      <c r="H1362">
        <v>4.5</v>
      </c>
      <c r="I1362" t="s">
        <v>56</v>
      </c>
      <c r="O1362" t="s">
        <v>57</v>
      </c>
      <c r="Q1362" t="s">
        <v>57</v>
      </c>
      <c r="R1362" t="s">
        <v>137</v>
      </c>
      <c r="T1362" t="s">
        <v>59</v>
      </c>
      <c r="U1362" t="s">
        <v>60</v>
      </c>
      <c r="V1362" t="s">
        <v>138</v>
      </c>
      <c r="W1362" t="s">
        <v>139</v>
      </c>
      <c r="X1362">
        <v>1933578</v>
      </c>
      <c r="Y1362" s="11">
        <v>44792</v>
      </c>
      <c r="Z1362" t="s">
        <v>57</v>
      </c>
      <c r="AA1362">
        <v>4</v>
      </c>
      <c r="AB1362" t="s">
        <v>57</v>
      </c>
      <c r="AD1362" t="s">
        <v>57</v>
      </c>
      <c r="AE1362" t="s">
        <v>57</v>
      </c>
      <c r="AF1362" t="s">
        <v>57</v>
      </c>
      <c r="AG1362">
        <v>30</v>
      </c>
      <c r="AH1362" t="s">
        <v>57</v>
      </c>
      <c r="AL1362" t="s">
        <v>57</v>
      </c>
      <c r="AM1362" s="11">
        <v>44791</v>
      </c>
      <c r="AN1362" t="s">
        <v>183</v>
      </c>
      <c r="AO1362" t="s">
        <v>65</v>
      </c>
      <c r="AP1362">
        <v>1206</v>
      </c>
      <c r="AQ1362" t="s">
        <v>66</v>
      </c>
      <c r="AR1362">
        <v>144854</v>
      </c>
      <c r="AU1362" t="s">
        <v>57</v>
      </c>
      <c r="AV1362" t="s">
        <v>68</v>
      </c>
      <c r="AX1362" t="s">
        <v>57</v>
      </c>
      <c r="AY1362">
        <v>631110</v>
      </c>
      <c r="AZ1362">
        <v>1206.63111</v>
      </c>
      <c r="BA1362" s="23" t="s">
        <v>14</v>
      </c>
    </row>
    <row r="1363" spans="1:53" x14ac:dyDescent="0.25">
      <c r="A1363" t="s">
        <v>134</v>
      </c>
      <c r="B1363" t="s">
        <v>135</v>
      </c>
      <c r="C1363">
        <v>22002598</v>
      </c>
      <c r="D1363">
        <v>1206</v>
      </c>
      <c r="E1363" s="11">
        <v>44791</v>
      </c>
      <c r="F1363" t="s">
        <v>185</v>
      </c>
      <c r="G1363">
        <v>4.62</v>
      </c>
      <c r="H1363">
        <v>4.62</v>
      </c>
      <c r="I1363" t="s">
        <v>56</v>
      </c>
      <c r="O1363" t="s">
        <v>57</v>
      </c>
      <c r="Q1363" t="s">
        <v>57</v>
      </c>
      <c r="R1363" t="s">
        <v>137</v>
      </c>
      <c r="T1363" t="s">
        <v>59</v>
      </c>
      <c r="U1363" t="s">
        <v>60</v>
      </c>
      <c r="V1363" t="s">
        <v>138</v>
      </c>
      <c r="W1363" t="s">
        <v>139</v>
      </c>
      <c r="X1363">
        <v>1933578</v>
      </c>
      <c r="Y1363" s="11">
        <v>44792</v>
      </c>
      <c r="Z1363" t="s">
        <v>57</v>
      </c>
      <c r="AA1363">
        <v>6</v>
      </c>
      <c r="AB1363" t="s">
        <v>57</v>
      </c>
      <c r="AD1363" t="s">
        <v>57</v>
      </c>
      <c r="AE1363" t="s">
        <v>57</v>
      </c>
      <c r="AF1363" t="s">
        <v>57</v>
      </c>
      <c r="AG1363">
        <v>30</v>
      </c>
      <c r="AH1363" t="s">
        <v>57</v>
      </c>
      <c r="AL1363" t="s">
        <v>57</v>
      </c>
      <c r="AM1363" s="11">
        <v>44791</v>
      </c>
      <c r="AN1363" t="s">
        <v>183</v>
      </c>
      <c r="AO1363" t="s">
        <v>65</v>
      </c>
      <c r="AP1363">
        <v>1206</v>
      </c>
      <c r="AQ1363" t="s">
        <v>66</v>
      </c>
      <c r="AR1363">
        <v>89712</v>
      </c>
      <c r="AU1363" t="s">
        <v>57</v>
      </c>
      <c r="AV1363" t="s">
        <v>68</v>
      </c>
      <c r="AX1363" t="s">
        <v>57</v>
      </c>
      <c r="AY1363">
        <v>631110</v>
      </c>
      <c r="AZ1363">
        <v>1206.63111</v>
      </c>
      <c r="BA1363" s="23" t="s">
        <v>14</v>
      </c>
    </row>
    <row r="1364" spans="1:53" x14ac:dyDescent="0.25">
      <c r="A1364" t="s">
        <v>134</v>
      </c>
      <c r="B1364" t="s">
        <v>135</v>
      </c>
      <c r="C1364">
        <v>22002598</v>
      </c>
      <c r="D1364">
        <v>1206</v>
      </c>
      <c r="E1364" s="11">
        <v>44791</v>
      </c>
      <c r="F1364" t="s">
        <v>185</v>
      </c>
      <c r="G1364">
        <v>0.77</v>
      </c>
      <c r="H1364">
        <v>0.77</v>
      </c>
      <c r="I1364" t="s">
        <v>56</v>
      </c>
      <c r="O1364" t="s">
        <v>57</v>
      </c>
      <c r="Q1364" t="s">
        <v>57</v>
      </c>
      <c r="R1364" t="s">
        <v>137</v>
      </c>
      <c r="T1364" t="s">
        <v>59</v>
      </c>
      <c r="U1364" t="s">
        <v>60</v>
      </c>
      <c r="V1364" t="s">
        <v>138</v>
      </c>
      <c r="W1364" t="s">
        <v>139</v>
      </c>
      <c r="X1364">
        <v>1933578</v>
      </c>
      <c r="Y1364" s="11">
        <v>44792</v>
      </c>
      <c r="Z1364" t="s">
        <v>57</v>
      </c>
      <c r="AA1364">
        <v>8</v>
      </c>
      <c r="AB1364" t="s">
        <v>57</v>
      </c>
      <c r="AD1364" t="s">
        <v>57</v>
      </c>
      <c r="AE1364" t="s">
        <v>57</v>
      </c>
      <c r="AF1364" t="s">
        <v>57</v>
      </c>
      <c r="AG1364">
        <v>10</v>
      </c>
      <c r="AH1364" t="s">
        <v>57</v>
      </c>
      <c r="AL1364" t="s">
        <v>57</v>
      </c>
      <c r="AM1364" s="11">
        <v>44791</v>
      </c>
      <c r="AN1364" t="s">
        <v>183</v>
      </c>
      <c r="AO1364" t="s">
        <v>65</v>
      </c>
      <c r="AP1364">
        <v>1206</v>
      </c>
      <c r="AQ1364" t="s">
        <v>66</v>
      </c>
      <c r="AR1364">
        <v>267129</v>
      </c>
      <c r="AU1364" t="s">
        <v>57</v>
      </c>
      <c r="AV1364" t="s">
        <v>68</v>
      </c>
      <c r="AX1364" t="s">
        <v>57</v>
      </c>
      <c r="AY1364">
        <v>631110</v>
      </c>
      <c r="AZ1364">
        <v>1206.63111</v>
      </c>
      <c r="BA1364" s="23" t="s">
        <v>14</v>
      </c>
    </row>
    <row r="1365" spans="1:53" x14ac:dyDescent="0.25">
      <c r="A1365" t="s">
        <v>134</v>
      </c>
      <c r="B1365" t="s">
        <v>135</v>
      </c>
      <c r="C1365">
        <v>22002598</v>
      </c>
      <c r="D1365">
        <v>1206</v>
      </c>
      <c r="E1365" s="11">
        <v>44791</v>
      </c>
      <c r="F1365" t="s">
        <v>185</v>
      </c>
      <c r="G1365">
        <v>1.1100000000000001</v>
      </c>
      <c r="H1365">
        <v>1.1100000000000001</v>
      </c>
      <c r="I1365" t="s">
        <v>56</v>
      </c>
      <c r="O1365" t="s">
        <v>57</v>
      </c>
      <c r="Q1365" t="s">
        <v>57</v>
      </c>
      <c r="R1365" t="s">
        <v>137</v>
      </c>
      <c r="T1365" t="s">
        <v>59</v>
      </c>
      <c r="U1365" t="s">
        <v>60</v>
      </c>
      <c r="V1365" t="s">
        <v>138</v>
      </c>
      <c r="W1365" t="s">
        <v>139</v>
      </c>
      <c r="X1365">
        <v>1933578</v>
      </c>
      <c r="Y1365" s="11">
        <v>44792</v>
      </c>
      <c r="Z1365" t="s">
        <v>57</v>
      </c>
      <c r="AA1365">
        <v>10</v>
      </c>
      <c r="AB1365" t="s">
        <v>57</v>
      </c>
      <c r="AD1365" t="s">
        <v>57</v>
      </c>
      <c r="AE1365" t="s">
        <v>57</v>
      </c>
      <c r="AF1365" t="s">
        <v>57</v>
      </c>
      <c r="AG1365">
        <v>10</v>
      </c>
      <c r="AH1365" t="s">
        <v>57</v>
      </c>
      <c r="AL1365" t="s">
        <v>57</v>
      </c>
      <c r="AM1365" s="11">
        <v>44791</v>
      </c>
      <c r="AN1365" t="s">
        <v>183</v>
      </c>
      <c r="AO1365" t="s">
        <v>65</v>
      </c>
      <c r="AP1365">
        <v>1206</v>
      </c>
      <c r="AQ1365" t="s">
        <v>66</v>
      </c>
      <c r="AR1365">
        <v>265267</v>
      </c>
      <c r="AU1365" t="s">
        <v>57</v>
      </c>
      <c r="AV1365" t="s">
        <v>68</v>
      </c>
      <c r="AX1365" t="s">
        <v>57</v>
      </c>
      <c r="AY1365">
        <v>631110</v>
      </c>
      <c r="AZ1365">
        <v>1206.63111</v>
      </c>
      <c r="BA1365" s="23" t="s">
        <v>14</v>
      </c>
    </row>
    <row r="1366" spans="1:53" x14ac:dyDescent="0.25">
      <c r="A1366" t="s">
        <v>134</v>
      </c>
      <c r="B1366" t="s">
        <v>135</v>
      </c>
      <c r="C1366">
        <v>22002598</v>
      </c>
      <c r="D1366">
        <v>1206</v>
      </c>
      <c r="E1366" s="11">
        <v>44791</v>
      </c>
      <c r="F1366" t="s">
        <v>185</v>
      </c>
      <c r="G1366">
        <v>0.77</v>
      </c>
      <c r="H1366">
        <v>0.77</v>
      </c>
      <c r="I1366" t="s">
        <v>56</v>
      </c>
      <c r="O1366" t="s">
        <v>57</v>
      </c>
      <c r="Q1366" t="s">
        <v>57</v>
      </c>
      <c r="R1366" t="s">
        <v>137</v>
      </c>
      <c r="T1366" t="s">
        <v>59</v>
      </c>
      <c r="U1366" t="s">
        <v>60</v>
      </c>
      <c r="V1366" t="s">
        <v>138</v>
      </c>
      <c r="W1366" t="s">
        <v>139</v>
      </c>
      <c r="X1366">
        <v>1933578</v>
      </c>
      <c r="Y1366" s="11">
        <v>44792</v>
      </c>
      <c r="Z1366" t="s">
        <v>57</v>
      </c>
      <c r="AA1366">
        <v>12</v>
      </c>
      <c r="AB1366" t="s">
        <v>57</v>
      </c>
      <c r="AD1366" t="s">
        <v>57</v>
      </c>
      <c r="AE1366" t="s">
        <v>57</v>
      </c>
      <c r="AF1366" t="s">
        <v>57</v>
      </c>
      <c r="AG1366">
        <v>10</v>
      </c>
      <c r="AH1366" t="s">
        <v>57</v>
      </c>
      <c r="AL1366" t="s">
        <v>57</v>
      </c>
      <c r="AM1366" s="11">
        <v>44791</v>
      </c>
      <c r="AN1366" t="s">
        <v>183</v>
      </c>
      <c r="AO1366" t="s">
        <v>65</v>
      </c>
      <c r="AP1366">
        <v>1206</v>
      </c>
      <c r="AQ1366" t="s">
        <v>66</v>
      </c>
      <c r="AR1366">
        <v>91479</v>
      </c>
      <c r="AU1366" t="s">
        <v>57</v>
      </c>
      <c r="AV1366" t="s">
        <v>68</v>
      </c>
      <c r="AX1366" t="s">
        <v>57</v>
      </c>
      <c r="AY1366">
        <v>631110</v>
      </c>
      <c r="AZ1366">
        <v>1206.63111</v>
      </c>
      <c r="BA1366" s="23" t="s">
        <v>14</v>
      </c>
    </row>
    <row r="1367" spans="1:53" x14ac:dyDescent="0.25">
      <c r="A1367" t="s">
        <v>134</v>
      </c>
      <c r="B1367" t="s">
        <v>135</v>
      </c>
      <c r="C1367">
        <v>22002598</v>
      </c>
      <c r="D1367">
        <v>1206</v>
      </c>
      <c r="E1367" s="11">
        <v>44791</v>
      </c>
      <c r="F1367" t="s">
        <v>185</v>
      </c>
      <c r="G1367">
        <v>0.86</v>
      </c>
      <c r="H1367">
        <v>0.86</v>
      </c>
      <c r="I1367" t="s">
        <v>56</v>
      </c>
      <c r="O1367" t="s">
        <v>57</v>
      </c>
      <c r="Q1367" t="s">
        <v>57</v>
      </c>
      <c r="R1367" t="s">
        <v>137</v>
      </c>
      <c r="T1367" t="s">
        <v>59</v>
      </c>
      <c r="U1367" t="s">
        <v>60</v>
      </c>
      <c r="V1367" t="s">
        <v>138</v>
      </c>
      <c r="W1367" t="s">
        <v>139</v>
      </c>
      <c r="X1367">
        <v>1933578</v>
      </c>
      <c r="Y1367" s="11">
        <v>44792</v>
      </c>
      <c r="Z1367" t="s">
        <v>57</v>
      </c>
      <c r="AA1367">
        <v>14</v>
      </c>
      <c r="AB1367" t="s">
        <v>57</v>
      </c>
      <c r="AD1367" t="s">
        <v>57</v>
      </c>
      <c r="AE1367" t="s">
        <v>57</v>
      </c>
      <c r="AF1367" t="s">
        <v>57</v>
      </c>
      <c r="AG1367">
        <v>10</v>
      </c>
      <c r="AH1367" t="s">
        <v>57</v>
      </c>
      <c r="AL1367" t="s">
        <v>57</v>
      </c>
      <c r="AM1367" s="11">
        <v>44791</v>
      </c>
      <c r="AN1367" t="s">
        <v>183</v>
      </c>
      <c r="AO1367" t="s">
        <v>65</v>
      </c>
      <c r="AP1367">
        <v>1206</v>
      </c>
      <c r="AQ1367" t="s">
        <v>66</v>
      </c>
      <c r="AR1367">
        <v>92908</v>
      </c>
      <c r="AU1367" t="s">
        <v>57</v>
      </c>
      <c r="AV1367" t="s">
        <v>68</v>
      </c>
      <c r="AX1367" t="s">
        <v>57</v>
      </c>
      <c r="AY1367">
        <v>631110</v>
      </c>
      <c r="AZ1367">
        <v>1206.63111</v>
      </c>
      <c r="BA1367" s="23" t="s">
        <v>14</v>
      </c>
    </row>
    <row r="1368" spans="1:53" x14ac:dyDescent="0.25">
      <c r="A1368" t="s">
        <v>134</v>
      </c>
      <c r="B1368" t="s">
        <v>135</v>
      </c>
      <c r="C1368">
        <v>22002599</v>
      </c>
      <c r="D1368">
        <v>1206</v>
      </c>
      <c r="E1368" s="11">
        <v>44791</v>
      </c>
      <c r="F1368" t="s">
        <v>172</v>
      </c>
      <c r="G1368">
        <v>24.19</v>
      </c>
      <c r="H1368">
        <v>24.19</v>
      </c>
      <c r="I1368" t="s">
        <v>56</v>
      </c>
      <c r="O1368" t="s">
        <v>57</v>
      </c>
      <c r="Q1368" t="s">
        <v>57</v>
      </c>
      <c r="R1368" t="s">
        <v>137</v>
      </c>
      <c r="T1368" t="s">
        <v>59</v>
      </c>
      <c r="U1368" t="s">
        <v>60</v>
      </c>
      <c r="V1368" t="s">
        <v>138</v>
      </c>
      <c r="W1368" t="s">
        <v>139</v>
      </c>
      <c r="X1368">
        <v>1934071</v>
      </c>
      <c r="Y1368" s="11">
        <v>44792</v>
      </c>
      <c r="Z1368" t="s">
        <v>57</v>
      </c>
      <c r="AA1368">
        <v>2</v>
      </c>
      <c r="AB1368" t="s">
        <v>57</v>
      </c>
      <c r="AD1368" t="s">
        <v>57</v>
      </c>
      <c r="AE1368" t="s">
        <v>57</v>
      </c>
      <c r="AF1368" t="s">
        <v>57</v>
      </c>
      <c r="AG1368">
        <v>3</v>
      </c>
      <c r="AH1368" t="s">
        <v>57</v>
      </c>
      <c r="AL1368" t="s">
        <v>57</v>
      </c>
      <c r="AM1368" s="11">
        <v>44791</v>
      </c>
      <c r="AN1368" t="s">
        <v>184</v>
      </c>
      <c r="AO1368" t="s">
        <v>65</v>
      </c>
      <c r="AP1368">
        <v>1206</v>
      </c>
      <c r="AQ1368" t="s">
        <v>66</v>
      </c>
      <c r="AR1368">
        <v>279991</v>
      </c>
      <c r="AU1368" t="s">
        <v>57</v>
      </c>
      <c r="AV1368" t="s">
        <v>68</v>
      </c>
      <c r="AX1368" t="s">
        <v>57</v>
      </c>
      <c r="AY1368">
        <v>631110</v>
      </c>
      <c r="AZ1368">
        <v>1206.63111</v>
      </c>
      <c r="BA1368" s="23" t="s">
        <v>14</v>
      </c>
    </row>
    <row r="1369" spans="1:53" x14ac:dyDescent="0.25">
      <c r="A1369" t="s">
        <v>134</v>
      </c>
      <c r="B1369" t="s">
        <v>135</v>
      </c>
      <c r="C1369">
        <v>22002600</v>
      </c>
      <c r="D1369">
        <v>1206</v>
      </c>
      <c r="E1369" s="11">
        <v>44791</v>
      </c>
      <c r="F1369" t="s">
        <v>174</v>
      </c>
      <c r="G1369">
        <v>10.09</v>
      </c>
      <c r="H1369">
        <v>10.09</v>
      </c>
      <c r="I1369" t="s">
        <v>56</v>
      </c>
      <c r="O1369" t="s">
        <v>57</v>
      </c>
      <c r="Q1369" t="s">
        <v>57</v>
      </c>
      <c r="R1369" t="s">
        <v>137</v>
      </c>
      <c r="T1369" t="s">
        <v>59</v>
      </c>
      <c r="U1369" t="s">
        <v>60</v>
      </c>
      <c r="V1369" t="s">
        <v>138</v>
      </c>
      <c r="W1369" t="s">
        <v>139</v>
      </c>
      <c r="X1369">
        <v>1934071</v>
      </c>
      <c r="Y1369" s="11">
        <v>44792</v>
      </c>
      <c r="Z1369" t="s">
        <v>57</v>
      </c>
      <c r="AA1369">
        <v>2</v>
      </c>
      <c r="AB1369" t="s">
        <v>57</v>
      </c>
      <c r="AD1369" t="s">
        <v>57</v>
      </c>
      <c r="AE1369" t="s">
        <v>57</v>
      </c>
      <c r="AF1369" t="s">
        <v>57</v>
      </c>
      <c r="AG1369">
        <v>3</v>
      </c>
      <c r="AH1369" t="s">
        <v>57</v>
      </c>
      <c r="AL1369" t="s">
        <v>57</v>
      </c>
      <c r="AM1369" s="11">
        <v>44791</v>
      </c>
      <c r="AN1369" t="s">
        <v>184</v>
      </c>
      <c r="AO1369" t="s">
        <v>65</v>
      </c>
      <c r="AP1369">
        <v>1206</v>
      </c>
      <c r="AQ1369" t="s">
        <v>66</v>
      </c>
      <c r="AR1369">
        <v>206793</v>
      </c>
      <c r="AU1369" t="s">
        <v>57</v>
      </c>
      <c r="AV1369" t="s">
        <v>68</v>
      </c>
      <c r="AX1369" t="s">
        <v>57</v>
      </c>
      <c r="AY1369">
        <v>631110</v>
      </c>
      <c r="AZ1369">
        <v>1206.63111</v>
      </c>
      <c r="BA1369" s="23" t="s">
        <v>14</v>
      </c>
    </row>
    <row r="1370" spans="1:53" x14ac:dyDescent="0.25">
      <c r="A1370" t="s">
        <v>134</v>
      </c>
      <c r="B1370" t="s">
        <v>135</v>
      </c>
      <c r="C1370">
        <v>22002600</v>
      </c>
      <c r="D1370">
        <v>1206</v>
      </c>
      <c r="E1370" s="11">
        <v>44791</v>
      </c>
      <c r="F1370" t="s">
        <v>174</v>
      </c>
      <c r="G1370">
        <v>0.79</v>
      </c>
      <c r="H1370">
        <v>0.79</v>
      </c>
      <c r="I1370" t="s">
        <v>56</v>
      </c>
      <c r="O1370" t="s">
        <v>57</v>
      </c>
      <c r="Q1370" t="s">
        <v>57</v>
      </c>
      <c r="R1370" t="s">
        <v>137</v>
      </c>
      <c r="T1370" t="s">
        <v>59</v>
      </c>
      <c r="U1370" t="s">
        <v>60</v>
      </c>
      <c r="V1370" t="s">
        <v>138</v>
      </c>
      <c r="W1370" t="s">
        <v>139</v>
      </c>
      <c r="X1370">
        <v>1934071</v>
      </c>
      <c r="Y1370" s="11">
        <v>44792</v>
      </c>
      <c r="Z1370" t="s">
        <v>57</v>
      </c>
      <c r="AA1370">
        <v>4</v>
      </c>
      <c r="AB1370" t="s">
        <v>57</v>
      </c>
      <c r="AD1370" t="s">
        <v>57</v>
      </c>
      <c r="AE1370" t="s">
        <v>57</v>
      </c>
      <c r="AF1370" t="s">
        <v>57</v>
      </c>
      <c r="AG1370">
        <v>1</v>
      </c>
      <c r="AH1370" t="s">
        <v>57</v>
      </c>
      <c r="AL1370" t="s">
        <v>57</v>
      </c>
      <c r="AM1370" s="11">
        <v>44791</v>
      </c>
      <c r="AN1370" t="s">
        <v>184</v>
      </c>
      <c r="AO1370" t="s">
        <v>65</v>
      </c>
      <c r="AP1370">
        <v>1206</v>
      </c>
      <c r="AQ1370" t="s">
        <v>66</v>
      </c>
      <c r="AR1370">
        <v>247349</v>
      </c>
      <c r="AU1370" t="s">
        <v>57</v>
      </c>
      <c r="AV1370" t="s">
        <v>68</v>
      </c>
      <c r="AX1370" t="s">
        <v>57</v>
      </c>
      <c r="AY1370">
        <v>631110</v>
      </c>
      <c r="AZ1370">
        <v>1206.63111</v>
      </c>
      <c r="BA1370" s="23" t="s">
        <v>14</v>
      </c>
    </row>
    <row r="1371" spans="1:53" x14ac:dyDescent="0.25">
      <c r="A1371" t="s">
        <v>134</v>
      </c>
      <c r="B1371" t="s">
        <v>135</v>
      </c>
      <c r="C1371">
        <v>22002600</v>
      </c>
      <c r="D1371">
        <v>1206</v>
      </c>
      <c r="E1371" s="11">
        <v>44791</v>
      </c>
      <c r="F1371" t="s">
        <v>174</v>
      </c>
      <c r="G1371">
        <v>1.21</v>
      </c>
      <c r="H1371">
        <v>1.21</v>
      </c>
      <c r="I1371" t="s">
        <v>56</v>
      </c>
      <c r="O1371" t="s">
        <v>57</v>
      </c>
      <c r="Q1371" t="s">
        <v>57</v>
      </c>
      <c r="R1371" t="s">
        <v>137</v>
      </c>
      <c r="T1371" t="s">
        <v>59</v>
      </c>
      <c r="U1371" t="s">
        <v>60</v>
      </c>
      <c r="V1371" t="s">
        <v>138</v>
      </c>
      <c r="W1371" t="s">
        <v>139</v>
      </c>
      <c r="X1371">
        <v>1934071</v>
      </c>
      <c r="Y1371" s="11">
        <v>44792</v>
      </c>
      <c r="Z1371" t="s">
        <v>57</v>
      </c>
      <c r="AA1371">
        <v>6</v>
      </c>
      <c r="AB1371" t="s">
        <v>57</v>
      </c>
      <c r="AD1371" t="s">
        <v>57</v>
      </c>
      <c r="AE1371" t="s">
        <v>57</v>
      </c>
      <c r="AF1371" t="s">
        <v>57</v>
      </c>
      <c r="AG1371">
        <v>2</v>
      </c>
      <c r="AH1371" t="s">
        <v>57</v>
      </c>
      <c r="AL1371" t="s">
        <v>57</v>
      </c>
      <c r="AM1371" s="11">
        <v>44791</v>
      </c>
      <c r="AN1371" t="s">
        <v>184</v>
      </c>
      <c r="AO1371" t="s">
        <v>65</v>
      </c>
      <c r="AP1371">
        <v>1206</v>
      </c>
      <c r="AQ1371" t="s">
        <v>66</v>
      </c>
      <c r="AR1371">
        <v>271900</v>
      </c>
      <c r="AU1371" t="s">
        <v>57</v>
      </c>
      <c r="AV1371" t="s">
        <v>68</v>
      </c>
      <c r="AX1371" t="s">
        <v>57</v>
      </c>
      <c r="AY1371">
        <v>631110</v>
      </c>
      <c r="AZ1371">
        <v>1206.63111</v>
      </c>
      <c r="BA1371" s="23" t="s">
        <v>14</v>
      </c>
    </row>
    <row r="1372" spans="1:53" x14ac:dyDescent="0.25">
      <c r="A1372" t="s">
        <v>134</v>
      </c>
      <c r="B1372" t="s">
        <v>135</v>
      </c>
      <c r="C1372">
        <v>22002601</v>
      </c>
      <c r="D1372">
        <v>1206</v>
      </c>
      <c r="E1372" s="11">
        <v>44791</v>
      </c>
      <c r="F1372" t="s">
        <v>174</v>
      </c>
      <c r="G1372">
        <v>0.61</v>
      </c>
      <c r="H1372">
        <v>0.61</v>
      </c>
      <c r="I1372" t="s">
        <v>56</v>
      </c>
      <c r="O1372" t="s">
        <v>57</v>
      </c>
      <c r="Q1372" t="s">
        <v>57</v>
      </c>
      <c r="R1372" t="s">
        <v>137</v>
      </c>
      <c r="T1372" t="s">
        <v>59</v>
      </c>
      <c r="U1372" t="s">
        <v>60</v>
      </c>
      <c r="V1372" t="s">
        <v>138</v>
      </c>
      <c r="W1372" t="s">
        <v>139</v>
      </c>
      <c r="X1372">
        <v>1934071</v>
      </c>
      <c r="Y1372" s="11">
        <v>44792</v>
      </c>
      <c r="Z1372" t="s">
        <v>57</v>
      </c>
      <c r="AA1372">
        <v>2</v>
      </c>
      <c r="AB1372" t="s">
        <v>57</v>
      </c>
      <c r="AD1372" t="s">
        <v>57</v>
      </c>
      <c r="AE1372" t="s">
        <v>57</v>
      </c>
      <c r="AF1372" t="s">
        <v>57</v>
      </c>
      <c r="AG1372">
        <v>1</v>
      </c>
      <c r="AH1372" t="s">
        <v>57</v>
      </c>
      <c r="AL1372" t="s">
        <v>57</v>
      </c>
      <c r="AM1372" s="11">
        <v>44791</v>
      </c>
      <c r="AN1372" t="s">
        <v>184</v>
      </c>
      <c r="AO1372" t="s">
        <v>65</v>
      </c>
      <c r="AP1372">
        <v>1206</v>
      </c>
      <c r="AQ1372" t="s">
        <v>66</v>
      </c>
      <c r="AR1372">
        <v>142793</v>
      </c>
      <c r="AU1372" t="s">
        <v>57</v>
      </c>
      <c r="AV1372" t="s">
        <v>68</v>
      </c>
      <c r="AX1372" t="s">
        <v>57</v>
      </c>
      <c r="AY1372">
        <v>631110</v>
      </c>
      <c r="AZ1372">
        <v>1206.63111</v>
      </c>
      <c r="BA1372" s="23" t="s">
        <v>14</v>
      </c>
    </row>
    <row r="1373" spans="1:53" x14ac:dyDescent="0.25">
      <c r="A1373" t="s">
        <v>134</v>
      </c>
      <c r="B1373" t="s">
        <v>135</v>
      </c>
      <c r="C1373">
        <v>22002601</v>
      </c>
      <c r="D1373">
        <v>1206</v>
      </c>
      <c r="E1373" s="11">
        <v>44791</v>
      </c>
      <c r="F1373" t="s">
        <v>174</v>
      </c>
      <c r="G1373">
        <v>0.48</v>
      </c>
      <c r="H1373">
        <v>0.48</v>
      </c>
      <c r="I1373" t="s">
        <v>56</v>
      </c>
      <c r="O1373" t="s">
        <v>57</v>
      </c>
      <c r="Q1373" t="s">
        <v>57</v>
      </c>
      <c r="R1373" t="s">
        <v>137</v>
      </c>
      <c r="T1373" t="s">
        <v>59</v>
      </c>
      <c r="U1373" t="s">
        <v>60</v>
      </c>
      <c r="V1373" t="s">
        <v>138</v>
      </c>
      <c r="W1373" t="s">
        <v>139</v>
      </c>
      <c r="X1373">
        <v>1934071</v>
      </c>
      <c r="Y1373" s="11">
        <v>44792</v>
      </c>
      <c r="Z1373" t="s">
        <v>57</v>
      </c>
      <c r="AA1373">
        <v>4</v>
      </c>
      <c r="AB1373" t="s">
        <v>57</v>
      </c>
      <c r="AD1373" t="s">
        <v>57</v>
      </c>
      <c r="AE1373" t="s">
        <v>57</v>
      </c>
      <c r="AF1373" t="s">
        <v>57</v>
      </c>
      <c r="AG1373">
        <v>1</v>
      </c>
      <c r="AH1373" t="s">
        <v>57</v>
      </c>
      <c r="AL1373" t="s">
        <v>57</v>
      </c>
      <c r="AM1373" s="11">
        <v>44791</v>
      </c>
      <c r="AN1373" t="s">
        <v>184</v>
      </c>
      <c r="AO1373" t="s">
        <v>65</v>
      </c>
      <c r="AP1373">
        <v>1206</v>
      </c>
      <c r="AQ1373" t="s">
        <v>66</v>
      </c>
      <c r="AR1373">
        <v>90122</v>
      </c>
      <c r="AU1373" t="s">
        <v>57</v>
      </c>
      <c r="AV1373" t="s">
        <v>68</v>
      </c>
      <c r="AX1373" t="s">
        <v>57</v>
      </c>
      <c r="AY1373">
        <v>631110</v>
      </c>
      <c r="AZ1373">
        <v>1206.63111</v>
      </c>
      <c r="BA1373" s="23" t="s">
        <v>14</v>
      </c>
    </row>
    <row r="1374" spans="1:53" x14ac:dyDescent="0.25">
      <c r="A1374" t="s">
        <v>134</v>
      </c>
      <c r="B1374" t="s">
        <v>135</v>
      </c>
      <c r="C1374">
        <v>22002601</v>
      </c>
      <c r="D1374">
        <v>1206</v>
      </c>
      <c r="E1374" s="11">
        <v>44791</v>
      </c>
      <c r="F1374" t="s">
        <v>174</v>
      </c>
      <c r="G1374">
        <v>47.13</v>
      </c>
      <c r="H1374">
        <v>47.13</v>
      </c>
      <c r="I1374" t="s">
        <v>56</v>
      </c>
      <c r="O1374" t="s">
        <v>57</v>
      </c>
      <c r="Q1374" t="s">
        <v>57</v>
      </c>
      <c r="R1374" t="s">
        <v>137</v>
      </c>
      <c r="T1374" t="s">
        <v>59</v>
      </c>
      <c r="U1374" t="s">
        <v>60</v>
      </c>
      <c r="V1374" t="s">
        <v>138</v>
      </c>
      <c r="W1374" t="s">
        <v>139</v>
      </c>
      <c r="X1374">
        <v>1934071</v>
      </c>
      <c r="Y1374" s="11">
        <v>44792</v>
      </c>
      <c r="Z1374" t="s">
        <v>57</v>
      </c>
      <c r="AA1374">
        <v>6</v>
      </c>
      <c r="AB1374" t="s">
        <v>57</v>
      </c>
      <c r="AD1374" t="s">
        <v>57</v>
      </c>
      <c r="AE1374" t="s">
        <v>57</v>
      </c>
      <c r="AF1374" t="s">
        <v>57</v>
      </c>
      <c r="AG1374">
        <v>1</v>
      </c>
      <c r="AH1374" t="s">
        <v>57</v>
      </c>
      <c r="AL1374" t="s">
        <v>57</v>
      </c>
      <c r="AM1374" s="11">
        <v>44791</v>
      </c>
      <c r="AN1374" t="s">
        <v>184</v>
      </c>
      <c r="AO1374" t="s">
        <v>65</v>
      </c>
      <c r="AP1374">
        <v>1206</v>
      </c>
      <c r="AQ1374" t="s">
        <v>66</v>
      </c>
      <c r="AR1374">
        <v>140042</v>
      </c>
      <c r="AU1374" t="s">
        <v>57</v>
      </c>
      <c r="AV1374" t="s">
        <v>68</v>
      </c>
      <c r="AX1374" t="s">
        <v>57</v>
      </c>
      <c r="AY1374">
        <v>631110</v>
      </c>
      <c r="AZ1374">
        <v>1206.63111</v>
      </c>
      <c r="BA1374" s="23" t="s">
        <v>14</v>
      </c>
    </row>
    <row r="1375" spans="1:53" x14ac:dyDescent="0.25">
      <c r="A1375" t="s">
        <v>134</v>
      </c>
      <c r="B1375" t="s">
        <v>135</v>
      </c>
      <c r="C1375">
        <v>22002601</v>
      </c>
      <c r="D1375">
        <v>1206</v>
      </c>
      <c r="E1375" s="11">
        <v>44791</v>
      </c>
      <c r="F1375" t="s">
        <v>174</v>
      </c>
      <c r="G1375">
        <v>3.79</v>
      </c>
      <c r="H1375">
        <v>3.79</v>
      </c>
      <c r="I1375" t="s">
        <v>56</v>
      </c>
      <c r="O1375" t="s">
        <v>57</v>
      </c>
      <c r="Q1375" t="s">
        <v>57</v>
      </c>
      <c r="R1375" t="s">
        <v>137</v>
      </c>
      <c r="T1375" t="s">
        <v>59</v>
      </c>
      <c r="U1375" t="s">
        <v>60</v>
      </c>
      <c r="V1375" t="s">
        <v>138</v>
      </c>
      <c r="W1375" t="s">
        <v>139</v>
      </c>
      <c r="X1375">
        <v>1934071</v>
      </c>
      <c r="Y1375" s="11">
        <v>44792</v>
      </c>
      <c r="Z1375" t="s">
        <v>57</v>
      </c>
      <c r="AA1375">
        <v>8</v>
      </c>
      <c r="AB1375" t="s">
        <v>57</v>
      </c>
      <c r="AD1375" t="s">
        <v>57</v>
      </c>
      <c r="AE1375" t="s">
        <v>57</v>
      </c>
      <c r="AF1375" t="s">
        <v>57</v>
      </c>
      <c r="AG1375">
        <v>1</v>
      </c>
      <c r="AH1375" t="s">
        <v>57</v>
      </c>
      <c r="AL1375" t="s">
        <v>57</v>
      </c>
      <c r="AM1375" s="11">
        <v>44791</v>
      </c>
      <c r="AN1375" t="s">
        <v>184</v>
      </c>
      <c r="AO1375" t="s">
        <v>65</v>
      </c>
      <c r="AP1375">
        <v>1206</v>
      </c>
      <c r="AQ1375" t="s">
        <v>66</v>
      </c>
      <c r="AR1375">
        <v>182375</v>
      </c>
      <c r="AU1375" t="s">
        <v>57</v>
      </c>
      <c r="AV1375" t="s">
        <v>68</v>
      </c>
      <c r="AX1375" t="s">
        <v>57</v>
      </c>
      <c r="AY1375">
        <v>631110</v>
      </c>
      <c r="AZ1375">
        <v>1206.63111</v>
      </c>
      <c r="BA1375" s="23" t="s">
        <v>14</v>
      </c>
    </row>
    <row r="1376" spans="1:53" x14ac:dyDescent="0.25">
      <c r="A1376" t="s">
        <v>134</v>
      </c>
      <c r="B1376" t="s">
        <v>135</v>
      </c>
      <c r="C1376">
        <v>22002601</v>
      </c>
      <c r="D1376">
        <v>1206</v>
      </c>
      <c r="E1376" s="11">
        <v>44791</v>
      </c>
      <c r="F1376" t="s">
        <v>174</v>
      </c>
      <c r="G1376">
        <v>29.23</v>
      </c>
      <c r="H1376">
        <v>29.23</v>
      </c>
      <c r="I1376" t="s">
        <v>56</v>
      </c>
      <c r="O1376" t="s">
        <v>57</v>
      </c>
      <c r="Q1376" t="s">
        <v>57</v>
      </c>
      <c r="R1376" t="s">
        <v>137</v>
      </c>
      <c r="T1376" t="s">
        <v>59</v>
      </c>
      <c r="U1376" t="s">
        <v>60</v>
      </c>
      <c r="V1376" t="s">
        <v>138</v>
      </c>
      <c r="W1376" t="s">
        <v>139</v>
      </c>
      <c r="X1376">
        <v>1934071</v>
      </c>
      <c r="Y1376" s="11">
        <v>44792</v>
      </c>
      <c r="Z1376" t="s">
        <v>57</v>
      </c>
      <c r="AA1376">
        <v>10</v>
      </c>
      <c r="AB1376" t="s">
        <v>57</v>
      </c>
      <c r="AD1376" t="s">
        <v>57</v>
      </c>
      <c r="AE1376" t="s">
        <v>57</v>
      </c>
      <c r="AF1376" t="s">
        <v>57</v>
      </c>
      <c r="AG1376">
        <v>1</v>
      </c>
      <c r="AH1376" t="s">
        <v>57</v>
      </c>
      <c r="AL1376" t="s">
        <v>57</v>
      </c>
      <c r="AM1376" s="11">
        <v>44791</v>
      </c>
      <c r="AN1376" t="s">
        <v>184</v>
      </c>
      <c r="AO1376" t="s">
        <v>65</v>
      </c>
      <c r="AP1376">
        <v>1206</v>
      </c>
      <c r="AQ1376" t="s">
        <v>66</v>
      </c>
      <c r="AR1376">
        <v>239625</v>
      </c>
      <c r="AU1376" t="s">
        <v>57</v>
      </c>
      <c r="AV1376" t="s">
        <v>68</v>
      </c>
      <c r="AX1376" t="s">
        <v>57</v>
      </c>
      <c r="AY1376">
        <v>631110</v>
      </c>
      <c r="AZ1376">
        <v>1206.63111</v>
      </c>
      <c r="BA1376" s="23" t="s">
        <v>14</v>
      </c>
    </row>
    <row r="1377" spans="1:53" x14ac:dyDescent="0.25">
      <c r="A1377" t="s">
        <v>134</v>
      </c>
      <c r="B1377" t="s">
        <v>135</v>
      </c>
      <c r="C1377">
        <v>22002601</v>
      </c>
      <c r="D1377">
        <v>1206</v>
      </c>
      <c r="E1377" s="11">
        <v>44791</v>
      </c>
      <c r="F1377" t="s">
        <v>174</v>
      </c>
      <c r="G1377">
        <v>45.6</v>
      </c>
      <c r="H1377">
        <v>45.6</v>
      </c>
      <c r="I1377" t="s">
        <v>56</v>
      </c>
      <c r="O1377" t="s">
        <v>57</v>
      </c>
      <c r="Q1377" t="s">
        <v>57</v>
      </c>
      <c r="R1377" t="s">
        <v>137</v>
      </c>
      <c r="T1377" t="s">
        <v>59</v>
      </c>
      <c r="U1377" t="s">
        <v>60</v>
      </c>
      <c r="V1377" t="s">
        <v>138</v>
      </c>
      <c r="W1377" t="s">
        <v>139</v>
      </c>
      <c r="X1377">
        <v>1934071</v>
      </c>
      <c r="Y1377" s="11">
        <v>44792</v>
      </c>
      <c r="Z1377" t="s">
        <v>57</v>
      </c>
      <c r="AA1377">
        <v>12</v>
      </c>
      <c r="AB1377" t="s">
        <v>57</v>
      </c>
      <c r="AD1377" t="s">
        <v>57</v>
      </c>
      <c r="AE1377" t="s">
        <v>57</v>
      </c>
      <c r="AF1377" t="s">
        <v>57</v>
      </c>
      <c r="AG1377">
        <v>1</v>
      </c>
      <c r="AH1377" t="s">
        <v>57</v>
      </c>
      <c r="AL1377" t="s">
        <v>57</v>
      </c>
      <c r="AM1377" s="11">
        <v>44791</v>
      </c>
      <c r="AN1377" t="s">
        <v>184</v>
      </c>
      <c r="AO1377" t="s">
        <v>65</v>
      </c>
      <c r="AP1377">
        <v>1206</v>
      </c>
      <c r="AQ1377" t="s">
        <v>66</v>
      </c>
      <c r="AR1377">
        <v>190655</v>
      </c>
      <c r="AU1377" t="s">
        <v>57</v>
      </c>
      <c r="AV1377" t="s">
        <v>68</v>
      </c>
      <c r="AX1377" t="s">
        <v>57</v>
      </c>
      <c r="AY1377">
        <v>631110</v>
      </c>
      <c r="AZ1377">
        <v>1206.63111</v>
      </c>
      <c r="BA1377" s="23" t="s">
        <v>14</v>
      </c>
    </row>
    <row r="1378" spans="1:53" x14ac:dyDescent="0.25">
      <c r="A1378" t="s">
        <v>134</v>
      </c>
      <c r="B1378" t="s">
        <v>135</v>
      </c>
      <c r="C1378">
        <v>22002601</v>
      </c>
      <c r="D1378">
        <v>1206</v>
      </c>
      <c r="E1378" s="11">
        <v>44791</v>
      </c>
      <c r="F1378" t="s">
        <v>174</v>
      </c>
      <c r="G1378">
        <v>26.06</v>
      </c>
      <c r="H1378">
        <v>26.06</v>
      </c>
      <c r="I1378" t="s">
        <v>56</v>
      </c>
      <c r="O1378" t="s">
        <v>57</v>
      </c>
      <c r="Q1378" t="s">
        <v>57</v>
      </c>
      <c r="R1378" t="s">
        <v>137</v>
      </c>
      <c r="T1378" t="s">
        <v>59</v>
      </c>
      <c r="U1378" t="s">
        <v>60</v>
      </c>
      <c r="V1378" t="s">
        <v>138</v>
      </c>
      <c r="W1378" t="s">
        <v>139</v>
      </c>
      <c r="X1378">
        <v>1934071</v>
      </c>
      <c r="Y1378" s="11">
        <v>44792</v>
      </c>
      <c r="Z1378" t="s">
        <v>57</v>
      </c>
      <c r="AA1378">
        <v>14</v>
      </c>
      <c r="AB1378" t="s">
        <v>57</v>
      </c>
      <c r="AD1378" t="s">
        <v>57</v>
      </c>
      <c r="AE1378" t="s">
        <v>57</v>
      </c>
      <c r="AF1378" t="s">
        <v>57</v>
      </c>
      <c r="AG1378">
        <v>1</v>
      </c>
      <c r="AH1378" t="s">
        <v>57</v>
      </c>
      <c r="AL1378" t="s">
        <v>57</v>
      </c>
      <c r="AM1378" s="11">
        <v>44791</v>
      </c>
      <c r="AN1378" t="s">
        <v>184</v>
      </c>
      <c r="AO1378" t="s">
        <v>65</v>
      </c>
      <c r="AP1378">
        <v>1206</v>
      </c>
      <c r="AQ1378" t="s">
        <v>66</v>
      </c>
      <c r="AR1378">
        <v>143093</v>
      </c>
      <c r="AU1378" t="s">
        <v>57</v>
      </c>
      <c r="AV1378" t="s">
        <v>68</v>
      </c>
      <c r="AX1378" t="s">
        <v>57</v>
      </c>
      <c r="AY1378">
        <v>631110</v>
      </c>
      <c r="AZ1378">
        <v>1206.63111</v>
      </c>
      <c r="BA1378" s="23" t="s">
        <v>14</v>
      </c>
    </row>
    <row r="1379" spans="1:53" x14ac:dyDescent="0.25">
      <c r="A1379" t="s">
        <v>134</v>
      </c>
      <c r="B1379" t="s">
        <v>135</v>
      </c>
      <c r="C1379">
        <v>22002602</v>
      </c>
      <c r="D1379">
        <v>1206</v>
      </c>
      <c r="E1379" s="11">
        <v>44791</v>
      </c>
      <c r="F1379" t="s">
        <v>174</v>
      </c>
      <c r="G1379">
        <v>39.450000000000003</v>
      </c>
      <c r="H1379">
        <v>39.450000000000003</v>
      </c>
      <c r="I1379" t="s">
        <v>56</v>
      </c>
      <c r="O1379" t="s">
        <v>57</v>
      </c>
      <c r="Q1379" t="s">
        <v>57</v>
      </c>
      <c r="R1379" t="s">
        <v>137</v>
      </c>
      <c r="T1379" t="s">
        <v>59</v>
      </c>
      <c r="U1379" t="s">
        <v>60</v>
      </c>
      <c r="V1379" t="s">
        <v>138</v>
      </c>
      <c r="W1379" t="s">
        <v>139</v>
      </c>
      <c r="X1379">
        <v>1934071</v>
      </c>
      <c r="Y1379" s="11">
        <v>44792</v>
      </c>
      <c r="Z1379" t="s">
        <v>57</v>
      </c>
      <c r="AA1379">
        <v>2</v>
      </c>
      <c r="AB1379" t="s">
        <v>57</v>
      </c>
      <c r="AD1379" t="s">
        <v>57</v>
      </c>
      <c r="AE1379" t="s">
        <v>57</v>
      </c>
      <c r="AF1379" t="s">
        <v>57</v>
      </c>
      <c r="AG1379">
        <v>1</v>
      </c>
      <c r="AH1379" t="s">
        <v>57</v>
      </c>
      <c r="AL1379" t="s">
        <v>57</v>
      </c>
      <c r="AM1379" s="11">
        <v>44791</v>
      </c>
      <c r="AN1379" t="s">
        <v>184</v>
      </c>
      <c r="AO1379" t="s">
        <v>65</v>
      </c>
      <c r="AP1379">
        <v>1206</v>
      </c>
      <c r="AQ1379" t="s">
        <v>66</v>
      </c>
      <c r="AR1379">
        <v>271534</v>
      </c>
      <c r="AU1379" t="s">
        <v>57</v>
      </c>
      <c r="AV1379" t="s">
        <v>68</v>
      </c>
      <c r="AX1379" t="s">
        <v>57</v>
      </c>
      <c r="AY1379">
        <v>631110</v>
      </c>
      <c r="AZ1379">
        <v>1206.63111</v>
      </c>
      <c r="BA1379" s="23" t="s">
        <v>14</v>
      </c>
    </row>
    <row r="1380" spans="1:53" x14ac:dyDescent="0.25">
      <c r="A1380" t="s">
        <v>134</v>
      </c>
      <c r="B1380" t="s">
        <v>135</v>
      </c>
      <c r="C1380">
        <v>22002602</v>
      </c>
      <c r="D1380">
        <v>1206</v>
      </c>
      <c r="E1380" s="11">
        <v>44791</v>
      </c>
      <c r="F1380" t="s">
        <v>174</v>
      </c>
      <c r="G1380">
        <v>46.57</v>
      </c>
      <c r="H1380">
        <v>46.57</v>
      </c>
      <c r="I1380" t="s">
        <v>56</v>
      </c>
      <c r="O1380" t="s">
        <v>57</v>
      </c>
      <c r="Q1380" t="s">
        <v>57</v>
      </c>
      <c r="R1380" t="s">
        <v>137</v>
      </c>
      <c r="T1380" t="s">
        <v>59</v>
      </c>
      <c r="U1380" t="s">
        <v>60</v>
      </c>
      <c r="V1380" t="s">
        <v>138</v>
      </c>
      <c r="W1380" t="s">
        <v>139</v>
      </c>
      <c r="X1380">
        <v>1934071</v>
      </c>
      <c r="Y1380" s="11">
        <v>44792</v>
      </c>
      <c r="Z1380" t="s">
        <v>57</v>
      </c>
      <c r="AA1380">
        <v>4</v>
      </c>
      <c r="AB1380" t="s">
        <v>57</v>
      </c>
      <c r="AD1380" t="s">
        <v>57</v>
      </c>
      <c r="AE1380" t="s">
        <v>57</v>
      </c>
      <c r="AF1380" t="s">
        <v>57</v>
      </c>
      <c r="AG1380">
        <v>1</v>
      </c>
      <c r="AH1380" t="s">
        <v>57</v>
      </c>
      <c r="AL1380" t="s">
        <v>57</v>
      </c>
      <c r="AM1380" s="11">
        <v>44791</v>
      </c>
      <c r="AN1380" t="s">
        <v>184</v>
      </c>
      <c r="AO1380" t="s">
        <v>65</v>
      </c>
      <c r="AP1380">
        <v>1206</v>
      </c>
      <c r="AQ1380" t="s">
        <v>66</v>
      </c>
      <c r="AR1380">
        <v>271535</v>
      </c>
      <c r="AU1380" t="s">
        <v>57</v>
      </c>
      <c r="AV1380" t="s">
        <v>68</v>
      </c>
      <c r="AX1380" t="s">
        <v>57</v>
      </c>
      <c r="AY1380">
        <v>631110</v>
      </c>
      <c r="AZ1380">
        <v>1206.63111</v>
      </c>
      <c r="BA1380" s="23" t="s">
        <v>14</v>
      </c>
    </row>
    <row r="1381" spans="1:53" x14ac:dyDescent="0.25">
      <c r="A1381" t="s">
        <v>134</v>
      </c>
      <c r="B1381" t="s">
        <v>135</v>
      </c>
      <c r="C1381">
        <v>22002602</v>
      </c>
      <c r="D1381">
        <v>1206</v>
      </c>
      <c r="E1381" s="11">
        <v>44791</v>
      </c>
      <c r="F1381" t="s">
        <v>174</v>
      </c>
      <c r="G1381">
        <v>6.55</v>
      </c>
      <c r="H1381">
        <v>6.55</v>
      </c>
      <c r="I1381" t="s">
        <v>56</v>
      </c>
      <c r="O1381" t="s">
        <v>57</v>
      </c>
      <c r="Q1381" t="s">
        <v>57</v>
      </c>
      <c r="R1381" t="s">
        <v>137</v>
      </c>
      <c r="T1381" t="s">
        <v>59</v>
      </c>
      <c r="U1381" t="s">
        <v>60</v>
      </c>
      <c r="V1381" t="s">
        <v>138</v>
      </c>
      <c r="W1381" t="s">
        <v>139</v>
      </c>
      <c r="X1381">
        <v>1934071</v>
      </c>
      <c r="Y1381" s="11">
        <v>44792</v>
      </c>
      <c r="Z1381" t="s">
        <v>57</v>
      </c>
      <c r="AA1381">
        <v>6</v>
      </c>
      <c r="AB1381" t="s">
        <v>57</v>
      </c>
      <c r="AD1381" t="s">
        <v>57</v>
      </c>
      <c r="AE1381" t="s">
        <v>57</v>
      </c>
      <c r="AF1381" t="s">
        <v>57</v>
      </c>
      <c r="AG1381">
        <v>1</v>
      </c>
      <c r="AH1381" t="s">
        <v>57</v>
      </c>
      <c r="AL1381" t="s">
        <v>57</v>
      </c>
      <c r="AM1381" s="11">
        <v>44791</v>
      </c>
      <c r="AN1381" t="s">
        <v>184</v>
      </c>
      <c r="AO1381" t="s">
        <v>65</v>
      </c>
      <c r="AP1381">
        <v>1206</v>
      </c>
      <c r="AQ1381" t="s">
        <v>66</v>
      </c>
      <c r="AR1381">
        <v>215141</v>
      </c>
      <c r="AU1381" t="s">
        <v>57</v>
      </c>
      <c r="AV1381" t="s">
        <v>68</v>
      </c>
      <c r="AX1381" t="s">
        <v>57</v>
      </c>
      <c r="AY1381">
        <v>631110</v>
      </c>
      <c r="AZ1381">
        <v>1206.63111</v>
      </c>
      <c r="BA1381" s="23" t="s">
        <v>14</v>
      </c>
    </row>
    <row r="1382" spans="1:53" x14ac:dyDescent="0.25">
      <c r="A1382" t="s">
        <v>134</v>
      </c>
      <c r="B1382" t="s">
        <v>135</v>
      </c>
      <c r="C1382">
        <v>22002602</v>
      </c>
      <c r="D1382">
        <v>1206</v>
      </c>
      <c r="E1382" s="11">
        <v>44791</v>
      </c>
      <c r="F1382" t="s">
        <v>174</v>
      </c>
      <c r="G1382">
        <v>11.06</v>
      </c>
      <c r="H1382">
        <v>11.06</v>
      </c>
      <c r="I1382" t="s">
        <v>56</v>
      </c>
      <c r="O1382" t="s">
        <v>57</v>
      </c>
      <c r="Q1382" t="s">
        <v>57</v>
      </c>
      <c r="R1382" t="s">
        <v>137</v>
      </c>
      <c r="T1382" t="s">
        <v>59</v>
      </c>
      <c r="U1382" t="s">
        <v>60</v>
      </c>
      <c r="V1382" t="s">
        <v>138</v>
      </c>
      <c r="W1382" t="s">
        <v>139</v>
      </c>
      <c r="X1382">
        <v>1934071</v>
      </c>
      <c r="Y1382" s="11">
        <v>44792</v>
      </c>
      <c r="Z1382" t="s">
        <v>57</v>
      </c>
      <c r="AA1382">
        <v>8</v>
      </c>
      <c r="AB1382" t="s">
        <v>57</v>
      </c>
      <c r="AD1382" t="s">
        <v>57</v>
      </c>
      <c r="AE1382" t="s">
        <v>57</v>
      </c>
      <c r="AF1382" t="s">
        <v>57</v>
      </c>
      <c r="AG1382">
        <v>1</v>
      </c>
      <c r="AH1382" t="s">
        <v>57</v>
      </c>
      <c r="AL1382" t="s">
        <v>57</v>
      </c>
      <c r="AM1382" s="11">
        <v>44791</v>
      </c>
      <c r="AN1382" t="s">
        <v>184</v>
      </c>
      <c r="AO1382" t="s">
        <v>65</v>
      </c>
      <c r="AP1382">
        <v>1206</v>
      </c>
      <c r="AQ1382" t="s">
        <v>66</v>
      </c>
      <c r="AR1382">
        <v>247541</v>
      </c>
      <c r="AU1382" t="s">
        <v>57</v>
      </c>
      <c r="AV1382" t="s">
        <v>68</v>
      </c>
      <c r="AX1382" t="s">
        <v>57</v>
      </c>
      <c r="AY1382">
        <v>631110</v>
      </c>
      <c r="AZ1382">
        <v>1206.63111</v>
      </c>
      <c r="BA1382" s="23" t="s">
        <v>14</v>
      </c>
    </row>
    <row r="1383" spans="1:53" x14ac:dyDescent="0.25">
      <c r="A1383" t="s">
        <v>134</v>
      </c>
      <c r="B1383" t="s">
        <v>135</v>
      </c>
      <c r="C1383">
        <v>22002602</v>
      </c>
      <c r="D1383">
        <v>1206</v>
      </c>
      <c r="E1383" s="11">
        <v>44791</v>
      </c>
      <c r="F1383" t="s">
        <v>174</v>
      </c>
      <c r="G1383">
        <v>3.06</v>
      </c>
      <c r="H1383">
        <v>3.06</v>
      </c>
      <c r="I1383" t="s">
        <v>56</v>
      </c>
      <c r="O1383" t="s">
        <v>57</v>
      </c>
      <c r="Q1383" t="s">
        <v>57</v>
      </c>
      <c r="R1383" t="s">
        <v>137</v>
      </c>
      <c r="T1383" t="s">
        <v>59</v>
      </c>
      <c r="U1383" t="s">
        <v>60</v>
      </c>
      <c r="V1383" t="s">
        <v>138</v>
      </c>
      <c r="W1383" t="s">
        <v>139</v>
      </c>
      <c r="X1383">
        <v>1934071</v>
      </c>
      <c r="Y1383" s="11">
        <v>44792</v>
      </c>
      <c r="Z1383" t="s">
        <v>57</v>
      </c>
      <c r="AA1383">
        <v>10</v>
      </c>
      <c r="AB1383" t="s">
        <v>57</v>
      </c>
      <c r="AD1383" t="s">
        <v>57</v>
      </c>
      <c r="AE1383" t="s">
        <v>57</v>
      </c>
      <c r="AF1383" t="s">
        <v>57</v>
      </c>
      <c r="AG1383">
        <v>1</v>
      </c>
      <c r="AH1383" t="s">
        <v>57</v>
      </c>
      <c r="AL1383" t="s">
        <v>57</v>
      </c>
      <c r="AM1383" s="11">
        <v>44791</v>
      </c>
      <c r="AN1383" t="s">
        <v>184</v>
      </c>
      <c r="AO1383" t="s">
        <v>65</v>
      </c>
      <c r="AP1383">
        <v>1206</v>
      </c>
      <c r="AQ1383" t="s">
        <v>66</v>
      </c>
      <c r="AR1383">
        <v>156040</v>
      </c>
      <c r="AU1383" t="s">
        <v>57</v>
      </c>
      <c r="AV1383" t="s">
        <v>68</v>
      </c>
      <c r="AX1383" t="s">
        <v>57</v>
      </c>
      <c r="AY1383">
        <v>631110</v>
      </c>
      <c r="AZ1383">
        <v>1206.63111</v>
      </c>
      <c r="BA1383" s="23" t="s">
        <v>14</v>
      </c>
    </row>
    <row r="1384" spans="1:53" x14ac:dyDescent="0.25">
      <c r="A1384" t="s">
        <v>134</v>
      </c>
      <c r="B1384" t="s">
        <v>135</v>
      </c>
      <c r="C1384">
        <v>22002603</v>
      </c>
      <c r="D1384">
        <v>1206</v>
      </c>
      <c r="E1384" s="11">
        <v>44791</v>
      </c>
      <c r="F1384" t="s">
        <v>159</v>
      </c>
      <c r="G1384">
        <v>4.08</v>
      </c>
      <c r="H1384">
        <v>4.08</v>
      </c>
      <c r="I1384" t="s">
        <v>56</v>
      </c>
      <c r="O1384" t="s">
        <v>57</v>
      </c>
      <c r="Q1384" t="s">
        <v>57</v>
      </c>
      <c r="R1384" t="s">
        <v>137</v>
      </c>
      <c r="T1384" t="s">
        <v>59</v>
      </c>
      <c r="U1384" t="s">
        <v>60</v>
      </c>
      <c r="V1384" t="s">
        <v>138</v>
      </c>
      <c r="W1384" t="s">
        <v>139</v>
      </c>
      <c r="X1384">
        <v>1934071</v>
      </c>
      <c r="Y1384" s="11">
        <v>44792</v>
      </c>
      <c r="Z1384" t="s">
        <v>57</v>
      </c>
      <c r="AA1384">
        <v>2</v>
      </c>
      <c r="AB1384" t="s">
        <v>57</v>
      </c>
      <c r="AD1384" t="s">
        <v>57</v>
      </c>
      <c r="AE1384" t="s">
        <v>57</v>
      </c>
      <c r="AF1384" t="s">
        <v>57</v>
      </c>
      <c r="AG1384">
        <v>3</v>
      </c>
      <c r="AH1384" t="s">
        <v>57</v>
      </c>
      <c r="AL1384" t="s">
        <v>57</v>
      </c>
      <c r="AM1384" s="11">
        <v>44791</v>
      </c>
      <c r="AN1384" t="s">
        <v>184</v>
      </c>
      <c r="AO1384" t="s">
        <v>65</v>
      </c>
      <c r="AP1384">
        <v>1206</v>
      </c>
      <c r="AQ1384" t="s">
        <v>66</v>
      </c>
      <c r="AR1384">
        <v>163503</v>
      </c>
      <c r="AU1384" t="s">
        <v>57</v>
      </c>
      <c r="AV1384" t="s">
        <v>68</v>
      </c>
      <c r="AX1384" t="s">
        <v>57</v>
      </c>
      <c r="AY1384">
        <v>631110</v>
      </c>
      <c r="AZ1384">
        <v>1206.63111</v>
      </c>
      <c r="BA1384" s="23" t="s">
        <v>14</v>
      </c>
    </row>
    <row r="1385" spans="1:53" x14ac:dyDescent="0.25">
      <c r="A1385" t="s">
        <v>134</v>
      </c>
      <c r="B1385" t="s">
        <v>135</v>
      </c>
      <c r="C1385">
        <v>22002603</v>
      </c>
      <c r="D1385">
        <v>1206</v>
      </c>
      <c r="E1385" s="11">
        <v>44791</v>
      </c>
      <c r="F1385" t="s">
        <v>159</v>
      </c>
      <c r="G1385">
        <v>15.5</v>
      </c>
      <c r="H1385">
        <v>15.5</v>
      </c>
      <c r="I1385" t="s">
        <v>56</v>
      </c>
      <c r="O1385" t="s">
        <v>57</v>
      </c>
      <c r="Q1385" t="s">
        <v>57</v>
      </c>
      <c r="R1385" t="s">
        <v>137</v>
      </c>
      <c r="T1385" t="s">
        <v>59</v>
      </c>
      <c r="U1385" t="s">
        <v>60</v>
      </c>
      <c r="V1385" t="s">
        <v>138</v>
      </c>
      <c r="W1385" t="s">
        <v>139</v>
      </c>
      <c r="X1385">
        <v>1934071</v>
      </c>
      <c r="Y1385" s="11">
        <v>44792</v>
      </c>
      <c r="Z1385" t="s">
        <v>57</v>
      </c>
      <c r="AA1385">
        <v>4</v>
      </c>
      <c r="AB1385" t="s">
        <v>57</v>
      </c>
      <c r="AD1385" t="s">
        <v>57</v>
      </c>
      <c r="AE1385" t="s">
        <v>57</v>
      </c>
      <c r="AF1385" t="s">
        <v>57</v>
      </c>
      <c r="AG1385">
        <v>1</v>
      </c>
      <c r="AH1385" t="s">
        <v>57</v>
      </c>
      <c r="AL1385" t="s">
        <v>57</v>
      </c>
      <c r="AM1385" s="11">
        <v>44791</v>
      </c>
      <c r="AN1385" t="s">
        <v>184</v>
      </c>
      <c r="AO1385" t="s">
        <v>65</v>
      </c>
      <c r="AP1385">
        <v>1206</v>
      </c>
      <c r="AQ1385" t="s">
        <v>66</v>
      </c>
      <c r="AR1385">
        <v>163472</v>
      </c>
      <c r="AU1385" t="s">
        <v>57</v>
      </c>
      <c r="AV1385" t="s">
        <v>68</v>
      </c>
      <c r="AX1385" t="s">
        <v>57</v>
      </c>
      <c r="AY1385">
        <v>631110</v>
      </c>
      <c r="AZ1385">
        <v>1206.63111</v>
      </c>
      <c r="BA1385" s="23" t="s">
        <v>14</v>
      </c>
    </row>
    <row r="1386" spans="1:53" x14ac:dyDescent="0.25">
      <c r="A1386" t="s">
        <v>134</v>
      </c>
      <c r="B1386" t="s">
        <v>135</v>
      </c>
      <c r="C1386">
        <v>22002605</v>
      </c>
      <c r="D1386">
        <v>1206</v>
      </c>
      <c r="E1386" s="11">
        <v>44792</v>
      </c>
      <c r="F1386" t="s">
        <v>174</v>
      </c>
      <c r="G1386">
        <v>60.11</v>
      </c>
      <c r="H1386">
        <v>60.11</v>
      </c>
      <c r="I1386" t="s">
        <v>56</v>
      </c>
      <c r="O1386" t="s">
        <v>57</v>
      </c>
      <c r="Q1386" t="s">
        <v>57</v>
      </c>
      <c r="R1386" t="s">
        <v>137</v>
      </c>
      <c r="T1386" t="s">
        <v>59</v>
      </c>
      <c r="U1386" t="s">
        <v>60</v>
      </c>
      <c r="V1386" t="s">
        <v>138</v>
      </c>
      <c r="W1386" t="s">
        <v>139</v>
      </c>
      <c r="X1386">
        <v>1934080</v>
      </c>
      <c r="Y1386" s="11">
        <v>44792</v>
      </c>
      <c r="Z1386" t="s">
        <v>57</v>
      </c>
      <c r="AA1386">
        <v>10</v>
      </c>
      <c r="AB1386" t="s">
        <v>57</v>
      </c>
      <c r="AD1386" t="s">
        <v>57</v>
      </c>
      <c r="AE1386" t="s">
        <v>57</v>
      </c>
      <c r="AF1386" t="s">
        <v>57</v>
      </c>
      <c r="AG1386">
        <v>1</v>
      </c>
      <c r="AH1386" t="s">
        <v>57</v>
      </c>
      <c r="AL1386" t="s">
        <v>57</v>
      </c>
      <c r="AM1386" s="11">
        <v>44792</v>
      </c>
      <c r="AN1386" t="s">
        <v>184</v>
      </c>
      <c r="AO1386" t="s">
        <v>65</v>
      </c>
      <c r="AP1386">
        <v>1206</v>
      </c>
      <c r="AQ1386" t="s">
        <v>66</v>
      </c>
      <c r="AR1386">
        <v>97071</v>
      </c>
      <c r="AU1386" t="s">
        <v>57</v>
      </c>
      <c r="AV1386" t="s">
        <v>68</v>
      </c>
      <c r="AX1386" t="s">
        <v>57</v>
      </c>
      <c r="AY1386">
        <v>631110</v>
      </c>
      <c r="AZ1386">
        <v>1206.63111</v>
      </c>
      <c r="BA1386" s="23" t="s">
        <v>14</v>
      </c>
    </row>
    <row r="1387" spans="1:53" x14ac:dyDescent="0.25">
      <c r="A1387" t="s">
        <v>134</v>
      </c>
      <c r="B1387" t="s">
        <v>135</v>
      </c>
      <c r="C1387">
        <v>22002605</v>
      </c>
      <c r="D1387">
        <v>1206</v>
      </c>
      <c r="E1387" s="11">
        <v>44792</v>
      </c>
      <c r="F1387" t="s">
        <v>174</v>
      </c>
      <c r="G1387">
        <v>3.06</v>
      </c>
      <c r="H1387">
        <v>3.06</v>
      </c>
      <c r="I1387" t="s">
        <v>56</v>
      </c>
      <c r="O1387" t="s">
        <v>57</v>
      </c>
      <c r="Q1387" t="s">
        <v>57</v>
      </c>
      <c r="R1387" t="s">
        <v>137</v>
      </c>
      <c r="T1387" t="s">
        <v>59</v>
      </c>
      <c r="U1387" t="s">
        <v>60</v>
      </c>
      <c r="V1387" t="s">
        <v>138</v>
      </c>
      <c r="W1387" t="s">
        <v>139</v>
      </c>
      <c r="X1387">
        <v>1934080</v>
      </c>
      <c r="Y1387" s="11">
        <v>44792</v>
      </c>
      <c r="Z1387" t="s">
        <v>57</v>
      </c>
      <c r="AA1387">
        <v>12</v>
      </c>
      <c r="AB1387" t="s">
        <v>57</v>
      </c>
      <c r="AD1387" t="s">
        <v>57</v>
      </c>
      <c r="AE1387" t="s">
        <v>57</v>
      </c>
      <c r="AF1387" t="s">
        <v>57</v>
      </c>
      <c r="AG1387">
        <v>1</v>
      </c>
      <c r="AH1387" t="s">
        <v>57</v>
      </c>
      <c r="AL1387" t="s">
        <v>57</v>
      </c>
      <c r="AM1387" s="11">
        <v>44792</v>
      </c>
      <c r="AN1387" t="s">
        <v>184</v>
      </c>
      <c r="AO1387" t="s">
        <v>65</v>
      </c>
      <c r="AP1387">
        <v>1206</v>
      </c>
      <c r="AQ1387" t="s">
        <v>66</v>
      </c>
      <c r="AR1387">
        <v>156040</v>
      </c>
      <c r="AU1387" t="s">
        <v>57</v>
      </c>
      <c r="AV1387" t="s">
        <v>68</v>
      </c>
      <c r="AX1387" t="s">
        <v>57</v>
      </c>
      <c r="AY1387">
        <v>631110</v>
      </c>
      <c r="AZ1387">
        <v>1206.63111</v>
      </c>
      <c r="BA1387" s="23" t="s">
        <v>14</v>
      </c>
    </row>
    <row r="1388" spans="1:53" x14ac:dyDescent="0.25">
      <c r="A1388" t="s">
        <v>134</v>
      </c>
      <c r="B1388" t="s">
        <v>135</v>
      </c>
      <c r="C1388">
        <v>22002605</v>
      </c>
      <c r="D1388">
        <v>1206</v>
      </c>
      <c r="E1388" s="11">
        <v>44792</v>
      </c>
      <c r="F1388" t="s">
        <v>174</v>
      </c>
      <c r="G1388">
        <v>1.37</v>
      </c>
      <c r="H1388">
        <v>1.37</v>
      </c>
      <c r="I1388" t="s">
        <v>56</v>
      </c>
      <c r="O1388" t="s">
        <v>57</v>
      </c>
      <c r="Q1388" t="s">
        <v>57</v>
      </c>
      <c r="R1388" t="s">
        <v>137</v>
      </c>
      <c r="T1388" t="s">
        <v>59</v>
      </c>
      <c r="U1388" t="s">
        <v>60</v>
      </c>
      <c r="V1388" t="s">
        <v>138</v>
      </c>
      <c r="W1388" t="s">
        <v>139</v>
      </c>
      <c r="X1388">
        <v>1934080</v>
      </c>
      <c r="Y1388" s="11">
        <v>44792</v>
      </c>
      <c r="Z1388" t="s">
        <v>57</v>
      </c>
      <c r="AA1388">
        <v>14</v>
      </c>
      <c r="AB1388" t="s">
        <v>57</v>
      </c>
      <c r="AD1388" t="s">
        <v>57</v>
      </c>
      <c r="AE1388" t="s">
        <v>57</v>
      </c>
      <c r="AF1388" t="s">
        <v>57</v>
      </c>
      <c r="AG1388">
        <v>2</v>
      </c>
      <c r="AH1388" t="s">
        <v>57</v>
      </c>
      <c r="AL1388" t="s">
        <v>57</v>
      </c>
      <c r="AM1388" s="11">
        <v>44792</v>
      </c>
      <c r="AN1388" t="s">
        <v>184</v>
      </c>
      <c r="AO1388" t="s">
        <v>65</v>
      </c>
      <c r="AP1388">
        <v>1206</v>
      </c>
      <c r="AQ1388" t="s">
        <v>66</v>
      </c>
      <c r="AR1388">
        <v>112854</v>
      </c>
      <c r="AU1388" t="s">
        <v>57</v>
      </c>
      <c r="AV1388" t="s">
        <v>68</v>
      </c>
      <c r="AX1388" t="s">
        <v>57</v>
      </c>
      <c r="AY1388">
        <v>631110</v>
      </c>
      <c r="AZ1388">
        <v>1206.63111</v>
      </c>
      <c r="BA1388" s="23" t="s">
        <v>14</v>
      </c>
    </row>
    <row r="1389" spans="1:53" x14ac:dyDescent="0.25">
      <c r="A1389" t="s">
        <v>134</v>
      </c>
      <c r="B1389" t="s">
        <v>135</v>
      </c>
      <c r="C1389">
        <v>22002605</v>
      </c>
      <c r="D1389">
        <v>1206</v>
      </c>
      <c r="E1389" s="11">
        <v>44792</v>
      </c>
      <c r="F1389" t="s">
        <v>174</v>
      </c>
      <c r="G1389">
        <v>3.06</v>
      </c>
      <c r="H1389">
        <v>3.06</v>
      </c>
      <c r="I1389" t="s">
        <v>56</v>
      </c>
      <c r="O1389" t="s">
        <v>57</v>
      </c>
      <c r="Q1389" t="s">
        <v>57</v>
      </c>
      <c r="R1389" t="s">
        <v>137</v>
      </c>
      <c r="T1389" t="s">
        <v>59</v>
      </c>
      <c r="U1389" t="s">
        <v>60</v>
      </c>
      <c r="V1389" t="s">
        <v>138</v>
      </c>
      <c r="W1389" t="s">
        <v>139</v>
      </c>
      <c r="X1389">
        <v>1934080</v>
      </c>
      <c r="Y1389" s="11">
        <v>44792</v>
      </c>
      <c r="Z1389" t="s">
        <v>57</v>
      </c>
      <c r="AA1389">
        <v>2</v>
      </c>
      <c r="AB1389" t="s">
        <v>57</v>
      </c>
      <c r="AD1389" t="s">
        <v>57</v>
      </c>
      <c r="AE1389" t="s">
        <v>57</v>
      </c>
      <c r="AF1389" t="s">
        <v>57</v>
      </c>
      <c r="AG1389">
        <v>1</v>
      </c>
      <c r="AH1389" t="s">
        <v>57</v>
      </c>
      <c r="AL1389" t="s">
        <v>57</v>
      </c>
      <c r="AM1389" s="11">
        <v>44792</v>
      </c>
      <c r="AN1389" t="s">
        <v>184</v>
      </c>
      <c r="AO1389" t="s">
        <v>65</v>
      </c>
      <c r="AP1389">
        <v>1206</v>
      </c>
      <c r="AQ1389" t="s">
        <v>66</v>
      </c>
      <c r="AR1389">
        <v>156040</v>
      </c>
      <c r="AU1389" t="s">
        <v>57</v>
      </c>
      <c r="AV1389" t="s">
        <v>68</v>
      </c>
      <c r="AX1389" t="s">
        <v>57</v>
      </c>
      <c r="AY1389">
        <v>631110</v>
      </c>
      <c r="AZ1389">
        <v>1206.63111</v>
      </c>
      <c r="BA1389" s="23" t="s">
        <v>14</v>
      </c>
    </row>
    <row r="1390" spans="1:53" x14ac:dyDescent="0.25">
      <c r="A1390" t="s">
        <v>134</v>
      </c>
      <c r="B1390" t="s">
        <v>135</v>
      </c>
      <c r="C1390">
        <v>22002605</v>
      </c>
      <c r="D1390">
        <v>1206</v>
      </c>
      <c r="E1390" s="11">
        <v>44792</v>
      </c>
      <c r="F1390" t="s">
        <v>174</v>
      </c>
      <c r="G1390">
        <v>13.78</v>
      </c>
      <c r="H1390">
        <v>13.78</v>
      </c>
      <c r="I1390" t="s">
        <v>56</v>
      </c>
      <c r="O1390" t="s">
        <v>57</v>
      </c>
      <c r="Q1390" t="s">
        <v>57</v>
      </c>
      <c r="R1390" t="s">
        <v>137</v>
      </c>
      <c r="T1390" t="s">
        <v>59</v>
      </c>
      <c r="U1390" t="s">
        <v>60</v>
      </c>
      <c r="V1390" t="s">
        <v>138</v>
      </c>
      <c r="W1390" t="s">
        <v>139</v>
      </c>
      <c r="X1390">
        <v>1934080</v>
      </c>
      <c r="Y1390" s="11">
        <v>44792</v>
      </c>
      <c r="Z1390" t="s">
        <v>57</v>
      </c>
      <c r="AA1390">
        <v>4</v>
      </c>
      <c r="AB1390" t="s">
        <v>57</v>
      </c>
      <c r="AD1390" t="s">
        <v>57</v>
      </c>
      <c r="AE1390" t="s">
        <v>57</v>
      </c>
      <c r="AF1390" t="s">
        <v>57</v>
      </c>
      <c r="AG1390">
        <v>1</v>
      </c>
      <c r="AH1390" t="s">
        <v>57</v>
      </c>
      <c r="AL1390" t="s">
        <v>57</v>
      </c>
      <c r="AM1390" s="11">
        <v>44792</v>
      </c>
      <c r="AN1390" t="s">
        <v>184</v>
      </c>
      <c r="AO1390" t="s">
        <v>65</v>
      </c>
      <c r="AP1390">
        <v>1206</v>
      </c>
      <c r="AQ1390" t="s">
        <v>66</v>
      </c>
      <c r="AR1390">
        <v>96021</v>
      </c>
      <c r="AU1390" t="s">
        <v>57</v>
      </c>
      <c r="AV1390" t="s">
        <v>68</v>
      </c>
      <c r="AX1390" t="s">
        <v>57</v>
      </c>
      <c r="AY1390">
        <v>631110</v>
      </c>
      <c r="AZ1390">
        <v>1206.63111</v>
      </c>
      <c r="BA1390" s="23" t="s">
        <v>14</v>
      </c>
    </row>
    <row r="1391" spans="1:53" x14ac:dyDescent="0.25">
      <c r="A1391" t="s">
        <v>134</v>
      </c>
      <c r="B1391" t="s">
        <v>135</v>
      </c>
      <c r="C1391">
        <v>22002605</v>
      </c>
      <c r="D1391">
        <v>1206</v>
      </c>
      <c r="E1391" s="11">
        <v>44792</v>
      </c>
      <c r="F1391" t="s">
        <v>174</v>
      </c>
      <c r="G1391">
        <v>1.05</v>
      </c>
      <c r="H1391">
        <v>1.05</v>
      </c>
      <c r="I1391" t="s">
        <v>56</v>
      </c>
      <c r="O1391" t="s">
        <v>57</v>
      </c>
      <c r="Q1391" t="s">
        <v>57</v>
      </c>
      <c r="R1391" t="s">
        <v>137</v>
      </c>
      <c r="T1391" t="s">
        <v>59</v>
      </c>
      <c r="U1391" t="s">
        <v>60</v>
      </c>
      <c r="V1391" t="s">
        <v>138</v>
      </c>
      <c r="W1391" t="s">
        <v>139</v>
      </c>
      <c r="X1391">
        <v>1934080</v>
      </c>
      <c r="Y1391" s="11">
        <v>44792</v>
      </c>
      <c r="Z1391" t="s">
        <v>57</v>
      </c>
      <c r="AA1391">
        <v>6</v>
      </c>
      <c r="AB1391" t="s">
        <v>57</v>
      </c>
      <c r="AD1391" t="s">
        <v>57</v>
      </c>
      <c r="AE1391" t="s">
        <v>57</v>
      </c>
      <c r="AF1391" t="s">
        <v>57</v>
      </c>
      <c r="AG1391">
        <v>1</v>
      </c>
      <c r="AH1391" t="s">
        <v>57</v>
      </c>
      <c r="AL1391" t="s">
        <v>57</v>
      </c>
      <c r="AM1391" s="11">
        <v>44792</v>
      </c>
      <c r="AN1391" t="s">
        <v>184</v>
      </c>
      <c r="AO1391" t="s">
        <v>65</v>
      </c>
      <c r="AP1391">
        <v>1206</v>
      </c>
      <c r="AQ1391" t="s">
        <v>66</v>
      </c>
      <c r="AR1391">
        <v>190627</v>
      </c>
      <c r="AU1391" t="s">
        <v>57</v>
      </c>
      <c r="AV1391" t="s">
        <v>68</v>
      </c>
      <c r="AX1391" t="s">
        <v>57</v>
      </c>
      <c r="AY1391">
        <v>631110</v>
      </c>
      <c r="AZ1391">
        <v>1206.63111</v>
      </c>
      <c r="BA1391" s="23" t="s">
        <v>14</v>
      </c>
    </row>
    <row r="1392" spans="1:53" x14ac:dyDescent="0.25">
      <c r="A1392" t="s">
        <v>134</v>
      </c>
      <c r="B1392" t="s">
        <v>135</v>
      </c>
      <c r="C1392">
        <v>22002605</v>
      </c>
      <c r="D1392">
        <v>1206</v>
      </c>
      <c r="E1392" s="11">
        <v>44792</v>
      </c>
      <c r="F1392" t="s">
        <v>174</v>
      </c>
      <c r="G1392">
        <v>1.05</v>
      </c>
      <c r="H1392">
        <v>1.05</v>
      </c>
      <c r="I1392" t="s">
        <v>56</v>
      </c>
      <c r="O1392" t="s">
        <v>57</v>
      </c>
      <c r="Q1392" t="s">
        <v>57</v>
      </c>
      <c r="R1392" t="s">
        <v>137</v>
      </c>
      <c r="T1392" t="s">
        <v>59</v>
      </c>
      <c r="U1392" t="s">
        <v>60</v>
      </c>
      <c r="V1392" t="s">
        <v>138</v>
      </c>
      <c r="W1392" t="s">
        <v>139</v>
      </c>
      <c r="X1392">
        <v>1934080</v>
      </c>
      <c r="Y1392" s="11">
        <v>44792</v>
      </c>
      <c r="Z1392" t="s">
        <v>57</v>
      </c>
      <c r="AA1392">
        <v>8</v>
      </c>
      <c r="AB1392" t="s">
        <v>57</v>
      </c>
      <c r="AD1392" t="s">
        <v>57</v>
      </c>
      <c r="AE1392" t="s">
        <v>57</v>
      </c>
      <c r="AF1392" t="s">
        <v>57</v>
      </c>
      <c r="AG1392">
        <v>1</v>
      </c>
      <c r="AH1392" t="s">
        <v>57</v>
      </c>
      <c r="AL1392" t="s">
        <v>57</v>
      </c>
      <c r="AM1392" s="11">
        <v>44792</v>
      </c>
      <c r="AN1392" t="s">
        <v>184</v>
      </c>
      <c r="AO1392" t="s">
        <v>65</v>
      </c>
      <c r="AP1392">
        <v>1206</v>
      </c>
      <c r="AQ1392" t="s">
        <v>66</v>
      </c>
      <c r="AR1392">
        <v>190625</v>
      </c>
      <c r="AU1392" t="s">
        <v>57</v>
      </c>
      <c r="AV1392" t="s">
        <v>68</v>
      </c>
      <c r="AX1392" t="s">
        <v>57</v>
      </c>
      <c r="AY1392">
        <v>631110</v>
      </c>
      <c r="AZ1392">
        <v>1206.63111</v>
      </c>
      <c r="BA1392" s="23" t="s">
        <v>14</v>
      </c>
    </row>
    <row r="1393" spans="1:53" x14ac:dyDescent="0.25">
      <c r="A1393" t="s">
        <v>134</v>
      </c>
      <c r="B1393" t="s">
        <v>135</v>
      </c>
      <c r="C1393">
        <v>22002606</v>
      </c>
      <c r="D1393">
        <v>1206</v>
      </c>
      <c r="E1393" s="11">
        <v>44792</v>
      </c>
      <c r="F1393" t="s">
        <v>159</v>
      </c>
      <c r="G1393">
        <v>9.51</v>
      </c>
      <c r="H1393">
        <v>9.51</v>
      </c>
      <c r="I1393" t="s">
        <v>56</v>
      </c>
      <c r="O1393" t="s">
        <v>57</v>
      </c>
      <c r="Q1393" t="s">
        <v>57</v>
      </c>
      <c r="R1393" t="s">
        <v>137</v>
      </c>
      <c r="T1393" t="s">
        <v>59</v>
      </c>
      <c r="U1393" t="s">
        <v>60</v>
      </c>
      <c r="V1393" t="s">
        <v>138</v>
      </c>
      <c r="W1393" t="s">
        <v>139</v>
      </c>
      <c r="X1393">
        <v>1934080</v>
      </c>
      <c r="Y1393" s="11">
        <v>44792</v>
      </c>
      <c r="Z1393" t="s">
        <v>57</v>
      </c>
      <c r="AA1393">
        <v>2</v>
      </c>
      <c r="AB1393" t="s">
        <v>57</v>
      </c>
      <c r="AD1393" t="s">
        <v>57</v>
      </c>
      <c r="AE1393" t="s">
        <v>57</v>
      </c>
      <c r="AF1393" t="s">
        <v>57</v>
      </c>
      <c r="AG1393">
        <v>7</v>
      </c>
      <c r="AH1393" t="s">
        <v>57</v>
      </c>
      <c r="AL1393" t="s">
        <v>57</v>
      </c>
      <c r="AM1393" s="11">
        <v>44792</v>
      </c>
      <c r="AN1393" t="s">
        <v>184</v>
      </c>
      <c r="AO1393" t="s">
        <v>65</v>
      </c>
      <c r="AP1393">
        <v>1206</v>
      </c>
      <c r="AQ1393" t="s">
        <v>66</v>
      </c>
      <c r="AR1393">
        <v>163503</v>
      </c>
      <c r="AU1393" t="s">
        <v>57</v>
      </c>
      <c r="AV1393" t="s">
        <v>68</v>
      </c>
      <c r="AX1393" t="s">
        <v>57</v>
      </c>
      <c r="AY1393">
        <v>631110</v>
      </c>
      <c r="AZ1393">
        <v>1206.63111</v>
      </c>
      <c r="BA1393" s="23" t="s">
        <v>14</v>
      </c>
    </row>
    <row r="1394" spans="1:53" x14ac:dyDescent="0.25">
      <c r="A1394" t="s">
        <v>134</v>
      </c>
      <c r="B1394" t="s">
        <v>135</v>
      </c>
      <c r="C1394">
        <v>22002607</v>
      </c>
      <c r="D1394">
        <v>1206</v>
      </c>
      <c r="E1394" s="11">
        <v>44792</v>
      </c>
      <c r="F1394" t="s">
        <v>174</v>
      </c>
      <c r="G1394">
        <v>0.48</v>
      </c>
      <c r="H1394">
        <v>0.48</v>
      </c>
      <c r="I1394" t="s">
        <v>56</v>
      </c>
      <c r="O1394" t="s">
        <v>57</v>
      </c>
      <c r="Q1394" t="s">
        <v>57</v>
      </c>
      <c r="R1394" t="s">
        <v>137</v>
      </c>
      <c r="T1394" t="s">
        <v>59</v>
      </c>
      <c r="U1394" t="s">
        <v>60</v>
      </c>
      <c r="V1394" t="s">
        <v>138</v>
      </c>
      <c r="W1394" t="s">
        <v>139</v>
      </c>
      <c r="X1394">
        <v>1934080</v>
      </c>
      <c r="Y1394" s="11">
        <v>44792</v>
      </c>
      <c r="Z1394" t="s">
        <v>57</v>
      </c>
      <c r="AA1394">
        <v>2</v>
      </c>
      <c r="AB1394" t="s">
        <v>57</v>
      </c>
      <c r="AD1394" t="s">
        <v>57</v>
      </c>
      <c r="AE1394" t="s">
        <v>57</v>
      </c>
      <c r="AF1394" t="s">
        <v>57</v>
      </c>
      <c r="AG1394">
        <v>1</v>
      </c>
      <c r="AH1394" t="s">
        <v>57</v>
      </c>
      <c r="AL1394" t="s">
        <v>57</v>
      </c>
      <c r="AM1394" s="11">
        <v>44792</v>
      </c>
      <c r="AN1394" t="s">
        <v>184</v>
      </c>
      <c r="AO1394" t="s">
        <v>65</v>
      </c>
      <c r="AP1394">
        <v>1206</v>
      </c>
      <c r="AQ1394" t="s">
        <v>66</v>
      </c>
      <c r="AR1394">
        <v>90122</v>
      </c>
      <c r="AU1394" t="s">
        <v>57</v>
      </c>
      <c r="AV1394" t="s">
        <v>68</v>
      </c>
      <c r="AX1394" t="s">
        <v>57</v>
      </c>
      <c r="AY1394">
        <v>631110</v>
      </c>
      <c r="AZ1394">
        <v>1206.63111</v>
      </c>
      <c r="BA1394" s="23" t="s">
        <v>14</v>
      </c>
    </row>
    <row r="1395" spans="1:53" x14ac:dyDescent="0.25">
      <c r="A1395" t="s">
        <v>134</v>
      </c>
      <c r="B1395" t="s">
        <v>135</v>
      </c>
      <c r="C1395">
        <v>22002607</v>
      </c>
      <c r="D1395">
        <v>1206</v>
      </c>
      <c r="E1395" s="11">
        <v>44792</v>
      </c>
      <c r="F1395" t="s">
        <v>174</v>
      </c>
      <c r="G1395">
        <v>51.17</v>
      </c>
      <c r="H1395">
        <v>51.17</v>
      </c>
      <c r="I1395" t="s">
        <v>56</v>
      </c>
      <c r="O1395" t="s">
        <v>57</v>
      </c>
      <c r="Q1395" t="s">
        <v>57</v>
      </c>
      <c r="R1395" t="s">
        <v>137</v>
      </c>
      <c r="T1395" t="s">
        <v>59</v>
      </c>
      <c r="U1395" t="s">
        <v>60</v>
      </c>
      <c r="V1395" t="s">
        <v>138</v>
      </c>
      <c r="W1395" t="s">
        <v>139</v>
      </c>
      <c r="X1395">
        <v>1934080</v>
      </c>
      <c r="Y1395" s="11">
        <v>44792</v>
      </c>
      <c r="Z1395" t="s">
        <v>57</v>
      </c>
      <c r="AA1395">
        <v>4</v>
      </c>
      <c r="AB1395" t="s">
        <v>57</v>
      </c>
      <c r="AD1395" t="s">
        <v>57</v>
      </c>
      <c r="AE1395" t="s">
        <v>57</v>
      </c>
      <c r="AF1395" t="s">
        <v>57</v>
      </c>
      <c r="AG1395">
        <v>1</v>
      </c>
      <c r="AH1395" t="s">
        <v>57</v>
      </c>
      <c r="AL1395" t="s">
        <v>57</v>
      </c>
      <c r="AM1395" s="11">
        <v>44792</v>
      </c>
      <c r="AN1395" t="s">
        <v>184</v>
      </c>
      <c r="AO1395" t="s">
        <v>65</v>
      </c>
      <c r="AP1395">
        <v>1206</v>
      </c>
      <c r="AQ1395" t="s">
        <v>66</v>
      </c>
      <c r="AR1395">
        <v>273830</v>
      </c>
      <c r="AU1395" t="s">
        <v>57</v>
      </c>
      <c r="AV1395" t="s">
        <v>68</v>
      </c>
      <c r="AX1395" t="s">
        <v>57</v>
      </c>
      <c r="AY1395">
        <v>631110</v>
      </c>
      <c r="AZ1395">
        <v>1206.63111</v>
      </c>
      <c r="BA1395" s="23" t="s">
        <v>14</v>
      </c>
    </row>
    <row r="1396" spans="1:53" x14ac:dyDescent="0.25">
      <c r="A1396" t="s">
        <v>134</v>
      </c>
      <c r="B1396" t="s">
        <v>135</v>
      </c>
      <c r="C1396">
        <v>22002607</v>
      </c>
      <c r="D1396">
        <v>1206</v>
      </c>
      <c r="E1396" s="11">
        <v>44792</v>
      </c>
      <c r="F1396" t="s">
        <v>174</v>
      </c>
      <c r="G1396">
        <v>0.9</v>
      </c>
      <c r="H1396">
        <v>0.9</v>
      </c>
      <c r="I1396" t="s">
        <v>56</v>
      </c>
      <c r="O1396" t="s">
        <v>57</v>
      </c>
      <c r="Q1396" t="s">
        <v>57</v>
      </c>
      <c r="R1396" t="s">
        <v>137</v>
      </c>
      <c r="T1396" t="s">
        <v>59</v>
      </c>
      <c r="U1396" t="s">
        <v>60</v>
      </c>
      <c r="V1396" t="s">
        <v>138</v>
      </c>
      <c r="W1396" t="s">
        <v>139</v>
      </c>
      <c r="X1396">
        <v>1934080</v>
      </c>
      <c r="Y1396" s="11">
        <v>44792</v>
      </c>
      <c r="Z1396" t="s">
        <v>57</v>
      </c>
      <c r="AA1396">
        <v>6</v>
      </c>
      <c r="AB1396" t="s">
        <v>57</v>
      </c>
      <c r="AD1396" t="s">
        <v>57</v>
      </c>
      <c r="AE1396" t="s">
        <v>57</v>
      </c>
      <c r="AF1396" t="s">
        <v>57</v>
      </c>
      <c r="AG1396">
        <v>1</v>
      </c>
      <c r="AH1396" t="s">
        <v>57</v>
      </c>
      <c r="AL1396" t="s">
        <v>57</v>
      </c>
      <c r="AM1396" s="11">
        <v>44792</v>
      </c>
      <c r="AN1396" t="s">
        <v>184</v>
      </c>
      <c r="AO1396" t="s">
        <v>65</v>
      </c>
      <c r="AP1396">
        <v>1206</v>
      </c>
      <c r="AQ1396" t="s">
        <v>66</v>
      </c>
      <c r="AR1396">
        <v>205690</v>
      </c>
      <c r="AU1396" t="s">
        <v>57</v>
      </c>
      <c r="AV1396" t="s">
        <v>68</v>
      </c>
      <c r="AX1396" t="s">
        <v>57</v>
      </c>
      <c r="AY1396">
        <v>631110</v>
      </c>
      <c r="AZ1396">
        <v>1206.63111</v>
      </c>
      <c r="BA1396" s="23" t="s">
        <v>14</v>
      </c>
    </row>
    <row r="1397" spans="1:53" x14ac:dyDescent="0.25">
      <c r="A1397" t="s">
        <v>134</v>
      </c>
      <c r="B1397" t="s">
        <v>135</v>
      </c>
      <c r="C1397">
        <v>22002607</v>
      </c>
      <c r="D1397">
        <v>1206</v>
      </c>
      <c r="E1397" s="11">
        <v>44792</v>
      </c>
      <c r="F1397" t="s">
        <v>174</v>
      </c>
      <c r="G1397">
        <v>4.55</v>
      </c>
      <c r="H1397">
        <v>4.55</v>
      </c>
      <c r="I1397" t="s">
        <v>56</v>
      </c>
      <c r="O1397" t="s">
        <v>57</v>
      </c>
      <c r="Q1397" t="s">
        <v>57</v>
      </c>
      <c r="R1397" t="s">
        <v>137</v>
      </c>
      <c r="T1397" t="s">
        <v>59</v>
      </c>
      <c r="U1397" t="s">
        <v>60</v>
      </c>
      <c r="V1397" t="s">
        <v>138</v>
      </c>
      <c r="W1397" t="s">
        <v>139</v>
      </c>
      <c r="X1397">
        <v>1934080</v>
      </c>
      <c r="Y1397" s="11">
        <v>44792</v>
      </c>
      <c r="Z1397" t="s">
        <v>57</v>
      </c>
      <c r="AA1397">
        <v>8</v>
      </c>
      <c r="AB1397" t="s">
        <v>57</v>
      </c>
      <c r="AD1397" t="s">
        <v>57</v>
      </c>
      <c r="AE1397" t="s">
        <v>57</v>
      </c>
      <c r="AF1397" t="s">
        <v>57</v>
      </c>
      <c r="AG1397">
        <v>1</v>
      </c>
      <c r="AH1397" t="s">
        <v>57</v>
      </c>
      <c r="AL1397" t="s">
        <v>57</v>
      </c>
      <c r="AM1397" s="11">
        <v>44792</v>
      </c>
      <c r="AN1397" t="s">
        <v>184</v>
      </c>
      <c r="AO1397" t="s">
        <v>65</v>
      </c>
      <c r="AP1397">
        <v>1206</v>
      </c>
      <c r="AQ1397" t="s">
        <v>66</v>
      </c>
      <c r="AR1397">
        <v>142795</v>
      </c>
      <c r="AU1397" t="s">
        <v>57</v>
      </c>
      <c r="AV1397" t="s">
        <v>68</v>
      </c>
      <c r="AX1397" t="s">
        <v>57</v>
      </c>
      <c r="AY1397">
        <v>631110</v>
      </c>
      <c r="AZ1397">
        <v>1206.63111</v>
      </c>
      <c r="BA1397" s="23" t="s">
        <v>14</v>
      </c>
    </row>
    <row r="1398" spans="1:53" x14ac:dyDescent="0.25">
      <c r="A1398" t="s">
        <v>134</v>
      </c>
      <c r="B1398" t="s">
        <v>135</v>
      </c>
      <c r="C1398">
        <v>22002608</v>
      </c>
      <c r="D1398">
        <v>1206</v>
      </c>
      <c r="E1398" s="11">
        <v>44792</v>
      </c>
      <c r="F1398" t="s">
        <v>172</v>
      </c>
      <c r="G1398">
        <v>16.13</v>
      </c>
      <c r="H1398">
        <v>16.13</v>
      </c>
      <c r="I1398" t="s">
        <v>56</v>
      </c>
      <c r="O1398" t="s">
        <v>57</v>
      </c>
      <c r="Q1398" t="s">
        <v>57</v>
      </c>
      <c r="R1398" t="s">
        <v>137</v>
      </c>
      <c r="T1398" t="s">
        <v>59</v>
      </c>
      <c r="U1398" t="s">
        <v>60</v>
      </c>
      <c r="V1398" t="s">
        <v>138</v>
      </c>
      <c r="W1398" t="s">
        <v>139</v>
      </c>
      <c r="X1398">
        <v>1934080</v>
      </c>
      <c r="Y1398" s="11">
        <v>44792</v>
      </c>
      <c r="Z1398" t="s">
        <v>57</v>
      </c>
      <c r="AA1398">
        <v>2</v>
      </c>
      <c r="AB1398" t="s">
        <v>57</v>
      </c>
      <c r="AD1398" t="s">
        <v>57</v>
      </c>
      <c r="AE1398" t="s">
        <v>57</v>
      </c>
      <c r="AF1398" t="s">
        <v>57</v>
      </c>
      <c r="AG1398">
        <v>2</v>
      </c>
      <c r="AH1398" t="s">
        <v>57</v>
      </c>
      <c r="AL1398" t="s">
        <v>57</v>
      </c>
      <c r="AM1398" s="11">
        <v>44792</v>
      </c>
      <c r="AN1398" t="s">
        <v>184</v>
      </c>
      <c r="AO1398" t="s">
        <v>65</v>
      </c>
      <c r="AP1398">
        <v>1206</v>
      </c>
      <c r="AQ1398" t="s">
        <v>66</v>
      </c>
      <c r="AR1398">
        <v>279991</v>
      </c>
      <c r="AU1398" t="s">
        <v>57</v>
      </c>
      <c r="AV1398" t="s">
        <v>68</v>
      </c>
      <c r="AX1398" t="s">
        <v>57</v>
      </c>
      <c r="AY1398">
        <v>631110</v>
      </c>
      <c r="AZ1398">
        <v>1206.63111</v>
      </c>
      <c r="BA1398" s="23" t="s">
        <v>14</v>
      </c>
    </row>
    <row r="1399" spans="1:53" x14ac:dyDescent="0.25">
      <c r="A1399" t="s">
        <v>134</v>
      </c>
      <c r="B1399" t="s">
        <v>135</v>
      </c>
      <c r="C1399">
        <v>22002608</v>
      </c>
      <c r="D1399">
        <v>1206</v>
      </c>
      <c r="E1399" s="11">
        <v>44792</v>
      </c>
      <c r="F1399" t="s">
        <v>172</v>
      </c>
      <c r="G1399">
        <v>50.47</v>
      </c>
      <c r="H1399">
        <v>50.47</v>
      </c>
      <c r="I1399" t="s">
        <v>56</v>
      </c>
      <c r="O1399" t="s">
        <v>57</v>
      </c>
      <c r="Q1399" t="s">
        <v>57</v>
      </c>
      <c r="R1399" t="s">
        <v>137</v>
      </c>
      <c r="T1399" t="s">
        <v>59</v>
      </c>
      <c r="U1399" t="s">
        <v>60</v>
      </c>
      <c r="V1399" t="s">
        <v>138</v>
      </c>
      <c r="W1399" t="s">
        <v>139</v>
      </c>
      <c r="X1399">
        <v>1934080</v>
      </c>
      <c r="Y1399" s="11">
        <v>44792</v>
      </c>
      <c r="Z1399" t="s">
        <v>57</v>
      </c>
      <c r="AA1399">
        <v>4</v>
      </c>
      <c r="AB1399" t="s">
        <v>57</v>
      </c>
      <c r="AD1399" t="s">
        <v>57</v>
      </c>
      <c r="AE1399" t="s">
        <v>57</v>
      </c>
      <c r="AF1399" t="s">
        <v>57</v>
      </c>
      <c r="AG1399">
        <v>4</v>
      </c>
      <c r="AH1399" t="s">
        <v>57</v>
      </c>
      <c r="AL1399" t="s">
        <v>57</v>
      </c>
      <c r="AM1399" s="11">
        <v>44792</v>
      </c>
      <c r="AN1399" t="s">
        <v>184</v>
      </c>
      <c r="AO1399" t="s">
        <v>65</v>
      </c>
      <c r="AP1399">
        <v>1206</v>
      </c>
      <c r="AQ1399" t="s">
        <v>66</v>
      </c>
      <c r="AR1399">
        <v>139342</v>
      </c>
      <c r="AU1399" t="s">
        <v>57</v>
      </c>
      <c r="AV1399" t="s">
        <v>68</v>
      </c>
      <c r="AX1399" t="s">
        <v>57</v>
      </c>
      <c r="AY1399">
        <v>631110</v>
      </c>
      <c r="AZ1399">
        <v>1206.63111</v>
      </c>
      <c r="BA1399" s="23" t="s">
        <v>14</v>
      </c>
    </row>
    <row r="1400" spans="1:53" x14ac:dyDescent="0.25">
      <c r="A1400" t="s">
        <v>134</v>
      </c>
      <c r="B1400" t="s">
        <v>135</v>
      </c>
      <c r="C1400">
        <v>22002608</v>
      </c>
      <c r="D1400">
        <v>1206</v>
      </c>
      <c r="E1400" s="11">
        <v>44792</v>
      </c>
      <c r="F1400" t="s">
        <v>172</v>
      </c>
      <c r="G1400">
        <v>26.1</v>
      </c>
      <c r="H1400">
        <v>26.1</v>
      </c>
      <c r="I1400" t="s">
        <v>56</v>
      </c>
      <c r="O1400" t="s">
        <v>57</v>
      </c>
      <c r="Q1400" t="s">
        <v>57</v>
      </c>
      <c r="R1400" t="s">
        <v>137</v>
      </c>
      <c r="T1400" t="s">
        <v>59</v>
      </c>
      <c r="U1400" t="s">
        <v>60</v>
      </c>
      <c r="V1400" t="s">
        <v>138</v>
      </c>
      <c r="W1400" t="s">
        <v>139</v>
      </c>
      <c r="X1400">
        <v>1934080</v>
      </c>
      <c r="Y1400" s="11">
        <v>44792</v>
      </c>
      <c r="Z1400" t="s">
        <v>57</v>
      </c>
      <c r="AA1400">
        <v>6</v>
      </c>
      <c r="AB1400" t="s">
        <v>57</v>
      </c>
      <c r="AD1400" t="s">
        <v>57</v>
      </c>
      <c r="AE1400" t="s">
        <v>57</v>
      </c>
      <c r="AF1400" t="s">
        <v>57</v>
      </c>
      <c r="AG1400">
        <v>2</v>
      </c>
      <c r="AH1400" t="s">
        <v>57</v>
      </c>
      <c r="AL1400" t="s">
        <v>57</v>
      </c>
      <c r="AM1400" s="11">
        <v>44792</v>
      </c>
      <c r="AN1400" t="s">
        <v>184</v>
      </c>
      <c r="AO1400" t="s">
        <v>65</v>
      </c>
      <c r="AP1400">
        <v>1206</v>
      </c>
      <c r="AQ1400" t="s">
        <v>66</v>
      </c>
      <c r="AR1400">
        <v>139342</v>
      </c>
      <c r="AU1400" t="s">
        <v>57</v>
      </c>
      <c r="AV1400" t="s">
        <v>68</v>
      </c>
      <c r="AX1400" t="s">
        <v>57</v>
      </c>
      <c r="AY1400">
        <v>631110</v>
      </c>
      <c r="AZ1400">
        <v>1206.63111</v>
      </c>
      <c r="BA1400" s="23" t="s">
        <v>14</v>
      </c>
    </row>
    <row r="1401" spans="1:53" x14ac:dyDescent="0.25">
      <c r="A1401" t="s">
        <v>134</v>
      </c>
      <c r="B1401" t="s">
        <v>135</v>
      </c>
      <c r="C1401">
        <v>22002609</v>
      </c>
      <c r="D1401">
        <v>1206</v>
      </c>
      <c r="E1401" s="11">
        <v>44792</v>
      </c>
      <c r="F1401" t="s">
        <v>174</v>
      </c>
      <c r="G1401">
        <v>6.73</v>
      </c>
      <c r="H1401">
        <v>6.73</v>
      </c>
      <c r="I1401" t="s">
        <v>56</v>
      </c>
      <c r="O1401" t="s">
        <v>57</v>
      </c>
      <c r="Q1401" t="s">
        <v>57</v>
      </c>
      <c r="R1401" t="s">
        <v>137</v>
      </c>
      <c r="T1401" t="s">
        <v>59</v>
      </c>
      <c r="U1401" t="s">
        <v>60</v>
      </c>
      <c r="V1401" t="s">
        <v>138</v>
      </c>
      <c r="W1401" t="s">
        <v>139</v>
      </c>
      <c r="X1401">
        <v>1934080</v>
      </c>
      <c r="Y1401" s="11">
        <v>44792</v>
      </c>
      <c r="Z1401" t="s">
        <v>57</v>
      </c>
      <c r="AA1401">
        <v>2</v>
      </c>
      <c r="AB1401" t="s">
        <v>57</v>
      </c>
      <c r="AD1401" t="s">
        <v>57</v>
      </c>
      <c r="AE1401" t="s">
        <v>57</v>
      </c>
      <c r="AF1401" t="s">
        <v>57</v>
      </c>
      <c r="AG1401">
        <v>2</v>
      </c>
      <c r="AH1401" t="s">
        <v>57</v>
      </c>
      <c r="AL1401" t="s">
        <v>57</v>
      </c>
      <c r="AM1401" s="11">
        <v>44792</v>
      </c>
      <c r="AN1401" t="s">
        <v>184</v>
      </c>
      <c r="AO1401" t="s">
        <v>65</v>
      </c>
      <c r="AP1401">
        <v>1206</v>
      </c>
      <c r="AQ1401" t="s">
        <v>66</v>
      </c>
      <c r="AR1401">
        <v>206793</v>
      </c>
      <c r="AU1401" t="s">
        <v>57</v>
      </c>
      <c r="AV1401" t="s">
        <v>68</v>
      </c>
      <c r="AX1401" t="s">
        <v>57</v>
      </c>
      <c r="AY1401">
        <v>631110</v>
      </c>
      <c r="AZ1401">
        <v>1206.63111</v>
      </c>
      <c r="BA1401" s="23" t="s">
        <v>14</v>
      </c>
    </row>
    <row r="1402" spans="1:53" x14ac:dyDescent="0.25">
      <c r="A1402" t="s">
        <v>134</v>
      </c>
      <c r="B1402" t="s">
        <v>135</v>
      </c>
      <c r="C1402">
        <v>22002609</v>
      </c>
      <c r="D1402">
        <v>1206</v>
      </c>
      <c r="E1402" s="11">
        <v>44792</v>
      </c>
      <c r="F1402" t="s">
        <v>174</v>
      </c>
      <c r="G1402">
        <v>10.28</v>
      </c>
      <c r="H1402">
        <v>10.28</v>
      </c>
      <c r="I1402" t="s">
        <v>56</v>
      </c>
      <c r="O1402" t="s">
        <v>57</v>
      </c>
      <c r="Q1402" t="s">
        <v>57</v>
      </c>
      <c r="R1402" t="s">
        <v>137</v>
      </c>
      <c r="T1402" t="s">
        <v>59</v>
      </c>
      <c r="U1402" t="s">
        <v>60</v>
      </c>
      <c r="V1402" t="s">
        <v>138</v>
      </c>
      <c r="W1402" t="s">
        <v>139</v>
      </c>
      <c r="X1402">
        <v>1934080</v>
      </c>
      <c r="Y1402" s="11">
        <v>44792</v>
      </c>
      <c r="Z1402" t="s">
        <v>57</v>
      </c>
      <c r="AA1402">
        <v>4</v>
      </c>
      <c r="AB1402" t="s">
        <v>57</v>
      </c>
      <c r="AD1402" t="s">
        <v>57</v>
      </c>
      <c r="AE1402" t="s">
        <v>57</v>
      </c>
      <c r="AF1402" t="s">
        <v>57</v>
      </c>
      <c r="AG1402">
        <v>1</v>
      </c>
      <c r="AH1402" t="s">
        <v>57</v>
      </c>
      <c r="AL1402" t="s">
        <v>57</v>
      </c>
      <c r="AM1402" s="11">
        <v>44792</v>
      </c>
      <c r="AN1402" t="s">
        <v>184</v>
      </c>
      <c r="AO1402" t="s">
        <v>65</v>
      </c>
      <c r="AP1402">
        <v>1206</v>
      </c>
      <c r="AQ1402" t="s">
        <v>66</v>
      </c>
      <c r="AR1402">
        <v>89976</v>
      </c>
      <c r="AU1402" t="s">
        <v>57</v>
      </c>
      <c r="AV1402" t="s">
        <v>68</v>
      </c>
      <c r="AX1402" t="s">
        <v>57</v>
      </c>
      <c r="AY1402">
        <v>631110</v>
      </c>
      <c r="AZ1402">
        <v>1206.63111</v>
      </c>
      <c r="BA1402" s="23" t="s">
        <v>14</v>
      </c>
    </row>
    <row r="1403" spans="1:53" x14ac:dyDescent="0.25">
      <c r="A1403" t="s">
        <v>134</v>
      </c>
      <c r="B1403" t="s">
        <v>135</v>
      </c>
      <c r="C1403">
        <v>22002609</v>
      </c>
      <c r="D1403">
        <v>1206</v>
      </c>
      <c r="E1403" s="11">
        <v>44792</v>
      </c>
      <c r="F1403" t="s">
        <v>174</v>
      </c>
      <c r="G1403">
        <v>0.79</v>
      </c>
      <c r="H1403">
        <v>0.79</v>
      </c>
      <c r="I1403" t="s">
        <v>56</v>
      </c>
      <c r="O1403" t="s">
        <v>57</v>
      </c>
      <c r="Q1403" t="s">
        <v>57</v>
      </c>
      <c r="R1403" t="s">
        <v>137</v>
      </c>
      <c r="T1403" t="s">
        <v>59</v>
      </c>
      <c r="U1403" t="s">
        <v>60</v>
      </c>
      <c r="V1403" t="s">
        <v>138</v>
      </c>
      <c r="W1403" t="s">
        <v>139</v>
      </c>
      <c r="X1403">
        <v>1934080</v>
      </c>
      <c r="Y1403" s="11">
        <v>44792</v>
      </c>
      <c r="Z1403" t="s">
        <v>57</v>
      </c>
      <c r="AA1403">
        <v>6</v>
      </c>
      <c r="AB1403" t="s">
        <v>57</v>
      </c>
      <c r="AD1403" t="s">
        <v>57</v>
      </c>
      <c r="AE1403" t="s">
        <v>57</v>
      </c>
      <c r="AF1403" t="s">
        <v>57</v>
      </c>
      <c r="AG1403">
        <v>1</v>
      </c>
      <c r="AH1403" t="s">
        <v>57</v>
      </c>
      <c r="AL1403" t="s">
        <v>57</v>
      </c>
      <c r="AM1403" s="11">
        <v>44792</v>
      </c>
      <c r="AN1403" t="s">
        <v>184</v>
      </c>
      <c r="AO1403" t="s">
        <v>65</v>
      </c>
      <c r="AP1403">
        <v>1206</v>
      </c>
      <c r="AQ1403" t="s">
        <v>66</v>
      </c>
      <c r="AR1403">
        <v>247349</v>
      </c>
      <c r="AU1403" t="s">
        <v>57</v>
      </c>
      <c r="AV1403" t="s">
        <v>68</v>
      </c>
      <c r="AX1403" t="s">
        <v>57</v>
      </c>
      <c r="AY1403">
        <v>631110</v>
      </c>
      <c r="AZ1403">
        <v>1206.63111</v>
      </c>
      <c r="BA1403" s="23" t="s">
        <v>14</v>
      </c>
    </row>
    <row r="1404" spans="1:53" x14ac:dyDescent="0.25">
      <c r="A1404" t="s">
        <v>134</v>
      </c>
      <c r="B1404" t="s">
        <v>135</v>
      </c>
      <c r="C1404">
        <v>22002610</v>
      </c>
      <c r="D1404">
        <v>1206</v>
      </c>
      <c r="E1404" s="11">
        <v>44792</v>
      </c>
      <c r="F1404" t="s">
        <v>185</v>
      </c>
      <c r="G1404">
        <v>21.92</v>
      </c>
      <c r="H1404">
        <v>21.92</v>
      </c>
      <c r="I1404" t="s">
        <v>56</v>
      </c>
      <c r="O1404" t="s">
        <v>57</v>
      </c>
      <c r="Q1404" t="s">
        <v>57</v>
      </c>
      <c r="R1404" t="s">
        <v>137</v>
      </c>
      <c r="T1404" t="s">
        <v>59</v>
      </c>
      <c r="U1404" t="s">
        <v>60</v>
      </c>
      <c r="V1404" t="s">
        <v>138</v>
      </c>
      <c r="W1404" t="s">
        <v>139</v>
      </c>
      <c r="X1404">
        <v>1934133</v>
      </c>
      <c r="Y1404" s="11">
        <v>44795</v>
      </c>
      <c r="Z1404" t="s">
        <v>57</v>
      </c>
      <c r="AA1404">
        <v>2</v>
      </c>
      <c r="AB1404" t="s">
        <v>57</v>
      </c>
      <c r="AD1404" t="s">
        <v>57</v>
      </c>
      <c r="AE1404" t="s">
        <v>57</v>
      </c>
      <c r="AF1404" t="s">
        <v>57</v>
      </c>
      <c r="AG1404">
        <v>60</v>
      </c>
      <c r="AH1404" t="s">
        <v>57</v>
      </c>
      <c r="AL1404" t="s">
        <v>57</v>
      </c>
      <c r="AM1404" s="11">
        <v>44792</v>
      </c>
      <c r="AN1404" t="s">
        <v>183</v>
      </c>
      <c r="AO1404" t="s">
        <v>65</v>
      </c>
      <c r="AP1404">
        <v>1206</v>
      </c>
      <c r="AQ1404" t="s">
        <v>66</v>
      </c>
      <c r="AR1404">
        <v>91011</v>
      </c>
      <c r="AU1404" t="s">
        <v>57</v>
      </c>
      <c r="AV1404" t="s">
        <v>68</v>
      </c>
      <c r="AX1404" t="s">
        <v>57</v>
      </c>
      <c r="AY1404">
        <v>631110</v>
      </c>
      <c r="AZ1404">
        <v>1206.63111</v>
      </c>
      <c r="BA1404" s="23" t="s">
        <v>14</v>
      </c>
    </row>
    <row r="1405" spans="1:53" x14ac:dyDescent="0.25">
      <c r="A1405" t="s">
        <v>134</v>
      </c>
      <c r="B1405" t="s">
        <v>135</v>
      </c>
      <c r="C1405">
        <v>22002610</v>
      </c>
      <c r="D1405">
        <v>1206</v>
      </c>
      <c r="E1405" s="11">
        <v>44792</v>
      </c>
      <c r="F1405" t="s">
        <v>185</v>
      </c>
      <c r="G1405">
        <v>3</v>
      </c>
      <c r="H1405">
        <v>3</v>
      </c>
      <c r="I1405" t="s">
        <v>56</v>
      </c>
      <c r="O1405" t="s">
        <v>57</v>
      </c>
      <c r="Q1405" t="s">
        <v>57</v>
      </c>
      <c r="R1405" t="s">
        <v>137</v>
      </c>
      <c r="T1405" t="s">
        <v>59</v>
      </c>
      <c r="U1405" t="s">
        <v>60</v>
      </c>
      <c r="V1405" t="s">
        <v>138</v>
      </c>
      <c r="W1405" t="s">
        <v>139</v>
      </c>
      <c r="X1405">
        <v>1934133</v>
      </c>
      <c r="Y1405" s="11">
        <v>44795</v>
      </c>
      <c r="Z1405" t="s">
        <v>57</v>
      </c>
      <c r="AA1405">
        <v>4</v>
      </c>
      <c r="AB1405" t="s">
        <v>57</v>
      </c>
      <c r="AD1405" t="s">
        <v>57</v>
      </c>
      <c r="AE1405" t="s">
        <v>57</v>
      </c>
      <c r="AF1405" t="s">
        <v>57</v>
      </c>
      <c r="AG1405">
        <v>20</v>
      </c>
      <c r="AH1405" t="s">
        <v>57</v>
      </c>
      <c r="AL1405" t="s">
        <v>57</v>
      </c>
      <c r="AM1405" s="11">
        <v>44792</v>
      </c>
      <c r="AN1405" t="s">
        <v>183</v>
      </c>
      <c r="AO1405" t="s">
        <v>65</v>
      </c>
      <c r="AP1405">
        <v>1206</v>
      </c>
      <c r="AQ1405" t="s">
        <v>66</v>
      </c>
      <c r="AR1405">
        <v>144854</v>
      </c>
      <c r="AU1405" t="s">
        <v>57</v>
      </c>
      <c r="AV1405" t="s">
        <v>68</v>
      </c>
      <c r="AX1405" t="s">
        <v>57</v>
      </c>
      <c r="AY1405">
        <v>631110</v>
      </c>
      <c r="AZ1405">
        <v>1206.63111</v>
      </c>
      <c r="BA1405" s="23" t="s">
        <v>14</v>
      </c>
    </row>
    <row r="1406" spans="1:53" x14ac:dyDescent="0.25">
      <c r="A1406" t="s">
        <v>134</v>
      </c>
      <c r="B1406" t="s">
        <v>135</v>
      </c>
      <c r="C1406">
        <v>22002610</v>
      </c>
      <c r="D1406">
        <v>1206</v>
      </c>
      <c r="E1406" s="11">
        <v>44792</v>
      </c>
      <c r="F1406" t="s">
        <v>185</v>
      </c>
      <c r="G1406">
        <v>4.62</v>
      </c>
      <c r="H1406">
        <v>4.62</v>
      </c>
      <c r="I1406" t="s">
        <v>56</v>
      </c>
      <c r="O1406" t="s">
        <v>57</v>
      </c>
      <c r="Q1406" t="s">
        <v>57</v>
      </c>
      <c r="R1406" t="s">
        <v>137</v>
      </c>
      <c r="T1406" t="s">
        <v>59</v>
      </c>
      <c r="U1406" t="s">
        <v>60</v>
      </c>
      <c r="V1406" t="s">
        <v>138</v>
      </c>
      <c r="W1406" t="s">
        <v>139</v>
      </c>
      <c r="X1406">
        <v>1934133</v>
      </c>
      <c r="Y1406" s="11">
        <v>44795</v>
      </c>
      <c r="Z1406" t="s">
        <v>57</v>
      </c>
      <c r="AA1406">
        <v>6</v>
      </c>
      <c r="AB1406" t="s">
        <v>57</v>
      </c>
      <c r="AD1406" t="s">
        <v>57</v>
      </c>
      <c r="AE1406" t="s">
        <v>57</v>
      </c>
      <c r="AF1406" t="s">
        <v>57</v>
      </c>
      <c r="AG1406">
        <v>30</v>
      </c>
      <c r="AH1406" t="s">
        <v>57</v>
      </c>
      <c r="AL1406" t="s">
        <v>57</v>
      </c>
      <c r="AM1406" s="11">
        <v>44792</v>
      </c>
      <c r="AN1406" t="s">
        <v>183</v>
      </c>
      <c r="AO1406" t="s">
        <v>65</v>
      </c>
      <c r="AP1406">
        <v>1206</v>
      </c>
      <c r="AQ1406" t="s">
        <v>66</v>
      </c>
      <c r="AR1406">
        <v>89712</v>
      </c>
      <c r="AU1406" t="s">
        <v>57</v>
      </c>
      <c r="AV1406" t="s">
        <v>68</v>
      </c>
      <c r="AX1406" t="s">
        <v>57</v>
      </c>
      <c r="AY1406">
        <v>631110</v>
      </c>
      <c r="AZ1406">
        <v>1206.63111</v>
      </c>
      <c r="BA1406" s="23" t="s">
        <v>14</v>
      </c>
    </row>
    <row r="1407" spans="1:53" x14ac:dyDescent="0.25">
      <c r="A1407" t="s">
        <v>134</v>
      </c>
      <c r="B1407" t="s">
        <v>135</v>
      </c>
      <c r="C1407">
        <v>22001846</v>
      </c>
      <c r="D1407">
        <v>1201</v>
      </c>
      <c r="E1407" s="11">
        <v>44774</v>
      </c>
      <c r="F1407" t="s">
        <v>186</v>
      </c>
      <c r="G1407">
        <v>312.8</v>
      </c>
      <c r="H1407">
        <v>312.8</v>
      </c>
      <c r="I1407" t="s">
        <v>56</v>
      </c>
      <c r="O1407" t="s">
        <v>57</v>
      </c>
      <c r="Q1407" t="s">
        <v>57</v>
      </c>
      <c r="R1407" t="s">
        <v>137</v>
      </c>
      <c r="T1407" t="s">
        <v>59</v>
      </c>
      <c r="U1407" t="s">
        <v>60</v>
      </c>
      <c r="V1407" t="s">
        <v>138</v>
      </c>
      <c r="W1407" t="s">
        <v>139</v>
      </c>
      <c r="X1407">
        <v>1927638</v>
      </c>
      <c r="Y1407" s="11">
        <v>44778</v>
      </c>
      <c r="Z1407" t="s">
        <v>57</v>
      </c>
      <c r="AA1407">
        <v>2</v>
      </c>
      <c r="AB1407" t="s">
        <v>57</v>
      </c>
      <c r="AD1407" t="s">
        <v>57</v>
      </c>
      <c r="AE1407" t="s">
        <v>57</v>
      </c>
      <c r="AF1407" t="s">
        <v>57</v>
      </c>
      <c r="AG1407">
        <v>350</v>
      </c>
      <c r="AH1407" t="s">
        <v>57</v>
      </c>
      <c r="AL1407" t="s">
        <v>57</v>
      </c>
      <c r="AM1407" s="11">
        <v>44774</v>
      </c>
      <c r="AN1407" t="s">
        <v>170</v>
      </c>
      <c r="AO1407" t="s">
        <v>65</v>
      </c>
      <c r="AP1407">
        <v>1201</v>
      </c>
      <c r="AQ1407" t="s">
        <v>66</v>
      </c>
      <c r="AR1407">
        <v>61812</v>
      </c>
      <c r="AU1407" t="s">
        <v>57</v>
      </c>
      <c r="AV1407" t="s">
        <v>68</v>
      </c>
      <c r="AX1407" t="s">
        <v>57</v>
      </c>
      <c r="AY1407">
        <v>631140</v>
      </c>
      <c r="AZ1407">
        <v>1201.63114</v>
      </c>
      <c r="BA1407" s="23" t="s">
        <v>15</v>
      </c>
    </row>
    <row r="1408" spans="1:53" x14ac:dyDescent="0.25">
      <c r="A1408" t="s">
        <v>134</v>
      </c>
      <c r="B1408" t="s">
        <v>135</v>
      </c>
      <c r="C1408">
        <v>22001847</v>
      </c>
      <c r="D1408">
        <v>1201</v>
      </c>
      <c r="E1408" s="11">
        <v>44775</v>
      </c>
      <c r="F1408" t="s">
        <v>186</v>
      </c>
      <c r="G1408">
        <v>312.8</v>
      </c>
      <c r="H1408">
        <v>312.8</v>
      </c>
      <c r="I1408" t="s">
        <v>56</v>
      </c>
      <c r="O1408" t="s">
        <v>57</v>
      </c>
      <c r="Q1408" t="s">
        <v>57</v>
      </c>
      <c r="R1408" t="s">
        <v>137</v>
      </c>
      <c r="T1408" t="s">
        <v>59</v>
      </c>
      <c r="U1408" t="s">
        <v>60</v>
      </c>
      <c r="V1408" t="s">
        <v>138</v>
      </c>
      <c r="W1408" t="s">
        <v>139</v>
      </c>
      <c r="X1408">
        <v>1927638</v>
      </c>
      <c r="Y1408" s="11">
        <v>44778</v>
      </c>
      <c r="Z1408" t="s">
        <v>57</v>
      </c>
      <c r="AA1408">
        <v>2</v>
      </c>
      <c r="AB1408" t="s">
        <v>57</v>
      </c>
      <c r="AD1408" t="s">
        <v>57</v>
      </c>
      <c r="AE1408" t="s">
        <v>57</v>
      </c>
      <c r="AF1408" t="s">
        <v>57</v>
      </c>
      <c r="AG1408">
        <v>350</v>
      </c>
      <c r="AH1408" t="s">
        <v>57</v>
      </c>
      <c r="AL1408" t="s">
        <v>57</v>
      </c>
      <c r="AM1408" s="11">
        <v>44775</v>
      </c>
      <c r="AN1408" t="s">
        <v>170</v>
      </c>
      <c r="AO1408" t="s">
        <v>65</v>
      </c>
      <c r="AP1408">
        <v>1201</v>
      </c>
      <c r="AQ1408" t="s">
        <v>66</v>
      </c>
      <c r="AR1408">
        <v>61812</v>
      </c>
      <c r="AU1408" t="s">
        <v>57</v>
      </c>
      <c r="AV1408" t="s">
        <v>68</v>
      </c>
      <c r="AX1408" t="s">
        <v>57</v>
      </c>
      <c r="AY1408">
        <v>631140</v>
      </c>
      <c r="AZ1408">
        <v>1201.63114</v>
      </c>
      <c r="BA1408" s="23" t="s">
        <v>15</v>
      </c>
    </row>
    <row r="1409" spans="1:53" x14ac:dyDescent="0.25">
      <c r="A1409" t="s">
        <v>134</v>
      </c>
      <c r="B1409" t="s">
        <v>135</v>
      </c>
      <c r="C1409">
        <v>22001848</v>
      </c>
      <c r="D1409">
        <v>1201</v>
      </c>
      <c r="E1409" s="11">
        <v>44776</v>
      </c>
      <c r="F1409" t="s">
        <v>186</v>
      </c>
      <c r="G1409">
        <v>312.8</v>
      </c>
      <c r="H1409">
        <v>312.8</v>
      </c>
      <c r="I1409" t="s">
        <v>56</v>
      </c>
      <c r="O1409" t="s">
        <v>57</v>
      </c>
      <c r="Q1409" t="s">
        <v>57</v>
      </c>
      <c r="R1409" t="s">
        <v>137</v>
      </c>
      <c r="T1409" t="s">
        <v>59</v>
      </c>
      <c r="U1409" t="s">
        <v>60</v>
      </c>
      <c r="V1409" t="s">
        <v>138</v>
      </c>
      <c r="W1409" t="s">
        <v>139</v>
      </c>
      <c r="X1409">
        <v>1927638</v>
      </c>
      <c r="Y1409" s="11">
        <v>44778</v>
      </c>
      <c r="Z1409" t="s">
        <v>57</v>
      </c>
      <c r="AA1409">
        <v>2</v>
      </c>
      <c r="AB1409" t="s">
        <v>57</v>
      </c>
      <c r="AD1409" t="s">
        <v>57</v>
      </c>
      <c r="AE1409" t="s">
        <v>57</v>
      </c>
      <c r="AF1409" t="s">
        <v>57</v>
      </c>
      <c r="AG1409">
        <v>350</v>
      </c>
      <c r="AH1409" t="s">
        <v>57</v>
      </c>
      <c r="AL1409" t="s">
        <v>57</v>
      </c>
      <c r="AM1409" s="11">
        <v>44776</v>
      </c>
      <c r="AN1409" t="s">
        <v>170</v>
      </c>
      <c r="AO1409" t="s">
        <v>65</v>
      </c>
      <c r="AP1409">
        <v>1201</v>
      </c>
      <c r="AQ1409" t="s">
        <v>66</v>
      </c>
      <c r="AR1409">
        <v>61812</v>
      </c>
      <c r="AU1409" t="s">
        <v>57</v>
      </c>
      <c r="AV1409" t="s">
        <v>68</v>
      </c>
      <c r="AX1409" t="s">
        <v>57</v>
      </c>
      <c r="AY1409">
        <v>631140</v>
      </c>
      <c r="AZ1409">
        <v>1201.63114</v>
      </c>
      <c r="BA1409" s="23" t="s">
        <v>15</v>
      </c>
    </row>
    <row r="1410" spans="1:53" x14ac:dyDescent="0.25">
      <c r="A1410" t="s">
        <v>134</v>
      </c>
      <c r="B1410" t="s">
        <v>135</v>
      </c>
      <c r="C1410">
        <v>22001849</v>
      </c>
      <c r="D1410">
        <v>1201</v>
      </c>
      <c r="E1410" s="11">
        <v>44777</v>
      </c>
      <c r="F1410" t="s">
        <v>186</v>
      </c>
      <c r="G1410">
        <v>312.8</v>
      </c>
      <c r="H1410">
        <v>312.8</v>
      </c>
      <c r="I1410" t="s">
        <v>56</v>
      </c>
      <c r="O1410" t="s">
        <v>57</v>
      </c>
      <c r="Q1410" t="s">
        <v>57</v>
      </c>
      <c r="R1410" t="s">
        <v>137</v>
      </c>
      <c r="T1410" t="s">
        <v>59</v>
      </c>
      <c r="U1410" t="s">
        <v>60</v>
      </c>
      <c r="V1410" t="s">
        <v>138</v>
      </c>
      <c r="W1410" t="s">
        <v>139</v>
      </c>
      <c r="X1410">
        <v>1927638</v>
      </c>
      <c r="Y1410" s="11">
        <v>44778</v>
      </c>
      <c r="Z1410" t="s">
        <v>57</v>
      </c>
      <c r="AA1410">
        <v>2</v>
      </c>
      <c r="AB1410" t="s">
        <v>57</v>
      </c>
      <c r="AD1410" t="s">
        <v>57</v>
      </c>
      <c r="AE1410" t="s">
        <v>57</v>
      </c>
      <c r="AF1410" t="s">
        <v>57</v>
      </c>
      <c r="AG1410">
        <v>350</v>
      </c>
      <c r="AH1410" t="s">
        <v>57</v>
      </c>
      <c r="AL1410" t="s">
        <v>57</v>
      </c>
      <c r="AM1410" s="11">
        <v>44777</v>
      </c>
      <c r="AN1410" t="s">
        <v>170</v>
      </c>
      <c r="AO1410" t="s">
        <v>65</v>
      </c>
      <c r="AP1410">
        <v>1201</v>
      </c>
      <c r="AQ1410" t="s">
        <v>66</v>
      </c>
      <c r="AR1410">
        <v>61812</v>
      </c>
      <c r="AU1410" t="s">
        <v>57</v>
      </c>
      <c r="AV1410" t="s">
        <v>68</v>
      </c>
      <c r="AX1410" t="s">
        <v>57</v>
      </c>
      <c r="AY1410">
        <v>631140</v>
      </c>
      <c r="AZ1410">
        <v>1201.63114</v>
      </c>
      <c r="BA1410" s="23" t="s">
        <v>15</v>
      </c>
    </row>
    <row r="1411" spans="1:53" x14ac:dyDescent="0.25">
      <c r="A1411" t="s">
        <v>134</v>
      </c>
      <c r="B1411" t="s">
        <v>135</v>
      </c>
      <c r="C1411">
        <v>22001852</v>
      </c>
      <c r="D1411">
        <v>1201</v>
      </c>
      <c r="E1411" s="11">
        <v>44778</v>
      </c>
      <c r="F1411" t="s">
        <v>186</v>
      </c>
      <c r="G1411">
        <v>312.8</v>
      </c>
      <c r="H1411">
        <v>312.8</v>
      </c>
      <c r="I1411" t="s">
        <v>56</v>
      </c>
      <c r="O1411" t="s">
        <v>57</v>
      </c>
      <c r="Q1411" t="s">
        <v>57</v>
      </c>
      <c r="R1411" t="s">
        <v>137</v>
      </c>
      <c r="T1411" t="s">
        <v>59</v>
      </c>
      <c r="U1411" t="s">
        <v>60</v>
      </c>
      <c r="V1411" t="s">
        <v>138</v>
      </c>
      <c r="W1411" t="s">
        <v>139</v>
      </c>
      <c r="X1411">
        <v>1928678</v>
      </c>
      <c r="Y1411" s="11">
        <v>44778</v>
      </c>
      <c r="Z1411" t="s">
        <v>57</v>
      </c>
      <c r="AA1411">
        <v>2</v>
      </c>
      <c r="AB1411" t="s">
        <v>57</v>
      </c>
      <c r="AD1411" t="s">
        <v>57</v>
      </c>
      <c r="AE1411" t="s">
        <v>57</v>
      </c>
      <c r="AF1411" t="s">
        <v>57</v>
      </c>
      <c r="AG1411">
        <v>350</v>
      </c>
      <c r="AH1411" t="s">
        <v>57</v>
      </c>
      <c r="AL1411" t="s">
        <v>57</v>
      </c>
      <c r="AM1411" s="11">
        <v>44778</v>
      </c>
      <c r="AN1411" t="s">
        <v>170</v>
      </c>
      <c r="AO1411" t="s">
        <v>65</v>
      </c>
      <c r="AP1411">
        <v>1201</v>
      </c>
      <c r="AQ1411" t="s">
        <v>66</v>
      </c>
      <c r="AR1411">
        <v>61812</v>
      </c>
      <c r="AU1411" t="s">
        <v>57</v>
      </c>
      <c r="AV1411" t="s">
        <v>68</v>
      </c>
      <c r="AX1411" t="s">
        <v>57</v>
      </c>
      <c r="AY1411">
        <v>631140</v>
      </c>
      <c r="AZ1411">
        <v>1201.63114</v>
      </c>
      <c r="BA1411" s="23" t="s">
        <v>15</v>
      </c>
    </row>
    <row r="1412" spans="1:53" x14ac:dyDescent="0.25">
      <c r="A1412" t="s">
        <v>134</v>
      </c>
      <c r="B1412" t="s">
        <v>135</v>
      </c>
      <c r="C1412">
        <v>22001856</v>
      </c>
      <c r="D1412">
        <v>1201</v>
      </c>
      <c r="E1412" s="11">
        <v>44781</v>
      </c>
      <c r="F1412" t="s">
        <v>186</v>
      </c>
      <c r="G1412">
        <v>312.8</v>
      </c>
      <c r="H1412">
        <v>312.8</v>
      </c>
      <c r="I1412" t="s">
        <v>56</v>
      </c>
      <c r="O1412" t="s">
        <v>57</v>
      </c>
      <c r="Q1412" t="s">
        <v>57</v>
      </c>
      <c r="R1412" t="s">
        <v>137</v>
      </c>
      <c r="T1412" t="s">
        <v>59</v>
      </c>
      <c r="U1412" t="s">
        <v>60</v>
      </c>
      <c r="V1412" t="s">
        <v>138</v>
      </c>
      <c r="W1412" t="s">
        <v>139</v>
      </c>
      <c r="X1412">
        <v>1928916</v>
      </c>
      <c r="Y1412" s="11">
        <v>44781</v>
      </c>
      <c r="Z1412" t="s">
        <v>57</v>
      </c>
      <c r="AA1412">
        <v>2</v>
      </c>
      <c r="AB1412" t="s">
        <v>57</v>
      </c>
      <c r="AD1412" t="s">
        <v>57</v>
      </c>
      <c r="AE1412" t="s">
        <v>57</v>
      </c>
      <c r="AF1412" t="s">
        <v>57</v>
      </c>
      <c r="AG1412">
        <v>350</v>
      </c>
      <c r="AH1412" t="s">
        <v>57</v>
      </c>
      <c r="AL1412" t="s">
        <v>57</v>
      </c>
      <c r="AM1412" s="11">
        <v>44781</v>
      </c>
      <c r="AN1412" t="s">
        <v>170</v>
      </c>
      <c r="AO1412" t="s">
        <v>65</v>
      </c>
      <c r="AP1412">
        <v>1201</v>
      </c>
      <c r="AQ1412" t="s">
        <v>66</v>
      </c>
      <c r="AR1412">
        <v>61812</v>
      </c>
      <c r="AU1412" t="s">
        <v>57</v>
      </c>
      <c r="AV1412" t="s">
        <v>68</v>
      </c>
      <c r="AX1412" t="s">
        <v>57</v>
      </c>
      <c r="AY1412">
        <v>631140</v>
      </c>
      <c r="AZ1412">
        <v>1201.63114</v>
      </c>
      <c r="BA1412" s="23" t="s">
        <v>15</v>
      </c>
    </row>
    <row r="1413" spans="1:53" x14ac:dyDescent="0.25">
      <c r="A1413" t="s">
        <v>134</v>
      </c>
      <c r="B1413" t="s">
        <v>135</v>
      </c>
      <c r="C1413">
        <v>22001859</v>
      </c>
      <c r="D1413">
        <v>1201</v>
      </c>
      <c r="E1413" s="11">
        <v>44782</v>
      </c>
      <c r="F1413" t="s">
        <v>186</v>
      </c>
      <c r="G1413">
        <v>312.8</v>
      </c>
      <c r="H1413">
        <v>312.8</v>
      </c>
      <c r="I1413" t="s">
        <v>56</v>
      </c>
      <c r="O1413" t="s">
        <v>57</v>
      </c>
      <c r="Q1413" t="s">
        <v>57</v>
      </c>
      <c r="R1413" t="s">
        <v>137</v>
      </c>
      <c r="T1413" t="s">
        <v>59</v>
      </c>
      <c r="U1413" t="s">
        <v>60</v>
      </c>
      <c r="V1413" t="s">
        <v>138</v>
      </c>
      <c r="W1413" t="s">
        <v>139</v>
      </c>
      <c r="X1413">
        <v>1930417</v>
      </c>
      <c r="Y1413" s="11">
        <v>44784</v>
      </c>
      <c r="Z1413" t="s">
        <v>57</v>
      </c>
      <c r="AA1413">
        <v>2</v>
      </c>
      <c r="AB1413" t="s">
        <v>57</v>
      </c>
      <c r="AD1413" t="s">
        <v>57</v>
      </c>
      <c r="AE1413" t="s">
        <v>57</v>
      </c>
      <c r="AF1413" t="s">
        <v>57</v>
      </c>
      <c r="AG1413">
        <v>350</v>
      </c>
      <c r="AH1413" t="s">
        <v>57</v>
      </c>
      <c r="AL1413" t="s">
        <v>57</v>
      </c>
      <c r="AM1413" s="11">
        <v>44782</v>
      </c>
      <c r="AN1413" t="s">
        <v>170</v>
      </c>
      <c r="AO1413" t="s">
        <v>65</v>
      </c>
      <c r="AP1413">
        <v>1201</v>
      </c>
      <c r="AQ1413" t="s">
        <v>66</v>
      </c>
      <c r="AR1413">
        <v>61812</v>
      </c>
      <c r="AU1413" t="s">
        <v>57</v>
      </c>
      <c r="AV1413" t="s">
        <v>68</v>
      </c>
      <c r="AX1413" t="s">
        <v>57</v>
      </c>
      <c r="AY1413">
        <v>631140</v>
      </c>
      <c r="AZ1413">
        <v>1201.63114</v>
      </c>
      <c r="BA1413" s="23" t="s">
        <v>15</v>
      </c>
    </row>
    <row r="1414" spans="1:53" x14ac:dyDescent="0.25">
      <c r="A1414" t="s">
        <v>134</v>
      </c>
      <c r="B1414" t="s">
        <v>135</v>
      </c>
      <c r="C1414">
        <v>22001860</v>
      </c>
      <c r="D1414">
        <v>1201</v>
      </c>
      <c r="E1414" s="11">
        <v>44783</v>
      </c>
      <c r="F1414" t="s">
        <v>186</v>
      </c>
      <c r="G1414">
        <v>312.8</v>
      </c>
      <c r="H1414">
        <v>312.8</v>
      </c>
      <c r="I1414" t="s">
        <v>56</v>
      </c>
      <c r="O1414" t="s">
        <v>57</v>
      </c>
      <c r="Q1414" t="s">
        <v>57</v>
      </c>
      <c r="R1414" t="s">
        <v>137</v>
      </c>
      <c r="T1414" t="s">
        <v>59</v>
      </c>
      <c r="U1414" t="s">
        <v>60</v>
      </c>
      <c r="V1414" t="s">
        <v>138</v>
      </c>
      <c r="W1414" t="s">
        <v>139</v>
      </c>
      <c r="X1414">
        <v>1930417</v>
      </c>
      <c r="Y1414" s="11">
        <v>44784</v>
      </c>
      <c r="Z1414" t="s">
        <v>57</v>
      </c>
      <c r="AA1414">
        <v>2</v>
      </c>
      <c r="AB1414" t="s">
        <v>57</v>
      </c>
      <c r="AD1414" t="s">
        <v>57</v>
      </c>
      <c r="AE1414" t="s">
        <v>57</v>
      </c>
      <c r="AF1414" t="s">
        <v>57</v>
      </c>
      <c r="AG1414">
        <v>350</v>
      </c>
      <c r="AH1414" t="s">
        <v>57</v>
      </c>
      <c r="AL1414" t="s">
        <v>57</v>
      </c>
      <c r="AM1414" s="11">
        <v>44783</v>
      </c>
      <c r="AN1414" t="s">
        <v>170</v>
      </c>
      <c r="AO1414" t="s">
        <v>65</v>
      </c>
      <c r="AP1414">
        <v>1201</v>
      </c>
      <c r="AQ1414" t="s">
        <v>66</v>
      </c>
      <c r="AR1414">
        <v>61812</v>
      </c>
      <c r="AU1414" t="s">
        <v>57</v>
      </c>
      <c r="AV1414" t="s">
        <v>68</v>
      </c>
      <c r="AX1414" t="s">
        <v>57</v>
      </c>
      <c r="AY1414">
        <v>631140</v>
      </c>
      <c r="AZ1414">
        <v>1201.63114</v>
      </c>
      <c r="BA1414" s="23" t="s">
        <v>15</v>
      </c>
    </row>
    <row r="1415" spans="1:53" x14ac:dyDescent="0.25">
      <c r="A1415" t="s">
        <v>134</v>
      </c>
      <c r="B1415" t="s">
        <v>135</v>
      </c>
      <c r="C1415">
        <v>22001869</v>
      </c>
      <c r="D1415">
        <v>1201</v>
      </c>
      <c r="E1415" s="11">
        <v>44784</v>
      </c>
      <c r="F1415" t="s">
        <v>186</v>
      </c>
      <c r="G1415">
        <v>312.8</v>
      </c>
      <c r="H1415">
        <v>312.8</v>
      </c>
      <c r="I1415" t="s">
        <v>56</v>
      </c>
      <c r="O1415" t="s">
        <v>57</v>
      </c>
      <c r="Q1415" t="s">
        <v>57</v>
      </c>
      <c r="R1415" t="s">
        <v>137</v>
      </c>
      <c r="T1415" t="s">
        <v>59</v>
      </c>
      <c r="U1415" t="s">
        <v>60</v>
      </c>
      <c r="V1415" t="s">
        <v>138</v>
      </c>
      <c r="W1415" t="s">
        <v>139</v>
      </c>
      <c r="X1415">
        <v>1930490</v>
      </c>
      <c r="Y1415" s="11">
        <v>44784</v>
      </c>
      <c r="Z1415" t="s">
        <v>57</v>
      </c>
      <c r="AA1415">
        <v>2</v>
      </c>
      <c r="AB1415" t="s">
        <v>57</v>
      </c>
      <c r="AD1415" t="s">
        <v>57</v>
      </c>
      <c r="AE1415" t="s">
        <v>57</v>
      </c>
      <c r="AF1415" t="s">
        <v>57</v>
      </c>
      <c r="AG1415">
        <v>350</v>
      </c>
      <c r="AH1415" t="s">
        <v>57</v>
      </c>
      <c r="AL1415" t="s">
        <v>57</v>
      </c>
      <c r="AM1415" s="11">
        <v>44784</v>
      </c>
      <c r="AN1415" t="s">
        <v>170</v>
      </c>
      <c r="AO1415" t="s">
        <v>65</v>
      </c>
      <c r="AP1415">
        <v>1201</v>
      </c>
      <c r="AQ1415" t="s">
        <v>66</v>
      </c>
      <c r="AR1415">
        <v>61812</v>
      </c>
      <c r="AU1415" t="s">
        <v>57</v>
      </c>
      <c r="AV1415" t="s">
        <v>68</v>
      </c>
      <c r="AX1415" t="s">
        <v>57</v>
      </c>
      <c r="AY1415">
        <v>631140</v>
      </c>
      <c r="AZ1415">
        <v>1201.63114</v>
      </c>
      <c r="BA1415" s="23" t="s">
        <v>15</v>
      </c>
    </row>
    <row r="1416" spans="1:53" x14ac:dyDescent="0.25">
      <c r="A1416" t="s">
        <v>134</v>
      </c>
      <c r="B1416" t="s">
        <v>135</v>
      </c>
      <c r="C1416">
        <v>22001871</v>
      </c>
      <c r="D1416">
        <v>1201</v>
      </c>
      <c r="E1416" s="11">
        <v>44785</v>
      </c>
      <c r="F1416" t="s">
        <v>186</v>
      </c>
      <c r="G1416">
        <v>312.8</v>
      </c>
      <c r="H1416">
        <v>312.8</v>
      </c>
      <c r="I1416" t="s">
        <v>56</v>
      </c>
      <c r="O1416" t="s">
        <v>57</v>
      </c>
      <c r="Q1416" t="s">
        <v>57</v>
      </c>
      <c r="R1416" t="s">
        <v>137</v>
      </c>
      <c r="T1416" t="s">
        <v>59</v>
      </c>
      <c r="U1416" t="s">
        <v>60</v>
      </c>
      <c r="V1416" t="s">
        <v>138</v>
      </c>
      <c r="W1416" t="s">
        <v>139</v>
      </c>
      <c r="X1416">
        <v>1930676</v>
      </c>
      <c r="Y1416" s="11">
        <v>44785</v>
      </c>
      <c r="Z1416" t="s">
        <v>57</v>
      </c>
      <c r="AA1416">
        <v>2</v>
      </c>
      <c r="AB1416" t="s">
        <v>57</v>
      </c>
      <c r="AD1416" t="s">
        <v>57</v>
      </c>
      <c r="AE1416" t="s">
        <v>57</v>
      </c>
      <c r="AF1416" t="s">
        <v>57</v>
      </c>
      <c r="AG1416">
        <v>350</v>
      </c>
      <c r="AH1416" t="s">
        <v>57</v>
      </c>
      <c r="AL1416" t="s">
        <v>57</v>
      </c>
      <c r="AM1416" s="11">
        <v>44785</v>
      </c>
      <c r="AN1416" t="s">
        <v>170</v>
      </c>
      <c r="AO1416" t="s">
        <v>65</v>
      </c>
      <c r="AP1416">
        <v>1201</v>
      </c>
      <c r="AQ1416" t="s">
        <v>66</v>
      </c>
      <c r="AR1416">
        <v>61812</v>
      </c>
      <c r="AU1416" t="s">
        <v>57</v>
      </c>
      <c r="AV1416" t="s">
        <v>68</v>
      </c>
      <c r="AX1416" t="s">
        <v>57</v>
      </c>
      <c r="AY1416">
        <v>631140</v>
      </c>
      <c r="AZ1416">
        <v>1201.63114</v>
      </c>
      <c r="BA1416" s="23" t="s">
        <v>15</v>
      </c>
    </row>
    <row r="1417" spans="1:53" x14ac:dyDescent="0.25">
      <c r="A1417" t="s">
        <v>134</v>
      </c>
      <c r="B1417" t="s">
        <v>135</v>
      </c>
      <c r="C1417">
        <v>22001875</v>
      </c>
      <c r="D1417">
        <v>1201</v>
      </c>
      <c r="E1417" s="11">
        <v>44788</v>
      </c>
      <c r="F1417" t="s">
        <v>186</v>
      </c>
      <c r="G1417">
        <v>312.8</v>
      </c>
      <c r="H1417">
        <v>312.8</v>
      </c>
      <c r="I1417" t="s">
        <v>56</v>
      </c>
      <c r="O1417" t="s">
        <v>57</v>
      </c>
      <c r="Q1417" t="s">
        <v>57</v>
      </c>
      <c r="R1417" t="s">
        <v>137</v>
      </c>
      <c r="T1417" t="s">
        <v>59</v>
      </c>
      <c r="U1417" t="s">
        <v>60</v>
      </c>
      <c r="V1417" t="s">
        <v>138</v>
      </c>
      <c r="W1417" t="s">
        <v>139</v>
      </c>
      <c r="X1417">
        <v>1933007</v>
      </c>
      <c r="Y1417" s="11">
        <v>44789</v>
      </c>
      <c r="Z1417" t="s">
        <v>57</v>
      </c>
      <c r="AA1417">
        <v>2</v>
      </c>
      <c r="AB1417" t="s">
        <v>57</v>
      </c>
      <c r="AD1417" t="s">
        <v>57</v>
      </c>
      <c r="AE1417" t="s">
        <v>57</v>
      </c>
      <c r="AF1417" t="s">
        <v>57</v>
      </c>
      <c r="AG1417">
        <v>350</v>
      </c>
      <c r="AH1417" t="s">
        <v>57</v>
      </c>
      <c r="AL1417" t="s">
        <v>57</v>
      </c>
      <c r="AM1417" s="11">
        <v>44788</v>
      </c>
      <c r="AN1417" t="s">
        <v>170</v>
      </c>
      <c r="AO1417" t="s">
        <v>65</v>
      </c>
      <c r="AP1417">
        <v>1201</v>
      </c>
      <c r="AQ1417" t="s">
        <v>66</v>
      </c>
      <c r="AR1417">
        <v>61812</v>
      </c>
      <c r="AU1417" t="s">
        <v>57</v>
      </c>
      <c r="AV1417" t="s">
        <v>68</v>
      </c>
      <c r="AX1417" t="s">
        <v>57</v>
      </c>
      <c r="AY1417">
        <v>631140</v>
      </c>
      <c r="AZ1417">
        <v>1201.63114</v>
      </c>
      <c r="BA1417" s="23" t="s">
        <v>15</v>
      </c>
    </row>
    <row r="1418" spans="1:53" x14ac:dyDescent="0.25">
      <c r="A1418" t="s">
        <v>134</v>
      </c>
      <c r="B1418" t="s">
        <v>135</v>
      </c>
      <c r="C1418">
        <v>22001879</v>
      </c>
      <c r="D1418">
        <v>1201</v>
      </c>
      <c r="E1418" s="11">
        <v>44789</v>
      </c>
      <c r="F1418" t="s">
        <v>186</v>
      </c>
      <c r="G1418">
        <v>312.8</v>
      </c>
      <c r="H1418">
        <v>312.8</v>
      </c>
      <c r="I1418" t="s">
        <v>56</v>
      </c>
      <c r="O1418" t="s">
        <v>57</v>
      </c>
      <c r="Q1418" t="s">
        <v>57</v>
      </c>
      <c r="R1418" t="s">
        <v>137</v>
      </c>
      <c r="T1418" t="s">
        <v>59</v>
      </c>
      <c r="U1418" t="s">
        <v>60</v>
      </c>
      <c r="V1418" t="s">
        <v>138</v>
      </c>
      <c r="W1418" t="s">
        <v>139</v>
      </c>
      <c r="X1418">
        <v>1933134</v>
      </c>
      <c r="Y1418" s="11">
        <v>44789</v>
      </c>
      <c r="Z1418" t="s">
        <v>57</v>
      </c>
      <c r="AA1418">
        <v>2</v>
      </c>
      <c r="AB1418" t="s">
        <v>57</v>
      </c>
      <c r="AD1418" t="s">
        <v>57</v>
      </c>
      <c r="AE1418" t="s">
        <v>57</v>
      </c>
      <c r="AF1418" t="s">
        <v>57</v>
      </c>
      <c r="AG1418">
        <v>350</v>
      </c>
      <c r="AH1418" t="s">
        <v>57</v>
      </c>
      <c r="AL1418" t="s">
        <v>57</v>
      </c>
      <c r="AM1418" s="11">
        <v>44789</v>
      </c>
      <c r="AN1418" t="s">
        <v>170</v>
      </c>
      <c r="AO1418" t="s">
        <v>65</v>
      </c>
      <c r="AP1418">
        <v>1201</v>
      </c>
      <c r="AQ1418" t="s">
        <v>66</v>
      </c>
      <c r="AR1418">
        <v>61812</v>
      </c>
      <c r="AU1418" t="s">
        <v>57</v>
      </c>
      <c r="AV1418" t="s">
        <v>68</v>
      </c>
      <c r="AX1418" t="s">
        <v>57</v>
      </c>
      <c r="AY1418">
        <v>631140</v>
      </c>
      <c r="AZ1418">
        <v>1201.63114</v>
      </c>
      <c r="BA1418" s="23" t="s">
        <v>15</v>
      </c>
    </row>
    <row r="1419" spans="1:53" x14ac:dyDescent="0.25">
      <c r="A1419" t="s">
        <v>134</v>
      </c>
      <c r="B1419" t="s">
        <v>135</v>
      </c>
      <c r="C1419">
        <v>22001882</v>
      </c>
      <c r="D1419">
        <v>1201</v>
      </c>
      <c r="E1419" s="11">
        <v>44791</v>
      </c>
      <c r="F1419" t="s">
        <v>186</v>
      </c>
      <c r="G1419">
        <v>312.8</v>
      </c>
      <c r="H1419">
        <v>312.8</v>
      </c>
      <c r="I1419" t="s">
        <v>56</v>
      </c>
      <c r="O1419" t="s">
        <v>57</v>
      </c>
      <c r="Q1419" t="s">
        <v>57</v>
      </c>
      <c r="R1419" t="s">
        <v>137</v>
      </c>
      <c r="T1419" t="s">
        <v>59</v>
      </c>
      <c r="U1419" t="s">
        <v>60</v>
      </c>
      <c r="V1419" t="s">
        <v>138</v>
      </c>
      <c r="W1419" t="s">
        <v>139</v>
      </c>
      <c r="X1419">
        <v>1933470</v>
      </c>
      <c r="Y1419" s="11">
        <v>44791</v>
      </c>
      <c r="Z1419" t="s">
        <v>57</v>
      </c>
      <c r="AA1419">
        <v>2</v>
      </c>
      <c r="AB1419" t="s">
        <v>57</v>
      </c>
      <c r="AD1419" t="s">
        <v>57</v>
      </c>
      <c r="AE1419" t="s">
        <v>57</v>
      </c>
      <c r="AF1419" t="s">
        <v>57</v>
      </c>
      <c r="AG1419">
        <v>350</v>
      </c>
      <c r="AH1419" t="s">
        <v>57</v>
      </c>
      <c r="AL1419" t="s">
        <v>57</v>
      </c>
      <c r="AM1419" s="11">
        <v>44791</v>
      </c>
      <c r="AN1419" t="s">
        <v>170</v>
      </c>
      <c r="AO1419" t="s">
        <v>65</v>
      </c>
      <c r="AP1419">
        <v>1201</v>
      </c>
      <c r="AQ1419" t="s">
        <v>66</v>
      </c>
      <c r="AR1419">
        <v>61812</v>
      </c>
      <c r="AU1419" t="s">
        <v>57</v>
      </c>
      <c r="AV1419" t="s">
        <v>68</v>
      </c>
      <c r="AX1419" t="s">
        <v>57</v>
      </c>
      <c r="AY1419">
        <v>631140</v>
      </c>
      <c r="AZ1419">
        <v>1201.63114</v>
      </c>
      <c r="BA1419" s="23" t="s">
        <v>15</v>
      </c>
    </row>
    <row r="1420" spans="1:53" x14ac:dyDescent="0.25">
      <c r="A1420" t="s">
        <v>134</v>
      </c>
      <c r="B1420" t="s">
        <v>135</v>
      </c>
      <c r="C1420">
        <v>22001888</v>
      </c>
      <c r="D1420">
        <v>1201</v>
      </c>
      <c r="E1420" s="11">
        <v>44792</v>
      </c>
      <c r="F1420" t="s">
        <v>186</v>
      </c>
      <c r="G1420">
        <v>312.8</v>
      </c>
      <c r="H1420">
        <v>312.8</v>
      </c>
      <c r="I1420" t="s">
        <v>56</v>
      </c>
      <c r="O1420" t="s">
        <v>57</v>
      </c>
      <c r="Q1420" t="s">
        <v>57</v>
      </c>
      <c r="R1420" t="s">
        <v>137</v>
      </c>
      <c r="T1420" t="s">
        <v>59</v>
      </c>
      <c r="U1420" t="s">
        <v>60</v>
      </c>
      <c r="V1420" t="s">
        <v>138</v>
      </c>
      <c r="W1420" t="s">
        <v>139</v>
      </c>
      <c r="X1420">
        <v>1934059</v>
      </c>
      <c r="Y1420" s="11">
        <v>44792</v>
      </c>
      <c r="Z1420" t="s">
        <v>57</v>
      </c>
      <c r="AA1420">
        <v>2</v>
      </c>
      <c r="AB1420" t="s">
        <v>57</v>
      </c>
      <c r="AD1420" t="s">
        <v>57</v>
      </c>
      <c r="AE1420" t="s">
        <v>57</v>
      </c>
      <c r="AF1420" t="s">
        <v>57</v>
      </c>
      <c r="AG1420">
        <v>350</v>
      </c>
      <c r="AH1420" t="s">
        <v>57</v>
      </c>
      <c r="AL1420" t="s">
        <v>57</v>
      </c>
      <c r="AM1420" s="11">
        <v>44792</v>
      </c>
      <c r="AN1420" t="s">
        <v>170</v>
      </c>
      <c r="AO1420" t="s">
        <v>65</v>
      </c>
      <c r="AP1420">
        <v>1201</v>
      </c>
      <c r="AQ1420" t="s">
        <v>66</v>
      </c>
      <c r="AR1420">
        <v>61812</v>
      </c>
      <c r="AU1420" t="s">
        <v>57</v>
      </c>
      <c r="AV1420" t="s">
        <v>68</v>
      </c>
      <c r="AX1420" t="s">
        <v>57</v>
      </c>
      <c r="AY1420">
        <v>631140</v>
      </c>
      <c r="AZ1420">
        <v>1201.63114</v>
      </c>
      <c r="BA1420" s="23" t="s">
        <v>15</v>
      </c>
    </row>
    <row r="1421" spans="1:53" x14ac:dyDescent="0.25">
      <c r="A1421" t="s">
        <v>134</v>
      </c>
      <c r="B1421" t="s">
        <v>135</v>
      </c>
      <c r="C1421">
        <v>22001782</v>
      </c>
      <c r="D1421">
        <v>1204</v>
      </c>
      <c r="E1421" s="11">
        <v>44774</v>
      </c>
      <c r="F1421" t="s">
        <v>187</v>
      </c>
      <c r="G1421">
        <v>344.07</v>
      </c>
      <c r="H1421">
        <v>344.07</v>
      </c>
      <c r="I1421" t="s">
        <v>56</v>
      </c>
      <c r="O1421" t="s">
        <v>57</v>
      </c>
      <c r="Q1421" t="s">
        <v>57</v>
      </c>
      <c r="R1421" t="s">
        <v>137</v>
      </c>
      <c r="T1421" t="s">
        <v>59</v>
      </c>
      <c r="U1421" t="s">
        <v>60</v>
      </c>
      <c r="V1421" t="s">
        <v>138</v>
      </c>
      <c r="W1421" t="s">
        <v>139</v>
      </c>
      <c r="X1421">
        <v>1925466</v>
      </c>
      <c r="Y1421" s="11">
        <v>44774</v>
      </c>
      <c r="Z1421" t="s">
        <v>57</v>
      </c>
      <c r="AA1421">
        <v>2</v>
      </c>
      <c r="AB1421" t="s">
        <v>57</v>
      </c>
      <c r="AD1421" t="s">
        <v>57</v>
      </c>
      <c r="AE1421" t="s">
        <v>57</v>
      </c>
      <c r="AF1421" t="s">
        <v>57</v>
      </c>
      <c r="AG1421">
        <v>385</v>
      </c>
      <c r="AH1421" t="s">
        <v>57</v>
      </c>
      <c r="AL1421" t="s">
        <v>57</v>
      </c>
      <c r="AM1421" s="11">
        <v>44774</v>
      </c>
      <c r="AN1421" t="s">
        <v>173</v>
      </c>
      <c r="AO1421" t="s">
        <v>65</v>
      </c>
      <c r="AP1421">
        <v>1204</v>
      </c>
      <c r="AQ1421" t="s">
        <v>66</v>
      </c>
      <c r="AR1421">
        <v>61812</v>
      </c>
      <c r="AU1421" t="s">
        <v>57</v>
      </c>
      <c r="AV1421" t="s">
        <v>68</v>
      </c>
      <c r="AX1421" t="s">
        <v>57</v>
      </c>
      <c r="AY1421">
        <v>631140</v>
      </c>
      <c r="AZ1421">
        <v>1204.63114</v>
      </c>
      <c r="BA1421" s="23" t="s">
        <v>16</v>
      </c>
    </row>
    <row r="1422" spans="1:53" x14ac:dyDescent="0.25">
      <c r="A1422" t="s">
        <v>134</v>
      </c>
      <c r="B1422" t="s">
        <v>135</v>
      </c>
      <c r="C1422">
        <v>22001797</v>
      </c>
      <c r="D1422">
        <v>1204</v>
      </c>
      <c r="E1422" s="11">
        <v>44774</v>
      </c>
      <c r="F1422" t="s">
        <v>186</v>
      </c>
      <c r="G1422">
        <v>344.07</v>
      </c>
      <c r="H1422">
        <v>344.07</v>
      </c>
      <c r="I1422" t="s">
        <v>56</v>
      </c>
      <c r="O1422" t="s">
        <v>57</v>
      </c>
      <c r="Q1422" t="s">
        <v>57</v>
      </c>
      <c r="R1422" t="s">
        <v>137</v>
      </c>
      <c r="T1422" t="s">
        <v>59</v>
      </c>
      <c r="U1422" t="s">
        <v>60</v>
      </c>
      <c r="V1422" t="s">
        <v>138</v>
      </c>
      <c r="W1422" t="s">
        <v>139</v>
      </c>
      <c r="X1422">
        <v>1925597</v>
      </c>
      <c r="Y1422" s="11">
        <v>44774</v>
      </c>
      <c r="Z1422" t="s">
        <v>57</v>
      </c>
      <c r="AA1422">
        <v>2</v>
      </c>
      <c r="AB1422" t="s">
        <v>57</v>
      </c>
      <c r="AD1422" t="s">
        <v>57</v>
      </c>
      <c r="AE1422" t="s">
        <v>57</v>
      </c>
      <c r="AF1422" t="s">
        <v>57</v>
      </c>
      <c r="AG1422">
        <v>385</v>
      </c>
      <c r="AH1422" t="s">
        <v>57</v>
      </c>
      <c r="AL1422" t="s">
        <v>57</v>
      </c>
      <c r="AM1422" s="11">
        <v>44774</v>
      </c>
      <c r="AN1422" t="s">
        <v>173</v>
      </c>
      <c r="AO1422" t="s">
        <v>65</v>
      </c>
      <c r="AP1422">
        <v>1204</v>
      </c>
      <c r="AQ1422" t="s">
        <v>66</v>
      </c>
      <c r="AR1422">
        <v>61812</v>
      </c>
      <c r="AU1422" t="s">
        <v>57</v>
      </c>
      <c r="AV1422" t="s">
        <v>68</v>
      </c>
      <c r="AX1422" t="s">
        <v>57</v>
      </c>
      <c r="AY1422">
        <v>631140</v>
      </c>
      <c r="AZ1422">
        <v>1204.63114</v>
      </c>
      <c r="BA1422" s="23" t="s">
        <v>16</v>
      </c>
    </row>
    <row r="1423" spans="1:53" x14ac:dyDescent="0.25">
      <c r="A1423" t="s">
        <v>134</v>
      </c>
      <c r="B1423" t="s">
        <v>135</v>
      </c>
      <c r="C1423">
        <v>22001800</v>
      </c>
      <c r="D1423">
        <v>1204</v>
      </c>
      <c r="E1423" s="11">
        <v>44775</v>
      </c>
      <c r="F1423" t="s">
        <v>186</v>
      </c>
      <c r="G1423">
        <v>344.07</v>
      </c>
      <c r="H1423">
        <v>344.07</v>
      </c>
      <c r="I1423" t="s">
        <v>56</v>
      </c>
      <c r="O1423" t="s">
        <v>57</v>
      </c>
      <c r="Q1423" t="s">
        <v>57</v>
      </c>
      <c r="R1423" t="s">
        <v>137</v>
      </c>
      <c r="T1423" t="s">
        <v>59</v>
      </c>
      <c r="U1423" t="s">
        <v>60</v>
      </c>
      <c r="V1423" t="s">
        <v>138</v>
      </c>
      <c r="W1423" t="s">
        <v>139</v>
      </c>
      <c r="X1423">
        <v>1926652</v>
      </c>
      <c r="Y1423" s="11">
        <v>44775</v>
      </c>
      <c r="Z1423" t="s">
        <v>57</v>
      </c>
      <c r="AA1423">
        <v>2</v>
      </c>
      <c r="AB1423" t="s">
        <v>57</v>
      </c>
      <c r="AD1423" t="s">
        <v>57</v>
      </c>
      <c r="AE1423" t="s">
        <v>57</v>
      </c>
      <c r="AF1423" t="s">
        <v>57</v>
      </c>
      <c r="AG1423">
        <v>385</v>
      </c>
      <c r="AH1423" t="s">
        <v>57</v>
      </c>
      <c r="AL1423" t="s">
        <v>57</v>
      </c>
      <c r="AM1423" s="11">
        <v>44775</v>
      </c>
      <c r="AN1423" t="s">
        <v>173</v>
      </c>
      <c r="AO1423" t="s">
        <v>65</v>
      </c>
      <c r="AP1423">
        <v>1204</v>
      </c>
      <c r="AQ1423" t="s">
        <v>66</v>
      </c>
      <c r="AR1423">
        <v>61812</v>
      </c>
      <c r="AU1423" t="s">
        <v>57</v>
      </c>
      <c r="AV1423" t="s">
        <v>68</v>
      </c>
      <c r="AX1423" t="s">
        <v>57</v>
      </c>
      <c r="AY1423">
        <v>631140</v>
      </c>
      <c r="AZ1423">
        <v>1204.63114</v>
      </c>
      <c r="BA1423" s="23" t="s">
        <v>16</v>
      </c>
    </row>
    <row r="1424" spans="1:53" x14ac:dyDescent="0.25">
      <c r="A1424" t="s">
        <v>134</v>
      </c>
      <c r="B1424" t="s">
        <v>135</v>
      </c>
      <c r="C1424">
        <v>22001809</v>
      </c>
      <c r="D1424">
        <v>1204</v>
      </c>
      <c r="E1424" s="11">
        <v>44776</v>
      </c>
      <c r="F1424" t="s">
        <v>186</v>
      </c>
      <c r="G1424">
        <v>348.54</v>
      </c>
      <c r="H1424">
        <v>348.54</v>
      </c>
      <c r="I1424" t="s">
        <v>56</v>
      </c>
      <c r="O1424" t="s">
        <v>57</v>
      </c>
      <c r="Q1424" t="s">
        <v>57</v>
      </c>
      <c r="R1424" t="s">
        <v>137</v>
      </c>
      <c r="T1424" t="s">
        <v>59</v>
      </c>
      <c r="U1424" t="s">
        <v>60</v>
      </c>
      <c r="V1424" t="s">
        <v>138</v>
      </c>
      <c r="W1424" t="s">
        <v>139</v>
      </c>
      <c r="X1424">
        <v>1927034</v>
      </c>
      <c r="Y1424" s="11">
        <v>44776</v>
      </c>
      <c r="Z1424" t="s">
        <v>57</v>
      </c>
      <c r="AA1424">
        <v>2</v>
      </c>
      <c r="AB1424" t="s">
        <v>57</v>
      </c>
      <c r="AD1424" t="s">
        <v>57</v>
      </c>
      <c r="AE1424" t="s">
        <v>57</v>
      </c>
      <c r="AF1424" t="s">
        <v>57</v>
      </c>
      <c r="AG1424">
        <v>390</v>
      </c>
      <c r="AH1424" t="s">
        <v>57</v>
      </c>
      <c r="AL1424" t="s">
        <v>57</v>
      </c>
      <c r="AM1424" s="11">
        <v>44776</v>
      </c>
      <c r="AN1424" t="s">
        <v>173</v>
      </c>
      <c r="AO1424" t="s">
        <v>65</v>
      </c>
      <c r="AP1424">
        <v>1204</v>
      </c>
      <c r="AQ1424" t="s">
        <v>66</v>
      </c>
      <c r="AR1424">
        <v>61812</v>
      </c>
      <c r="AU1424" t="s">
        <v>57</v>
      </c>
      <c r="AV1424" t="s">
        <v>68</v>
      </c>
      <c r="AX1424" t="s">
        <v>57</v>
      </c>
      <c r="AY1424">
        <v>631140</v>
      </c>
      <c r="AZ1424">
        <v>1204.63114</v>
      </c>
      <c r="BA1424" s="23" t="s">
        <v>16</v>
      </c>
    </row>
    <row r="1425" spans="1:53" x14ac:dyDescent="0.25">
      <c r="A1425" t="s">
        <v>134</v>
      </c>
      <c r="B1425" t="s">
        <v>135</v>
      </c>
      <c r="C1425">
        <v>22001811</v>
      </c>
      <c r="D1425">
        <v>1204</v>
      </c>
      <c r="E1425" s="11">
        <v>44777</v>
      </c>
      <c r="F1425" t="s">
        <v>186</v>
      </c>
      <c r="G1425">
        <v>4.47</v>
      </c>
      <c r="H1425">
        <v>4.47</v>
      </c>
      <c r="I1425" t="s">
        <v>56</v>
      </c>
      <c r="O1425" t="s">
        <v>57</v>
      </c>
      <c r="Q1425" t="s">
        <v>57</v>
      </c>
      <c r="R1425" t="s">
        <v>137</v>
      </c>
      <c r="T1425" t="s">
        <v>59</v>
      </c>
      <c r="U1425" t="s">
        <v>60</v>
      </c>
      <c r="V1425" t="s">
        <v>138</v>
      </c>
      <c r="W1425" t="s">
        <v>139</v>
      </c>
      <c r="X1425">
        <v>1927628</v>
      </c>
      <c r="Y1425" s="11">
        <v>44777</v>
      </c>
      <c r="Z1425" t="s">
        <v>57</v>
      </c>
      <c r="AA1425">
        <v>6</v>
      </c>
      <c r="AB1425" t="s">
        <v>57</v>
      </c>
      <c r="AD1425" t="s">
        <v>57</v>
      </c>
      <c r="AE1425" t="s">
        <v>57</v>
      </c>
      <c r="AF1425" t="s">
        <v>57</v>
      </c>
      <c r="AG1425">
        <v>5</v>
      </c>
      <c r="AH1425" t="s">
        <v>57</v>
      </c>
      <c r="AL1425" t="s">
        <v>57</v>
      </c>
      <c r="AM1425" s="11">
        <v>44777</v>
      </c>
      <c r="AN1425" t="s">
        <v>173</v>
      </c>
      <c r="AO1425" t="s">
        <v>65</v>
      </c>
      <c r="AP1425">
        <v>1204</v>
      </c>
      <c r="AQ1425" t="s">
        <v>66</v>
      </c>
      <c r="AR1425">
        <v>61812</v>
      </c>
      <c r="AU1425" t="s">
        <v>57</v>
      </c>
      <c r="AV1425" t="s">
        <v>68</v>
      </c>
      <c r="AX1425" t="s">
        <v>57</v>
      </c>
      <c r="AY1425">
        <v>631140</v>
      </c>
      <c r="AZ1425">
        <v>1204.63114</v>
      </c>
      <c r="BA1425" s="23" t="s">
        <v>16</v>
      </c>
    </row>
    <row r="1426" spans="1:53" x14ac:dyDescent="0.25">
      <c r="A1426" t="s">
        <v>134</v>
      </c>
      <c r="B1426" t="s">
        <v>135</v>
      </c>
      <c r="C1426">
        <v>22001811</v>
      </c>
      <c r="D1426">
        <v>1204</v>
      </c>
      <c r="E1426" s="11">
        <v>44777</v>
      </c>
      <c r="F1426" t="s">
        <v>186</v>
      </c>
      <c r="G1426">
        <v>273.47000000000003</v>
      </c>
      <c r="H1426">
        <v>273.47000000000003</v>
      </c>
      <c r="I1426" t="s">
        <v>56</v>
      </c>
      <c r="O1426" t="s">
        <v>57</v>
      </c>
      <c r="Q1426" t="s">
        <v>57</v>
      </c>
      <c r="R1426" t="s">
        <v>137</v>
      </c>
      <c r="T1426" t="s">
        <v>59</v>
      </c>
      <c r="U1426" t="s">
        <v>60</v>
      </c>
      <c r="V1426" t="s">
        <v>138</v>
      </c>
      <c r="W1426" t="s">
        <v>139</v>
      </c>
      <c r="X1426">
        <v>1927628</v>
      </c>
      <c r="Y1426" s="11">
        <v>44777</v>
      </c>
      <c r="Z1426" t="s">
        <v>57</v>
      </c>
      <c r="AA1426">
        <v>2</v>
      </c>
      <c r="AB1426" t="s">
        <v>57</v>
      </c>
      <c r="AD1426" t="s">
        <v>57</v>
      </c>
      <c r="AE1426" t="s">
        <v>57</v>
      </c>
      <c r="AF1426" t="s">
        <v>57</v>
      </c>
      <c r="AG1426">
        <v>306</v>
      </c>
      <c r="AH1426" t="s">
        <v>57</v>
      </c>
      <c r="AL1426" t="s">
        <v>57</v>
      </c>
      <c r="AM1426" s="11">
        <v>44777</v>
      </c>
      <c r="AN1426" t="s">
        <v>173</v>
      </c>
      <c r="AO1426" t="s">
        <v>65</v>
      </c>
      <c r="AP1426">
        <v>1204</v>
      </c>
      <c r="AQ1426" t="s">
        <v>66</v>
      </c>
      <c r="AR1426">
        <v>61812</v>
      </c>
      <c r="AU1426" t="s">
        <v>57</v>
      </c>
      <c r="AV1426" t="s">
        <v>68</v>
      </c>
      <c r="AX1426" t="s">
        <v>57</v>
      </c>
      <c r="AY1426">
        <v>631140</v>
      </c>
      <c r="AZ1426">
        <v>1204.63114</v>
      </c>
      <c r="BA1426" s="23" t="s">
        <v>16</v>
      </c>
    </row>
    <row r="1427" spans="1:53" x14ac:dyDescent="0.25">
      <c r="A1427" t="s">
        <v>134</v>
      </c>
      <c r="B1427" t="s">
        <v>135</v>
      </c>
      <c r="C1427">
        <v>22001811</v>
      </c>
      <c r="D1427">
        <v>1204</v>
      </c>
      <c r="E1427" s="11">
        <v>44777</v>
      </c>
      <c r="F1427" t="s">
        <v>186</v>
      </c>
      <c r="G1427">
        <v>75.069999999999993</v>
      </c>
      <c r="H1427">
        <v>75.069999999999993</v>
      </c>
      <c r="I1427" t="s">
        <v>56</v>
      </c>
      <c r="O1427" t="s">
        <v>57</v>
      </c>
      <c r="Q1427" t="s">
        <v>57</v>
      </c>
      <c r="R1427" t="s">
        <v>137</v>
      </c>
      <c r="T1427" t="s">
        <v>59</v>
      </c>
      <c r="U1427" t="s">
        <v>60</v>
      </c>
      <c r="V1427" t="s">
        <v>138</v>
      </c>
      <c r="W1427" t="s">
        <v>139</v>
      </c>
      <c r="X1427">
        <v>1927628</v>
      </c>
      <c r="Y1427" s="11">
        <v>44777</v>
      </c>
      <c r="Z1427" t="s">
        <v>57</v>
      </c>
      <c r="AA1427">
        <v>4</v>
      </c>
      <c r="AB1427" t="s">
        <v>57</v>
      </c>
      <c r="AD1427" t="s">
        <v>57</v>
      </c>
      <c r="AE1427" t="s">
        <v>57</v>
      </c>
      <c r="AF1427" t="s">
        <v>57</v>
      </c>
      <c r="AG1427">
        <v>84</v>
      </c>
      <c r="AH1427" t="s">
        <v>57</v>
      </c>
      <c r="AL1427" t="s">
        <v>57</v>
      </c>
      <c r="AM1427" s="11">
        <v>44777</v>
      </c>
      <c r="AN1427" t="s">
        <v>173</v>
      </c>
      <c r="AO1427" t="s">
        <v>65</v>
      </c>
      <c r="AP1427">
        <v>1204</v>
      </c>
      <c r="AQ1427" t="s">
        <v>66</v>
      </c>
      <c r="AR1427">
        <v>61812</v>
      </c>
      <c r="AU1427" t="s">
        <v>57</v>
      </c>
      <c r="AV1427" t="s">
        <v>68</v>
      </c>
      <c r="AX1427" t="s">
        <v>57</v>
      </c>
      <c r="AY1427">
        <v>631140</v>
      </c>
      <c r="AZ1427">
        <v>1204.63114</v>
      </c>
      <c r="BA1427" s="23" t="s">
        <v>16</v>
      </c>
    </row>
    <row r="1428" spans="1:53" x14ac:dyDescent="0.25">
      <c r="A1428" t="s">
        <v>134</v>
      </c>
      <c r="B1428" t="s">
        <v>135</v>
      </c>
      <c r="C1428">
        <v>22001825</v>
      </c>
      <c r="D1428">
        <v>1204</v>
      </c>
      <c r="E1428" s="11">
        <v>44778</v>
      </c>
      <c r="F1428" t="s">
        <v>186</v>
      </c>
      <c r="G1428">
        <v>353.01</v>
      </c>
      <c r="H1428">
        <v>353.01</v>
      </c>
      <c r="I1428" t="s">
        <v>56</v>
      </c>
      <c r="O1428" t="s">
        <v>57</v>
      </c>
      <c r="Q1428" t="s">
        <v>57</v>
      </c>
      <c r="R1428" t="s">
        <v>137</v>
      </c>
      <c r="T1428" t="s">
        <v>59</v>
      </c>
      <c r="U1428" t="s">
        <v>60</v>
      </c>
      <c r="V1428" t="s">
        <v>138</v>
      </c>
      <c r="W1428" t="s">
        <v>139</v>
      </c>
      <c r="X1428">
        <v>1928760</v>
      </c>
      <c r="Y1428" s="11">
        <v>44778</v>
      </c>
      <c r="Z1428" t="s">
        <v>57</v>
      </c>
      <c r="AA1428">
        <v>2</v>
      </c>
      <c r="AB1428" t="s">
        <v>57</v>
      </c>
      <c r="AD1428" t="s">
        <v>57</v>
      </c>
      <c r="AE1428" t="s">
        <v>57</v>
      </c>
      <c r="AF1428" t="s">
        <v>57</v>
      </c>
      <c r="AG1428">
        <v>395</v>
      </c>
      <c r="AH1428" t="s">
        <v>57</v>
      </c>
      <c r="AL1428" t="s">
        <v>57</v>
      </c>
      <c r="AM1428" s="11">
        <v>44778</v>
      </c>
      <c r="AN1428" t="s">
        <v>173</v>
      </c>
      <c r="AO1428" t="s">
        <v>65</v>
      </c>
      <c r="AP1428">
        <v>1204</v>
      </c>
      <c r="AQ1428" t="s">
        <v>66</v>
      </c>
      <c r="AR1428">
        <v>61812</v>
      </c>
      <c r="AU1428" t="s">
        <v>57</v>
      </c>
      <c r="AV1428" t="s">
        <v>68</v>
      </c>
      <c r="AX1428" t="s">
        <v>57</v>
      </c>
      <c r="AY1428">
        <v>631140</v>
      </c>
      <c r="AZ1428">
        <v>1204.63114</v>
      </c>
      <c r="BA1428" s="23" t="s">
        <v>16</v>
      </c>
    </row>
    <row r="1429" spans="1:53" x14ac:dyDescent="0.25">
      <c r="A1429" t="s">
        <v>134</v>
      </c>
      <c r="B1429" t="s">
        <v>135</v>
      </c>
      <c r="C1429">
        <v>22001833</v>
      </c>
      <c r="D1429">
        <v>1204</v>
      </c>
      <c r="E1429" s="11">
        <v>44781</v>
      </c>
      <c r="F1429" t="s">
        <v>186</v>
      </c>
      <c r="G1429">
        <v>353.01</v>
      </c>
      <c r="H1429">
        <v>353.01</v>
      </c>
      <c r="I1429" t="s">
        <v>56</v>
      </c>
      <c r="O1429" t="s">
        <v>57</v>
      </c>
      <c r="Q1429" t="s">
        <v>57</v>
      </c>
      <c r="R1429" t="s">
        <v>137</v>
      </c>
      <c r="T1429" t="s">
        <v>59</v>
      </c>
      <c r="U1429" t="s">
        <v>60</v>
      </c>
      <c r="V1429" t="s">
        <v>138</v>
      </c>
      <c r="W1429" t="s">
        <v>139</v>
      </c>
      <c r="X1429">
        <v>1928970</v>
      </c>
      <c r="Y1429" s="11">
        <v>44781</v>
      </c>
      <c r="Z1429" t="s">
        <v>57</v>
      </c>
      <c r="AA1429">
        <v>2</v>
      </c>
      <c r="AB1429" t="s">
        <v>57</v>
      </c>
      <c r="AD1429" t="s">
        <v>57</v>
      </c>
      <c r="AE1429" t="s">
        <v>57</v>
      </c>
      <c r="AF1429" t="s">
        <v>57</v>
      </c>
      <c r="AG1429">
        <v>395</v>
      </c>
      <c r="AH1429" t="s">
        <v>57</v>
      </c>
      <c r="AL1429" t="s">
        <v>57</v>
      </c>
      <c r="AM1429" s="11">
        <v>44781</v>
      </c>
      <c r="AN1429" t="s">
        <v>173</v>
      </c>
      <c r="AO1429" t="s">
        <v>65</v>
      </c>
      <c r="AP1429">
        <v>1204</v>
      </c>
      <c r="AQ1429" t="s">
        <v>66</v>
      </c>
      <c r="AR1429">
        <v>61812</v>
      </c>
      <c r="AU1429" t="s">
        <v>57</v>
      </c>
      <c r="AV1429" t="s">
        <v>68</v>
      </c>
      <c r="AX1429" t="s">
        <v>57</v>
      </c>
      <c r="AY1429">
        <v>631140</v>
      </c>
      <c r="AZ1429">
        <v>1204.63114</v>
      </c>
      <c r="BA1429" s="23" t="s">
        <v>16</v>
      </c>
    </row>
    <row r="1430" spans="1:53" x14ac:dyDescent="0.25">
      <c r="A1430" t="s">
        <v>134</v>
      </c>
      <c r="B1430" t="s">
        <v>135</v>
      </c>
      <c r="C1430">
        <v>22001839</v>
      </c>
      <c r="D1430">
        <v>1204</v>
      </c>
      <c r="E1430" s="11">
        <v>44782</v>
      </c>
      <c r="F1430" t="s">
        <v>186</v>
      </c>
      <c r="G1430">
        <v>353.01</v>
      </c>
      <c r="H1430">
        <v>353.01</v>
      </c>
      <c r="I1430" t="s">
        <v>56</v>
      </c>
      <c r="O1430" t="s">
        <v>57</v>
      </c>
      <c r="Q1430" t="s">
        <v>57</v>
      </c>
      <c r="R1430" t="s">
        <v>137</v>
      </c>
      <c r="T1430" t="s">
        <v>59</v>
      </c>
      <c r="U1430" t="s">
        <v>60</v>
      </c>
      <c r="V1430" t="s">
        <v>138</v>
      </c>
      <c r="W1430" t="s">
        <v>139</v>
      </c>
      <c r="X1430">
        <v>1929844</v>
      </c>
      <c r="Y1430" s="11">
        <v>44782</v>
      </c>
      <c r="Z1430" t="s">
        <v>57</v>
      </c>
      <c r="AA1430">
        <v>2</v>
      </c>
      <c r="AB1430" t="s">
        <v>57</v>
      </c>
      <c r="AD1430" t="s">
        <v>57</v>
      </c>
      <c r="AE1430" t="s">
        <v>57</v>
      </c>
      <c r="AF1430" t="s">
        <v>57</v>
      </c>
      <c r="AG1430">
        <v>395</v>
      </c>
      <c r="AH1430" t="s">
        <v>57</v>
      </c>
      <c r="AL1430" t="s">
        <v>57</v>
      </c>
      <c r="AM1430" s="11">
        <v>44782</v>
      </c>
      <c r="AN1430" t="s">
        <v>173</v>
      </c>
      <c r="AO1430" t="s">
        <v>65</v>
      </c>
      <c r="AP1430">
        <v>1204</v>
      </c>
      <c r="AQ1430" t="s">
        <v>66</v>
      </c>
      <c r="AR1430">
        <v>61812</v>
      </c>
      <c r="AU1430" t="s">
        <v>57</v>
      </c>
      <c r="AV1430" t="s">
        <v>68</v>
      </c>
      <c r="AX1430" t="s">
        <v>57</v>
      </c>
      <c r="AY1430">
        <v>631140</v>
      </c>
      <c r="AZ1430">
        <v>1204.63114</v>
      </c>
      <c r="BA1430" s="23" t="s">
        <v>16</v>
      </c>
    </row>
    <row r="1431" spans="1:53" x14ac:dyDescent="0.25">
      <c r="A1431" t="s">
        <v>134</v>
      </c>
      <c r="B1431" t="s">
        <v>135</v>
      </c>
      <c r="C1431">
        <v>22001844</v>
      </c>
      <c r="D1431">
        <v>1204</v>
      </c>
      <c r="E1431" s="11">
        <v>44783</v>
      </c>
      <c r="F1431" t="s">
        <v>186</v>
      </c>
      <c r="G1431">
        <v>353.01</v>
      </c>
      <c r="H1431">
        <v>353.01</v>
      </c>
      <c r="I1431" t="s">
        <v>56</v>
      </c>
      <c r="O1431" t="s">
        <v>57</v>
      </c>
      <c r="Q1431" t="s">
        <v>57</v>
      </c>
      <c r="R1431" t="s">
        <v>137</v>
      </c>
      <c r="T1431" t="s">
        <v>59</v>
      </c>
      <c r="U1431" t="s">
        <v>60</v>
      </c>
      <c r="V1431" t="s">
        <v>138</v>
      </c>
      <c r="W1431" t="s">
        <v>139</v>
      </c>
      <c r="X1431">
        <v>1930314</v>
      </c>
      <c r="Y1431" s="11">
        <v>44783</v>
      </c>
      <c r="Z1431" t="s">
        <v>57</v>
      </c>
      <c r="AA1431">
        <v>2</v>
      </c>
      <c r="AB1431" t="s">
        <v>57</v>
      </c>
      <c r="AD1431" t="s">
        <v>57</v>
      </c>
      <c r="AE1431" t="s">
        <v>57</v>
      </c>
      <c r="AF1431" t="s">
        <v>57</v>
      </c>
      <c r="AG1431">
        <v>395</v>
      </c>
      <c r="AH1431" t="s">
        <v>57</v>
      </c>
      <c r="AL1431" t="s">
        <v>57</v>
      </c>
      <c r="AM1431" s="11">
        <v>44783</v>
      </c>
      <c r="AN1431" t="s">
        <v>173</v>
      </c>
      <c r="AO1431" t="s">
        <v>65</v>
      </c>
      <c r="AP1431">
        <v>1204</v>
      </c>
      <c r="AQ1431" t="s">
        <v>66</v>
      </c>
      <c r="AR1431">
        <v>61812</v>
      </c>
      <c r="AU1431" t="s">
        <v>57</v>
      </c>
      <c r="AV1431" t="s">
        <v>68</v>
      </c>
      <c r="AX1431" t="s">
        <v>57</v>
      </c>
      <c r="AY1431">
        <v>631140</v>
      </c>
      <c r="AZ1431">
        <v>1204.63114</v>
      </c>
      <c r="BA1431" s="23" t="s">
        <v>16</v>
      </c>
    </row>
    <row r="1432" spans="1:53" x14ac:dyDescent="0.25">
      <c r="A1432" t="s">
        <v>134</v>
      </c>
      <c r="B1432" t="s">
        <v>135</v>
      </c>
      <c r="C1432">
        <v>22001850</v>
      </c>
      <c r="D1432">
        <v>1204</v>
      </c>
      <c r="E1432" s="11">
        <v>44784</v>
      </c>
      <c r="F1432" t="s">
        <v>186</v>
      </c>
      <c r="G1432">
        <v>357.48</v>
      </c>
      <c r="H1432">
        <v>357.48</v>
      </c>
      <c r="I1432" t="s">
        <v>56</v>
      </c>
      <c r="O1432" t="s">
        <v>57</v>
      </c>
      <c r="Q1432" t="s">
        <v>57</v>
      </c>
      <c r="R1432" t="s">
        <v>137</v>
      </c>
      <c r="T1432" t="s">
        <v>59</v>
      </c>
      <c r="U1432" t="s">
        <v>60</v>
      </c>
      <c r="V1432" t="s">
        <v>138</v>
      </c>
      <c r="W1432" t="s">
        <v>139</v>
      </c>
      <c r="X1432">
        <v>1930519</v>
      </c>
      <c r="Y1432" s="11">
        <v>44784</v>
      </c>
      <c r="Z1432" t="s">
        <v>57</v>
      </c>
      <c r="AA1432">
        <v>2</v>
      </c>
      <c r="AB1432" t="s">
        <v>57</v>
      </c>
      <c r="AD1432" t="s">
        <v>57</v>
      </c>
      <c r="AE1432" t="s">
        <v>57</v>
      </c>
      <c r="AF1432" t="s">
        <v>57</v>
      </c>
      <c r="AG1432">
        <v>400</v>
      </c>
      <c r="AH1432" t="s">
        <v>57</v>
      </c>
      <c r="AL1432" t="s">
        <v>57</v>
      </c>
      <c r="AM1432" s="11">
        <v>44784</v>
      </c>
      <c r="AN1432" t="s">
        <v>173</v>
      </c>
      <c r="AO1432" t="s">
        <v>65</v>
      </c>
      <c r="AP1432">
        <v>1204</v>
      </c>
      <c r="AQ1432" t="s">
        <v>66</v>
      </c>
      <c r="AR1432">
        <v>61812</v>
      </c>
      <c r="AU1432" t="s">
        <v>57</v>
      </c>
      <c r="AV1432" t="s">
        <v>68</v>
      </c>
      <c r="AX1432" t="s">
        <v>57</v>
      </c>
      <c r="AY1432">
        <v>631140</v>
      </c>
      <c r="AZ1432">
        <v>1204.63114</v>
      </c>
      <c r="BA1432" s="23" t="s">
        <v>16</v>
      </c>
    </row>
    <row r="1433" spans="1:53" x14ac:dyDescent="0.25">
      <c r="A1433" t="s">
        <v>134</v>
      </c>
      <c r="B1433" t="s">
        <v>135</v>
      </c>
      <c r="C1433">
        <v>22001864</v>
      </c>
      <c r="D1433">
        <v>1204</v>
      </c>
      <c r="E1433" s="11">
        <v>44785</v>
      </c>
      <c r="F1433" t="s">
        <v>186</v>
      </c>
      <c r="G1433">
        <v>357.48</v>
      </c>
      <c r="H1433">
        <v>357.48</v>
      </c>
      <c r="I1433" t="s">
        <v>56</v>
      </c>
      <c r="O1433" t="s">
        <v>57</v>
      </c>
      <c r="Q1433" t="s">
        <v>57</v>
      </c>
      <c r="R1433" t="s">
        <v>137</v>
      </c>
      <c r="T1433" t="s">
        <v>59</v>
      </c>
      <c r="U1433" t="s">
        <v>60</v>
      </c>
      <c r="V1433" t="s">
        <v>138</v>
      </c>
      <c r="W1433" t="s">
        <v>139</v>
      </c>
      <c r="X1433">
        <v>1930679</v>
      </c>
      <c r="Y1433" s="11">
        <v>44785</v>
      </c>
      <c r="Z1433" t="s">
        <v>57</v>
      </c>
      <c r="AA1433">
        <v>2</v>
      </c>
      <c r="AB1433" t="s">
        <v>57</v>
      </c>
      <c r="AD1433" t="s">
        <v>57</v>
      </c>
      <c r="AE1433" t="s">
        <v>57</v>
      </c>
      <c r="AF1433" t="s">
        <v>57</v>
      </c>
      <c r="AG1433">
        <v>400</v>
      </c>
      <c r="AH1433" t="s">
        <v>57</v>
      </c>
      <c r="AL1433" t="s">
        <v>57</v>
      </c>
      <c r="AM1433" s="11">
        <v>44785</v>
      </c>
      <c r="AN1433" t="s">
        <v>173</v>
      </c>
      <c r="AO1433" t="s">
        <v>65</v>
      </c>
      <c r="AP1433">
        <v>1204</v>
      </c>
      <c r="AQ1433" t="s">
        <v>66</v>
      </c>
      <c r="AR1433">
        <v>61812</v>
      </c>
      <c r="AU1433" t="s">
        <v>57</v>
      </c>
      <c r="AV1433" t="s">
        <v>68</v>
      </c>
      <c r="AX1433" t="s">
        <v>57</v>
      </c>
      <c r="AY1433">
        <v>631140</v>
      </c>
      <c r="AZ1433">
        <v>1204.63114</v>
      </c>
      <c r="BA1433" s="23" t="s">
        <v>16</v>
      </c>
    </row>
    <row r="1434" spans="1:53" x14ac:dyDescent="0.25">
      <c r="A1434" t="s">
        <v>134</v>
      </c>
      <c r="B1434" t="s">
        <v>135</v>
      </c>
      <c r="C1434">
        <v>22001866</v>
      </c>
      <c r="D1434">
        <v>1204</v>
      </c>
      <c r="E1434" s="11">
        <v>44788</v>
      </c>
      <c r="F1434" t="s">
        <v>186</v>
      </c>
      <c r="G1434">
        <v>357.48</v>
      </c>
      <c r="H1434">
        <v>357.48</v>
      </c>
      <c r="I1434" t="s">
        <v>56</v>
      </c>
      <c r="O1434" t="s">
        <v>57</v>
      </c>
      <c r="Q1434" t="s">
        <v>57</v>
      </c>
      <c r="R1434" t="s">
        <v>137</v>
      </c>
      <c r="T1434" t="s">
        <v>59</v>
      </c>
      <c r="U1434" t="s">
        <v>60</v>
      </c>
      <c r="V1434" t="s">
        <v>138</v>
      </c>
      <c r="W1434" t="s">
        <v>139</v>
      </c>
      <c r="X1434">
        <v>1932004</v>
      </c>
      <c r="Y1434" s="11">
        <v>44788</v>
      </c>
      <c r="Z1434" t="s">
        <v>57</v>
      </c>
      <c r="AA1434">
        <v>2</v>
      </c>
      <c r="AB1434" t="s">
        <v>57</v>
      </c>
      <c r="AD1434" t="s">
        <v>57</v>
      </c>
      <c r="AE1434" t="s">
        <v>57</v>
      </c>
      <c r="AF1434" t="s">
        <v>57</v>
      </c>
      <c r="AG1434">
        <v>400</v>
      </c>
      <c r="AH1434" t="s">
        <v>57</v>
      </c>
      <c r="AL1434" t="s">
        <v>57</v>
      </c>
      <c r="AM1434" s="11">
        <v>44788</v>
      </c>
      <c r="AN1434" t="s">
        <v>173</v>
      </c>
      <c r="AO1434" t="s">
        <v>65</v>
      </c>
      <c r="AP1434">
        <v>1204</v>
      </c>
      <c r="AQ1434" t="s">
        <v>66</v>
      </c>
      <c r="AR1434">
        <v>61812</v>
      </c>
      <c r="AU1434" t="s">
        <v>57</v>
      </c>
      <c r="AV1434" t="s">
        <v>68</v>
      </c>
      <c r="AX1434" t="s">
        <v>57</v>
      </c>
      <c r="AY1434">
        <v>631140</v>
      </c>
      <c r="AZ1434">
        <v>1204.63114</v>
      </c>
      <c r="BA1434" s="23" t="s">
        <v>16</v>
      </c>
    </row>
    <row r="1435" spans="1:53" x14ac:dyDescent="0.25">
      <c r="A1435" t="s">
        <v>134</v>
      </c>
      <c r="B1435" t="s">
        <v>135</v>
      </c>
      <c r="C1435">
        <v>22001872</v>
      </c>
      <c r="D1435">
        <v>1204</v>
      </c>
      <c r="E1435" s="11">
        <v>44789</v>
      </c>
      <c r="F1435" t="s">
        <v>186</v>
      </c>
      <c r="G1435">
        <v>357.48</v>
      </c>
      <c r="H1435">
        <v>357.48</v>
      </c>
      <c r="I1435" t="s">
        <v>56</v>
      </c>
      <c r="O1435" t="s">
        <v>57</v>
      </c>
      <c r="Q1435" t="s">
        <v>57</v>
      </c>
      <c r="R1435" t="s">
        <v>137</v>
      </c>
      <c r="T1435" t="s">
        <v>59</v>
      </c>
      <c r="U1435" t="s">
        <v>60</v>
      </c>
      <c r="V1435" t="s">
        <v>138</v>
      </c>
      <c r="W1435" t="s">
        <v>139</v>
      </c>
      <c r="X1435">
        <v>1933166</v>
      </c>
      <c r="Y1435" s="11">
        <v>44789</v>
      </c>
      <c r="Z1435" t="s">
        <v>57</v>
      </c>
      <c r="AA1435">
        <v>2</v>
      </c>
      <c r="AB1435" t="s">
        <v>57</v>
      </c>
      <c r="AD1435" t="s">
        <v>57</v>
      </c>
      <c r="AE1435" t="s">
        <v>57</v>
      </c>
      <c r="AF1435" t="s">
        <v>57</v>
      </c>
      <c r="AG1435">
        <v>400</v>
      </c>
      <c r="AH1435" t="s">
        <v>57</v>
      </c>
      <c r="AL1435" t="s">
        <v>57</v>
      </c>
      <c r="AM1435" s="11">
        <v>44789</v>
      </c>
      <c r="AN1435" t="s">
        <v>173</v>
      </c>
      <c r="AO1435" t="s">
        <v>65</v>
      </c>
      <c r="AP1435">
        <v>1204</v>
      </c>
      <c r="AQ1435" t="s">
        <v>66</v>
      </c>
      <c r="AR1435">
        <v>61812</v>
      </c>
      <c r="AU1435" t="s">
        <v>57</v>
      </c>
      <c r="AV1435" t="s">
        <v>68</v>
      </c>
      <c r="AX1435" t="s">
        <v>57</v>
      </c>
      <c r="AY1435">
        <v>631140</v>
      </c>
      <c r="AZ1435">
        <v>1204.63114</v>
      </c>
      <c r="BA1435" s="23" t="s">
        <v>16</v>
      </c>
    </row>
    <row r="1436" spans="1:53" x14ac:dyDescent="0.25">
      <c r="A1436" t="s">
        <v>134</v>
      </c>
      <c r="B1436" t="s">
        <v>135</v>
      </c>
      <c r="C1436">
        <v>22001876</v>
      </c>
      <c r="D1436">
        <v>1204</v>
      </c>
      <c r="E1436" s="11">
        <v>44791</v>
      </c>
      <c r="F1436" t="s">
        <v>186</v>
      </c>
      <c r="G1436">
        <v>366.42</v>
      </c>
      <c r="H1436">
        <v>366.42</v>
      </c>
      <c r="I1436" t="s">
        <v>56</v>
      </c>
      <c r="O1436" t="s">
        <v>57</v>
      </c>
      <c r="Q1436" t="s">
        <v>57</v>
      </c>
      <c r="R1436" t="s">
        <v>137</v>
      </c>
      <c r="T1436" t="s">
        <v>59</v>
      </c>
      <c r="U1436" t="s">
        <v>60</v>
      </c>
      <c r="V1436" t="s">
        <v>138</v>
      </c>
      <c r="W1436" t="s">
        <v>139</v>
      </c>
      <c r="X1436">
        <v>1933535</v>
      </c>
      <c r="Y1436" s="11">
        <v>44791</v>
      </c>
      <c r="Z1436" t="s">
        <v>57</v>
      </c>
      <c r="AA1436">
        <v>2</v>
      </c>
      <c r="AB1436" t="s">
        <v>57</v>
      </c>
      <c r="AD1436" t="s">
        <v>57</v>
      </c>
      <c r="AE1436" t="s">
        <v>57</v>
      </c>
      <c r="AF1436" t="s">
        <v>57</v>
      </c>
      <c r="AG1436">
        <v>410</v>
      </c>
      <c r="AH1436" t="s">
        <v>57</v>
      </c>
      <c r="AL1436" t="s">
        <v>57</v>
      </c>
      <c r="AM1436" s="11">
        <v>44791</v>
      </c>
      <c r="AN1436" t="s">
        <v>173</v>
      </c>
      <c r="AO1436" t="s">
        <v>65</v>
      </c>
      <c r="AP1436">
        <v>1204</v>
      </c>
      <c r="AQ1436" t="s">
        <v>66</v>
      </c>
      <c r="AR1436">
        <v>61812</v>
      </c>
      <c r="AU1436" t="s">
        <v>57</v>
      </c>
      <c r="AV1436" t="s">
        <v>68</v>
      </c>
      <c r="AX1436" t="s">
        <v>57</v>
      </c>
      <c r="AY1436">
        <v>631140</v>
      </c>
      <c r="AZ1436">
        <v>1204.63114</v>
      </c>
      <c r="BA1436" s="23" t="s">
        <v>16</v>
      </c>
    </row>
    <row r="1437" spans="1:53" x14ac:dyDescent="0.25">
      <c r="A1437" t="s">
        <v>134</v>
      </c>
      <c r="B1437" t="s">
        <v>135</v>
      </c>
      <c r="C1437">
        <v>22001890</v>
      </c>
      <c r="D1437">
        <v>1204</v>
      </c>
      <c r="E1437" s="11">
        <v>44792</v>
      </c>
      <c r="F1437" t="s">
        <v>186</v>
      </c>
      <c r="G1437">
        <v>366.42</v>
      </c>
      <c r="H1437">
        <v>366.42</v>
      </c>
      <c r="I1437" t="s">
        <v>56</v>
      </c>
      <c r="O1437" t="s">
        <v>57</v>
      </c>
      <c r="Q1437" t="s">
        <v>57</v>
      </c>
      <c r="R1437" t="s">
        <v>137</v>
      </c>
      <c r="T1437" t="s">
        <v>59</v>
      </c>
      <c r="U1437" t="s">
        <v>60</v>
      </c>
      <c r="V1437" t="s">
        <v>138</v>
      </c>
      <c r="W1437" t="s">
        <v>139</v>
      </c>
      <c r="X1437">
        <v>1934075</v>
      </c>
      <c r="Y1437" s="11">
        <v>44792</v>
      </c>
      <c r="Z1437" t="s">
        <v>57</v>
      </c>
      <c r="AA1437">
        <v>2</v>
      </c>
      <c r="AB1437" t="s">
        <v>57</v>
      </c>
      <c r="AD1437" t="s">
        <v>57</v>
      </c>
      <c r="AE1437" t="s">
        <v>57</v>
      </c>
      <c r="AF1437" t="s">
        <v>57</v>
      </c>
      <c r="AG1437">
        <v>410</v>
      </c>
      <c r="AH1437" t="s">
        <v>57</v>
      </c>
      <c r="AL1437" t="s">
        <v>57</v>
      </c>
      <c r="AM1437" s="11">
        <v>44792</v>
      </c>
      <c r="AN1437" t="s">
        <v>173</v>
      </c>
      <c r="AO1437" t="s">
        <v>65</v>
      </c>
      <c r="AP1437">
        <v>1204</v>
      </c>
      <c r="AQ1437" t="s">
        <v>66</v>
      </c>
      <c r="AR1437">
        <v>61812</v>
      </c>
      <c r="AU1437" t="s">
        <v>57</v>
      </c>
      <c r="AV1437" t="s">
        <v>68</v>
      </c>
      <c r="AX1437" t="s">
        <v>57</v>
      </c>
      <c r="AY1437">
        <v>631140</v>
      </c>
      <c r="AZ1437">
        <v>1204.63114</v>
      </c>
      <c r="BA1437" s="23" t="s">
        <v>16</v>
      </c>
    </row>
    <row r="1438" spans="1:53" x14ac:dyDescent="0.25">
      <c r="A1438" t="s">
        <v>134</v>
      </c>
      <c r="B1438" t="s">
        <v>135</v>
      </c>
      <c r="C1438">
        <v>22002259</v>
      </c>
      <c r="D1438">
        <v>1205</v>
      </c>
      <c r="E1438" s="11">
        <v>44774</v>
      </c>
      <c r="F1438" t="s">
        <v>188</v>
      </c>
      <c r="G1438">
        <v>411.1</v>
      </c>
      <c r="H1438">
        <v>411.1</v>
      </c>
      <c r="I1438" t="s">
        <v>56</v>
      </c>
      <c r="O1438" t="s">
        <v>57</v>
      </c>
      <c r="Q1438" t="s">
        <v>57</v>
      </c>
      <c r="R1438" t="s">
        <v>137</v>
      </c>
      <c r="T1438" t="s">
        <v>59</v>
      </c>
      <c r="U1438" t="s">
        <v>60</v>
      </c>
      <c r="V1438" t="s">
        <v>138</v>
      </c>
      <c r="W1438" t="s">
        <v>139</v>
      </c>
      <c r="X1438">
        <v>1925463</v>
      </c>
      <c r="Y1438" s="11">
        <v>44774</v>
      </c>
      <c r="Z1438" t="s">
        <v>57</v>
      </c>
      <c r="AA1438">
        <v>2</v>
      </c>
      <c r="AB1438" t="s">
        <v>57</v>
      </c>
      <c r="AD1438" t="s">
        <v>57</v>
      </c>
      <c r="AE1438" t="s">
        <v>57</v>
      </c>
      <c r="AF1438" t="s">
        <v>57</v>
      </c>
      <c r="AG1438">
        <v>460</v>
      </c>
      <c r="AH1438" t="s">
        <v>57</v>
      </c>
      <c r="AL1438" t="s">
        <v>57</v>
      </c>
      <c r="AM1438" s="11">
        <v>44774</v>
      </c>
      <c r="AN1438" t="s">
        <v>178</v>
      </c>
      <c r="AO1438" t="s">
        <v>65</v>
      </c>
      <c r="AP1438">
        <v>1205</v>
      </c>
      <c r="AQ1438" t="s">
        <v>66</v>
      </c>
      <c r="AR1438">
        <v>61812</v>
      </c>
      <c r="AU1438" t="s">
        <v>57</v>
      </c>
      <c r="AV1438" t="s">
        <v>68</v>
      </c>
      <c r="AX1438" t="s">
        <v>57</v>
      </c>
      <c r="AY1438">
        <v>631140</v>
      </c>
      <c r="AZ1438">
        <v>1205.63114</v>
      </c>
      <c r="BA1438" s="23" t="s">
        <v>17</v>
      </c>
    </row>
    <row r="1439" spans="1:53" x14ac:dyDescent="0.25">
      <c r="A1439" t="s">
        <v>134</v>
      </c>
      <c r="B1439" t="s">
        <v>135</v>
      </c>
      <c r="C1439">
        <v>22002260</v>
      </c>
      <c r="D1439">
        <v>1205</v>
      </c>
      <c r="E1439" s="11">
        <v>44774</v>
      </c>
      <c r="F1439" t="s">
        <v>189</v>
      </c>
      <c r="G1439">
        <v>294.92</v>
      </c>
      <c r="H1439">
        <v>294.92</v>
      </c>
      <c r="I1439" t="s">
        <v>56</v>
      </c>
      <c r="O1439" t="s">
        <v>57</v>
      </c>
      <c r="Q1439" t="s">
        <v>57</v>
      </c>
      <c r="R1439" t="s">
        <v>137</v>
      </c>
      <c r="T1439" t="s">
        <v>59</v>
      </c>
      <c r="U1439" t="s">
        <v>60</v>
      </c>
      <c r="V1439" t="s">
        <v>138</v>
      </c>
      <c r="W1439" t="s">
        <v>139</v>
      </c>
      <c r="X1439">
        <v>1925463</v>
      </c>
      <c r="Y1439" s="11">
        <v>44774</v>
      </c>
      <c r="Z1439" t="s">
        <v>57</v>
      </c>
      <c r="AA1439">
        <v>2</v>
      </c>
      <c r="AB1439" t="s">
        <v>57</v>
      </c>
      <c r="AD1439" t="s">
        <v>57</v>
      </c>
      <c r="AE1439" t="s">
        <v>57</v>
      </c>
      <c r="AF1439" t="s">
        <v>57</v>
      </c>
      <c r="AG1439">
        <v>330</v>
      </c>
      <c r="AH1439" t="s">
        <v>57</v>
      </c>
      <c r="AL1439" t="s">
        <v>57</v>
      </c>
      <c r="AM1439" s="11">
        <v>44774</v>
      </c>
      <c r="AN1439" t="s">
        <v>178</v>
      </c>
      <c r="AO1439" t="s">
        <v>65</v>
      </c>
      <c r="AP1439">
        <v>1205</v>
      </c>
      <c r="AQ1439" t="s">
        <v>66</v>
      </c>
      <c r="AR1439">
        <v>61812</v>
      </c>
      <c r="AU1439" t="s">
        <v>57</v>
      </c>
      <c r="AV1439" t="s">
        <v>68</v>
      </c>
      <c r="AX1439" t="s">
        <v>57</v>
      </c>
      <c r="AY1439">
        <v>631140</v>
      </c>
      <c r="AZ1439">
        <v>1205.63114</v>
      </c>
      <c r="BA1439" s="23" t="s">
        <v>17</v>
      </c>
    </row>
    <row r="1440" spans="1:53" x14ac:dyDescent="0.25">
      <c r="A1440" t="s">
        <v>134</v>
      </c>
      <c r="B1440" t="s">
        <v>135</v>
      </c>
      <c r="C1440">
        <v>22002268</v>
      </c>
      <c r="D1440">
        <v>1205</v>
      </c>
      <c r="E1440" s="11">
        <v>44776</v>
      </c>
      <c r="F1440" t="s">
        <v>190</v>
      </c>
      <c r="G1440">
        <v>411.1</v>
      </c>
      <c r="H1440">
        <v>411.1</v>
      </c>
      <c r="I1440" t="s">
        <v>56</v>
      </c>
      <c r="O1440" t="s">
        <v>57</v>
      </c>
      <c r="Q1440" t="s">
        <v>57</v>
      </c>
      <c r="R1440" t="s">
        <v>137</v>
      </c>
      <c r="T1440" t="s">
        <v>59</v>
      </c>
      <c r="U1440" t="s">
        <v>60</v>
      </c>
      <c r="V1440" t="s">
        <v>138</v>
      </c>
      <c r="W1440" t="s">
        <v>139</v>
      </c>
      <c r="X1440">
        <v>1926660</v>
      </c>
      <c r="Y1440" s="11">
        <v>44776</v>
      </c>
      <c r="Z1440" t="s">
        <v>57</v>
      </c>
      <c r="AA1440">
        <v>2</v>
      </c>
      <c r="AB1440" t="s">
        <v>57</v>
      </c>
      <c r="AD1440" t="s">
        <v>57</v>
      </c>
      <c r="AE1440" t="s">
        <v>57</v>
      </c>
      <c r="AF1440" t="s">
        <v>57</v>
      </c>
      <c r="AG1440">
        <v>460</v>
      </c>
      <c r="AH1440" t="s">
        <v>57</v>
      </c>
      <c r="AL1440" t="s">
        <v>57</v>
      </c>
      <c r="AM1440" s="11">
        <v>44776</v>
      </c>
      <c r="AN1440" t="s">
        <v>178</v>
      </c>
      <c r="AO1440" t="s">
        <v>65</v>
      </c>
      <c r="AP1440">
        <v>1205</v>
      </c>
      <c r="AQ1440" t="s">
        <v>66</v>
      </c>
      <c r="AR1440">
        <v>61812</v>
      </c>
      <c r="AU1440" t="s">
        <v>57</v>
      </c>
      <c r="AV1440" t="s">
        <v>68</v>
      </c>
      <c r="AX1440" t="s">
        <v>57</v>
      </c>
      <c r="AY1440">
        <v>631140</v>
      </c>
      <c r="AZ1440">
        <v>1205.63114</v>
      </c>
      <c r="BA1440" s="23" t="s">
        <v>17</v>
      </c>
    </row>
    <row r="1441" spans="1:53" x14ac:dyDescent="0.25">
      <c r="A1441" t="s">
        <v>134</v>
      </c>
      <c r="B1441" t="s">
        <v>135</v>
      </c>
      <c r="C1441">
        <v>22002269</v>
      </c>
      <c r="D1441">
        <v>1205</v>
      </c>
      <c r="E1441" s="11">
        <v>44776</v>
      </c>
      <c r="F1441" t="s">
        <v>191</v>
      </c>
      <c r="G1441">
        <v>411.1</v>
      </c>
      <c r="H1441">
        <v>411.1</v>
      </c>
      <c r="I1441" t="s">
        <v>56</v>
      </c>
      <c r="O1441" t="s">
        <v>57</v>
      </c>
      <c r="Q1441" t="s">
        <v>57</v>
      </c>
      <c r="R1441" t="s">
        <v>137</v>
      </c>
      <c r="T1441" t="s">
        <v>59</v>
      </c>
      <c r="U1441" t="s">
        <v>60</v>
      </c>
      <c r="V1441" t="s">
        <v>138</v>
      </c>
      <c r="W1441" t="s">
        <v>139</v>
      </c>
      <c r="X1441">
        <v>1926660</v>
      </c>
      <c r="Y1441" s="11">
        <v>44776</v>
      </c>
      <c r="Z1441" t="s">
        <v>57</v>
      </c>
      <c r="AA1441">
        <v>2</v>
      </c>
      <c r="AB1441" t="s">
        <v>57</v>
      </c>
      <c r="AD1441" t="s">
        <v>57</v>
      </c>
      <c r="AE1441" t="s">
        <v>57</v>
      </c>
      <c r="AF1441" t="s">
        <v>57</v>
      </c>
      <c r="AG1441">
        <v>460</v>
      </c>
      <c r="AH1441" t="s">
        <v>57</v>
      </c>
      <c r="AL1441" t="s">
        <v>57</v>
      </c>
      <c r="AM1441" s="11">
        <v>44776</v>
      </c>
      <c r="AN1441" t="s">
        <v>178</v>
      </c>
      <c r="AO1441" t="s">
        <v>65</v>
      </c>
      <c r="AP1441">
        <v>1205</v>
      </c>
      <c r="AQ1441" t="s">
        <v>66</v>
      </c>
      <c r="AR1441">
        <v>61812</v>
      </c>
      <c r="AU1441" t="s">
        <v>57</v>
      </c>
      <c r="AV1441" t="s">
        <v>68</v>
      </c>
      <c r="AX1441" t="s">
        <v>57</v>
      </c>
      <c r="AY1441">
        <v>631140</v>
      </c>
      <c r="AZ1441">
        <v>1205.63114</v>
      </c>
      <c r="BA1441" s="23" t="s">
        <v>17</v>
      </c>
    </row>
    <row r="1442" spans="1:53" x14ac:dyDescent="0.25">
      <c r="A1442" t="s">
        <v>134</v>
      </c>
      <c r="B1442" t="s">
        <v>135</v>
      </c>
      <c r="C1442">
        <v>22002282</v>
      </c>
      <c r="D1442">
        <v>1205</v>
      </c>
      <c r="E1442" s="11">
        <v>44777</v>
      </c>
      <c r="F1442" t="s">
        <v>192</v>
      </c>
      <c r="G1442">
        <v>165.33</v>
      </c>
      <c r="H1442">
        <v>165.33</v>
      </c>
      <c r="I1442" t="s">
        <v>56</v>
      </c>
      <c r="O1442" t="s">
        <v>57</v>
      </c>
      <c r="Q1442" t="s">
        <v>57</v>
      </c>
      <c r="R1442" t="s">
        <v>137</v>
      </c>
      <c r="T1442" t="s">
        <v>59</v>
      </c>
      <c r="U1442" t="s">
        <v>60</v>
      </c>
      <c r="V1442" t="s">
        <v>138</v>
      </c>
      <c r="W1442" t="s">
        <v>139</v>
      </c>
      <c r="X1442">
        <v>1927039</v>
      </c>
      <c r="Y1442" s="11">
        <v>44777</v>
      </c>
      <c r="Z1442" t="s">
        <v>57</v>
      </c>
      <c r="AA1442">
        <v>2</v>
      </c>
      <c r="AB1442" t="s">
        <v>57</v>
      </c>
      <c r="AD1442" t="s">
        <v>57</v>
      </c>
      <c r="AE1442" t="s">
        <v>57</v>
      </c>
      <c r="AF1442" t="s">
        <v>57</v>
      </c>
      <c r="AG1442">
        <v>185</v>
      </c>
      <c r="AH1442" t="s">
        <v>57</v>
      </c>
      <c r="AL1442" t="s">
        <v>57</v>
      </c>
      <c r="AM1442" s="11">
        <v>44777</v>
      </c>
      <c r="AN1442" t="s">
        <v>178</v>
      </c>
      <c r="AO1442" t="s">
        <v>65</v>
      </c>
      <c r="AP1442">
        <v>1205</v>
      </c>
      <c r="AQ1442" t="s">
        <v>66</v>
      </c>
      <c r="AR1442">
        <v>61812</v>
      </c>
      <c r="AU1442" t="s">
        <v>57</v>
      </c>
      <c r="AV1442" t="s">
        <v>68</v>
      </c>
      <c r="AX1442" t="s">
        <v>57</v>
      </c>
      <c r="AY1442">
        <v>631140</v>
      </c>
      <c r="AZ1442">
        <v>1205.63114</v>
      </c>
      <c r="BA1442" s="23" t="s">
        <v>17</v>
      </c>
    </row>
    <row r="1443" spans="1:53" x14ac:dyDescent="0.25">
      <c r="A1443" t="s">
        <v>134</v>
      </c>
      <c r="B1443" t="s">
        <v>135</v>
      </c>
      <c r="C1443">
        <v>22002282</v>
      </c>
      <c r="D1443">
        <v>1205</v>
      </c>
      <c r="E1443" s="11">
        <v>44777</v>
      </c>
      <c r="F1443" t="s">
        <v>192</v>
      </c>
      <c r="G1443">
        <v>245.77</v>
      </c>
      <c r="H1443">
        <v>245.77</v>
      </c>
      <c r="I1443" t="s">
        <v>56</v>
      </c>
      <c r="O1443" t="s">
        <v>57</v>
      </c>
      <c r="Q1443" t="s">
        <v>57</v>
      </c>
      <c r="R1443" t="s">
        <v>137</v>
      </c>
      <c r="T1443" t="s">
        <v>59</v>
      </c>
      <c r="U1443" t="s">
        <v>60</v>
      </c>
      <c r="V1443" t="s">
        <v>138</v>
      </c>
      <c r="W1443" t="s">
        <v>139</v>
      </c>
      <c r="X1443">
        <v>1927039</v>
      </c>
      <c r="Y1443" s="11">
        <v>44777</v>
      </c>
      <c r="Z1443" t="s">
        <v>57</v>
      </c>
      <c r="AA1443">
        <v>4</v>
      </c>
      <c r="AB1443" t="s">
        <v>57</v>
      </c>
      <c r="AD1443" t="s">
        <v>57</v>
      </c>
      <c r="AE1443" t="s">
        <v>57</v>
      </c>
      <c r="AF1443" t="s">
        <v>57</v>
      </c>
      <c r="AG1443">
        <v>275</v>
      </c>
      <c r="AH1443" t="s">
        <v>57</v>
      </c>
      <c r="AL1443" t="s">
        <v>57</v>
      </c>
      <c r="AM1443" s="11">
        <v>44777</v>
      </c>
      <c r="AN1443" t="s">
        <v>178</v>
      </c>
      <c r="AO1443" t="s">
        <v>65</v>
      </c>
      <c r="AP1443">
        <v>1205</v>
      </c>
      <c r="AQ1443" t="s">
        <v>66</v>
      </c>
      <c r="AR1443">
        <v>61812</v>
      </c>
      <c r="AU1443" t="s">
        <v>57</v>
      </c>
      <c r="AV1443" t="s">
        <v>68</v>
      </c>
      <c r="AX1443" t="s">
        <v>57</v>
      </c>
      <c r="AY1443">
        <v>631140</v>
      </c>
      <c r="AZ1443">
        <v>1205.63114</v>
      </c>
      <c r="BA1443" s="23" t="s">
        <v>17</v>
      </c>
    </row>
    <row r="1444" spans="1:53" x14ac:dyDescent="0.25">
      <c r="A1444" t="s">
        <v>134</v>
      </c>
      <c r="B1444" t="s">
        <v>135</v>
      </c>
      <c r="C1444">
        <v>22002296</v>
      </c>
      <c r="D1444">
        <v>1205</v>
      </c>
      <c r="E1444" s="11">
        <v>44778</v>
      </c>
      <c r="F1444" t="s">
        <v>193</v>
      </c>
      <c r="G1444">
        <v>411.1</v>
      </c>
      <c r="H1444">
        <v>411.1</v>
      </c>
      <c r="I1444" t="s">
        <v>56</v>
      </c>
      <c r="O1444" t="s">
        <v>57</v>
      </c>
      <c r="Q1444" t="s">
        <v>57</v>
      </c>
      <c r="R1444" t="s">
        <v>137</v>
      </c>
      <c r="T1444" t="s">
        <v>59</v>
      </c>
      <c r="U1444" t="s">
        <v>60</v>
      </c>
      <c r="V1444" t="s">
        <v>138</v>
      </c>
      <c r="W1444" t="s">
        <v>139</v>
      </c>
      <c r="X1444">
        <v>1927637</v>
      </c>
      <c r="Y1444" s="11">
        <v>44778</v>
      </c>
      <c r="Z1444" t="s">
        <v>57</v>
      </c>
      <c r="AA1444">
        <v>2</v>
      </c>
      <c r="AB1444" t="s">
        <v>57</v>
      </c>
      <c r="AD1444" t="s">
        <v>57</v>
      </c>
      <c r="AE1444" t="s">
        <v>57</v>
      </c>
      <c r="AF1444" t="s">
        <v>57</v>
      </c>
      <c r="AG1444">
        <v>460</v>
      </c>
      <c r="AH1444" t="s">
        <v>57</v>
      </c>
      <c r="AL1444" t="s">
        <v>57</v>
      </c>
      <c r="AM1444" s="11">
        <v>44778</v>
      </c>
      <c r="AN1444" t="s">
        <v>178</v>
      </c>
      <c r="AO1444" t="s">
        <v>65</v>
      </c>
      <c r="AP1444">
        <v>1205</v>
      </c>
      <c r="AQ1444" t="s">
        <v>66</v>
      </c>
      <c r="AR1444">
        <v>61812</v>
      </c>
      <c r="AU1444" t="s">
        <v>57</v>
      </c>
      <c r="AV1444" t="s">
        <v>68</v>
      </c>
      <c r="AX1444" t="s">
        <v>57</v>
      </c>
      <c r="AY1444">
        <v>631140</v>
      </c>
      <c r="AZ1444">
        <v>1205.63114</v>
      </c>
      <c r="BA1444" s="23" t="s">
        <v>17</v>
      </c>
    </row>
    <row r="1445" spans="1:53" x14ac:dyDescent="0.25">
      <c r="A1445" t="s">
        <v>134</v>
      </c>
      <c r="B1445" t="s">
        <v>135</v>
      </c>
      <c r="C1445">
        <v>22002308</v>
      </c>
      <c r="D1445">
        <v>1205</v>
      </c>
      <c r="E1445" s="11">
        <v>44781</v>
      </c>
      <c r="F1445" t="s">
        <v>291</v>
      </c>
      <c r="G1445">
        <v>411.1</v>
      </c>
      <c r="H1445">
        <v>411.1</v>
      </c>
      <c r="I1445" t="s">
        <v>56</v>
      </c>
      <c r="O1445" t="s">
        <v>57</v>
      </c>
      <c r="Q1445" t="s">
        <v>57</v>
      </c>
      <c r="R1445" t="s">
        <v>137</v>
      </c>
      <c r="T1445" t="s">
        <v>59</v>
      </c>
      <c r="U1445" t="s">
        <v>60</v>
      </c>
      <c r="V1445" t="s">
        <v>138</v>
      </c>
      <c r="W1445" t="s">
        <v>139</v>
      </c>
      <c r="X1445">
        <v>1928769</v>
      </c>
      <c r="Y1445" s="11">
        <v>44781</v>
      </c>
      <c r="Z1445" t="s">
        <v>57</v>
      </c>
      <c r="AA1445">
        <v>2</v>
      </c>
      <c r="AB1445" t="s">
        <v>57</v>
      </c>
      <c r="AD1445" t="s">
        <v>57</v>
      </c>
      <c r="AE1445" t="s">
        <v>57</v>
      </c>
      <c r="AF1445" t="s">
        <v>57</v>
      </c>
      <c r="AG1445">
        <v>460</v>
      </c>
      <c r="AH1445" t="s">
        <v>57</v>
      </c>
      <c r="AL1445" t="s">
        <v>57</v>
      </c>
      <c r="AM1445" s="11">
        <v>44781</v>
      </c>
      <c r="AN1445" t="s">
        <v>178</v>
      </c>
      <c r="AO1445" t="s">
        <v>65</v>
      </c>
      <c r="AP1445">
        <v>1205</v>
      </c>
      <c r="AQ1445" t="s">
        <v>66</v>
      </c>
      <c r="AR1445">
        <v>61812</v>
      </c>
      <c r="AU1445" t="s">
        <v>57</v>
      </c>
      <c r="AV1445" t="s">
        <v>68</v>
      </c>
      <c r="AX1445" t="s">
        <v>57</v>
      </c>
      <c r="AY1445">
        <v>631140</v>
      </c>
      <c r="AZ1445">
        <v>1205.63114</v>
      </c>
      <c r="BA1445" s="23" t="s">
        <v>17</v>
      </c>
    </row>
    <row r="1446" spans="1:53" x14ac:dyDescent="0.25">
      <c r="A1446" t="s">
        <v>134</v>
      </c>
      <c r="B1446" t="s">
        <v>135</v>
      </c>
      <c r="C1446">
        <v>22002312</v>
      </c>
      <c r="D1446">
        <v>1205</v>
      </c>
      <c r="E1446" s="11">
        <v>44782</v>
      </c>
      <c r="F1446" t="s">
        <v>292</v>
      </c>
      <c r="G1446">
        <v>420.04</v>
      </c>
      <c r="H1446">
        <v>420.04</v>
      </c>
      <c r="I1446" t="s">
        <v>56</v>
      </c>
      <c r="O1446" t="s">
        <v>57</v>
      </c>
      <c r="Q1446" t="s">
        <v>57</v>
      </c>
      <c r="R1446" t="s">
        <v>137</v>
      </c>
      <c r="T1446" t="s">
        <v>59</v>
      </c>
      <c r="U1446" t="s">
        <v>60</v>
      </c>
      <c r="V1446" t="s">
        <v>138</v>
      </c>
      <c r="W1446" t="s">
        <v>139</v>
      </c>
      <c r="X1446">
        <v>1928977</v>
      </c>
      <c r="Y1446" s="11">
        <v>44782</v>
      </c>
      <c r="Z1446" t="s">
        <v>57</v>
      </c>
      <c r="AA1446">
        <v>2</v>
      </c>
      <c r="AB1446" t="s">
        <v>57</v>
      </c>
      <c r="AD1446" t="s">
        <v>57</v>
      </c>
      <c r="AE1446" t="s">
        <v>57</v>
      </c>
      <c r="AF1446" t="s">
        <v>57</v>
      </c>
      <c r="AG1446">
        <v>470</v>
      </c>
      <c r="AH1446" t="s">
        <v>57</v>
      </c>
      <c r="AL1446" t="s">
        <v>57</v>
      </c>
      <c r="AM1446" s="11">
        <v>44782</v>
      </c>
      <c r="AN1446" t="s">
        <v>178</v>
      </c>
      <c r="AO1446" t="s">
        <v>65</v>
      </c>
      <c r="AP1446">
        <v>1205</v>
      </c>
      <c r="AQ1446" t="s">
        <v>66</v>
      </c>
      <c r="AR1446">
        <v>61812</v>
      </c>
      <c r="AU1446" t="s">
        <v>57</v>
      </c>
      <c r="AV1446" t="s">
        <v>68</v>
      </c>
      <c r="AX1446" t="s">
        <v>57</v>
      </c>
      <c r="AY1446">
        <v>631140</v>
      </c>
      <c r="AZ1446">
        <v>1205.63114</v>
      </c>
      <c r="BA1446" s="23" t="s">
        <v>17</v>
      </c>
    </row>
    <row r="1447" spans="1:53" x14ac:dyDescent="0.25">
      <c r="A1447" t="s">
        <v>134</v>
      </c>
      <c r="B1447" t="s">
        <v>135</v>
      </c>
      <c r="C1447">
        <v>22002319</v>
      </c>
      <c r="D1447">
        <v>1205</v>
      </c>
      <c r="E1447" s="11">
        <v>44783</v>
      </c>
      <c r="F1447" t="s">
        <v>293</v>
      </c>
      <c r="G1447">
        <v>411.1</v>
      </c>
      <c r="H1447">
        <v>411.1</v>
      </c>
      <c r="I1447" t="s">
        <v>56</v>
      </c>
      <c r="O1447" t="s">
        <v>57</v>
      </c>
      <c r="Q1447" t="s">
        <v>57</v>
      </c>
      <c r="R1447" t="s">
        <v>137</v>
      </c>
      <c r="T1447" t="s">
        <v>59</v>
      </c>
      <c r="U1447" t="s">
        <v>60</v>
      </c>
      <c r="V1447" t="s">
        <v>138</v>
      </c>
      <c r="W1447" t="s">
        <v>139</v>
      </c>
      <c r="X1447">
        <v>1929854</v>
      </c>
      <c r="Y1447" s="11">
        <v>44783</v>
      </c>
      <c r="Z1447" t="s">
        <v>57</v>
      </c>
      <c r="AA1447">
        <v>2</v>
      </c>
      <c r="AB1447" t="s">
        <v>57</v>
      </c>
      <c r="AD1447" t="s">
        <v>57</v>
      </c>
      <c r="AE1447" t="s">
        <v>57</v>
      </c>
      <c r="AF1447" t="s">
        <v>57</v>
      </c>
      <c r="AG1447">
        <v>460</v>
      </c>
      <c r="AH1447" t="s">
        <v>57</v>
      </c>
      <c r="AL1447" t="s">
        <v>57</v>
      </c>
      <c r="AM1447" s="11">
        <v>44783</v>
      </c>
      <c r="AN1447" t="s">
        <v>178</v>
      </c>
      <c r="AO1447" t="s">
        <v>65</v>
      </c>
      <c r="AP1447">
        <v>1205</v>
      </c>
      <c r="AQ1447" t="s">
        <v>66</v>
      </c>
      <c r="AR1447">
        <v>61812</v>
      </c>
      <c r="AU1447" t="s">
        <v>57</v>
      </c>
      <c r="AV1447" t="s">
        <v>68</v>
      </c>
      <c r="AX1447" t="s">
        <v>57</v>
      </c>
      <c r="AY1447">
        <v>631140</v>
      </c>
      <c r="AZ1447">
        <v>1205.63114</v>
      </c>
      <c r="BA1447" s="23" t="s">
        <v>17</v>
      </c>
    </row>
    <row r="1448" spans="1:53" x14ac:dyDescent="0.25">
      <c r="A1448" t="s">
        <v>134</v>
      </c>
      <c r="B1448" t="s">
        <v>135</v>
      </c>
      <c r="C1448">
        <v>22002326</v>
      </c>
      <c r="D1448">
        <v>1205</v>
      </c>
      <c r="E1448" s="11">
        <v>44784</v>
      </c>
      <c r="F1448" t="s">
        <v>294</v>
      </c>
      <c r="G1448">
        <v>420.04</v>
      </c>
      <c r="H1448">
        <v>420.04</v>
      </c>
      <c r="I1448" t="s">
        <v>56</v>
      </c>
      <c r="O1448" t="s">
        <v>57</v>
      </c>
      <c r="Q1448" t="s">
        <v>57</v>
      </c>
      <c r="R1448" t="s">
        <v>137</v>
      </c>
      <c r="T1448" t="s">
        <v>59</v>
      </c>
      <c r="U1448" t="s">
        <v>60</v>
      </c>
      <c r="V1448" t="s">
        <v>138</v>
      </c>
      <c r="W1448" t="s">
        <v>139</v>
      </c>
      <c r="X1448">
        <v>1930358</v>
      </c>
      <c r="Y1448" s="11">
        <v>44784</v>
      </c>
      <c r="Z1448" t="s">
        <v>57</v>
      </c>
      <c r="AA1448">
        <v>2</v>
      </c>
      <c r="AB1448" t="s">
        <v>57</v>
      </c>
      <c r="AD1448" t="s">
        <v>57</v>
      </c>
      <c r="AE1448" t="s">
        <v>57</v>
      </c>
      <c r="AF1448" t="s">
        <v>57</v>
      </c>
      <c r="AG1448">
        <v>470</v>
      </c>
      <c r="AH1448" t="s">
        <v>57</v>
      </c>
      <c r="AL1448" t="s">
        <v>57</v>
      </c>
      <c r="AM1448" s="11">
        <v>44784</v>
      </c>
      <c r="AN1448" t="s">
        <v>178</v>
      </c>
      <c r="AO1448" t="s">
        <v>65</v>
      </c>
      <c r="AP1448">
        <v>1205</v>
      </c>
      <c r="AQ1448" t="s">
        <v>66</v>
      </c>
      <c r="AR1448">
        <v>61812</v>
      </c>
      <c r="AU1448" t="s">
        <v>57</v>
      </c>
      <c r="AV1448" t="s">
        <v>68</v>
      </c>
      <c r="AX1448" t="s">
        <v>57</v>
      </c>
      <c r="AY1448">
        <v>631140</v>
      </c>
      <c r="AZ1448">
        <v>1205.63114</v>
      </c>
      <c r="BA1448" s="23" t="s">
        <v>17</v>
      </c>
    </row>
    <row r="1449" spans="1:53" x14ac:dyDescent="0.25">
      <c r="A1449" t="s">
        <v>134</v>
      </c>
      <c r="B1449" t="s">
        <v>135</v>
      </c>
      <c r="C1449">
        <v>22002339</v>
      </c>
      <c r="D1449">
        <v>1205</v>
      </c>
      <c r="E1449" s="11">
        <v>44785</v>
      </c>
      <c r="F1449" t="s">
        <v>295</v>
      </c>
      <c r="G1449">
        <v>420.04</v>
      </c>
      <c r="H1449">
        <v>420.04</v>
      </c>
      <c r="I1449" t="s">
        <v>56</v>
      </c>
      <c r="O1449" t="s">
        <v>57</v>
      </c>
      <c r="Q1449" t="s">
        <v>57</v>
      </c>
      <c r="R1449" t="s">
        <v>137</v>
      </c>
      <c r="T1449" t="s">
        <v>59</v>
      </c>
      <c r="U1449" t="s">
        <v>60</v>
      </c>
      <c r="V1449" t="s">
        <v>138</v>
      </c>
      <c r="W1449" t="s">
        <v>139</v>
      </c>
      <c r="X1449">
        <v>1930524</v>
      </c>
      <c r="Y1449" s="11">
        <v>44785</v>
      </c>
      <c r="Z1449" t="s">
        <v>57</v>
      </c>
      <c r="AA1449">
        <v>2</v>
      </c>
      <c r="AB1449" t="s">
        <v>57</v>
      </c>
      <c r="AD1449" t="s">
        <v>57</v>
      </c>
      <c r="AE1449" t="s">
        <v>57</v>
      </c>
      <c r="AF1449" t="s">
        <v>57</v>
      </c>
      <c r="AG1449">
        <v>470</v>
      </c>
      <c r="AH1449" t="s">
        <v>57</v>
      </c>
      <c r="AL1449" t="s">
        <v>57</v>
      </c>
      <c r="AM1449" s="11">
        <v>44785</v>
      </c>
      <c r="AN1449" t="s">
        <v>178</v>
      </c>
      <c r="AO1449" t="s">
        <v>65</v>
      </c>
      <c r="AP1449">
        <v>1205</v>
      </c>
      <c r="AQ1449" t="s">
        <v>66</v>
      </c>
      <c r="AR1449">
        <v>61812</v>
      </c>
      <c r="AU1449" t="s">
        <v>57</v>
      </c>
      <c r="AV1449" t="s">
        <v>68</v>
      </c>
      <c r="AX1449" t="s">
        <v>57</v>
      </c>
      <c r="AY1449">
        <v>631140</v>
      </c>
      <c r="AZ1449">
        <v>1205.63114</v>
      </c>
      <c r="BA1449" s="23" t="s">
        <v>17</v>
      </c>
    </row>
    <row r="1450" spans="1:53" x14ac:dyDescent="0.25">
      <c r="A1450" t="s">
        <v>134</v>
      </c>
      <c r="B1450" t="s">
        <v>135</v>
      </c>
      <c r="C1450">
        <v>22002343</v>
      </c>
      <c r="D1450">
        <v>1205</v>
      </c>
      <c r="E1450" s="11">
        <v>44788</v>
      </c>
      <c r="F1450" t="s">
        <v>308</v>
      </c>
      <c r="G1450">
        <v>420.04</v>
      </c>
      <c r="H1450">
        <v>420.04</v>
      </c>
      <c r="I1450" t="s">
        <v>56</v>
      </c>
      <c r="O1450" t="s">
        <v>57</v>
      </c>
      <c r="Q1450" t="s">
        <v>57</v>
      </c>
      <c r="R1450" t="s">
        <v>137</v>
      </c>
      <c r="T1450" t="s">
        <v>59</v>
      </c>
      <c r="U1450" t="s">
        <v>60</v>
      </c>
      <c r="V1450" t="s">
        <v>138</v>
      </c>
      <c r="W1450" t="s">
        <v>139</v>
      </c>
      <c r="X1450">
        <v>1930746</v>
      </c>
      <c r="Y1450" s="11">
        <v>44788</v>
      </c>
      <c r="Z1450" t="s">
        <v>57</v>
      </c>
      <c r="AA1450">
        <v>2</v>
      </c>
      <c r="AB1450" t="s">
        <v>57</v>
      </c>
      <c r="AD1450" t="s">
        <v>57</v>
      </c>
      <c r="AE1450" t="s">
        <v>57</v>
      </c>
      <c r="AF1450" t="s">
        <v>57</v>
      </c>
      <c r="AG1450">
        <v>470</v>
      </c>
      <c r="AH1450" t="s">
        <v>57</v>
      </c>
      <c r="AL1450" t="s">
        <v>57</v>
      </c>
      <c r="AM1450" s="11">
        <v>44788</v>
      </c>
      <c r="AN1450" t="s">
        <v>178</v>
      </c>
      <c r="AO1450" t="s">
        <v>65</v>
      </c>
      <c r="AP1450">
        <v>1205</v>
      </c>
      <c r="AQ1450" t="s">
        <v>66</v>
      </c>
      <c r="AR1450">
        <v>61812</v>
      </c>
      <c r="AU1450" t="s">
        <v>57</v>
      </c>
      <c r="AV1450" t="s">
        <v>68</v>
      </c>
      <c r="AX1450" t="s">
        <v>57</v>
      </c>
      <c r="AY1450">
        <v>631140</v>
      </c>
      <c r="AZ1450">
        <v>1205.63114</v>
      </c>
      <c r="BA1450" s="23" t="s">
        <v>17</v>
      </c>
    </row>
    <row r="1451" spans="1:53" x14ac:dyDescent="0.25">
      <c r="A1451" t="s">
        <v>134</v>
      </c>
      <c r="B1451" t="s">
        <v>135</v>
      </c>
      <c r="C1451">
        <v>22002344</v>
      </c>
      <c r="D1451">
        <v>1205</v>
      </c>
      <c r="E1451" s="11">
        <v>44788</v>
      </c>
      <c r="F1451" t="s">
        <v>309</v>
      </c>
      <c r="G1451">
        <v>250.24</v>
      </c>
      <c r="H1451">
        <v>250.24</v>
      </c>
      <c r="I1451" t="s">
        <v>56</v>
      </c>
      <c r="O1451" t="s">
        <v>57</v>
      </c>
      <c r="Q1451" t="s">
        <v>57</v>
      </c>
      <c r="R1451" t="s">
        <v>137</v>
      </c>
      <c r="T1451" t="s">
        <v>59</v>
      </c>
      <c r="U1451" t="s">
        <v>60</v>
      </c>
      <c r="V1451" t="s">
        <v>138</v>
      </c>
      <c r="W1451" t="s">
        <v>139</v>
      </c>
      <c r="X1451">
        <v>1930746</v>
      </c>
      <c r="Y1451" s="11">
        <v>44788</v>
      </c>
      <c r="Z1451" t="s">
        <v>57</v>
      </c>
      <c r="AA1451">
        <v>2</v>
      </c>
      <c r="AB1451" t="s">
        <v>57</v>
      </c>
      <c r="AD1451" t="s">
        <v>57</v>
      </c>
      <c r="AE1451" t="s">
        <v>57</v>
      </c>
      <c r="AF1451" t="s">
        <v>57</v>
      </c>
      <c r="AG1451">
        <v>280</v>
      </c>
      <c r="AH1451" t="s">
        <v>57</v>
      </c>
      <c r="AL1451" t="s">
        <v>57</v>
      </c>
      <c r="AM1451" s="11">
        <v>44788</v>
      </c>
      <c r="AN1451" t="s">
        <v>178</v>
      </c>
      <c r="AO1451" t="s">
        <v>65</v>
      </c>
      <c r="AP1451">
        <v>1205</v>
      </c>
      <c r="AQ1451" t="s">
        <v>66</v>
      </c>
      <c r="AR1451">
        <v>61812</v>
      </c>
      <c r="AU1451" t="s">
        <v>57</v>
      </c>
      <c r="AV1451" t="s">
        <v>68</v>
      </c>
      <c r="AX1451" t="s">
        <v>57</v>
      </c>
      <c r="AY1451">
        <v>631140</v>
      </c>
      <c r="AZ1451">
        <v>1205.63114</v>
      </c>
      <c r="BA1451" s="23" t="s">
        <v>17</v>
      </c>
    </row>
    <row r="1452" spans="1:53" x14ac:dyDescent="0.25">
      <c r="A1452" t="s">
        <v>134</v>
      </c>
      <c r="B1452" t="s">
        <v>135</v>
      </c>
      <c r="C1452">
        <v>22002355</v>
      </c>
      <c r="D1452">
        <v>1205</v>
      </c>
      <c r="E1452" s="11">
        <v>44789</v>
      </c>
      <c r="F1452" t="s">
        <v>310</v>
      </c>
      <c r="G1452">
        <v>420.04</v>
      </c>
      <c r="H1452">
        <v>420.04</v>
      </c>
      <c r="I1452" t="s">
        <v>56</v>
      </c>
      <c r="O1452" t="s">
        <v>57</v>
      </c>
      <c r="Q1452" t="s">
        <v>57</v>
      </c>
      <c r="R1452" t="s">
        <v>137</v>
      </c>
      <c r="T1452" t="s">
        <v>59</v>
      </c>
      <c r="U1452" t="s">
        <v>60</v>
      </c>
      <c r="V1452" t="s">
        <v>138</v>
      </c>
      <c r="W1452" t="s">
        <v>139</v>
      </c>
      <c r="X1452">
        <v>1933014</v>
      </c>
      <c r="Y1452" s="11">
        <v>44789</v>
      </c>
      <c r="Z1452" t="s">
        <v>57</v>
      </c>
      <c r="AA1452">
        <v>2</v>
      </c>
      <c r="AB1452" t="s">
        <v>57</v>
      </c>
      <c r="AD1452" t="s">
        <v>57</v>
      </c>
      <c r="AE1452" t="s">
        <v>57</v>
      </c>
      <c r="AF1452" t="s">
        <v>57</v>
      </c>
      <c r="AG1452">
        <v>470</v>
      </c>
      <c r="AH1452" t="s">
        <v>57</v>
      </c>
      <c r="AL1452" t="s">
        <v>57</v>
      </c>
      <c r="AM1452" s="11">
        <v>44789</v>
      </c>
      <c r="AN1452" t="s">
        <v>178</v>
      </c>
      <c r="AO1452" t="s">
        <v>65</v>
      </c>
      <c r="AP1452">
        <v>1205</v>
      </c>
      <c r="AQ1452" t="s">
        <v>66</v>
      </c>
      <c r="AR1452">
        <v>61812</v>
      </c>
      <c r="AU1452" t="s">
        <v>57</v>
      </c>
      <c r="AV1452" t="s">
        <v>68</v>
      </c>
      <c r="AX1452" t="s">
        <v>57</v>
      </c>
      <c r="AY1452">
        <v>631140</v>
      </c>
      <c r="AZ1452">
        <v>1205.63114</v>
      </c>
      <c r="BA1452" s="23" t="s">
        <v>17</v>
      </c>
    </row>
    <row r="1453" spans="1:53" x14ac:dyDescent="0.25">
      <c r="A1453" t="s">
        <v>134</v>
      </c>
      <c r="B1453" t="s">
        <v>135</v>
      </c>
      <c r="C1453">
        <v>22002361</v>
      </c>
      <c r="D1453">
        <v>1205</v>
      </c>
      <c r="E1453" s="11">
        <v>44791</v>
      </c>
      <c r="F1453" t="s">
        <v>311</v>
      </c>
      <c r="G1453">
        <v>420.04</v>
      </c>
      <c r="H1453">
        <v>420.04</v>
      </c>
      <c r="I1453" t="s">
        <v>56</v>
      </c>
      <c r="O1453" t="s">
        <v>57</v>
      </c>
      <c r="Q1453" t="s">
        <v>57</v>
      </c>
      <c r="R1453" t="s">
        <v>137</v>
      </c>
      <c r="T1453" t="s">
        <v>59</v>
      </c>
      <c r="U1453" t="s">
        <v>60</v>
      </c>
      <c r="V1453" t="s">
        <v>138</v>
      </c>
      <c r="W1453" t="s">
        <v>139</v>
      </c>
      <c r="X1453">
        <v>1933451</v>
      </c>
      <c r="Y1453" s="11">
        <v>44791</v>
      </c>
      <c r="Z1453" t="s">
        <v>57</v>
      </c>
      <c r="AA1453">
        <v>2</v>
      </c>
      <c r="AB1453" t="s">
        <v>57</v>
      </c>
      <c r="AD1453" t="s">
        <v>57</v>
      </c>
      <c r="AE1453" t="s">
        <v>57</v>
      </c>
      <c r="AF1453" t="s">
        <v>57</v>
      </c>
      <c r="AG1453">
        <v>470</v>
      </c>
      <c r="AH1453" t="s">
        <v>57</v>
      </c>
      <c r="AL1453" t="s">
        <v>57</v>
      </c>
      <c r="AM1453" s="11">
        <v>44791</v>
      </c>
      <c r="AN1453" t="s">
        <v>178</v>
      </c>
      <c r="AO1453" t="s">
        <v>65</v>
      </c>
      <c r="AP1453">
        <v>1205</v>
      </c>
      <c r="AQ1453" t="s">
        <v>66</v>
      </c>
      <c r="AR1453">
        <v>61812</v>
      </c>
      <c r="AU1453" t="s">
        <v>57</v>
      </c>
      <c r="AV1453" t="s">
        <v>68</v>
      </c>
      <c r="AX1453" t="s">
        <v>57</v>
      </c>
      <c r="AY1453">
        <v>631140</v>
      </c>
      <c r="AZ1453">
        <v>1205.63114</v>
      </c>
      <c r="BA1453" s="23" t="s">
        <v>17</v>
      </c>
    </row>
    <row r="1454" spans="1:53" x14ac:dyDescent="0.25">
      <c r="A1454" t="s">
        <v>134</v>
      </c>
      <c r="B1454" t="s">
        <v>135</v>
      </c>
      <c r="C1454">
        <v>22002373</v>
      </c>
      <c r="D1454">
        <v>1205</v>
      </c>
      <c r="E1454" s="11">
        <v>44792</v>
      </c>
      <c r="F1454" t="s">
        <v>312</v>
      </c>
      <c r="G1454">
        <v>420.04</v>
      </c>
      <c r="H1454">
        <v>420.04</v>
      </c>
      <c r="I1454" t="s">
        <v>56</v>
      </c>
      <c r="O1454" t="s">
        <v>57</v>
      </c>
      <c r="Q1454" t="s">
        <v>57</v>
      </c>
      <c r="R1454" t="s">
        <v>137</v>
      </c>
      <c r="T1454" t="s">
        <v>59</v>
      </c>
      <c r="U1454" t="s">
        <v>60</v>
      </c>
      <c r="V1454" t="s">
        <v>138</v>
      </c>
      <c r="W1454" t="s">
        <v>139</v>
      </c>
      <c r="X1454">
        <v>1933544</v>
      </c>
      <c r="Y1454" s="11">
        <v>44792</v>
      </c>
      <c r="Z1454" t="s">
        <v>57</v>
      </c>
      <c r="AA1454">
        <v>2</v>
      </c>
      <c r="AB1454" t="s">
        <v>57</v>
      </c>
      <c r="AD1454" t="s">
        <v>57</v>
      </c>
      <c r="AE1454" t="s">
        <v>57</v>
      </c>
      <c r="AF1454" t="s">
        <v>57</v>
      </c>
      <c r="AG1454">
        <v>470</v>
      </c>
      <c r="AH1454" t="s">
        <v>57</v>
      </c>
      <c r="AL1454" t="s">
        <v>57</v>
      </c>
      <c r="AM1454" s="11">
        <v>44792</v>
      </c>
      <c r="AN1454" t="s">
        <v>178</v>
      </c>
      <c r="AO1454" t="s">
        <v>65</v>
      </c>
      <c r="AP1454">
        <v>1205</v>
      </c>
      <c r="AQ1454" t="s">
        <v>66</v>
      </c>
      <c r="AR1454">
        <v>61812</v>
      </c>
      <c r="AU1454" t="s">
        <v>57</v>
      </c>
      <c r="AV1454" t="s">
        <v>68</v>
      </c>
      <c r="AX1454" t="s">
        <v>57</v>
      </c>
      <c r="AY1454">
        <v>631140</v>
      </c>
      <c r="AZ1454">
        <v>1205.63114</v>
      </c>
      <c r="BA1454" s="23" t="s">
        <v>17</v>
      </c>
    </row>
    <row r="1455" spans="1:53" x14ac:dyDescent="0.25">
      <c r="A1455" t="s">
        <v>134</v>
      </c>
      <c r="B1455" t="s">
        <v>135</v>
      </c>
      <c r="C1455">
        <v>22002376</v>
      </c>
      <c r="D1455">
        <v>1205</v>
      </c>
      <c r="E1455" s="11">
        <v>44795</v>
      </c>
      <c r="F1455" t="s">
        <v>320</v>
      </c>
      <c r="G1455">
        <v>420.04</v>
      </c>
      <c r="H1455">
        <v>420.04</v>
      </c>
      <c r="I1455" t="s">
        <v>56</v>
      </c>
      <c r="O1455" t="s">
        <v>57</v>
      </c>
      <c r="Q1455" t="s">
        <v>57</v>
      </c>
      <c r="R1455" t="s">
        <v>137</v>
      </c>
      <c r="T1455" t="s">
        <v>59</v>
      </c>
      <c r="U1455" t="s">
        <v>60</v>
      </c>
      <c r="V1455" t="s">
        <v>138</v>
      </c>
      <c r="W1455" t="s">
        <v>139</v>
      </c>
      <c r="X1455">
        <v>1934084</v>
      </c>
      <c r="Y1455" s="11">
        <v>44795</v>
      </c>
      <c r="Z1455" t="s">
        <v>57</v>
      </c>
      <c r="AA1455">
        <v>2</v>
      </c>
      <c r="AB1455" t="s">
        <v>57</v>
      </c>
      <c r="AD1455" t="s">
        <v>57</v>
      </c>
      <c r="AE1455" t="s">
        <v>57</v>
      </c>
      <c r="AF1455" t="s">
        <v>57</v>
      </c>
      <c r="AG1455">
        <v>470</v>
      </c>
      <c r="AH1455" t="s">
        <v>57</v>
      </c>
      <c r="AL1455" t="s">
        <v>57</v>
      </c>
      <c r="AM1455" s="11">
        <v>44795</v>
      </c>
      <c r="AN1455" t="s">
        <v>178</v>
      </c>
      <c r="AO1455" t="s">
        <v>65</v>
      </c>
      <c r="AP1455">
        <v>1205</v>
      </c>
      <c r="AQ1455" t="s">
        <v>66</v>
      </c>
      <c r="AR1455">
        <v>61812</v>
      </c>
      <c r="AU1455" t="s">
        <v>57</v>
      </c>
      <c r="AV1455" t="s">
        <v>68</v>
      </c>
      <c r="AX1455" t="s">
        <v>57</v>
      </c>
      <c r="AY1455">
        <v>631140</v>
      </c>
      <c r="AZ1455">
        <v>1205.63114</v>
      </c>
      <c r="BA1455" s="23" t="s">
        <v>17</v>
      </c>
    </row>
    <row r="1456" spans="1:53" x14ac:dyDescent="0.25">
      <c r="A1456" t="s">
        <v>134</v>
      </c>
      <c r="B1456" t="s">
        <v>135</v>
      </c>
      <c r="C1456">
        <v>22002377</v>
      </c>
      <c r="D1456">
        <v>1205</v>
      </c>
      <c r="E1456" s="11">
        <v>44795</v>
      </c>
      <c r="F1456" t="s">
        <v>321</v>
      </c>
      <c r="G1456">
        <v>187.68</v>
      </c>
      <c r="H1456">
        <v>187.68</v>
      </c>
      <c r="I1456" t="s">
        <v>56</v>
      </c>
      <c r="O1456" t="s">
        <v>57</v>
      </c>
      <c r="Q1456" t="s">
        <v>57</v>
      </c>
      <c r="R1456" t="s">
        <v>137</v>
      </c>
      <c r="T1456" t="s">
        <v>59</v>
      </c>
      <c r="U1456" t="s">
        <v>60</v>
      </c>
      <c r="V1456" t="s">
        <v>138</v>
      </c>
      <c r="W1456" t="s">
        <v>139</v>
      </c>
      <c r="X1456">
        <v>1934085</v>
      </c>
      <c r="Y1456" s="11">
        <v>44795</v>
      </c>
      <c r="Z1456" t="s">
        <v>57</v>
      </c>
      <c r="AA1456">
        <v>2</v>
      </c>
      <c r="AB1456" t="s">
        <v>57</v>
      </c>
      <c r="AD1456" t="s">
        <v>57</v>
      </c>
      <c r="AE1456" t="s">
        <v>57</v>
      </c>
      <c r="AF1456" t="s">
        <v>57</v>
      </c>
      <c r="AG1456">
        <v>210</v>
      </c>
      <c r="AH1456" t="s">
        <v>57</v>
      </c>
      <c r="AL1456" t="s">
        <v>57</v>
      </c>
      <c r="AM1456" s="11">
        <v>44795</v>
      </c>
      <c r="AN1456" t="s">
        <v>178</v>
      </c>
      <c r="AO1456" t="s">
        <v>65</v>
      </c>
      <c r="AP1456">
        <v>1205</v>
      </c>
      <c r="AQ1456" t="s">
        <v>66</v>
      </c>
      <c r="AR1456">
        <v>61812</v>
      </c>
      <c r="AU1456" t="s">
        <v>57</v>
      </c>
      <c r="AV1456" t="s">
        <v>68</v>
      </c>
      <c r="AX1456" t="s">
        <v>57</v>
      </c>
      <c r="AY1456">
        <v>631140</v>
      </c>
      <c r="AZ1456">
        <v>1205.63114</v>
      </c>
      <c r="BA1456" s="23" t="s">
        <v>17</v>
      </c>
    </row>
    <row r="1457" spans="1:53" x14ac:dyDescent="0.25">
      <c r="A1457" t="s">
        <v>134</v>
      </c>
      <c r="B1457" t="s">
        <v>135</v>
      </c>
      <c r="C1457">
        <v>22002487</v>
      </c>
      <c r="D1457">
        <v>1206</v>
      </c>
      <c r="E1457" s="11">
        <v>44774</v>
      </c>
      <c r="F1457" t="s">
        <v>186</v>
      </c>
      <c r="G1457">
        <v>363.66</v>
      </c>
      <c r="H1457">
        <v>363.66</v>
      </c>
      <c r="I1457" t="s">
        <v>56</v>
      </c>
      <c r="O1457" t="s">
        <v>57</v>
      </c>
      <c r="Q1457" t="s">
        <v>57</v>
      </c>
      <c r="R1457" t="s">
        <v>137</v>
      </c>
      <c r="T1457" t="s">
        <v>59</v>
      </c>
      <c r="U1457" t="s">
        <v>60</v>
      </c>
      <c r="V1457" t="s">
        <v>138</v>
      </c>
      <c r="W1457" t="s">
        <v>139</v>
      </c>
      <c r="X1457">
        <v>1925602</v>
      </c>
      <c r="Y1457" s="11">
        <v>44775</v>
      </c>
      <c r="Z1457" t="s">
        <v>57</v>
      </c>
      <c r="AA1457">
        <v>2</v>
      </c>
      <c r="AB1457" t="s">
        <v>57</v>
      </c>
      <c r="AD1457" t="s">
        <v>57</v>
      </c>
      <c r="AE1457" t="s">
        <v>57</v>
      </c>
      <c r="AF1457" t="s">
        <v>57</v>
      </c>
      <c r="AG1457">
        <v>270</v>
      </c>
      <c r="AH1457" t="s">
        <v>57</v>
      </c>
      <c r="AL1457" t="s">
        <v>57</v>
      </c>
      <c r="AM1457" s="11">
        <v>44774</v>
      </c>
      <c r="AN1457" t="s">
        <v>184</v>
      </c>
      <c r="AO1457" t="s">
        <v>65</v>
      </c>
      <c r="AP1457">
        <v>1206</v>
      </c>
      <c r="AQ1457" t="s">
        <v>66</v>
      </c>
      <c r="AR1457">
        <v>61812</v>
      </c>
      <c r="AU1457" t="s">
        <v>57</v>
      </c>
      <c r="AV1457" t="s">
        <v>68</v>
      </c>
      <c r="AX1457" t="s">
        <v>57</v>
      </c>
      <c r="AY1457">
        <v>631140</v>
      </c>
      <c r="AZ1457">
        <v>1206.63114</v>
      </c>
      <c r="BA1457" s="23" t="s">
        <v>18</v>
      </c>
    </row>
    <row r="1458" spans="1:53" x14ac:dyDescent="0.25">
      <c r="A1458" t="s">
        <v>134</v>
      </c>
      <c r="B1458" t="s">
        <v>135</v>
      </c>
      <c r="C1458">
        <v>22002498</v>
      </c>
      <c r="D1458">
        <v>1206</v>
      </c>
      <c r="E1458" s="11">
        <v>44775</v>
      </c>
      <c r="F1458" t="s">
        <v>186</v>
      </c>
      <c r="G1458">
        <v>363.66</v>
      </c>
      <c r="H1458">
        <v>363.66</v>
      </c>
      <c r="I1458" t="s">
        <v>56</v>
      </c>
      <c r="O1458" t="s">
        <v>57</v>
      </c>
      <c r="Q1458" t="s">
        <v>57</v>
      </c>
      <c r="R1458" t="s">
        <v>137</v>
      </c>
      <c r="T1458" t="s">
        <v>59</v>
      </c>
      <c r="U1458" t="s">
        <v>60</v>
      </c>
      <c r="V1458" t="s">
        <v>138</v>
      </c>
      <c r="W1458" t="s">
        <v>139</v>
      </c>
      <c r="X1458">
        <v>1926659</v>
      </c>
      <c r="Y1458" s="11">
        <v>44776</v>
      </c>
      <c r="Z1458" t="s">
        <v>57</v>
      </c>
      <c r="AA1458">
        <v>2</v>
      </c>
      <c r="AB1458" t="s">
        <v>57</v>
      </c>
      <c r="AD1458" t="s">
        <v>57</v>
      </c>
      <c r="AE1458" t="s">
        <v>57</v>
      </c>
      <c r="AF1458" t="s">
        <v>57</v>
      </c>
      <c r="AG1458">
        <v>270</v>
      </c>
      <c r="AH1458" t="s">
        <v>57</v>
      </c>
      <c r="AL1458" t="s">
        <v>57</v>
      </c>
      <c r="AM1458" s="11">
        <v>44775</v>
      </c>
      <c r="AN1458" t="s">
        <v>184</v>
      </c>
      <c r="AO1458" t="s">
        <v>65</v>
      </c>
      <c r="AP1458">
        <v>1206</v>
      </c>
      <c r="AQ1458" t="s">
        <v>66</v>
      </c>
      <c r="AR1458">
        <v>61812</v>
      </c>
      <c r="AU1458" t="s">
        <v>57</v>
      </c>
      <c r="AV1458" t="s">
        <v>68</v>
      </c>
      <c r="AX1458" t="s">
        <v>57</v>
      </c>
      <c r="AY1458">
        <v>631140</v>
      </c>
      <c r="AZ1458">
        <v>1206.63114</v>
      </c>
      <c r="BA1458" s="23" t="s">
        <v>18</v>
      </c>
    </row>
    <row r="1459" spans="1:53" x14ac:dyDescent="0.25">
      <c r="A1459" t="s">
        <v>134</v>
      </c>
      <c r="B1459" t="s">
        <v>135</v>
      </c>
      <c r="C1459">
        <v>22002504</v>
      </c>
      <c r="D1459">
        <v>1206</v>
      </c>
      <c r="E1459" s="11">
        <v>44776</v>
      </c>
      <c r="F1459" t="s">
        <v>186</v>
      </c>
      <c r="G1459">
        <v>363.66</v>
      </c>
      <c r="H1459">
        <v>363.66</v>
      </c>
      <c r="I1459" t="s">
        <v>56</v>
      </c>
      <c r="O1459" t="s">
        <v>57</v>
      </c>
      <c r="Q1459" t="s">
        <v>57</v>
      </c>
      <c r="R1459" t="s">
        <v>137</v>
      </c>
      <c r="T1459" t="s">
        <v>59</v>
      </c>
      <c r="U1459" t="s">
        <v>60</v>
      </c>
      <c r="V1459" t="s">
        <v>138</v>
      </c>
      <c r="W1459" t="s">
        <v>139</v>
      </c>
      <c r="X1459">
        <v>1927038</v>
      </c>
      <c r="Y1459" s="11">
        <v>44777</v>
      </c>
      <c r="Z1459" t="s">
        <v>57</v>
      </c>
      <c r="AA1459">
        <v>2</v>
      </c>
      <c r="AB1459" t="s">
        <v>57</v>
      </c>
      <c r="AD1459" t="s">
        <v>57</v>
      </c>
      <c r="AE1459" t="s">
        <v>57</v>
      </c>
      <c r="AF1459" t="s">
        <v>57</v>
      </c>
      <c r="AG1459">
        <v>270</v>
      </c>
      <c r="AH1459" t="s">
        <v>57</v>
      </c>
      <c r="AL1459" t="s">
        <v>57</v>
      </c>
      <c r="AM1459" s="11">
        <v>44776</v>
      </c>
      <c r="AN1459" t="s">
        <v>184</v>
      </c>
      <c r="AO1459" t="s">
        <v>65</v>
      </c>
      <c r="AP1459">
        <v>1206</v>
      </c>
      <c r="AQ1459" t="s">
        <v>66</v>
      </c>
      <c r="AR1459">
        <v>61812</v>
      </c>
      <c r="AU1459" t="s">
        <v>57</v>
      </c>
      <c r="AV1459" t="s">
        <v>68</v>
      </c>
      <c r="AX1459" t="s">
        <v>57</v>
      </c>
      <c r="AY1459">
        <v>631140</v>
      </c>
      <c r="AZ1459">
        <v>1206.63114</v>
      </c>
      <c r="BA1459" s="23" t="s">
        <v>18</v>
      </c>
    </row>
    <row r="1460" spans="1:53" x14ac:dyDescent="0.25">
      <c r="A1460" t="s">
        <v>134</v>
      </c>
      <c r="B1460" t="s">
        <v>135</v>
      </c>
      <c r="C1460">
        <v>22002512</v>
      </c>
      <c r="D1460">
        <v>1206</v>
      </c>
      <c r="E1460" s="11">
        <v>44777</v>
      </c>
      <c r="F1460" t="s">
        <v>186</v>
      </c>
      <c r="G1460">
        <v>363.66</v>
      </c>
      <c r="H1460">
        <v>363.66</v>
      </c>
      <c r="I1460" t="s">
        <v>56</v>
      </c>
      <c r="O1460" t="s">
        <v>57</v>
      </c>
      <c r="Q1460" t="s">
        <v>57</v>
      </c>
      <c r="R1460" t="s">
        <v>137</v>
      </c>
      <c r="T1460" t="s">
        <v>59</v>
      </c>
      <c r="U1460" t="s">
        <v>60</v>
      </c>
      <c r="V1460" t="s">
        <v>138</v>
      </c>
      <c r="W1460" t="s">
        <v>139</v>
      </c>
      <c r="X1460">
        <v>1927648</v>
      </c>
      <c r="Y1460" s="11">
        <v>44778</v>
      </c>
      <c r="Z1460" t="s">
        <v>57</v>
      </c>
      <c r="AA1460">
        <v>2</v>
      </c>
      <c r="AB1460" t="s">
        <v>57</v>
      </c>
      <c r="AD1460" t="s">
        <v>57</v>
      </c>
      <c r="AE1460" t="s">
        <v>57</v>
      </c>
      <c r="AF1460" t="s">
        <v>57</v>
      </c>
      <c r="AG1460">
        <v>270</v>
      </c>
      <c r="AH1460" t="s">
        <v>57</v>
      </c>
      <c r="AL1460" t="s">
        <v>57</v>
      </c>
      <c r="AM1460" s="11">
        <v>44777</v>
      </c>
      <c r="AN1460" t="s">
        <v>184</v>
      </c>
      <c r="AO1460" t="s">
        <v>65</v>
      </c>
      <c r="AP1460">
        <v>1206</v>
      </c>
      <c r="AQ1460" t="s">
        <v>66</v>
      </c>
      <c r="AR1460">
        <v>61812</v>
      </c>
      <c r="AU1460" t="s">
        <v>57</v>
      </c>
      <c r="AV1460" t="s">
        <v>68</v>
      </c>
      <c r="AX1460" t="s">
        <v>57</v>
      </c>
      <c r="AY1460">
        <v>631140</v>
      </c>
      <c r="AZ1460">
        <v>1206.63114</v>
      </c>
      <c r="BA1460" s="23" t="s">
        <v>18</v>
      </c>
    </row>
    <row r="1461" spans="1:53" x14ac:dyDescent="0.25">
      <c r="A1461" t="s">
        <v>134</v>
      </c>
      <c r="B1461" t="s">
        <v>135</v>
      </c>
      <c r="C1461">
        <v>22002528</v>
      </c>
      <c r="D1461">
        <v>1206</v>
      </c>
      <c r="E1461" s="11">
        <v>44781</v>
      </c>
      <c r="F1461" t="s">
        <v>296</v>
      </c>
      <c r="G1461">
        <v>363.66</v>
      </c>
      <c r="H1461">
        <v>363.66</v>
      </c>
      <c r="I1461" t="s">
        <v>56</v>
      </c>
      <c r="O1461" t="s">
        <v>57</v>
      </c>
      <c r="Q1461" t="s">
        <v>57</v>
      </c>
      <c r="R1461" t="s">
        <v>137</v>
      </c>
      <c r="T1461" t="s">
        <v>59</v>
      </c>
      <c r="U1461" t="s">
        <v>60</v>
      </c>
      <c r="V1461" t="s">
        <v>138</v>
      </c>
      <c r="W1461" t="s">
        <v>139</v>
      </c>
      <c r="X1461">
        <v>1928778</v>
      </c>
      <c r="Y1461" s="11">
        <v>44781</v>
      </c>
      <c r="Z1461" t="s">
        <v>57</v>
      </c>
      <c r="AA1461">
        <v>2</v>
      </c>
      <c r="AB1461" t="s">
        <v>57</v>
      </c>
      <c r="AD1461" t="s">
        <v>57</v>
      </c>
      <c r="AE1461" t="s">
        <v>57</v>
      </c>
      <c r="AF1461" t="s">
        <v>57</v>
      </c>
      <c r="AG1461">
        <v>270</v>
      </c>
      <c r="AH1461" t="s">
        <v>57</v>
      </c>
      <c r="AL1461" t="s">
        <v>57</v>
      </c>
      <c r="AM1461" s="11">
        <v>44781</v>
      </c>
      <c r="AN1461" t="s">
        <v>184</v>
      </c>
      <c r="AO1461" t="s">
        <v>65</v>
      </c>
      <c r="AP1461">
        <v>1206</v>
      </c>
      <c r="AQ1461" t="s">
        <v>66</v>
      </c>
      <c r="AR1461">
        <v>61812</v>
      </c>
      <c r="AU1461" t="s">
        <v>57</v>
      </c>
      <c r="AV1461" t="s">
        <v>68</v>
      </c>
      <c r="AX1461" t="s">
        <v>57</v>
      </c>
      <c r="AY1461">
        <v>631140</v>
      </c>
      <c r="AZ1461">
        <v>1206.63114</v>
      </c>
      <c r="BA1461" s="23" t="s">
        <v>18</v>
      </c>
    </row>
    <row r="1462" spans="1:53" x14ac:dyDescent="0.25">
      <c r="A1462" t="s">
        <v>134</v>
      </c>
      <c r="B1462" t="s">
        <v>135</v>
      </c>
      <c r="C1462">
        <v>22002534</v>
      </c>
      <c r="D1462">
        <v>1206</v>
      </c>
      <c r="E1462" s="11">
        <v>44781</v>
      </c>
      <c r="F1462" t="s">
        <v>186</v>
      </c>
      <c r="G1462">
        <v>222.24</v>
      </c>
      <c r="H1462">
        <v>222.24</v>
      </c>
      <c r="I1462" t="s">
        <v>56</v>
      </c>
      <c r="O1462" t="s">
        <v>57</v>
      </c>
      <c r="Q1462" t="s">
        <v>57</v>
      </c>
      <c r="R1462" t="s">
        <v>137</v>
      </c>
      <c r="T1462" t="s">
        <v>59</v>
      </c>
      <c r="U1462" t="s">
        <v>60</v>
      </c>
      <c r="V1462" t="s">
        <v>138</v>
      </c>
      <c r="W1462" t="s">
        <v>139</v>
      </c>
      <c r="X1462">
        <v>1928978</v>
      </c>
      <c r="Y1462" s="11">
        <v>44782</v>
      </c>
      <c r="Z1462" t="s">
        <v>57</v>
      </c>
      <c r="AA1462">
        <v>2</v>
      </c>
      <c r="AB1462" t="s">
        <v>57</v>
      </c>
      <c r="AD1462" t="s">
        <v>57</v>
      </c>
      <c r="AE1462" t="s">
        <v>57</v>
      </c>
      <c r="AF1462" t="s">
        <v>57</v>
      </c>
      <c r="AG1462">
        <v>165</v>
      </c>
      <c r="AH1462" t="s">
        <v>57</v>
      </c>
      <c r="AL1462" t="s">
        <v>57</v>
      </c>
      <c r="AM1462" s="11">
        <v>44781</v>
      </c>
      <c r="AN1462" t="s">
        <v>184</v>
      </c>
      <c r="AO1462" t="s">
        <v>65</v>
      </c>
      <c r="AP1462">
        <v>1206</v>
      </c>
      <c r="AQ1462" t="s">
        <v>66</v>
      </c>
      <c r="AR1462">
        <v>61812</v>
      </c>
      <c r="AU1462" t="s">
        <v>57</v>
      </c>
      <c r="AV1462" t="s">
        <v>68</v>
      </c>
      <c r="AX1462" t="s">
        <v>57</v>
      </c>
      <c r="AY1462">
        <v>631140</v>
      </c>
      <c r="AZ1462">
        <v>1206.63114</v>
      </c>
      <c r="BA1462" s="23" t="s">
        <v>18</v>
      </c>
    </row>
    <row r="1463" spans="1:53" x14ac:dyDescent="0.25">
      <c r="A1463" t="s">
        <v>134</v>
      </c>
      <c r="B1463" t="s">
        <v>135</v>
      </c>
      <c r="C1463">
        <v>22002534</v>
      </c>
      <c r="D1463">
        <v>1206</v>
      </c>
      <c r="E1463" s="11">
        <v>44781</v>
      </c>
      <c r="F1463" t="s">
        <v>186</v>
      </c>
      <c r="G1463">
        <v>133.68</v>
      </c>
      <c r="H1463">
        <v>133.68</v>
      </c>
      <c r="I1463" t="s">
        <v>56</v>
      </c>
      <c r="O1463" t="s">
        <v>57</v>
      </c>
      <c r="Q1463" t="s">
        <v>57</v>
      </c>
      <c r="R1463" t="s">
        <v>137</v>
      </c>
      <c r="T1463" t="s">
        <v>59</v>
      </c>
      <c r="U1463" t="s">
        <v>60</v>
      </c>
      <c r="V1463" t="s">
        <v>138</v>
      </c>
      <c r="W1463" t="s">
        <v>139</v>
      </c>
      <c r="X1463">
        <v>1928978</v>
      </c>
      <c r="Y1463" s="11">
        <v>44782</v>
      </c>
      <c r="Z1463" t="s">
        <v>57</v>
      </c>
      <c r="AA1463">
        <v>4</v>
      </c>
      <c r="AB1463" t="s">
        <v>57</v>
      </c>
      <c r="AD1463" t="s">
        <v>57</v>
      </c>
      <c r="AE1463" t="s">
        <v>57</v>
      </c>
      <c r="AF1463" t="s">
        <v>57</v>
      </c>
      <c r="AG1463">
        <v>105</v>
      </c>
      <c r="AH1463" t="s">
        <v>57</v>
      </c>
      <c r="AL1463" t="s">
        <v>57</v>
      </c>
      <c r="AM1463" s="11">
        <v>44781</v>
      </c>
      <c r="AN1463" t="s">
        <v>184</v>
      </c>
      <c r="AO1463" t="s">
        <v>65</v>
      </c>
      <c r="AP1463">
        <v>1206</v>
      </c>
      <c r="AQ1463" t="s">
        <v>66</v>
      </c>
      <c r="AR1463">
        <v>61812</v>
      </c>
      <c r="AU1463" t="s">
        <v>57</v>
      </c>
      <c r="AV1463" t="s">
        <v>68</v>
      </c>
      <c r="AX1463" t="s">
        <v>57</v>
      </c>
      <c r="AY1463">
        <v>631140</v>
      </c>
      <c r="AZ1463">
        <v>1206.63114</v>
      </c>
      <c r="BA1463" s="23" t="s">
        <v>18</v>
      </c>
    </row>
    <row r="1464" spans="1:53" x14ac:dyDescent="0.25">
      <c r="A1464" t="s">
        <v>134</v>
      </c>
      <c r="B1464" t="s">
        <v>135</v>
      </c>
      <c r="C1464">
        <v>22002544</v>
      </c>
      <c r="D1464">
        <v>1206</v>
      </c>
      <c r="E1464" s="11">
        <v>44782</v>
      </c>
      <c r="F1464" t="s">
        <v>186</v>
      </c>
      <c r="G1464">
        <v>343.74</v>
      </c>
      <c r="H1464">
        <v>343.74</v>
      </c>
      <c r="I1464" t="s">
        <v>56</v>
      </c>
      <c r="O1464" t="s">
        <v>57</v>
      </c>
      <c r="Q1464" t="s">
        <v>57</v>
      </c>
      <c r="R1464" t="s">
        <v>137</v>
      </c>
      <c r="T1464" t="s">
        <v>59</v>
      </c>
      <c r="U1464" t="s">
        <v>60</v>
      </c>
      <c r="V1464" t="s">
        <v>138</v>
      </c>
      <c r="W1464" t="s">
        <v>139</v>
      </c>
      <c r="X1464">
        <v>1929856</v>
      </c>
      <c r="Y1464" s="11">
        <v>44783</v>
      </c>
      <c r="Z1464" t="s">
        <v>57</v>
      </c>
      <c r="AA1464">
        <v>2</v>
      </c>
      <c r="AB1464" t="s">
        <v>57</v>
      </c>
      <c r="AD1464" t="s">
        <v>57</v>
      </c>
      <c r="AE1464" t="s">
        <v>57</v>
      </c>
      <c r="AF1464" t="s">
        <v>57</v>
      </c>
      <c r="AG1464">
        <v>270</v>
      </c>
      <c r="AH1464" t="s">
        <v>57</v>
      </c>
      <c r="AL1464" t="s">
        <v>57</v>
      </c>
      <c r="AM1464" s="11">
        <v>44782</v>
      </c>
      <c r="AN1464" t="s">
        <v>184</v>
      </c>
      <c r="AO1464" t="s">
        <v>65</v>
      </c>
      <c r="AP1464">
        <v>1206</v>
      </c>
      <c r="AQ1464" t="s">
        <v>66</v>
      </c>
      <c r="AR1464">
        <v>61812</v>
      </c>
      <c r="AU1464" t="s">
        <v>57</v>
      </c>
      <c r="AV1464" t="s">
        <v>68</v>
      </c>
      <c r="AX1464" t="s">
        <v>57</v>
      </c>
      <c r="AY1464">
        <v>631140</v>
      </c>
      <c r="AZ1464">
        <v>1206.63114</v>
      </c>
      <c r="BA1464" s="23" t="s">
        <v>18</v>
      </c>
    </row>
    <row r="1465" spans="1:53" x14ac:dyDescent="0.25">
      <c r="A1465" t="s">
        <v>134</v>
      </c>
      <c r="B1465" t="s">
        <v>135</v>
      </c>
      <c r="C1465">
        <v>22002552</v>
      </c>
      <c r="D1465">
        <v>1206</v>
      </c>
      <c r="E1465" s="11">
        <v>44783</v>
      </c>
      <c r="F1465" t="s">
        <v>186</v>
      </c>
      <c r="G1465">
        <v>343.74</v>
      </c>
      <c r="H1465">
        <v>343.74</v>
      </c>
      <c r="I1465" t="s">
        <v>56</v>
      </c>
      <c r="O1465" t="s">
        <v>57</v>
      </c>
      <c r="Q1465" t="s">
        <v>57</v>
      </c>
      <c r="R1465" t="s">
        <v>137</v>
      </c>
      <c r="T1465" t="s">
        <v>59</v>
      </c>
      <c r="U1465" t="s">
        <v>60</v>
      </c>
      <c r="V1465" t="s">
        <v>138</v>
      </c>
      <c r="W1465" t="s">
        <v>139</v>
      </c>
      <c r="X1465">
        <v>1930361</v>
      </c>
      <c r="Y1465" s="11">
        <v>44784</v>
      </c>
      <c r="Z1465" t="s">
        <v>57</v>
      </c>
      <c r="AA1465">
        <v>2</v>
      </c>
      <c r="AB1465" t="s">
        <v>57</v>
      </c>
      <c r="AD1465" t="s">
        <v>57</v>
      </c>
      <c r="AE1465" t="s">
        <v>57</v>
      </c>
      <c r="AF1465" t="s">
        <v>57</v>
      </c>
      <c r="AG1465">
        <v>270</v>
      </c>
      <c r="AH1465" t="s">
        <v>57</v>
      </c>
      <c r="AL1465" t="s">
        <v>57</v>
      </c>
      <c r="AM1465" s="11">
        <v>44783</v>
      </c>
      <c r="AN1465" t="s">
        <v>184</v>
      </c>
      <c r="AO1465" t="s">
        <v>65</v>
      </c>
      <c r="AP1465">
        <v>1206</v>
      </c>
      <c r="AQ1465" t="s">
        <v>66</v>
      </c>
      <c r="AR1465">
        <v>61812</v>
      </c>
      <c r="AU1465" t="s">
        <v>57</v>
      </c>
      <c r="AV1465" t="s">
        <v>68</v>
      </c>
      <c r="AX1465" t="s">
        <v>57</v>
      </c>
      <c r="AY1465">
        <v>631140</v>
      </c>
      <c r="AZ1465">
        <v>1206.63114</v>
      </c>
      <c r="BA1465" s="23" t="s">
        <v>18</v>
      </c>
    </row>
    <row r="1466" spans="1:53" x14ac:dyDescent="0.25">
      <c r="A1466" t="s">
        <v>134</v>
      </c>
      <c r="B1466" t="s">
        <v>135</v>
      </c>
      <c r="C1466">
        <v>22002565</v>
      </c>
      <c r="D1466">
        <v>1206</v>
      </c>
      <c r="E1466" s="11">
        <v>44784</v>
      </c>
      <c r="F1466" t="s">
        <v>186</v>
      </c>
      <c r="G1466">
        <v>337.37</v>
      </c>
      <c r="H1466">
        <v>337.37</v>
      </c>
      <c r="I1466" t="s">
        <v>56</v>
      </c>
      <c r="O1466" t="s">
        <v>57</v>
      </c>
      <c r="Q1466" t="s">
        <v>57</v>
      </c>
      <c r="R1466" t="s">
        <v>137</v>
      </c>
      <c r="T1466" t="s">
        <v>59</v>
      </c>
      <c r="U1466" t="s">
        <v>60</v>
      </c>
      <c r="V1466" t="s">
        <v>138</v>
      </c>
      <c r="W1466" t="s">
        <v>139</v>
      </c>
      <c r="X1466">
        <v>1930525</v>
      </c>
      <c r="Y1466" s="11">
        <v>44785</v>
      </c>
      <c r="Z1466" t="s">
        <v>57</v>
      </c>
      <c r="AA1466">
        <v>2</v>
      </c>
      <c r="AB1466" t="s">
        <v>57</v>
      </c>
      <c r="AD1466" t="s">
        <v>57</v>
      </c>
      <c r="AE1466" t="s">
        <v>57</v>
      </c>
      <c r="AF1466" t="s">
        <v>57</v>
      </c>
      <c r="AG1466">
        <v>265</v>
      </c>
      <c r="AH1466" t="s">
        <v>57</v>
      </c>
      <c r="AL1466" t="s">
        <v>57</v>
      </c>
      <c r="AM1466" s="11">
        <v>44784</v>
      </c>
      <c r="AN1466" t="s">
        <v>184</v>
      </c>
      <c r="AO1466" t="s">
        <v>65</v>
      </c>
      <c r="AP1466">
        <v>1206</v>
      </c>
      <c r="AQ1466" t="s">
        <v>66</v>
      </c>
      <c r="AR1466">
        <v>61812</v>
      </c>
      <c r="AU1466" t="s">
        <v>57</v>
      </c>
      <c r="AV1466" t="s">
        <v>68</v>
      </c>
      <c r="AX1466" t="s">
        <v>57</v>
      </c>
      <c r="AY1466">
        <v>631140</v>
      </c>
      <c r="AZ1466">
        <v>1206.63114</v>
      </c>
      <c r="BA1466" s="23" t="s">
        <v>18</v>
      </c>
    </row>
    <row r="1467" spans="1:53" x14ac:dyDescent="0.25">
      <c r="A1467" t="s">
        <v>134</v>
      </c>
      <c r="B1467" t="s">
        <v>135</v>
      </c>
      <c r="C1467">
        <v>22002564</v>
      </c>
      <c r="D1467">
        <v>1206</v>
      </c>
      <c r="E1467" s="11">
        <v>44785</v>
      </c>
      <c r="F1467" t="s">
        <v>186</v>
      </c>
      <c r="G1467">
        <v>337.37</v>
      </c>
      <c r="H1467">
        <v>337.37</v>
      </c>
      <c r="I1467" t="s">
        <v>56</v>
      </c>
      <c r="O1467" t="s">
        <v>57</v>
      </c>
      <c r="Q1467" t="s">
        <v>57</v>
      </c>
      <c r="R1467" t="s">
        <v>137</v>
      </c>
      <c r="T1467" t="s">
        <v>59</v>
      </c>
      <c r="U1467" t="s">
        <v>60</v>
      </c>
      <c r="V1467" t="s">
        <v>138</v>
      </c>
      <c r="W1467" t="s">
        <v>139</v>
      </c>
      <c r="X1467">
        <v>1930525</v>
      </c>
      <c r="Y1467" s="11">
        <v>44785</v>
      </c>
      <c r="Z1467" t="s">
        <v>57</v>
      </c>
      <c r="AA1467">
        <v>2</v>
      </c>
      <c r="AB1467" t="s">
        <v>57</v>
      </c>
      <c r="AD1467" t="s">
        <v>57</v>
      </c>
      <c r="AE1467" t="s">
        <v>57</v>
      </c>
      <c r="AF1467" t="s">
        <v>57</v>
      </c>
      <c r="AG1467">
        <v>265</v>
      </c>
      <c r="AH1467" t="s">
        <v>57</v>
      </c>
      <c r="AL1467" t="s">
        <v>57</v>
      </c>
      <c r="AM1467" s="11">
        <v>44785</v>
      </c>
      <c r="AN1467" t="s">
        <v>184</v>
      </c>
      <c r="AO1467" t="s">
        <v>65</v>
      </c>
      <c r="AP1467">
        <v>1206</v>
      </c>
      <c r="AQ1467" t="s">
        <v>66</v>
      </c>
      <c r="AR1467">
        <v>61812</v>
      </c>
      <c r="AU1467" t="s">
        <v>57</v>
      </c>
      <c r="AV1467" t="s">
        <v>68</v>
      </c>
      <c r="AX1467" t="s">
        <v>57</v>
      </c>
      <c r="AY1467">
        <v>631140</v>
      </c>
      <c r="AZ1467">
        <v>1206.63114</v>
      </c>
      <c r="BA1467" s="23" t="s">
        <v>18</v>
      </c>
    </row>
    <row r="1468" spans="1:53" x14ac:dyDescent="0.25">
      <c r="A1468" t="s">
        <v>134</v>
      </c>
      <c r="B1468" t="s">
        <v>135</v>
      </c>
      <c r="C1468">
        <v>22002564</v>
      </c>
      <c r="D1468">
        <v>1206</v>
      </c>
      <c r="E1468" s="11">
        <v>44785</v>
      </c>
      <c r="F1468" t="s">
        <v>186</v>
      </c>
      <c r="G1468">
        <v>-337.37</v>
      </c>
      <c r="I1468" t="s">
        <v>56</v>
      </c>
      <c r="K1468">
        <v>-337.37</v>
      </c>
      <c r="O1468" t="s">
        <v>57</v>
      </c>
      <c r="Q1468" t="s">
        <v>57</v>
      </c>
      <c r="R1468" t="s">
        <v>137</v>
      </c>
      <c r="T1468" t="s">
        <v>59</v>
      </c>
      <c r="U1468" t="s">
        <v>60</v>
      </c>
      <c r="V1468" t="s">
        <v>138</v>
      </c>
      <c r="W1468" t="s">
        <v>139</v>
      </c>
      <c r="X1468">
        <v>1930525</v>
      </c>
      <c r="Y1468" s="11">
        <v>44785</v>
      </c>
      <c r="Z1468" t="s">
        <v>57</v>
      </c>
      <c r="AA1468">
        <v>4</v>
      </c>
      <c r="AB1468" t="s">
        <v>57</v>
      </c>
      <c r="AD1468" t="s">
        <v>57</v>
      </c>
      <c r="AE1468" t="s">
        <v>57</v>
      </c>
      <c r="AF1468" t="s">
        <v>57</v>
      </c>
      <c r="AG1468">
        <v>-265</v>
      </c>
      <c r="AH1468" t="s">
        <v>57</v>
      </c>
      <c r="AL1468" t="s">
        <v>57</v>
      </c>
      <c r="AM1468" s="11">
        <v>44785</v>
      </c>
      <c r="AN1468" t="s">
        <v>184</v>
      </c>
      <c r="AO1468" t="s">
        <v>65</v>
      </c>
      <c r="AP1468">
        <v>1206</v>
      </c>
      <c r="AQ1468" t="s">
        <v>66</v>
      </c>
      <c r="AR1468">
        <v>61812</v>
      </c>
      <c r="AU1468" t="s">
        <v>57</v>
      </c>
      <c r="AV1468" t="s">
        <v>68</v>
      </c>
      <c r="AX1468" t="s">
        <v>57</v>
      </c>
      <c r="AY1468">
        <v>631140</v>
      </c>
      <c r="AZ1468">
        <v>1206.63114</v>
      </c>
      <c r="BA1468" s="23" t="s">
        <v>18</v>
      </c>
    </row>
    <row r="1469" spans="1:53" x14ac:dyDescent="0.25">
      <c r="A1469" t="s">
        <v>134</v>
      </c>
      <c r="B1469" t="s">
        <v>135</v>
      </c>
      <c r="C1469">
        <v>22002576</v>
      </c>
      <c r="D1469">
        <v>1206</v>
      </c>
      <c r="E1469" s="11">
        <v>44785</v>
      </c>
      <c r="F1469" t="s">
        <v>186</v>
      </c>
      <c r="G1469">
        <v>337.37</v>
      </c>
      <c r="H1469">
        <v>337.37</v>
      </c>
      <c r="I1469" t="s">
        <v>56</v>
      </c>
      <c r="O1469" t="s">
        <v>57</v>
      </c>
      <c r="Q1469" t="s">
        <v>57</v>
      </c>
      <c r="R1469" t="s">
        <v>137</v>
      </c>
      <c r="T1469" t="s">
        <v>59</v>
      </c>
      <c r="U1469" t="s">
        <v>60</v>
      </c>
      <c r="V1469" t="s">
        <v>138</v>
      </c>
      <c r="W1469" t="s">
        <v>139</v>
      </c>
      <c r="X1469">
        <v>1930678</v>
      </c>
      <c r="Y1469" s="11">
        <v>44785</v>
      </c>
      <c r="Z1469" t="s">
        <v>57</v>
      </c>
      <c r="AA1469">
        <v>2</v>
      </c>
      <c r="AB1469" t="s">
        <v>57</v>
      </c>
      <c r="AD1469" t="s">
        <v>57</v>
      </c>
      <c r="AE1469" t="s">
        <v>57</v>
      </c>
      <c r="AF1469" t="s">
        <v>57</v>
      </c>
      <c r="AG1469">
        <v>265</v>
      </c>
      <c r="AH1469" t="s">
        <v>57</v>
      </c>
      <c r="AL1469" t="s">
        <v>57</v>
      </c>
      <c r="AM1469" s="11">
        <v>44785</v>
      </c>
      <c r="AN1469" t="s">
        <v>184</v>
      </c>
      <c r="AO1469" t="s">
        <v>65</v>
      </c>
      <c r="AP1469">
        <v>1206</v>
      </c>
      <c r="AQ1469" t="s">
        <v>66</v>
      </c>
      <c r="AR1469">
        <v>61812</v>
      </c>
      <c r="AU1469" t="s">
        <v>57</v>
      </c>
      <c r="AV1469" t="s">
        <v>68</v>
      </c>
      <c r="AX1469" t="s">
        <v>57</v>
      </c>
      <c r="AY1469">
        <v>631140</v>
      </c>
      <c r="AZ1469">
        <v>1206.63114</v>
      </c>
      <c r="BA1469" s="23" t="s">
        <v>18</v>
      </c>
    </row>
    <row r="1470" spans="1:53" x14ac:dyDescent="0.25">
      <c r="A1470" t="s">
        <v>134</v>
      </c>
      <c r="B1470" t="s">
        <v>135</v>
      </c>
      <c r="C1470">
        <v>22002584</v>
      </c>
      <c r="D1470">
        <v>1206</v>
      </c>
      <c r="E1470" s="11">
        <v>44788</v>
      </c>
      <c r="F1470" t="s">
        <v>186</v>
      </c>
      <c r="G1470">
        <v>331.01</v>
      </c>
      <c r="H1470">
        <v>331.01</v>
      </c>
      <c r="I1470" t="s">
        <v>56</v>
      </c>
      <c r="O1470" t="s">
        <v>57</v>
      </c>
      <c r="Q1470" t="s">
        <v>57</v>
      </c>
      <c r="R1470" t="s">
        <v>137</v>
      </c>
      <c r="T1470" t="s">
        <v>59</v>
      </c>
      <c r="U1470" t="s">
        <v>60</v>
      </c>
      <c r="V1470" t="s">
        <v>138</v>
      </c>
      <c r="W1470" t="s">
        <v>139</v>
      </c>
      <c r="X1470">
        <v>1933170</v>
      </c>
      <c r="Y1470" s="11">
        <v>44789</v>
      </c>
      <c r="Z1470" t="s">
        <v>57</v>
      </c>
      <c r="AA1470">
        <v>2</v>
      </c>
      <c r="AB1470" t="s">
        <v>57</v>
      </c>
      <c r="AD1470" t="s">
        <v>57</v>
      </c>
      <c r="AE1470" t="s">
        <v>57</v>
      </c>
      <c r="AF1470" t="s">
        <v>57</v>
      </c>
      <c r="AG1470">
        <v>260</v>
      </c>
      <c r="AH1470" t="s">
        <v>57</v>
      </c>
      <c r="AL1470" t="s">
        <v>57</v>
      </c>
      <c r="AM1470" s="11">
        <v>44788</v>
      </c>
      <c r="AN1470" t="s">
        <v>184</v>
      </c>
      <c r="AO1470" t="s">
        <v>65</v>
      </c>
      <c r="AP1470">
        <v>1206</v>
      </c>
      <c r="AQ1470" t="s">
        <v>66</v>
      </c>
      <c r="AR1470">
        <v>61812</v>
      </c>
      <c r="AU1470" t="s">
        <v>57</v>
      </c>
      <c r="AV1470" t="s">
        <v>68</v>
      </c>
      <c r="AX1470" t="s">
        <v>57</v>
      </c>
      <c r="AY1470">
        <v>631140</v>
      </c>
      <c r="AZ1470">
        <v>1206.63114</v>
      </c>
      <c r="BA1470" s="23" t="s">
        <v>18</v>
      </c>
    </row>
    <row r="1471" spans="1:53" x14ac:dyDescent="0.25">
      <c r="A1471" t="s">
        <v>134</v>
      </c>
      <c r="B1471" t="s">
        <v>135</v>
      </c>
      <c r="C1471">
        <v>22002590</v>
      </c>
      <c r="D1471">
        <v>1206</v>
      </c>
      <c r="E1471" s="11">
        <v>44789</v>
      </c>
      <c r="F1471" t="s">
        <v>186</v>
      </c>
      <c r="G1471">
        <v>343.74</v>
      </c>
      <c r="H1471">
        <v>343.74</v>
      </c>
      <c r="I1471" t="s">
        <v>56</v>
      </c>
      <c r="O1471" t="s">
        <v>57</v>
      </c>
      <c r="Q1471" t="s">
        <v>57</v>
      </c>
      <c r="R1471" t="s">
        <v>137</v>
      </c>
      <c r="T1471" t="s">
        <v>59</v>
      </c>
      <c r="U1471" t="s">
        <v>60</v>
      </c>
      <c r="V1471" t="s">
        <v>138</v>
      </c>
      <c r="W1471" t="s">
        <v>139</v>
      </c>
      <c r="X1471">
        <v>1933173</v>
      </c>
      <c r="Y1471" s="11">
        <v>44791</v>
      </c>
      <c r="Z1471" t="s">
        <v>57</v>
      </c>
      <c r="AA1471">
        <v>2</v>
      </c>
      <c r="AB1471" t="s">
        <v>57</v>
      </c>
      <c r="AD1471" t="s">
        <v>57</v>
      </c>
      <c r="AE1471" t="s">
        <v>57</v>
      </c>
      <c r="AF1471" t="s">
        <v>57</v>
      </c>
      <c r="AG1471">
        <v>270</v>
      </c>
      <c r="AH1471" t="s">
        <v>57</v>
      </c>
      <c r="AL1471" t="s">
        <v>57</v>
      </c>
      <c r="AM1471" s="11">
        <v>44789</v>
      </c>
      <c r="AN1471" t="s">
        <v>184</v>
      </c>
      <c r="AO1471" t="s">
        <v>65</v>
      </c>
      <c r="AP1471">
        <v>1206</v>
      </c>
      <c r="AQ1471" t="s">
        <v>66</v>
      </c>
      <c r="AR1471">
        <v>61812</v>
      </c>
      <c r="AU1471" t="s">
        <v>57</v>
      </c>
      <c r="AV1471" t="s">
        <v>68</v>
      </c>
      <c r="AX1471" t="s">
        <v>57</v>
      </c>
      <c r="AY1471">
        <v>631140</v>
      </c>
      <c r="AZ1471">
        <v>1206.63114</v>
      </c>
      <c r="BA1471" s="23" t="s">
        <v>18</v>
      </c>
    </row>
    <row r="1472" spans="1:53" x14ac:dyDescent="0.25">
      <c r="A1472" t="s">
        <v>134</v>
      </c>
      <c r="B1472" t="s">
        <v>135</v>
      </c>
      <c r="C1472">
        <v>22002594</v>
      </c>
      <c r="D1472">
        <v>1206</v>
      </c>
      <c r="E1472" s="11">
        <v>44791</v>
      </c>
      <c r="F1472" t="s">
        <v>186</v>
      </c>
      <c r="G1472">
        <v>331.01</v>
      </c>
      <c r="H1472">
        <v>331.01</v>
      </c>
      <c r="I1472" t="s">
        <v>56</v>
      </c>
      <c r="O1472" t="s">
        <v>57</v>
      </c>
      <c r="Q1472" t="s">
        <v>57</v>
      </c>
      <c r="R1472" t="s">
        <v>137</v>
      </c>
      <c r="T1472" t="s">
        <v>59</v>
      </c>
      <c r="U1472" t="s">
        <v>60</v>
      </c>
      <c r="V1472" t="s">
        <v>138</v>
      </c>
      <c r="W1472" t="s">
        <v>139</v>
      </c>
      <c r="X1472">
        <v>1933546</v>
      </c>
      <c r="Y1472" s="11">
        <v>44792</v>
      </c>
      <c r="Z1472" t="s">
        <v>57</v>
      </c>
      <c r="AA1472">
        <v>2</v>
      </c>
      <c r="AB1472" t="s">
        <v>57</v>
      </c>
      <c r="AD1472" t="s">
        <v>57</v>
      </c>
      <c r="AE1472" t="s">
        <v>57</v>
      </c>
      <c r="AF1472" t="s">
        <v>57</v>
      </c>
      <c r="AG1472">
        <v>260</v>
      </c>
      <c r="AH1472" t="s">
        <v>57</v>
      </c>
      <c r="AL1472" t="s">
        <v>57</v>
      </c>
      <c r="AM1472" s="11">
        <v>44791</v>
      </c>
      <c r="AN1472" t="s">
        <v>184</v>
      </c>
      <c r="AO1472" t="s">
        <v>65</v>
      </c>
      <c r="AP1472">
        <v>1206</v>
      </c>
      <c r="AQ1472" t="s">
        <v>66</v>
      </c>
      <c r="AR1472">
        <v>61812</v>
      </c>
      <c r="AU1472" t="s">
        <v>57</v>
      </c>
      <c r="AV1472" t="s">
        <v>68</v>
      </c>
      <c r="AX1472" t="s">
        <v>57</v>
      </c>
      <c r="AY1472">
        <v>631140</v>
      </c>
      <c r="AZ1472">
        <v>1206.63114</v>
      </c>
      <c r="BA1472" s="23" t="s">
        <v>18</v>
      </c>
    </row>
    <row r="1473" spans="1:53" x14ac:dyDescent="0.25">
      <c r="A1473" t="s">
        <v>134</v>
      </c>
      <c r="B1473" t="s">
        <v>135</v>
      </c>
      <c r="C1473">
        <v>22002604</v>
      </c>
      <c r="D1473">
        <v>1206</v>
      </c>
      <c r="E1473" s="11">
        <v>44792</v>
      </c>
      <c r="F1473" t="s">
        <v>186</v>
      </c>
      <c r="G1473">
        <v>331.01</v>
      </c>
      <c r="H1473">
        <v>331.01</v>
      </c>
      <c r="I1473" t="s">
        <v>56</v>
      </c>
      <c r="O1473" t="s">
        <v>57</v>
      </c>
      <c r="Q1473" t="s">
        <v>57</v>
      </c>
      <c r="R1473" t="s">
        <v>137</v>
      </c>
      <c r="T1473" t="s">
        <v>59</v>
      </c>
      <c r="U1473" t="s">
        <v>60</v>
      </c>
      <c r="V1473" t="s">
        <v>138</v>
      </c>
      <c r="W1473" t="s">
        <v>139</v>
      </c>
      <c r="X1473">
        <v>1934077</v>
      </c>
      <c r="Y1473" s="11">
        <v>44792</v>
      </c>
      <c r="Z1473" t="s">
        <v>57</v>
      </c>
      <c r="AA1473">
        <v>2</v>
      </c>
      <c r="AB1473" t="s">
        <v>57</v>
      </c>
      <c r="AD1473" t="s">
        <v>57</v>
      </c>
      <c r="AE1473" t="s">
        <v>57</v>
      </c>
      <c r="AF1473" t="s">
        <v>57</v>
      </c>
      <c r="AG1473">
        <v>260</v>
      </c>
      <c r="AH1473" t="s">
        <v>57</v>
      </c>
      <c r="AL1473" t="s">
        <v>57</v>
      </c>
      <c r="AM1473" s="11">
        <v>44792</v>
      </c>
      <c r="AN1473" t="s">
        <v>184</v>
      </c>
      <c r="AO1473" t="s">
        <v>65</v>
      </c>
      <c r="AP1473">
        <v>1206</v>
      </c>
      <c r="AQ1473" t="s">
        <v>66</v>
      </c>
      <c r="AR1473">
        <v>61812</v>
      </c>
      <c r="AU1473" t="s">
        <v>57</v>
      </c>
      <c r="AV1473" t="s">
        <v>68</v>
      </c>
      <c r="AX1473" t="s">
        <v>57</v>
      </c>
      <c r="AY1473">
        <v>631140</v>
      </c>
      <c r="AZ1473">
        <v>1206.63114</v>
      </c>
      <c r="BA1473" s="23" t="s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7FF9-AF2D-4799-8E27-4B058ACD83F3}">
  <dimension ref="A1:GA31"/>
  <sheetViews>
    <sheetView tabSelected="1" workbookViewId="0">
      <selection sqref="A1:J1"/>
    </sheetView>
  </sheetViews>
  <sheetFormatPr defaultRowHeight="14.25" x14ac:dyDescent="0.2"/>
  <cols>
    <col min="1" max="1" width="3.85546875" style="28" bestFit="1" customWidth="1"/>
    <col min="2" max="2" width="13.5703125" style="28" bestFit="1" customWidth="1"/>
    <col min="3" max="3" width="69.28515625" style="28" bestFit="1" customWidth="1"/>
    <col min="4" max="4" width="14.42578125" style="28" bestFit="1" customWidth="1"/>
    <col min="5" max="7" width="9.85546875" style="28" bestFit="1" customWidth="1"/>
    <col min="8" max="8" width="7" style="28" bestFit="1" customWidth="1"/>
    <col min="9" max="10" width="9.85546875" style="28" bestFit="1" customWidth="1"/>
    <col min="11" max="11" width="9.28515625" style="28" bestFit="1" customWidth="1"/>
    <col min="12" max="12" width="9.140625" style="28"/>
    <col min="13" max="13" width="9.28515625" style="28" bestFit="1" customWidth="1"/>
    <col min="14" max="14" width="9.140625" style="28"/>
    <col min="15" max="15" width="9.28515625" style="28" bestFit="1" customWidth="1"/>
    <col min="16" max="16" width="9.140625" style="28"/>
    <col min="17" max="17" width="9.28515625" style="28" bestFit="1" customWidth="1"/>
    <col min="18" max="18" width="9.140625" style="28"/>
    <col min="19" max="19" width="9.28515625" style="28" bestFit="1" customWidth="1"/>
    <col min="20" max="20" width="9.140625" style="28"/>
    <col min="21" max="21" width="9.28515625" style="28" bestFit="1" customWidth="1"/>
    <col min="22" max="22" width="9.140625" style="28"/>
    <col min="23" max="23" width="9.28515625" style="28" bestFit="1" customWidth="1"/>
    <col min="24" max="24" width="9.140625" style="28"/>
    <col min="25" max="25" width="9.28515625" style="28" bestFit="1" customWidth="1"/>
    <col min="26" max="26" width="9.140625" style="28"/>
    <col min="27" max="27" width="9.28515625" style="28" bestFit="1" customWidth="1"/>
    <col min="28" max="28" width="9.140625" style="28"/>
    <col min="29" max="29" width="9.28515625" style="28" bestFit="1" customWidth="1"/>
    <col min="30" max="30" width="9.140625" style="28"/>
    <col min="31" max="31" width="9.28515625" style="28" bestFit="1" customWidth="1"/>
    <col min="32" max="16384" width="9.140625" style="28"/>
  </cols>
  <sheetData>
    <row r="1" spans="1:183" ht="18" x14ac:dyDescent="0.2">
      <c r="A1" s="55" t="s">
        <v>246</v>
      </c>
      <c r="B1" s="55"/>
      <c r="C1" s="55"/>
      <c r="D1" s="55"/>
      <c r="E1" s="55"/>
      <c r="F1" s="55"/>
      <c r="G1" s="55"/>
      <c r="H1" s="55"/>
      <c r="I1" s="55"/>
      <c r="J1" s="55"/>
      <c r="GA1" s="29"/>
    </row>
    <row r="2" spans="1:183" x14ac:dyDescent="0.2">
      <c r="A2" s="54" t="s">
        <v>247</v>
      </c>
      <c r="B2" s="54" t="s">
        <v>248</v>
      </c>
      <c r="C2" s="54" t="s">
        <v>249</v>
      </c>
      <c r="D2" s="54" t="s">
        <v>250</v>
      </c>
      <c r="E2" s="54" t="s">
        <v>251</v>
      </c>
      <c r="F2" s="54"/>
      <c r="G2" s="54"/>
      <c r="H2" s="54"/>
      <c r="I2" s="54"/>
      <c r="J2" s="54" t="s">
        <v>252</v>
      </c>
      <c r="K2" s="54" t="s">
        <v>253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GA2" s="30"/>
    </row>
    <row r="3" spans="1:183" x14ac:dyDescent="0.2">
      <c r="A3" s="54"/>
      <c r="B3" s="54"/>
      <c r="C3" s="54"/>
      <c r="D3" s="54"/>
      <c r="E3" s="51" t="s">
        <v>254</v>
      </c>
      <c r="F3" s="51" t="s">
        <v>134</v>
      </c>
      <c r="G3" s="51" t="s">
        <v>255</v>
      </c>
      <c r="H3" s="51" t="s">
        <v>256</v>
      </c>
      <c r="I3" s="51" t="s">
        <v>257</v>
      </c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GA3" s="30"/>
    </row>
    <row r="4" spans="1:183" x14ac:dyDescent="0.2">
      <c r="A4" s="47">
        <v>1</v>
      </c>
      <c r="B4" s="47" t="s">
        <v>0</v>
      </c>
      <c r="C4" s="47" t="s">
        <v>22</v>
      </c>
      <c r="D4" s="48">
        <f>VLOOKUP(B4,PETUNJUK!J:K,2,0)</f>
        <v>1000</v>
      </c>
      <c r="E4" s="49">
        <v>1828</v>
      </c>
      <c r="F4" s="49">
        <v>1492</v>
      </c>
      <c r="G4" s="49">
        <v>40</v>
      </c>
      <c r="H4" s="49">
        <v>0</v>
      </c>
      <c r="I4" s="48">
        <f>SUM(E4:H4)</f>
        <v>3360</v>
      </c>
      <c r="J4" s="48">
        <f>D4-I4</f>
        <v>-2360</v>
      </c>
      <c r="K4" s="47">
        <v>2472.56</v>
      </c>
      <c r="L4" s="28" t="s">
        <v>55</v>
      </c>
      <c r="M4" s="30">
        <v>201.59</v>
      </c>
      <c r="N4" s="28" t="s">
        <v>55</v>
      </c>
      <c r="O4" s="30">
        <v>268.77999999999997</v>
      </c>
      <c r="P4" s="28" t="s">
        <v>55</v>
      </c>
      <c r="Q4" s="30">
        <v>537.55999999999995</v>
      </c>
      <c r="R4" s="28" t="s">
        <v>55</v>
      </c>
      <c r="S4" s="30">
        <v>537.55999999999995</v>
      </c>
      <c r="T4" s="28" t="s">
        <v>267</v>
      </c>
      <c r="U4" s="30">
        <v>927.07</v>
      </c>
      <c r="V4" s="47"/>
      <c r="W4" s="47"/>
      <c r="X4" s="47"/>
      <c r="Y4" s="47"/>
      <c r="GA4" s="30"/>
    </row>
    <row r="5" spans="1:183" x14ac:dyDescent="0.2">
      <c r="A5" s="47">
        <v>2</v>
      </c>
      <c r="B5" s="47" t="s">
        <v>1</v>
      </c>
      <c r="C5" s="47" t="s">
        <v>23</v>
      </c>
      <c r="D5" s="48">
        <f>VLOOKUP(B5,PETUNJUK!J:K,2,0)</f>
        <v>1000</v>
      </c>
      <c r="E5" s="48">
        <v>7</v>
      </c>
      <c r="F5" s="48">
        <v>754</v>
      </c>
      <c r="G5" s="48">
        <v>145</v>
      </c>
      <c r="H5" s="48">
        <v>0</v>
      </c>
      <c r="I5" s="48">
        <f>SUM(E5:H5)</f>
        <v>906</v>
      </c>
      <c r="J5" s="48">
        <f>D5-I5</f>
        <v>94</v>
      </c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GA5" s="30"/>
    </row>
    <row r="6" spans="1:183" x14ac:dyDescent="0.2">
      <c r="A6" s="47">
        <v>3</v>
      </c>
      <c r="B6" s="47" t="s">
        <v>2</v>
      </c>
      <c r="C6" s="47" t="s">
        <v>24</v>
      </c>
      <c r="D6" s="48">
        <f>VLOOKUP(B6,PETUNJUK!J:K,2,0)</f>
        <v>3000</v>
      </c>
      <c r="E6" s="49">
        <v>1716</v>
      </c>
      <c r="F6" s="49">
        <v>43</v>
      </c>
      <c r="G6" s="49">
        <v>43</v>
      </c>
      <c r="H6" s="49">
        <v>0</v>
      </c>
      <c r="I6" s="48">
        <f>SUM(E6:H6)</f>
        <v>1802</v>
      </c>
      <c r="J6" s="48">
        <f>D6-I6</f>
        <v>1198</v>
      </c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GA6" s="30"/>
    </row>
    <row r="7" spans="1:183" x14ac:dyDescent="0.2">
      <c r="A7" s="47">
        <v>4</v>
      </c>
      <c r="B7" s="47" t="s">
        <v>3</v>
      </c>
      <c r="C7" s="47" t="s">
        <v>25</v>
      </c>
      <c r="D7" s="48">
        <f>VLOOKUP(B7,PETUNJUK!J:K,2,0)</f>
        <v>1000</v>
      </c>
      <c r="E7" s="48">
        <v>546</v>
      </c>
      <c r="F7" s="48">
        <v>130</v>
      </c>
      <c r="G7" s="48">
        <v>0</v>
      </c>
      <c r="H7" s="48">
        <v>0</v>
      </c>
      <c r="I7" s="48">
        <f>SUM(E7:H7)</f>
        <v>676</v>
      </c>
      <c r="J7" s="48">
        <f>D7-I7</f>
        <v>324</v>
      </c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GA7" s="30"/>
    </row>
    <row r="8" spans="1:183" x14ac:dyDescent="0.2">
      <c r="A8" s="47">
        <v>5</v>
      </c>
      <c r="B8" s="47" t="s">
        <v>4</v>
      </c>
      <c r="C8" s="47" t="s">
        <v>26</v>
      </c>
      <c r="D8" s="48">
        <f>VLOOKUP(B8,PETUNJUK!J:K,2,0)</f>
        <v>2500</v>
      </c>
      <c r="E8" s="49">
        <v>24</v>
      </c>
      <c r="F8" s="49">
        <v>24</v>
      </c>
      <c r="G8" s="49">
        <v>701</v>
      </c>
      <c r="H8" s="49">
        <v>8</v>
      </c>
      <c r="I8" s="48">
        <f>SUM(E8:H8)</f>
        <v>757</v>
      </c>
      <c r="J8" s="48">
        <f>D8-I8</f>
        <v>1743</v>
      </c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GA8" s="30"/>
    </row>
    <row r="9" spans="1:183" x14ac:dyDescent="0.2">
      <c r="A9" s="47">
        <v>6</v>
      </c>
      <c r="B9" s="47" t="s">
        <v>5</v>
      </c>
      <c r="C9" s="47" t="s">
        <v>23</v>
      </c>
      <c r="D9" s="48">
        <f>VLOOKUP(B9,PETUNJUK!J:K,2,0)</f>
        <v>2500</v>
      </c>
      <c r="E9" s="48">
        <v>1288</v>
      </c>
      <c r="F9" s="48">
        <v>399</v>
      </c>
      <c r="G9" s="48">
        <v>571</v>
      </c>
      <c r="H9" s="48">
        <v>0</v>
      </c>
      <c r="I9" s="48">
        <f>SUM(E9:H9)</f>
        <v>2258</v>
      </c>
      <c r="J9" s="48">
        <f>D9-I9</f>
        <v>242</v>
      </c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GA9" s="30"/>
    </row>
    <row r="10" spans="1:183" x14ac:dyDescent="0.2">
      <c r="A10" s="47">
        <v>7</v>
      </c>
      <c r="B10" s="47" t="s">
        <v>6</v>
      </c>
      <c r="C10" s="47" t="s">
        <v>24</v>
      </c>
      <c r="D10" s="48">
        <f>VLOOKUP(B10,PETUNJUK!J:K,2,0)</f>
        <v>2600</v>
      </c>
      <c r="E10" s="49">
        <v>510</v>
      </c>
      <c r="F10" s="49">
        <v>752</v>
      </c>
      <c r="G10" s="49">
        <v>7</v>
      </c>
      <c r="H10" s="49">
        <v>0</v>
      </c>
      <c r="I10" s="48">
        <f>SUM(E10:H10)</f>
        <v>1269</v>
      </c>
      <c r="J10" s="48">
        <f>D10-I10</f>
        <v>1331</v>
      </c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GA10" s="30"/>
    </row>
    <row r="11" spans="1:183" x14ac:dyDescent="0.2">
      <c r="A11" s="47">
        <v>8</v>
      </c>
      <c r="B11" s="47" t="s">
        <v>7</v>
      </c>
      <c r="C11" s="47" t="s">
        <v>25</v>
      </c>
      <c r="D11" s="48">
        <f>VLOOKUP(B11,PETUNJUK!J:K,2,0)</f>
        <v>2500</v>
      </c>
      <c r="E11" s="48">
        <v>461</v>
      </c>
      <c r="F11" s="48">
        <v>567</v>
      </c>
      <c r="G11" s="48">
        <v>299</v>
      </c>
      <c r="H11" s="48">
        <v>0</v>
      </c>
      <c r="I11" s="48">
        <f>SUM(E11:H11)</f>
        <v>1327</v>
      </c>
      <c r="J11" s="48">
        <f>D11-I11</f>
        <v>1173</v>
      </c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GA11" s="30"/>
    </row>
    <row r="12" spans="1:183" x14ac:dyDescent="0.2">
      <c r="A12" s="47">
        <v>9</v>
      </c>
      <c r="B12" s="47" t="s">
        <v>8</v>
      </c>
      <c r="C12" s="47" t="s">
        <v>27</v>
      </c>
      <c r="D12" s="48">
        <f>VLOOKUP(B12,PETUNJUK!J:K,2,0)</f>
        <v>0</v>
      </c>
      <c r="E12" s="49">
        <v>11</v>
      </c>
      <c r="F12" s="49">
        <v>9</v>
      </c>
      <c r="G12" s="49">
        <v>13</v>
      </c>
      <c r="H12" s="49">
        <v>0</v>
      </c>
      <c r="I12" s="48">
        <f>SUM(E12:H12)</f>
        <v>33</v>
      </c>
      <c r="J12" s="48">
        <f>D12-I12</f>
        <v>-33</v>
      </c>
      <c r="K12" s="47">
        <v>33.39</v>
      </c>
      <c r="L12" s="28" t="s">
        <v>306</v>
      </c>
      <c r="M12" s="30">
        <v>0.32</v>
      </c>
      <c r="N12" s="28" t="s">
        <v>306</v>
      </c>
      <c r="O12" s="30">
        <v>0.32</v>
      </c>
      <c r="P12" s="28" t="s">
        <v>306</v>
      </c>
      <c r="Q12" s="30">
        <v>0.73</v>
      </c>
      <c r="R12" s="28" t="s">
        <v>306</v>
      </c>
      <c r="S12" s="30">
        <v>1.23</v>
      </c>
      <c r="T12" s="28" t="s">
        <v>306</v>
      </c>
      <c r="U12" s="30">
        <v>1.5</v>
      </c>
      <c r="V12" s="28" t="s">
        <v>163</v>
      </c>
      <c r="W12" s="30">
        <v>1.95</v>
      </c>
      <c r="X12" s="28" t="s">
        <v>306</v>
      </c>
      <c r="Y12" s="30">
        <v>2.14</v>
      </c>
      <c r="Z12" s="28" t="s">
        <v>306</v>
      </c>
      <c r="AA12" s="30">
        <v>6.6</v>
      </c>
      <c r="AB12" s="28" t="s">
        <v>163</v>
      </c>
      <c r="AC12" s="30">
        <v>9.1</v>
      </c>
      <c r="AD12" s="28" t="s">
        <v>165</v>
      </c>
      <c r="AE12" s="30">
        <v>9.5</v>
      </c>
    </row>
    <row r="13" spans="1:183" x14ac:dyDescent="0.2">
      <c r="A13" s="47">
        <v>10</v>
      </c>
      <c r="B13" s="47" t="s">
        <v>9</v>
      </c>
      <c r="C13" s="47" t="s">
        <v>23</v>
      </c>
      <c r="D13" s="48">
        <f>VLOOKUP(B13,PETUNJUK!J:K,2,0)</f>
        <v>0</v>
      </c>
      <c r="E13" s="48">
        <v>0</v>
      </c>
      <c r="F13" s="48">
        <v>0</v>
      </c>
      <c r="G13" s="48">
        <v>0</v>
      </c>
      <c r="H13" s="48">
        <v>0</v>
      </c>
      <c r="I13" s="48">
        <f>SUM(E13:H13)</f>
        <v>0</v>
      </c>
      <c r="J13" s="48">
        <f>D13-I13</f>
        <v>0</v>
      </c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</row>
    <row r="14" spans="1:183" x14ac:dyDescent="0.2">
      <c r="A14" s="47">
        <v>11</v>
      </c>
      <c r="B14" s="47" t="s">
        <v>10</v>
      </c>
      <c r="C14" s="47" t="s">
        <v>24</v>
      </c>
      <c r="D14" s="48">
        <f>VLOOKUP(B14,PETUNJUK!J:K,2,0)</f>
        <v>0</v>
      </c>
      <c r="E14" s="49">
        <v>0</v>
      </c>
      <c r="F14" s="49">
        <v>0</v>
      </c>
      <c r="G14" s="49">
        <v>0</v>
      </c>
      <c r="H14" s="49">
        <v>0</v>
      </c>
      <c r="I14" s="48">
        <f>SUM(E14:H14)</f>
        <v>0</v>
      </c>
      <c r="J14" s="48">
        <f>D14-I14</f>
        <v>0</v>
      </c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</row>
    <row r="15" spans="1:183" x14ac:dyDescent="0.2">
      <c r="A15" s="47">
        <v>12</v>
      </c>
      <c r="B15" s="47" t="s">
        <v>37</v>
      </c>
      <c r="C15" s="47" t="s">
        <v>25</v>
      </c>
      <c r="D15" s="48">
        <f>VLOOKUP(B15,PETUNJUK!J:K,2,0)</f>
        <v>0</v>
      </c>
      <c r="E15" s="48">
        <v>0</v>
      </c>
      <c r="F15" s="48">
        <v>0</v>
      </c>
      <c r="G15" s="48">
        <v>0</v>
      </c>
      <c r="H15" s="48">
        <v>0</v>
      </c>
      <c r="I15" s="48">
        <f>SUM(E15:H15)</f>
        <v>0</v>
      </c>
      <c r="J15" s="48">
        <f>D15-I15</f>
        <v>0</v>
      </c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</row>
    <row r="16" spans="1:183" x14ac:dyDescent="0.2">
      <c r="A16" s="47">
        <v>13</v>
      </c>
      <c r="B16" s="47" t="s">
        <v>11</v>
      </c>
      <c r="C16" s="47" t="s">
        <v>28</v>
      </c>
      <c r="D16" s="48">
        <f>VLOOKUP(B16,PETUNJUK!J:K,2,0)</f>
        <v>3000</v>
      </c>
      <c r="E16" s="49">
        <v>149</v>
      </c>
      <c r="F16" s="49">
        <v>235</v>
      </c>
      <c r="G16" s="49">
        <v>118</v>
      </c>
      <c r="H16" s="49">
        <v>133</v>
      </c>
      <c r="I16" s="48">
        <f>SUM(E16:H16)</f>
        <v>635</v>
      </c>
      <c r="J16" s="48">
        <f>D16-I16</f>
        <v>2365</v>
      </c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</row>
    <row r="17" spans="1:25" x14ac:dyDescent="0.2">
      <c r="A17" s="47">
        <v>14</v>
      </c>
      <c r="B17" s="47" t="s">
        <v>12</v>
      </c>
      <c r="C17" s="47" t="s">
        <v>23</v>
      </c>
      <c r="D17" s="48">
        <f>VLOOKUP(B17,PETUNJUK!J:K,2,0)</f>
        <v>4000</v>
      </c>
      <c r="E17" s="48">
        <v>2363</v>
      </c>
      <c r="F17" s="48">
        <v>1167</v>
      </c>
      <c r="G17" s="48">
        <v>1357</v>
      </c>
      <c r="H17" s="48">
        <v>54</v>
      </c>
      <c r="I17" s="48">
        <f>SUM(E17:H17)</f>
        <v>4941</v>
      </c>
      <c r="J17" s="48">
        <f>D17-I17</f>
        <v>-941</v>
      </c>
      <c r="K17" s="47">
        <v>1189.7199999999998</v>
      </c>
      <c r="L17" s="28" t="s">
        <v>174</v>
      </c>
      <c r="M17" s="30">
        <v>538.67999999999995</v>
      </c>
      <c r="N17" s="28" t="s">
        <v>159</v>
      </c>
      <c r="O17" s="30">
        <v>651.04</v>
      </c>
      <c r="P17" s="47"/>
      <c r="Q17" s="47"/>
      <c r="R17" s="47"/>
      <c r="S17" s="47"/>
      <c r="T17" s="47"/>
      <c r="U17" s="47"/>
      <c r="V17" s="47"/>
      <c r="W17" s="47"/>
      <c r="X17" s="47"/>
      <c r="Y17" s="47"/>
    </row>
    <row r="18" spans="1:25" x14ac:dyDescent="0.2">
      <c r="A18" s="47">
        <v>15</v>
      </c>
      <c r="B18" s="47" t="s">
        <v>13</v>
      </c>
      <c r="C18" s="47" t="s">
        <v>24</v>
      </c>
      <c r="D18" s="48">
        <f>VLOOKUP(B18,PETUNJUK!J:K,2,0)</f>
        <v>4500</v>
      </c>
      <c r="E18" s="49">
        <v>3932</v>
      </c>
      <c r="F18" s="49">
        <v>1209</v>
      </c>
      <c r="G18" s="49">
        <v>1489</v>
      </c>
      <c r="H18" s="49">
        <v>1</v>
      </c>
      <c r="I18" s="48">
        <f>SUM(E18:H18)</f>
        <v>6631</v>
      </c>
      <c r="J18" s="48">
        <f>D18-I18</f>
        <v>-2131</v>
      </c>
      <c r="K18" s="47">
        <v>2481.5100000000002</v>
      </c>
      <c r="L18" s="28" t="s">
        <v>181</v>
      </c>
      <c r="M18" s="30">
        <v>430.05</v>
      </c>
      <c r="N18" s="28" t="s">
        <v>181</v>
      </c>
      <c r="O18" s="30">
        <v>554.36</v>
      </c>
      <c r="P18" s="28" t="s">
        <v>181</v>
      </c>
      <c r="Q18" s="30">
        <v>554.36</v>
      </c>
      <c r="R18" s="28" t="s">
        <v>174</v>
      </c>
      <c r="S18" s="30">
        <v>942.74</v>
      </c>
      <c r="T18" s="47"/>
      <c r="U18" s="47"/>
      <c r="V18" s="47"/>
      <c r="W18" s="47"/>
      <c r="X18" s="47"/>
      <c r="Y18" s="47"/>
    </row>
    <row r="19" spans="1:25" x14ac:dyDescent="0.2">
      <c r="A19" s="47">
        <v>16</v>
      </c>
      <c r="B19" s="47" t="s">
        <v>14</v>
      </c>
      <c r="C19" s="47" t="s">
        <v>25</v>
      </c>
      <c r="D19" s="48">
        <f>VLOOKUP(B19,PETUNJUK!J:K,2,0)</f>
        <v>4000</v>
      </c>
      <c r="E19" s="48">
        <v>1111</v>
      </c>
      <c r="F19" s="48">
        <v>1590</v>
      </c>
      <c r="G19" s="48">
        <v>1385</v>
      </c>
      <c r="H19" s="48">
        <v>0</v>
      </c>
      <c r="I19" s="48">
        <f>SUM(E19:H19)</f>
        <v>4086</v>
      </c>
      <c r="J19" s="48">
        <f>D19-I19</f>
        <v>-86</v>
      </c>
      <c r="K19" s="47">
        <v>157.97999999999999</v>
      </c>
      <c r="L19" s="28" t="s">
        <v>174</v>
      </c>
      <c r="M19" s="30">
        <v>157.97999999999999</v>
      </c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</row>
    <row r="20" spans="1:25" x14ac:dyDescent="0.2">
      <c r="A20" s="47">
        <v>17</v>
      </c>
      <c r="B20" s="47" t="s">
        <v>15</v>
      </c>
      <c r="C20" s="47" t="s">
        <v>29</v>
      </c>
      <c r="D20" s="48">
        <f>VLOOKUP(B20,PETUNJUK!J:K,2,0)</f>
        <v>7900</v>
      </c>
      <c r="E20" s="49">
        <v>1564</v>
      </c>
      <c r="F20" s="49">
        <v>1564</v>
      </c>
      <c r="G20" s="49">
        <v>1251</v>
      </c>
      <c r="H20" s="49">
        <v>0</v>
      </c>
      <c r="I20" s="48">
        <f>SUM(E20:H20)</f>
        <v>4379</v>
      </c>
      <c r="J20" s="48">
        <f>D20-I20</f>
        <v>3521</v>
      </c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</row>
    <row r="21" spans="1:25" x14ac:dyDescent="0.2">
      <c r="A21" s="47">
        <v>18</v>
      </c>
      <c r="B21" s="47" t="s">
        <v>16</v>
      </c>
      <c r="C21" s="47" t="s">
        <v>30</v>
      </c>
      <c r="D21" s="48">
        <f>VLOOKUP(B21,PETUNJUK!J:K,2,0)</f>
        <v>7600</v>
      </c>
      <c r="E21" s="48">
        <v>2087</v>
      </c>
      <c r="F21" s="48">
        <v>1774</v>
      </c>
      <c r="G21" s="48">
        <v>1448</v>
      </c>
      <c r="H21" s="48">
        <v>0</v>
      </c>
      <c r="I21" s="48">
        <f>SUM(E21:H21)</f>
        <v>5309</v>
      </c>
      <c r="J21" s="48">
        <f>D21-I21</f>
        <v>2291</v>
      </c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</row>
    <row r="22" spans="1:25" x14ac:dyDescent="0.2">
      <c r="A22" s="47">
        <v>19</v>
      </c>
      <c r="B22" s="47" t="s">
        <v>17</v>
      </c>
      <c r="C22" s="47" t="s">
        <v>31</v>
      </c>
      <c r="D22" s="48">
        <f>VLOOKUP(B22,PETUNJUK!J:K,2,0)</f>
        <v>9300</v>
      </c>
      <c r="E22" s="49">
        <v>2350</v>
      </c>
      <c r="F22" s="49">
        <v>2082</v>
      </c>
      <c r="G22" s="49">
        <v>1930</v>
      </c>
      <c r="H22" s="49">
        <v>608</v>
      </c>
      <c r="I22" s="48">
        <f>SUM(E22:H22)</f>
        <v>6970</v>
      </c>
      <c r="J22" s="48">
        <f>D22-I22</f>
        <v>2330</v>
      </c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</row>
    <row r="23" spans="1:25" x14ac:dyDescent="0.2">
      <c r="A23" s="47">
        <v>20</v>
      </c>
      <c r="B23" s="47" t="s">
        <v>18</v>
      </c>
      <c r="C23" s="47" t="s">
        <v>32</v>
      </c>
      <c r="D23" s="48">
        <f>VLOOKUP(B23,PETUNJUK!J:K,2,0)</f>
        <v>8600</v>
      </c>
      <c r="E23" s="48">
        <v>1455</v>
      </c>
      <c r="F23" s="48">
        <v>2082</v>
      </c>
      <c r="G23" s="48">
        <v>1337</v>
      </c>
      <c r="H23" s="48">
        <v>0</v>
      </c>
      <c r="I23" s="48">
        <f>SUM(E23:H23)</f>
        <v>4874</v>
      </c>
      <c r="J23" s="48">
        <f>D23-I23</f>
        <v>3726</v>
      </c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</row>
    <row r="24" spans="1:25" x14ac:dyDescent="0.2">
      <c r="A24" s="47">
        <v>21</v>
      </c>
      <c r="B24" s="47"/>
      <c r="C24" s="47" t="s">
        <v>34</v>
      </c>
      <c r="D24" s="48">
        <f>PETUNJUK!K23</f>
        <v>0</v>
      </c>
      <c r="E24" s="49"/>
      <c r="F24" s="49"/>
      <c r="G24" s="49"/>
      <c r="H24" s="49"/>
      <c r="I24" s="48">
        <f>SUM(E24:H24)</f>
        <v>0</v>
      </c>
      <c r="J24" s="48">
        <f>D24-I24</f>
        <v>0</v>
      </c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</row>
    <row r="25" spans="1:25" s="31" customFormat="1" ht="15" x14ac:dyDescent="0.25">
      <c r="A25" s="54" t="s">
        <v>258</v>
      </c>
      <c r="B25" s="54"/>
      <c r="C25" s="54"/>
      <c r="D25" s="50">
        <f>SUM(D4:D23)</f>
        <v>65000</v>
      </c>
      <c r="E25" s="50">
        <f>SUM(E4:E23)</f>
        <v>21402</v>
      </c>
      <c r="F25" s="50">
        <f>SUM(F4:F23)</f>
        <v>15873</v>
      </c>
      <c r="G25" s="50">
        <f>SUM(G4:G23)</f>
        <v>12134</v>
      </c>
      <c r="H25" s="50">
        <f>SUM(H4:H23)</f>
        <v>804</v>
      </c>
      <c r="I25" s="50">
        <f>SUM(I4:I23)</f>
        <v>50213</v>
      </c>
      <c r="J25" s="50">
        <f>D25-(SUM(E25:H25))</f>
        <v>14787</v>
      </c>
      <c r="K25" s="51">
        <f>SUM(K4:K23)</f>
        <v>6335.16</v>
      </c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</row>
    <row r="27" spans="1:25" x14ac:dyDescent="0.2">
      <c r="B27" s="32">
        <v>1201</v>
      </c>
      <c r="C27" s="33"/>
      <c r="D27" s="33"/>
      <c r="E27" s="34">
        <f>E4+E8+E12+E16+E20</f>
        <v>3576</v>
      </c>
      <c r="F27" s="34">
        <f t="shared" ref="F27:I27" si="0">F4+F8+F12+F16+F20</f>
        <v>3324</v>
      </c>
      <c r="G27" s="34">
        <f t="shared" si="0"/>
        <v>2123</v>
      </c>
      <c r="H27" s="34">
        <f t="shared" si="0"/>
        <v>141</v>
      </c>
      <c r="I27" s="35">
        <f t="shared" si="0"/>
        <v>9164</v>
      </c>
    </row>
    <row r="28" spans="1:25" x14ac:dyDescent="0.2">
      <c r="B28" s="36">
        <v>1204</v>
      </c>
      <c r="C28" s="52"/>
      <c r="D28" s="52"/>
      <c r="E28" s="53">
        <f t="shared" ref="E28:I28" si="1">E5+E9+E13+E17+E21</f>
        <v>5745</v>
      </c>
      <c r="F28" s="53">
        <f t="shared" si="1"/>
        <v>4094</v>
      </c>
      <c r="G28" s="53">
        <f t="shared" si="1"/>
        <v>3521</v>
      </c>
      <c r="H28" s="53">
        <f t="shared" si="1"/>
        <v>54</v>
      </c>
      <c r="I28" s="38">
        <f t="shared" si="1"/>
        <v>13414</v>
      </c>
    </row>
    <row r="29" spans="1:25" x14ac:dyDescent="0.2">
      <c r="B29" s="36">
        <v>1205</v>
      </c>
      <c r="C29" s="52"/>
      <c r="D29" s="52"/>
      <c r="E29" s="53">
        <f t="shared" ref="E29:I29" si="2">E6+E10+E14+E18+E22</f>
        <v>8508</v>
      </c>
      <c r="F29" s="53">
        <f t="shared" si="2"/>
        <v>4086</v>
      </c>
      <c r="G29" s="53">
        <f t="shared" si="2"/>
        <v>3469</v>
      </c>
      <c r="H29" s="53">
        <f t="shared" si="2"/>
        <v>609</v>
      </c>
      <c r="I29" s="38">
        <f t="shared" si="2"/>
        <v>16672</v>
      </c>
    </row>
    <row r="30" spans="1:25" x14ac:dyDescent="0.2">
      <c r="B30" s="39">
        <v>1206</v>
      </c>
      <c r="C30" s="40"/>
      <c r="D30" s="40"/>
      <c r="E30" s="41">
        <f t="shared" ref="E30:I30" si="3">E7+E11+E15+E19+E23</f>
        <v>3573</v>
      </c>
      <c r="F30" s="41">
        <f t="shared" si="3"/>
        <v>4369</v>
      </c>
      <c r="G30" s="41">
        <f t="shared" si="3"/>
        <v>3021</v>
      </c>
      <c r="H30" s="41">
        <f t="shared" si="3"/>
        <v>0</v>
      </c>
      <c r="I30" s="42">
        <f t="shared" si="3"/>
        <v>10963</v>
      </c>
    </row>
    <row r="31" spans="1:25" x14ac:dyDescent="0.2">
      <c r="E31" s="37">
        <f>SUM(E27:E30)</f>
        <v>21402</v>
      </c>
      <c r="F31" s="37">
        <f t="shared" ref="F31:I31" si="4">SUM(F27:F30)</f>
        <v>15873</v>
      </c>
      <c r="G31" s="37">
        <f t="shared" si="4"/>
        <v>12134</v>
      </c>
      <c r="H31" s="37">
        <f t="shared" si="4"/>
        <v>804</v>
      </c>
      <c r="I31" s="37">
        <f t="shared" si="4"/>
        <v>50213</v>
      </c>
    </row>
  </sheetData>
  <mergeCells count="9">
    <mergeCell ref="K2:Y3"/>
    <mergeCell ref="A25:C25"/>
    <mergeCell ref="A1:J1"/>
    <mergeCell ref="A2:A3"/>
    <mergeCell ref="B2:B3"/>
    <mergeCell ref="C2:C3"/>
    <mergeCell ref="D2:D3"/>
    <mergeCell ref="J2:J3"/>
    <mergeCell ref="E2:I2"/>
  </mergeCells>
  <conditionalFormatting sqref="J4:J25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6BBCE-40E3-4713-88E1-0365CFCE8FEE}">
  <dimension ref="A1:BA15"/>
  <sheetViews>
    <sheetView workbookViewId="0"/>
  </sheetViews>
  <sheetFormatPr defaultRowHeight="15" x14ac:dyDescent="0.25"/>
  <cols>
    <col min="7" max="7" width="9.5703125" style="25" bestFit="1" customWidth="1"/>
  </cols>
  <sheetData>
    <row r="1" spans="1:53" x14ac:dyDescent="0.25">
      <c r="G1" s="26">
        <v>1000</v>
      </c>
    </row>
    <row r="2" spans="1:53" x14ac:dyDescent="0.25">
      <c r="G2" s="26">
        <f>SUBTOTAL(9,G4:G1000002)</f>
        <v>3360.57</v>
      </c>
    </row>
    <row r="3" spans="1:53" s="3" customFormat="1" x14ac:dyDescent="0.25">
      <c r="A3" s="3" t="s">
        <v>194</v>
      </c>
      <c r="B3" s="3" t="s">
        <v>195</v>
      </c>
      <c r="C3" s="3" t="s">
        <v>196</v>
      </c>
      <c r="D3" s="3" t="s">
        <v>197</v>
      </c>
      <c r="E3" s="3" t="s">
        <v>198</v>
      </c>
      <c r="F3" s="3" t="s">
        <v>199</v>
      </c>
      <c r="G3" s="26" t="s">
        <v>200</v>
      </c>
      <c r="H3" s="3" t="s">
        <v>201</v>
      </c>
      <c r="I3" s="3" t="s">
        <v>202</v>
      </c>
      <c r="J3" s="3" t="s">
        <v>203</v>
      </c>
      <c r="K3" s="3" t="s">
        <v>204</v>
      </c>
      <c r="L3" s="3" t="s">
        <v>205</v>
      </c>
      <c r="M3" s="3" t="s">
        <v>206</v>
      </c>
      <c r="N3" s="3" t="s">
        <v>207</v>
      </c>
      <c r="O3" s="3" t="s">
        <v>208</v>
      </c>
      <c r="P3" s="3" t="s">
        <v>209</v>
      </c>
      <c r="Q3" s="3" t="s">
        <v>210</v>
      </c>
      <c r="R3" s="3" t="s">
        <v>211</v>
      </c>
      <c r="S3" s="3" t="s">
        <v>212</v>
      </c>
      <c r="T3" s="3" t="s">
        <v>213</v>
      </c>
      <c r="U3" s="3" t="s">
        <v>214</v>
      </c>
      <c r="V3" s="3" t="s">
        <v>215</v>
      </c>
      <c r="W3" s="3" t="s">
        <v>216</v>
      </c>
      <c r="X3" s="3" t="s">
        <v>217</v>
      </c>
      <c r="Y3" s="3" t="s">
        <v>218</v>
      </c>
      <c r="Z3" s="3" t="s">
        <v>219</v>
      </c>
      <c r="AA3" s="3" t="s">
        <v>220</v>
      </c>
      <c r="AB3" s="3" t="s">
        <v>221</v>
      </c>
      <c r="AC3" s="3" t="s">
        <v>222</v>
      </c>
      <c r="AD3" s="3" t="s">
        <v>223</v>
      </c>
      <c r="AE3" s="3" t="s">
        <v>224</v>
      </c>
      <c r="AF3" s="3" t="s">
        <v>225</v>
      </c>
      <c r="AG3" s="3" t="s">
        <v>226</v>
      </c>
      <c r="AH3" s="3" t="s">
        <v>227</v>
      </c>
      <c r="AI3" s="3" t="s">
        <v>228</v>
      </c>
      <c r="AJ3" s="3" t="s">
        <v>229</v>
      </c>
      <c r="AK3" s="3" t="s">
        <v>230</v>
      </c>
      <c r="AL3" s="3" t="s">
        <v>231</v>
      </c>
      <c r="AM3" s="3" t="s">
        <v>232</v>
      </c>
      <c r="AN3" s="3" t="s">
        <v>233</v>
      </c>
      <c r="AO3" s="3" t="s">
        <v>234</v>
      </c>
      <c r="AP3" s="3" t="s">
        <v>235</v>
      </c>
      <c r="AQ3" s="3" t="s">
        <v>236</v>
      </c>
      <c r="AR3" s="3" t="s">
        <v>237</v>
      </c>
      <c r="AS3" s="3" t="s">
        <v>238</v>
      </c>
      <c r="AT3" s="3" t="s">
        <v>239</v>
      </c>
      <c r="AU3" s="3" t="s">
        <v>240</v>
      </c>
      <c r="AV3" s="3" t="s">
        <v>241</v>
      </c>
      <c r="AW3" s="3" t="s">
        <v>242</v>
      </c>
      <c r="AX3" s="3" t="s">
        <v>243</v>
      </c>
      <c r="AY3" s="3" t="s">
        <v>244</v>
      </c>
      <c r="AZ3" s="3" t="s">
        <v>245</v>
      </c>
      <c r="BA3" s="3" t="s">
        <v>19</v>
      </c>
    </row>
    <row r="4" spans="1:53" x14ac:dyDescent="0.25">
      <c r="A4" t="s">
        <v>79</v>
      </c>
      <c r="B4" t="s">
        <v>80</v>
      </c>
      <c r="C4">
        <v>22010120</v>
      </c>
      <c r="D4">
        <v>1201</v>
      </c>
      <c r="E4" s="11">
        <v>44788</v>
      </c>
      <c r="F4" t="s">
        <v>297</v>
      </c>
      <c r="G4" s="25">
        <v>40.380000000000003</v>
      </c>
      <c r="H4">
        <v>40.380000000000003</v>
      </c>
      <c r="I4" t="s">
        <v>56</v>
      </c>
      <c r="J4" t="s">
        <v>56</v>
      </c>
      <c r="L4" s="24">
        <v>600000</v>
      </c>
      <c r="N4" s="24">
        <v>600000</v>
      </c>
      <c r="O4" t="s">
        <v>57</v>
      </c>
      <c r="Q4" t="s">
        <v>57</v>
      </c>
      <c r="R4" t="s">
        <v>58</v>
      </c>
      <c r="S4">
        <v>14860</v>
      </c>
      <c r="T4" t="s">
        <v>59</v>
      </c>
      <c r="U4" t="s">
        <v>60</v>
      </c>
      <c r="V4" t="s">
        <v>82</v>
      </c>
      <c r="W4" t="s">
        <v>83</v>
      </c>
      <c r="X4">
        <v>1931812</v>
      </c>
      <c r="Y4" s="11">
        <v>44788</v>
      </c>
      <c r="Z4" t="s">
        <v>57</v>
      </c>
      <c r="AA4">
        <v>1</v>
      </c>
      <c r="AB4" t="s">
        <v>57</v>
      </c>
      <c r="AD4" t="s">
        <v>57</v>
      </c>
      <c r="AE4" t="s">
        <v>57</v>
      </c>
      <c r="AF4" t="s">
        <v>57</v>
      </c>
      <c r="AG4">
        <v>1</v>
      </c>
      <c r="AH4" t="s">
        <v>57</v>
      </c>
      <c r="AI4">
        <v>55507466</v>
      </c>
      <c r="AJ4" t="s">
        <v>297</v>
      </c>
      <c r="AL4" t="s">
        <v>57</v>
      </c>
      <c r="AM4" s="11">
        <v>44788</v>
      </c>
      <c r="AN4" t="s">
        <v>170</v>
      </c>
      <c r="AO4" t="s">
        <v>65</v>
      </c>
      <c r="AP4">
        <v>1201</v>
      </c>
      <c r="AQ4" t="s">
        <v>66</v>
      </c>
      <c r="AR4" t="s">
        <v>298</v>
      </c>
      <c r="AU4" t="s">
        <v>57</v>
      </c>
      <c r="AV4" t="s">
        <v>68</v>
      </c>
      <c r="AX4">
        <v>22002716</v>
      </c>
      <c r="AY4">
        <v>630300</v>
      </c>
      <c r="AZ4">
        <v>1201.6303</v>
      </c>
      <c r="BA4" s="23" t="s">
        <v>0</v>
      </c>
    </row>
    <row r="5" spans="1:53" x14ac:dyDescent="0.25">
      <c r="A5" t="s">
        <v>79</v>
      </c>
      <c r="B5" t="s">
        <v>80</v>
      </c>
      <c r="C5">
        <v>22009542</v>
      </c>
      <c r="D5">
        <v>1201</v>
      </c>
      <c r="E5" s="11">
        <v>44776</v>
      </c>
      <c r="F5" t="s">
        <v>81</v>
      </c>
      <c r="G5" s="25">
        <v>80.760000000000005</v>
      </c>
      <c r="H5">
        <v>80.760000000000005</v>
      </c>
      <c r="I5" t="s">
        <v>56</v>
      </c>
      <c r="J5" t="s">
        <v>56</v>
      </c>
      <c r="L5" s="24">
        <v>1200000</v>
      </c>
      <c r="N5" s="24">
        <v>1200000</v>
      </c>
      <c r="O5" t="s">
        <v>57</v>
      </c>
      <c r="Q5" t="s">
        <v>57</v>
      </c>
      <c r="R5" t="s">
        <v>58</v>
      </c>
      <c r="S5">
        <v>14860</v>
      </c>
      <c r="T5" t="s">
        <v>59</v>
      </c>
      <c r="U5" t="s">
        <v>60</v>
      </c>
      <c r="V5" t="s">
        <v>82</v>
      </c>
      <c r="W5" t="s">
        <v>83</v>
      </c>
      <c r="X5">
        <v>1926954</v>
      </c>
      <c r="Y5" s="11">
        <v>44776</v>
      </c>
      <c r="Z5" t="s">
        <v>57</v>
      </c>
      <c r="AA5">
        <v>1</v>
      </c>
      <c r="AB5" t="s">
        <v>57</v>
      </c>
      <c r="AD5" t="s">
        <v>57</v>
      </c>
      <c r="AE5" t="s">
        <v>57</v>
      </c>
      <c r="AF5" t="s">
        <v>57</v>
      </c>
      <c r="AG5">
        <v>50</v>
      </c>
      <c r="AH5" t="s">
        <v>57</v>
      </c>
      <c r="AI5">
        <v>57082431</v>
      </c>
      <c r="AJ5" t="s">
        <v>81</v>
      </c>
      <c r="AL5" t="s">
        <v>57</v>
      </c>
      <c r="AM5" s="11">
        <v>44776</v>
      </c>
      <c r="AN5" t="s">
        <v>84</v>
      </c>
      <c r="AO5" t="s">
        <v>65</v>
      </c>
      <c r="AP5">
        <v>1201</v>
      </c>
      <c r="AQ5" t="s">
        <v>66</v>
      </c>
      <c r="AR5" t="s">
        <v>85</v>
      </c>
      <c r="AU5" t="s">
        <v>57</v>
      </c>
      <c r="AV5" t="s">
        <v>68</v>
      </c>
      <c r="AX5">
        <v>22002685</v>
      </c>
      <c r="AY5">
        <v>630300</v>
      </c>
      <c r="AZ5">
        <v>1201.6303</v>
      </c>
      <c r="BA5" s="23" t="s">
        <v>0</v>
      </c>
    </row>
    <row r="6" spans="1:53" x14ac:dyDescent="0.25">
      <c r="A6" t="s">
        <v>53</v>
      </c>
      <c r="B6" t="s">
        <v>54</v>
      </c>
      <c r="C6">
        <v>22010673</v>
      </c>
      <c r="D6">
        <v>1201</v>
      </c>
      <c r="E6" s="11">
        <v>44775</v>
      </c>
      <c r="F6" t="s">
        <v>55</v>
      </c>
      <c r="G6" s="25">
        <v>100.79</v>
      </c>
      <c r="H6">
        <v>100.79</v>
      </c>
      <c r="I6" t="s">
        <v>56</v>
      </c>
      <c r="J6" t="s">
        <v>56</v>
      </c>
      <c r="L6" s="24">
        <v>1500000</v>
      </c>
      <c r="N6" s="24">
        <v>1500000</v>
      </c>
      <c r="O6" t="s">
        <v>57</v>
      </c>
      <c r="Q6" t="s">
        <v>57</v>
      </c>
      <c r="R6" t="s">
        <v>58</v>
      </c>
      <c r="S6">
        <v>14882</v>
      </c>
      <c r="T6" t="s">
        <v>59</v>
      </c>
      <c r="U6" t="s">
        <v>60</v>
      </c>
      <c r="V6" t="s">
        <v>61</v>
      </c>
      <c r="W6" t="s">
        <v>62</v>
      </c>
      <c r="X6">
        <v>1926195</v>
      </c>
      <c r="Y6" s="11">
        <v>44775</v>
      </c>
      <c r="Z6" t="s">
        <v>57</v>
      </c>
      <c r="AA6">
        <v>1</v>
      </c>
      <c r="AB6" t="s">
        <v>57</v>
      </c>
      <c r="AD6" t="s">
        <v>57</v>
      </c>
      <c r="AE6" t="s">
        <v>57</v>
      </c>
      <c r="AF6" t="s">
        <v>57</v>
      </c>
      <c r="AG6">
        <v>1</v>
      </c>
      <c r="AH6" t="s">
        <v>57</v>
      </c>
      <c r="AI6">
        <v>55292936</v>
      </c>
      <c r="AJ6" t="s">
        <v>55</v>
      </c>
      <c r="AL6" t="s">
        <v>73</v>
      </c>
      <c r="AM6" s="11">
        <v>44701</v>
      </c>
      <c r="AN6" t="s">
        <v>64</v>
      </c>
      <c r="AO6" t="s">
        <v>65</v>
      </c>
      <c r="AP6">
        <v>1201</v>
      </c>
      <c r="AQ6" t="s">
        <v>66</v>
      </c>
      <c r="AR6" t="s">
        <v>74</v>
      </c>
      <c r="AU6" t="s">
        <v>57</v>
      </c>
      <c r="AV6" t="s">
        <v>68</v>
      </c>
      <c r="AX6">
        <v>22002653</v>
      </c>
      <c r="AY6">
        <v>630300</v>
      </c>
      <c r="AZ6">
        <v>1201.6303</v>
      </c>
      <c r="BA6" s="23" t="s">
        <v>0</v>
      </c>
    </row>
    <row r="7" spans="1:53" x14ac:dyDescent="0.25">
      <c r="A7" t="s">
        <v>53</v>
      </c>
      <c r="B7" t="s">
        <v>54</v>
      </c>
      <c r="C7">
        <v>22010675</v>
      </c>
      <c r="D7">
        <v>1201</v>
      </c>
      <c r="E7" s="11">
        <v>44775</v>
      </c>
      <c r="F7" t="s">
        <v>55</v>
      </c>
      <c r="G7" s="25">
        <v>100.79</v>
      </c>
      <c r="H7">
        <v>100.79</v>
      </c>
      <c r="I7" t="s">
        <v>56</v>
      </c>
      <c r="J7" t="s">
        <v>56</v>
      </c>
      <c r="L7" s="24">
        <v>1500000</v>
      </c>
      <c r="N7" s="24">
        <v>1500000</v>
      </c>
      <c r="O7" t="s">
        <v>57</v>
      </c>
      <c r="Q7" t="s">
        <v>57</v>
      </c>
      <c r="R7" t="s">
        <v>58</v>
      </c>
      <c r="S7">
        <v>14882</v>
      </c>
      <c r="T7" t="s">
        <v>59</v>
      </c>
      <c r="U7" t="s">
        <v>60</v>
      </c>
      <c r="V7" t="s">
        <v>61</v>
      </c>
      <c r="W7" t="s">
        <v>62</v>
      </c>
      <c r="X7">
        <v>1926195</v>
      </c>
      <c r="Y7" s="11">
        <v>44775</v>
      </c>
      <c r="Z7" t="s">
        <v>57</v>
      </c>
      <c r="AA7">
        <v>1</v>
      </c>
      <c r="AB7" t="s">
        <v>57</v>
      </c>
      <c r="AD7" t="s">
        <v>57</v>
      </c>
      <c r="AE7" t="s">
        <v>57</v>
      </c>
      <c r="AF7" t="s">
        <v>57</v>
      </c>
      <c r="AG7">
        <v>1</v>
      </c>
      <c r="AH7" t="s">
        <v>57</v>
      </c>
      <c r="AI7">
        <v>55292936</v>
      </c>
      <c r="AJ7" t="s">
        <v>55</v>
      </c>
      <c r="AL7" t="s">
        <v>77</v>
      </c>
      <c r="AM7" s="11">
        <v>44701</v>
      </c>
      <c r="AN7" t="s">
        <v>64</v>
      </c>
      <c r="AO7" t="s">
        <v>65</v>
      </c>
      <c r="AP7">
        <v>1201</v>
      </c>
      <c r="AQ7" t="s">
        <v>66</v>
      </c>
      <c r="AR7" t="s">
        <v>78</v>
      </c>
      <c r="AU7" t="s">
        <v>57</v>
      </c>
      <c r="AV7" t="s">
        <v>68</v>
      </c>
      <c r="AX7">
        <v>22002653</v>
      </c>
      <c r="AY7">
        <v>630300</v>
      </c>
      <c r="AZ7">
        <v>1201.6303</v>
      </c>
      <c r="BA7" s="23" t="s">
        <v>0</v>
      </c>
    </row>
    <row r="8" spans="1:53" x14ac:dyDescent="0.25">
      <c r="A8" t="s">
        <v>53</v>
      </c>
      <c r="B8" t="s">
        <v>54</v>
      </c>
      <c r="C8">
        <v>22010883</v>
      </c>
      <c r="D8">
        <v>1201</v>
      </c>
      <c r="E8" s="11">
        <v>44782</v>
      </c>
      <c r="F8" t="s">
        <v>55</v>
      </c>
      <c r="G8" s="25">
        <v>188.43</v>
      </c>
      <c r="H8">
        <v>188.43</v>
      </c>
      <c r="I8" t="s">
        <v>56</v>
      </c>
      <c r="J8" t="s">
        <v>56</v>
      </c>
      <c r="L8" s="24">
        <v>2800000</v>
      </c>
      <c r="N8" s="24">
        <v>2800000</v>
      </c>
      <c r="O8" t="s">
        <v>57</v>
      </c>
      <c r="Q8" t="s">
        <v>57</v>
      </c>
      <c r="R8" t="s">
        <v>58</v>
      </c>
      <c r="S8">
        <v>14860</v>
      </c>
      <c r="T8" t="s">
        <v>59</v>
      </c>
      <c r="U8" t="s">
        <v>60</v>
      </c>
      <c r="V8" t="s">
        <v>61</v>
      </c>
      <c r="W8" t="s">
        <v>62</v>
      </c>
      <c r="X8">
        <v>1929246</v>
      </c>
      <c r="Y8" s="11">
        <v>44782</v>
      </c>
      <c r="Z8" t="s">
        <v>57</v>
      </c>
      <c r="AA8">
        <v>1</v>
      </c>
      <c r="AB8" t="s">
        <v>57</v>
      </c>
      <c r="AD8" t="s">
        <v>57</v>
      </c>
      <c r="AE8" t="s">
        <v>57</v>
      </c>
      <c r="AF8" t="s">
        <v>57</v>
      </c>
      <c r="AG8">
        <v>8</v>
      </c>
      <c r="AH8" t="s">
        <v>57</v>
      </c>
      <c r="AI8">
        <v>55292936</v>
      </c>
      <c r="AJ8" t="s">
        <v>55</v>
      </c>
      <c r="AL8" t="s">
        <v>259</v>
      </c>
      <c r="AM8" s="11">
        <v>44701</v>
      </c>
      <c r="AN8" t="s">
        <v>64</v>
      </c>
      <c r="AO8" t="s">
        <v>65</v>
      </c>
      <c r="AP8">
        <v>1201</v>
      </c>
      <c r="AQ8" t="s">
        <v>66</v>
      </c>
      <c r="AR8" t="s">
        <v>260</v>
      </c>
      <c r="AU8" t="s">
        <v>57</v>
      </c>
      <c r="AV8" t="s">
        <v>68</v>
      </c>
      <c r="AX8">
        <v>22002701</v>
      </c>
      <c r="AY8">
        <v>630300</v>
      </c>
      <c r="AZ8">
        <v>1201.6303</v>
      </c>
      <c r="BA8" s="23" t="s">
        <v>0</v>
      </c>
    </row>
    <row r="9" spans="1:53" x14ac:dyDescent="0.25">
      <c r="A9" t="s">
        <v>53</v>
      </c>
      <c r="B9" t="s">
        <v>54</v>
      </c>
      <c r="C9">
        <v>22010884</v>
      </c>
      <c r="D9">
        <v>1201</v>
      </c>
      <c r="E9" s="11">
        <v>44782</v>
      </c>
      <c r="F9" t="s">
        <v>55</v>
      </c>
      <c r="G9" s="25">
        <v>188.43</v>
      </c>
      <c r="H9">
        <v>188.43</v>
      </c>
      <c r="I9" t="s">
        <v>56</v>
      </c>
      <c r="J9" t="s">
        <v>56</v>
      </c>
      <c r="L9" s="24">
        <v>2800000</v>
      </c>
      <c r="N9" s="24">
        <v>2800000</v>
      </c>
      <c r="O9" t="s">
        <v>57</v>
      </c>
      <c r="Q9" t="s">
        <v>57</v>
      </c>
      <c r="R9" t="s">
        <v>58</v>
      </c>
      <c r="S9">
        <v>14860</v>
      </c>
      <c r="T9" t="s">
        <v>59</v>
      </c>
      <c r="U9" t="s">
        <v>60</v>
      </c>
      <c r="V9" t="s">
        <v>61</v>
      </c>
      <c r="W9" t="s">
        <v>62</v>
      </c>
      <c r="X9">
        <v>1929246</v>
      </c>
      <c r="Y9" s="11">
        <v>44782</v>
      </c>
      <c r="Z9" t="s">
        <v>57</v>
      </c>
      <c r="AA9">
        <v>1</v>
      </c>
      <c r="AB9" t="s">
        <v>57</v>
      </c>
      <c r="AD9" t="s">
        <v>57</v>
      </c>
      <c r="AE9" t="s">
        <v>57</v>
      </c>
      <c r="AF9" t="s">
        <v>57</v>
      </c>
      <c r="AG9">
        <v>8</v>
      </c>
      <c r="AH9" t="s">
        <v>57</v>
      </c>
      <c r="AI9">
        <v>55292936</v>
      </c>
      <c r="AJ9" t="s">
        <v>55</v>
      </c>
      <c r="AL9" t="s">
        <v>261</v>
      </c>
      <c r="AM9" s="11">
        <v>44701</v>
      </c>
      <c r="AN9" t="s">
        <v>64</v>
      </c>
      <c r="AO9" t="s">
        <v>65</v>
      </c>
      <c r="AP9">
        <v>1201</v>
      </c>
      <c r="AQ9" t="s">
        <v>66</v>
      </c>
      <c r="AR9" t="s">
        <v>262</v>
      </c>
      <c r="AU9" t="s">
        <v>57</v>
      </c>
      <c r="AV9" t="s">
        <v>68</v>
      </c>
      <c r="AX9">
        <v>22002701</v>
      </c>
      <c r="AY9">
        <v>630300</v>
      </c>
      <c r="AZ9">
        <v>1201.6303</v>
      </c>
      <c r="BA9" s="23" t="s">
        <v>0</v>
      </c>
    </row>
    <row r="10" spans="1:53" x14ac:dyDescent="0.25">
      <c r="A10" t="s">
        <v>53</v>
      </c>
      <c r="B10" t="s">
        <v>54</v>
      </c>
      <c r="C10">
        <v>22010885</v>
      </c>
      <c r="D10">
        <v>1201</v>
      </c>
      <c r="E10" s="11">
        <v>44782</v>
      </c>
      <c r="F10" t="s">
        <v>55</v>
      </c>
      <c r="G10" s="25">
        <v>188.43</v>
      </c>
      <c r="H10">
        <v>188.43</v>
      </c>
      <c r="I10" t="s">
        <v>56</v>
      </c>
      <c r="J10" t="s">
        <v>56</v>
      </c>
      <c r="L10" s="24">
        <v>2800000</v>
      </c>
      <c r="N10" s="24">
        <v>2800000</v>
      </c>
      <c r="O10" t="s">
        <v>57</v>
      </c>
      <c r="Q10" t="s">
        <v>57</v>
      </c>
      <c r="R10" t="s">
        <v>58</v>
      </c>
      <c r="S10">
        <v>14860</v>
      </c>
      <c r="T10" t="s">
        <v>59</v>
      </c>
      <c r="U10" t="s">
        <v>60</v>
      </c>
      <c r="V10" t="s">
        <v>61</v>
      </c>
      <c r="W10" t="s">
        <v>62</v>
      </c>
      <c r="X10">
        <v>1929246</v>
      </c>
      <c r="Y10" s="11">
        <v>44782</v>
      </c>
      <c r="Z10" t="s">
        <v>57</v>
      </c>
      <c r="AA10">
        <v>1</v>
      </c>
      <c r="AB10" t="s">
        <v>57</v>
      </c>
      <c r="AD10" t="s">
        <v>57</v>
      </c>
      <c r="AE10" t="s">
        <v>57</v>
      </c>
      <c r="AF10" t="s">
        <v>57</v>
      </c>
      <c r="AG10">
        <v>8</v>
      </c>
      <c r="AH10" t="s">
        <v>57</v>
      </c>
      <c r="AI10">
        <v>55292936</v>
      </c>
      <c r="AJ10" t="s">
        <v>55</v>
      </c>
      <c r="AL10" t="s">
        <v>263</v>
      </c>
      <c r="AM10" s="11">
        <v>44708</v>
      </c>
      <c r="AN10" t="s">
        <v>64</v>
      </c>
      <c r="AO10" t="s">
        <v>65</v>
      </c>
      <c r="AP10">
        <v>1201</v>
      </c>
      <c r="AQ10" t="s">
        <v>66</v>
      </c>
      <c r="AR10" t="s">
        <v>264</v>
      </c>
      <c r="AU10" t="s">
        <v>57</v>
      </c>
      <c r="AV10" t="s">
        <v>68</v>
      </c>
      <c r="AX10">
        <v>22002701</v>
      </c>
      <c r="AY10">
        <v>630300</v>
      </c>
      <c r="AZ10">
        <v>1201.6303</v>
      </c>
      <c r="BA10" s="23" t="s">
        <v>0</v>
      </c>
    </row>
    <row r="11" spans="1:53" x14ac:dyDescent="0.25">
      <c r="A11" t="s">
        <v>53</v>
      </c>
      <c r="B11" t="s">
        <v>54</v>
      </c>
      <c r="C11">
        <v>22010672</v>
      </c>
      <c r="D11">
        <v>1201</v>
      </c>
      <c r="E11" s="11">
        <v>44775</v>
      </c>
      <c r="F11" t="s">
        <v>55</v>
      </c>
      <c r="G11" s="27">
        <v>201.59</v>
      </c>
      <c r="H11">
        <v>201.59</v>
      </c>
      <c r="I11" t="s">
        <v>56</v>
      </c>
      <c r="J11" t="s">
        <v>56</v>
      </c>
      <c r="L11" s="24">
        <v>3000000</v>
      </c>
      <c r="N11" s="24">
        <v>3000000</v>
      </c>
      <c r="O11" t="s">
        <v>57</v>
      </c>
      <c r="Q11" t="s">
        <v>57</v>
      </c>
      <c r="R11" t="s">
        <v>58</v>
      </c>
      <c r="S11">
        <v>14882</v>
      </c>
      <c r="T11" t="s">
        <v>59</v>
      </c>
      <c r="U11" t="s">
        <v>60</v>
      </c>
      <c r="V11" t="s">
        <v>61</v>
      </c>
      <c r="W11" t="s">
        <v>62</v>
      </c>
      <c r="X11">
        <v>1926195</v>
      </c>
      <c r="Y11" s="11">
        <v>44775</v>
      </c>
      <c r="Z11" t="s">
        <v>57</v>
      </c>
      <c r="AA11">
        <v>1</v>
      </c>
      <c r="AB11" t="s">
        <v>57</v>
      </c>
      <c r="AD11" t="s">
        <v>57</v>
      </c>
      <c r="AE11" t="s">
        <v>57</v>
      </c>
      <c r="AF11" t="s">
        <v>57</v>
      </c>
      <c r="AG11">
        <v>1</v>
      </c>
      <c r="AH11" t="s">
        <v>57</v>
      </c>
      <c r="AI11">
        <v>55292936</v>
      </c>
      <c r="AJ11" t="s">
        <v>55</v>
      </c>
      <c r="AL11" t="s">
        <v>71</v>
      </c>
      <c r="AM11" s="11">
        <v>44701</v>
      </c>
      <c r="AN11" t="s">
        <v>64</v>
      </c>
      <c r="AO11" t="s">
        <v>65</v>
      </c>
      <c r="AP11">
        <v>1201</v>
      </c>
      <c r="AQ11" t="s">
        <v>66</v>
      </c>
      <c r="AR11" t="s">
        <v>72</v>
      </c>
      <c r="AU11" t="s">
        <v>57</v>
      </c>
      <c r="AV11" t="s">
        <v>68</v>
      </c>
      <c r="AX11">
        <v>22002653</v>
      </c>
      <c r="AY11">
        <v>630300</v>
      </c>
      <c r="AZ11">
        <v>1201.6303</v>
      </c>
      <c r="BA11" s="23" t="s">
        <v>0</v>
      </c>
    </row>
    <row r="12" spans="1:53" x14ac:dyDescent="0.25">
      <c r="A12" t="s">
        <v>53</v>
      </c>
      <c r="B12" t="s">
        <v>54</v>
      </c>
      <c r="C12">
        <v>22010674</v>
      </c>
      <c r="D12">
        <v>1201</v>
      </c>
      <c r="E12" s="11">
        <v>44775</v>
      </c>
      <c r="F12" t="s">
        <v>55</v>
      </c>
      <c r="G12" s="27">
        <v>268.77999999999997</v>
      </c>
      <c r="H12">
        <v>268.77999999999997</v>
      </c>
      <c r="I12" t="s">
        <v>56</v>
      </c>
      <c r="J12" t="s">
        <v>56</v>
      </c>
      <c r="L12" s="24">
        <v>4000000</v>
      </c>
      <c r="N12" s="24">
        <v>4000000</v>
      </c>
      <c r="O12" t="s">
        <v>57</v>
      </c>
      <c r="Q12" t="s">
        <v>57</v>
      </c>
      <c r="R12" t="s">
        <v>58</v>
      </c>
      <c r="S12">
        <v>14882</v>
      </c>
      <c r="T12" t="s">
        <v>59</v>
      </c>
      <c r="U12" t="s">
        <v>60</v>
      </c>
      <c r="V12" t="s">
        <v>61</v>
      </c>
      <c r="W12" t="s">
        <v>62</v>
      </c>
      <c r="X12">
        <v>1926195</v>
      </c>
      <c r="Y12" s="11">
        <v>44775</v>
      </c>
      <c r="Z12" t="s">
        <v>57</v>
      </c>
      <c r="AA12">
        <v>1</v>
      </c>
      <c r="AB12" t="s">
        <v>57</v>
      </c>
      <c r="AD12" t="s">
        <v>57</v>
      </c>
      <c r="AE12" t="s">
        <v>57</v>
      </c>
      <c r="AF12" t="s">
        <v>57</v>
      </c>
      <c r="AG12">
        <v>8</v>
      </c>
      <c r="AH12" t="s">
        <v>57</v>
      </c>
      <c r="AI12">
        <v>55292936</v>
      </c>
      <c r="AJ12" t="s">
        <v>55</v>
      </c>
      <c r="AL12" t="s">
        <v>75</v>
      </c>
      <c r="AM12" s="11">
        <v>44701</v>
      </c>
      <c r="AN12" t="s">
        <v>64</v>
      </c>
      <c r="AO12" t="s">
        <v>65</v>
      </c>
      <c r="AP12">
        <v>1201</v>
      </c>
      <c r="AQ12" t="s">
        <v>66</v>
      </c>
      <c r="AR12" t="s">
        <v>76</v>
      </c>
      <c r="AU12" t="s">
        <v>57</v>
      </c>
      <c r="AV12" t="s">
        <v>68</v>
      </c>
      <c r="AX12">
        <v>22002653</v>
      </c>
      <c r="AY12">
        <v>630300</v>
      </c>
      <c r="AZ12">
        <v>1201.6303</v>
      </c>
      <c r="BA12" s="23" t="s">
        <v>0</v>
      </c>
    </row>
    <row r="13" spans="1:53" x14ac:dyDescent="0.25">
      <c r="A13" t="s">
        <v>53</v>
      </c>
      <c r="B13" t="s">
        <v>54</v>
      </c>
      <c r="C13">
        <v>22010670</v>
      </c>
      <c r="D13">
        <v>1201</v>
      </c>
      <c r="E13" s="11">
        <v>44775</v>
      </c>
      <c r="F13" t="s">
        <v>55</v>
      </c>
      <c r="G13" s="27">
        <v>537.55999999999995</v>
      </c>
      <c r="H13">
        <v>537.55999999999995</v>
      </c>
      <c r="I13" t="s">
        <v>56</v>
      </c>
      <c r="J13" t="s">
        <v>56</v>
      </c>
      <c r="L13" s="24">
        <v>8000000</v>
      </c>
      <c r="N13" s="24">
        <v>8000000</v>
      </c>
      <c r="O13" t="s">
        <v>57</v>
      </c>
      <c r="Q13" t="s">
        <v>57</v>
      </c>
      <c r="R13" t="s">
        <v>58</v>
      </c>
      <c r="S13">
        <v>14882</v>
      </c>
      <c r="T13" t="s">
        <v>59</v>
      </c>
      <c r="U13" t="s">
        <v>60</v>
      </c>
      <c r="V13" t="s">
        <v>61</v>
      </c>
      <c r="W13" t="s">
        <v>62</v>
      </c>
      <c r="X13">
        <v>1925637</v>
      </c>
      <c r="Y13" s="11">
        <v>44775</v>
      </c>
      <c r="Z13" t="s">
        <v>57</v>
      </c>
      <c r="AA13">
        <v>1</v>
      </c>
      <c r="AB13" t="s">
        <v>57</v>
      </c>
      <c r="AD13" t="s">
        <v>57</v>
      </c>
      <c r="AE13" t="s">
        <v>57</v>
      </c>
      <c r="AF13" t="s">
        <v>57</v>
      </c>
      <c r="AG13">
        <v>4</v>
      </c>
      <c r="AH13" t="s">
        <v>57</v>
      </c>
      <c r="AI13">
        <v>55292936</v>
      </c>
      <c r="AJ13" t="s">
        <v>55</v>
      </c>
      <c r="AL13" t="s">
        <v>63</v>
      </c>
      <c r="AM13" s="11">
        <v>44701</v>
      </c>
      <c r="AN13" t="s">
        <v>64</v>
      </c>
      <c r="AO13" t="s">
        <v>65</v>
      </c>
      <c r="AP13">
        <v>1201</v>
      </c>
      <c r="AQ13" t="s">
        <v>66</v>
      </c>
      <c r="AR13" t="s">
        <v>67</v>
      </c>
      <c r="AU13" t="s">
        <v>57</v>
      </c>
      <c r="AV13" t="s">
        <v>68</v>
      </c>
      <c r="AX13">
        <v>22002653</v>
      </c>
      <c r="AY13">
        <v>630300</v>
      </c>
      <c r="AZ13">
        <v>1201.6303</v>
      </c>
      <c r="BA13" s="23" t="s">
        <v>0</v>
      </c>
    </row>
    <row r="14" spans="1:53" x14ac:dyDescent="0.25">
      <c r="A14" t="s">
        <v>53</v>
      </c>
      <c r="B14" t="s">
        <v>54</v>
      </c>
      <c r="C14">
        <v>22010671</v>
      </c>
      <c r="D14">
        <v>1201</v>
      </c>
      <c r="E14" s="11">
        <v>44775</v>
      </c>
      <c r="F14" t="s">
        <v>55</v>
      </c>
      <c r="G14" s="27">
        <v>537.55999999999995</v>
      </c>
      <c r="H14">
        <v>537.55999999999995</v>
      </c>
      <c r="I14" t="s">
        <v>56</v>
      </c>
      <c r="J14" t="s">
        <v>56</v>
      </c>
      <c r="L14" s="24">
        <v>8000000</v>
      </c>
      <c r="N14" s="24">
        <v>8000000</v>
      </c>
      <c r="O14" t="s">
        <v>57</v>
      </c>
      <c r="Q14" t="s">
        <v>57</v>
      </c>
      <c r="R14" t="s">
        <v>58</v>
      </c>
      <c r="S14">
        <v>14882</v>
      </c>
      <c r="T14" t="s">
        <v>59</v>
      </c>
      <c r="U14" t="s">
        <v>60</v>
      </c>
      <c r="V14" t="s">
        <v>61</v>
      </c>
      <c r="W14" t="s">
        <v>62</v>
      </c>
      <c r="X14">
        <v>1925637</v>
      </c>
      <c r="Y14" s="11">
        <v>44775</v>
      </c>
      <c r="Z14" t="s">
        <v>57</v>
      </c>
      <c r="AA14">
        <v>1</v>
      </c>
      <c r="AB14" t="s">
        <v>57</v>
      </c>
      <c r="AD14" t="s">
        <v>57</v>
      </c>
      <c r="AE14" t="s">
        <v>57</v>
      </c>
      <c r="AF14" t="s">
        <v>57</v>
      </c>
      <c r="AG14">
        <v>4</v>
      </c>
      <c r="AH14" t="s">
        <v>57</v>
      </c>
      <c r="AI14">
        <v>55292936</v>
      </c>
      <c r="AJ14" t="s">
        <v>55</v>
      </c>
      <c r="AL14" t="s">
        <v>69</v>
      </c>
      <c r="AM14" s="11">
        <v>44701</v>
      </c>
      <c r="AN14" t="s">
        <v>64</v>
      </c>
      <c r="AO14" t="s">
        <v>65</v>
      </c>
      <c r="AP14">
        <v>1201</v>
      </c>
      <c r="AQ14" t="s">
        <v>66</v>
      </c>
      <c r="AR14" t="s">
        <v>70</v>
      </c>
      <c r="AU14" t="s">
        <v>57</v>
      </c>
      <c r="AV14" t="s">
        <v>68</v>
      </c>
      <c r="AX14">
        <v>22002653</v>
      </c>
      <c r="AY14">
        <v>630300</v>
      </c>
      <c r="AZ14">
        <v>1201.6303</v>
      </c>
      <c r="BA14" s="23" t="s">
        <v>0</v>
      </c>
    </row>
    <row r="15" spans="1:53" x14ac:dyDescent="0.25">
      <c r="A15" t="s">
        <v>265</v>
      </c>
      <c r="B15" t="s">
        <v>266</v>
      </c>
      <c r="C15">
        <v>22001580</v>
      </c>
      <c r="D15">
        <v>1201</v>
      </c>
      <c r="E15" s="11">
        <v>44783</v>
      </c>
      <c r="F15" t="s">
        <v>267</v>
      </c>
      <c r="G15" s="27">
        <v>927.07</v>
      </c>
      <c r="H15">
        <v>927.07</v>
      </c>
      <c r="I15" t="s">
        <v>56</v>
      </c>
      <c r="J15" t="s">
        <v>56</v>
      </c>
      <c r="L15" s="24">
        <v>13776238</v>
      </c>
      <c r="N15" s="24">
        <v>13776238</v>
      </c>
      <c r="O15" t="s">
        <v>57</v>
      </c>
      <c r="Q15" t="s">
        <v>57</v>
      </c>
      <c r="R15" t="s">
        <v>58</v>
      </c>
      <c r="S15">
        <v>14860</v>
      </c>
      <c r="T15" t="s">
        <v>59</v>
      </c>
      <c r="U15" t="s">
        <v>60</v>
      </c>
      <c r="V15" t="s">
        <v>268</v>
      </c>
      <c r="W15" t="s">
        <v>269</v>
      </c>
      <c r="X15">
        <v>1930273</v>
      </c>
      <c r="Y15" s="11">
        <v>44783</v>
      </c>
      <c r="Z15" t="s">
        <v>57</v>
      </c>
      <c r="AA15">
        <v>1</v>
      </c>
      <c r="AB15" t="s">
        <v>57</v>
      </c>
      <c r="AD15" t="s">
        <v>57</v>
      </c>
      <c r="AE15" t="s">
        <v>57</v>
      </c>
      <c r="AF15" t="s">
        <v>57</v>
      </c>
      <c r="AH15" t="s">
        <v>57</v>
      </c>
      <c r="AL15" t="s">
        <v>57</v>
      </c>
      <c r="AM15" s="11">
        <v>44783</v>
      </c>
      <c r="AN15" t="s">
        <v>270</v>
      </c>
      <c r="AO15" t="s">
        <v>65</v>
      </c>
      <c r="AP15">
        <v>1201</v>
      </c>
      <c r="AQ15" t="s">
        <v>66</v>
      </c>
      <c r="AR15" t="s">
        <v>271</v>
      </c>
      <c r="AU15" t="s">
        <v>57</v>
      </c>
      <c r="AV15" t="s">
        <v>68</v>
      </c>
      <c r="AX15" t="s">
        <v>57</v>
      </c>
      <c r="AY15">
        <v>630300</v>
      </c>
      <c r="AZ15">
        <v>1201.6303</v>
      </c>
      <c r="BA15" s="23" t="s">
        <v>0</v>
      </c>
    </row>
  </sheetData>
  <autoFilter ref="A3:BA3" xr:uid="{59255357-35D6-4A79-A829-FD7E148C11AA}"/>
  <sortState xmlns:xlrd2="http://schemas.microsoft.com/office/spreadsheetml/2017/richdata2" ref="A4:BA15">
    <sortCondition ref="G4:G10000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0D810-C700-4389-B2C4-CBA4ED95712C}">
  <dimension ref="A1:BA17"/>
  <sheetViews>
    <sheetView workbookViewId="0"/>
  </sheetViews>
  <sheetFormatPr defaultRowHeight="15" x14ac:dyDescent="0.25"/>
  <cols>
    <col min="7" max="7" width="9.140625" style="25"/>
  </cols>
  <sheetData>
    <row r="1" spans="1:53" x14ac:dyDescent="0.25">
      <c r="G1" s="26">
        <v>0</v>
      </c>
    </row>
    <row r="2" spans="1:53" x14ac:dyDescent="0.25">
      <c r="G2" s="26">
        <f>SUBTOTAL(9,G4:G1000002)</f>
        <v>33.39</v>
      </c>
    </row>
    <row r="3" spans="1:53" s="3" customFormat="1" x14ac:dyDescent="0.25">
      <c r="A3" s="3" t="s">
        <v>194</v>
      </c>
      <c r="B3" s="3" t="s">
        <v>195</v>
      </c>
      <c r="C3" s="3" t="s">
        <v>196</v>
      </c>
      <c r="D3" s="3" t="s">
        <v>197</v>
      </c>
      <c r="E3" s="3" t="s">
        <v>198</v>
      </c>
      <c r="F3" s="3" t="s">
        <v>199</v>
      </c>
      <c r="G3" s="26" t="s">
        <v>200</v>
      </c>
      <c r="H3" s="3" t="s">
        <v>201</v>
      </c>
      <c r="I3" s="3" t="s">
        <v>202</v>
      </c>
      <c r="J3" s="3" t="s">
        <v>203</v>
      </c>
      <c r="K3" s="3" t="s">
        <v>204</v>
      </c>
      <c r="L3" s="3" t="s">
        <v>205</v>
      </c>
      <c r="M3" s="3" t="s">
        <v>206</v>
      </c>
      <c r="N3" s="3" t="s">
        <v>207</v>
      </c>
      <c r="O3" s="3" t="s">
        <v>208</v>
      </c>
      <c r="P3" s="3" t="s">
        <v>209</v>
      </c>
      <c r="Q3" s="3" t="s">
        <v>210</v>
      </c>
      <c r="R3" s="3" t="s">
        <v>211</v>
      </c>
      <c r="S3" s="3" t="s">
        <v>212</v>
      </c>
      <c r="T3" s="3" t="s">
        <v>213</v>
      </c>
      <c r="U3" s="3" t="s">
        <v>214</v>
      </c>
      <c r="V3" s="3" t="s">
        <v>215</v>
      </c>
      <c r="W3" s="3" t="s">
        <v>216</v>
      </c>
      <c r="X3" s="3" t="s">
        <v>217</v>
      </c>
      <c r="Y3" s="3" t="s">
        <v>218</v>
      </c>
      <c r="Z3" s="3" t="s">
        <v>219</v>
      </c>
      <c r="AA3" s="3" t="s">
        <v>220</v>
      </c>
      <c r="AB3" s="3" t="s">
        <v>221</v>
      </c>
      <c r="AC3" s="3" t="s">
        <v>222</v>
      </c>
      <c r="AD3" s="3" t="s">
        <v>223</v>
      </c>
      <c r="AE3" s="3" t="s">
        <v>224</v>
      </c>
      <c r="AF3" s="3" t="s">
        <v>225</v>
      </c>
      <c r="AG3" s="3" t="s">
        <v>226</v>
      </c>
      <c r="AH3" s="3" t="s">
        <v>227</v>
      </c>
      <c r="AI3" s="3" t="s">
        <v>228</v>
      </c>
      <c r="AJ3" s="3" t="s">
        <v>229</v>
      </c>
      <c r="AK3" s="3" t="s">
        <v>230</v>
      </c>
      <c r="AL3" s="3" t="s">
        <v>231</v>
      </c>
      <c r="AM3" s="3" t="s">
        <v>232</v>
      </c>
      <c r="AN3" s="3" t="s">
        <v>233</v>
      </c>
      <c r="AO3" s="3" t="s">
        <v>234</v>
      </c>
      <c r="AP3" s="3" t="s">
        <v>235</v>
      </c>
      <c r="AQ3" s="3" t="s">
        <v>236</v>
      </c>
      <c r="AR3" s="3" t="s">
        <v>237</v>
      </c>
      <c r="AS3" s="3" t="s">
        <v>238</v>
      </c>
      <c r="AT3" s="3" t="s">
        <v>239</v>
      </c>
      <c r="AU3" s="3" t="s">
        <v>240</v>
      </c>
      <c r="AV3" s="3" t="s">
        <v>241</v>
      </c>
      <c r="AW3" s="3" t="s">
        <v>242</v>
      </c>
      <c r="AX3" s="3" t="s">
        <v>243</v>
      </c>
      <c r="AY3" s="3" t="s">
        <v>244</v>
      </c>
      <c r="AZ3" s="3" t="s">
        <v>245</v>
      </c>
      <c r="BA3" s="3" t="s">
        <v>19</v>
      </c>
    </row>
    <row r="4" spans="1:53" x14ac:dyDescent="0.25">
      <c r="A4" t="s">
        <v>134</v>
      </c>
      <c r="B4" t="s">
        <v>135</v>
      </c>
      <c r="C4">
        <v>22001887</v>
      </c>
      <c r="D4">
        <v>1201</v>
      </c>
      <c r="E4" s="11">
        <v>44789</v>
      </c>
      <c r="F4" t="s">
        <v>306</v>
      </c>
      <c r="G4" s="27">
        <v>0.32</v>
      </c>
      <c r="H4">
        <v>0.32</v>
      </c>
      <c r="I4" t="s">
        <v>56</v>
      </c>
      <c r="O4" t="s">
        <v>57</v>
      </c>
      <c r="Q4" t="s">
        <v>57</v>
      </c>
      <c r="R4" t="s">
        <v>137</v>
      </c>
      <c r="T4" t="s">
        <v>59</v>
      </c>
      <c r="U4" t="s">
        <v>60</v>
      </c>
      <c r="V4" t="s">
        <v>138</v>
      </c>
      <c r="W4" t="s">
        <v>139</v>
      </c>
      <c r="X4">
        <v>1934031</v>
      </c>
      <c r="Y4" s="11">
        <v>44792</v>
      </c>
      <c r="Z4" t="s">
        <v>57</v>
      </c>
      <c r="AA4">
        <v>12</v>
      </c>
      <c r="AB4" t="s">
        <v>57</v>
      </c>
      <c r="AD4" t="s">
        <v>57</v>
      </c>
      <c r="AE4" t="s">
        <v>57</v>
      </c>
      <c r="AF4" t="s">
        <v>57</v>
      </c>
      <c r="AG4">
        <v>9</v>
      </c>
      <c r="AH4" t="s">
        <v>57</v>
      </c>
      <c r="AL4" t="s">
        <v>57</v>
      </c>
      <c r="AM4" s="11">
        <v>44789</v>
      </c>
      <c r="AN4" t="s">
        <v>164</v>
      </c>
      <c r="AO4" t="s">
        <v>65</v>
      </c>
      <c r="AP4">
        <v>1201</v>
      </c>
      <c r="AQ4" t="s">
        <v>66</v>
      </c>
      <c r="AR4">
        <v>268975</v>
      </c>
      <c r="AU4" t="s">
        <v>57</v>
      </c>
      <c r="AV4" t="s">
        <v>68</v>
      </c>
      <c r="AX4" t="s">
        <v>57</v>
      </c>
      <c r="AY4">
        <v>631150</v>
      </c>
      <c r="AZ4">
        <v>1201.6311499999999</v>
      </c>
      <c r="BA4" s="23" t="s">
        <v>8</v>
      </c>
    </row>
    <row r="5" spans="1:53" x14ac:dyDescent="0.25">
      <c r="A5" t="s">
        <v>134</v>
      </c>
      <c r="B5" t="s">
        <v>135</v>
      </c>
      <c r="C5">
        <v>22001887</v>
      </c>
      <c r="D5">
        <v>1201</v>
      </c>
      <c r="E5" s="11">
        <v>44789</v>
      </c>
      <c r="F5" t="s">
        <v>306</v>
      </c>
      <c r="G5" s="27">
        <v>0.32</v>
      </c>
      <c r="H5">
        <v>0.32</v>
      </c>
      <c r="I5" t="s">
        <v>56</v>
      </c>
      <c r="O5" t="s">
        <v>57</v>
      </c>
      <c r="Q5" t="s">
        <v>57</v>
      </c>
      <c r="R5" t="s">
        <v>137</v>
      </c>
      <c r="T5" t="s">
        <v>59</v>
      </c>
      <c r="U5" t="s">
        <v>60</v>
      </c>
      <c r="V5" t="s">
        <v>138</v>
      </c>
      <c r="W5" t="s">
        <v>139</v>
      </c>
      <c r="X5">
        <v>1934031</v>
      </c>
      <c r="Y5" s="11">
        <v>44792</v>
      </c>
      <c r="Z5" t="s">
        <v>57</v>
      </c>
      <c r="AA5">
        <v>14</v>
      </c>
      <c r="AB5" t="s">
        <v>57</v>
      </c>
      <c r="AD5" t="s">
        <v>57</v>
      </c>
      <c r="AE5" t="s">
        <v>57</v>
      </c>
      <c r="AF5" t="s">
        <v>57</v>
      </c>
      <c r="AG5">
        <v>9</v>
      </c>
      <c r="AH5" t="s">
        <v>57</v>
      </c>
      <c r="AL5" t="s">
        <v>57</v>
      </c>
      <c r="AM5" s="11">
        <v>44789</v>
      </c>
      <c r="AN5" t="s">
        <v>164</v>
      </c>
      <c r="AO5" t="s">
        <v>65</v>
      </c>
      <c r="AP5">
        <v>1201</v>
      </c>
      <c r="AQ5" t="s">
        <v>66</v>
      </c>
      <c r="AR5">
        <v>268975</v>
      </c>
      <c r="AU5" t="s">
        <v>57</v>
      </c>
      <c r="AV5" t="s">
        <v>68</v>
      </c>
      <c r="AX5" t="s">
        <v>57</v>
      </c>
      <c r="AY5">
        <v>631150</v>
      </c>
      <c r="AZ5">
        <v>1201.6311499999999</v>
      </c>
      <c r="BA5" s="23" t="s">
        <v>8</v>
      </c>
    </row>
    <row r="6" spans="1:53" x14ac:dyDescent="0.25">
      <c r="A6" t="s">
        <v>134</v>
      </c>
      <c r="B6" t="s">
        <v>135</v>
      </c>
      <c r="C6">
        <v>22001887</v>
      </c>
      <c r="D6">
        <v>1201</v>
      </c>
      <c r="E6" s="11">
        <v>44789</v>
      </c>
      <c r="F6" t="s">
        <v>306</v>
      </c>
      <c r="G6" s="27">
        <v>0.73</v>
      </c>
      <c r="H6">
        <v>0.73</v>
      </c>
      <c r="I6" t="s">
        <v>56</v>
      </c>
      <c r="O6" t="s">
        <v>57</v>
      </c>
      <c r="Q6" t="s">
        <v>57</v>
      </c>
      <c r="R6" t="s">
        <v>137</v>
      </c>
      <c r="T6" t="s">
        <v>59</v>
      </c>
      <c r="U6" t="s">
        <v>60</v>
      </c>
      <c r="V6" t="s">
        <v>138</v>
      </c>
      <c r="W6" t="s">
        <v>139</v>
      </c>
      <c r="X6">
        <v>1934031</v>
      </c>
      <c r="Y6" s="11">
        <v>44792</v>
      </c>
      <c r="Z6" t="s">
        <v>57</v>
      </c>
      <c r="AA6">
        <v>6</v>
      </c>
      <c r="AB6" t="s">
        <v>57</v>
      </c>
      <c r="AD6" t="s">
        <v>57</v>
      </c>
      <c r="AE6" t="s">
        <v>57</v>
      </c>
      <c r="AF6" t="s">
        <v>57</v>
      </c>
      <c r="AG6">
        <v>51</v>
      </c>
      <c r="AH6" t="s">
        <v>57</v>
      </c>
      <c r="AL6" t="s">
        <v>57</v>
      </c>
      <c r="AM6" s="11">
        <v>44789</v>
      </c>
      <c r="AN6" t="s">
        <v>164</v>
      </c>
      <c r="AO6" t="s">
        <v>65</v>
      </c>
      <c r="AP6">
        <v>1201</v>
      </c>
      <c r="AQ6" t="s">
        <v>66</v>
      </c>
      <c r="AR6">
        <v>238989</v>
      </c>
      <c r="AU6" t="s">
        <v>57</v>
      </c>
      <c r="AV6" t="s">
        <v>68</v>
      </c>
      <c r="AX6" t="s">
        <v>57</v>
      </c>
      <c r="AY6">
        <v>631150</v>
      </c>
      <c r="AZ6">
        <v>1201.6311499999999</v>
      </c>
      <c r="BA6" s="23" t="s">
        <v>8</v>
      </c>
    </row>
    <row r="7" spans="1:53" x14ac:dyDescent="0.25">
      <c r="A7" t="s">
        <v>134</v>
      </c>
      <c r="B7" t="s">
        <v>135</v>
      </c>
      <c r="C7">
        <v>22001887</v>
      </c>
      <c r="D7">
        <v>1201</v>
      </c>
      <c r="E7" s="11">
        <v>44789</v>
      </c>
      <c r="F7" t="s">
        <v>306</v>
      </c>
      <c r="G7" s="27">
        <v>1.23</v>
      </c>
      <c r="H7">
        <v>1.23</v>
      </c>
      <c r="I7" t="s">
        <v>56</v>
      </c>
      <c r="O7" t="s">
        <v>57</v>
      </c>
      <c r="Q7" t="s">
        <v>57</v>
      </c>
      <c r="R7" t="s">
        <v>137</v>
      </c>
      <c r="T7" t="s">
        <v>59</v>
      </c>
      <c r="U7" t="s">
        <v>60</v>
      </c>
      <c r="V7" t="s">
        <v>138</v>
      </c>
      <c r="W7" t="s">
        <v>139</v>
      </c>
      <c r="X7">
        <v>1934031</v>
      </c>
      <c r="Y7" s="11">
        <v>44792</v>
      </c>
      <c r="Z7" t="s">
        <v>57</v>
      </c>
      <c r="AA7">
        <v>4</v>
      </c>
      <c r="AB7" t="s">
        <v>57</v>
      </c>
      <c r="AD7" t="s">
        <v>57</v>
      </c>
      <c r="AE7" t="s">
        <v>57</v>
      </c>
      <c r="AF7" t="s">
        <v>57</v>
      </c>
      <c r="AG7">
        <v>86</v>
      </c>
      <c r="AH7" t="s">
        <v>57</v>
      </c>
      <c r="AL7" t="s">
        <v>57</v>
      </c>
      <c r="AM7" s="11">
        <v>44789</v>
      </c>
      <c r="AN7" t="s">
        <v>164</v>
      </c>
      <c r="AO7" t="s">
        <v>65</v>
      </c>
      <c r="AP7">
        <v>1201</v>
      </c>
      <c r="AQ7" t="s">
        <v>66</v>
      </c>
      <c r="AR7">
        <v>238989</v>
      </c>
      <c r="AU7" t="s">
        <v>57</v>
      </c>
      <c r="AV7" t="s">
        <v>68</v>
      </c>
      <c r="AX7" t="s">
        <v>57</v>
      </c>
      <c r="AY7">
        <v>631150</v>
      </c>
      <c r="AZ7">
        <v>1201.6311499999999</v>
      </c>
      <c r="BA7" s="23" t="s">
        <v>8</v>
      </c>
    </row>
    <row r="8" spans="1:53" x14ac:dyDescent="0.25">
      <c r="A8" t="s">
        <v>134</v>
      </c>
      <c r="B8" t="s">
        <v>135</v>
      </c>
      <c r="C8">
        <v>22001887</v>
      </c>
      <c r="D8">
        <v>1201</v>
      </c>
      <c r="E8" s="11">
        <v>44789</v>
      </c>
      <c r="F8" t="s">
        <v>306</v>
      </c>
      <c r="G8" s="27">
        <v>1.5</v>
      </c>
      <c r="H8">
        <v>1.5</v>
      </c>
      <c r="I8" t="s">
        <v>56</v>
      </c>
      <c r="O8" t="s">
        <v>57</v>
      </c>
      <c r="Q8" t="s">
        <v>57</v>
      </c>
      <c r="R8" t="s">
        <v>137</v>
      </c>
      <c r="T8" t="s">
        <v>59</v>
      </c>
      <c r="U8" t="s">
        <v>60</v>
      </c>
      <c r="V8" t="s">
        <v>138</v>
      </c>
      <c r="W8" t="s">
        <v>139</v>
      </c>
      <c r="X8">
        <v>1934031</v>
      </c>
      <c r="Y8" s="11">
        <v>44792</v>
      </c>
      <c r="Z8" t="s">
        <v>57</v>
      </c>
      <c r="AA8">
        <v>8</v>
      </c>
      <c r="AB8" t="s">
        <v>57</v>
      </c>
      <c r="AD8" t="s">
        <v>57</v>
      </c>
      <c r="AE8" t="s">
        <v>57</v>
      </c>
      <c r="AF8" t="s">
        <v>57</v>
      </c>
      <c r="AG8">
        <v>100</v>
      </c>
      <c r="AH8" t="s">
        <v>57</v>
      </c>
      <c r="AL8" t="s">
        <v>57</v>
      </c>
      <c r="AM8" s="11">
        <v>44789</v>
      </c>
      <c r="AN8" t="s">
        <v>164</v>
      </c>
      <c r="AO8" t="s">
        <v>65</v>
      </c>
      <c r="AP8">
        <v>1201</v>
      </c>
      <c r="AQ8" t="s">
        <v>66</v>
      </c>
      <c r="AR8">
        <v>238989</v>
      </c>
      <c r="AU8" t="s">
        <v>57</v>
      </c>
      <c r="AV8" t="s">
        <v>68</v>
      </c>
      <c r="AX8" t="s">
        <v>57</v>
      </c>
      <c r="AY8">
        <v>631150</v>
      </c>
      <c r="AZ8">
        <v>1201.6311499999999</v>
      </c>
      <c r="BA8" s="23" t="s">
        <v>8</v>
      </c>
    </row>
    <row r="9" spans="1:53" x14ac:dyDescent="0.25">
      <c r="A9" t="s">
        <v>134</v>
      </c>
      <c r="B9" t="s">
        <v>135</v>
      </c>
      <c r="C9">
        <v>22001843</v>
      </c>
      <c r="D9">
        <v>1201</v>
      </c>
      <c r="E9" s="11">
        <v>44774</v>
      </c>
      <c r="F9" t="s">
        <v>163</v>
      </c>
      <c r="G9" s="27">
        <v>1.95</v>
      </c>
      <c r="H9">
        <v>1.95</v>
      </c>
      <c r="I9" t="s">
        <v>56</v>
      </c>
      <c r="O9" t="s">
        <v>57</v>
      </c>
      <c r="Q9" t="s">
        <v>57</v>
      </c>
      <c r="R9" t="s">
        <v>137</v>
      </c>
      <c r="T9" t="s">
        <v>59</v>
      </c>
      <c r="U9" t="s">
        <v>60</v>
      </c>
      <c r="V9" t="s">
        <v>138</v>
      </c>
      <c r="W9" t="s">
        <v>139</v>
      </c>
      <c r="X9">
        <v>1927080</v>
      </c>
      <c r="Y9" s="11">
        <v>44777</v>
      </c>
      <c r="Z9" t="s">
        <v>57</v>
      </c>
      <c r="AA9">
        <v>6</v>
      </c>
      <c r="AB9" t="s">
        <v>57</v>
      </c>
      <c r="AD9" t="s">
        <v>57</v>
      </c>
      <c r="AE9" t="s">
        <v>57</v>
      </c>
      <c r="AF9" t="s">
        <v>57</v>
      </c>
      <c r="AG9">
        <v>70</v>
      </c>
      <c r="AH9" t="s">
        <v>57</v>
      </c>
      <c r="AL9" t="s">
        <v>57</v>
      </c>
      <c r="AM9" s="11">
        <v>44774</v>
      </c>
      <c r="AN9" t="s">
        <v>164</v>
      </c>
      <c r="AO9" t="s">
        <v>65</v>
      </c>
      <c r="AP9">
        <v>1201</v>
      </c>
      <c r="AQ9" t="s">
        <v>66</v>
      </c>
      <c r="AR9">
        <v>265957</v>
      </c>
      <c r="AU9" t="s">
        <v>57</v>
      </c>
      <c r="AV9" t="s">
        <v>68</v>
      </c>
      <c r="AX9" t="s">
        <v>57</v>
      </c>
      <c r="AY9">
        <v>631150</v>
      </c>
      <c r="AZ9">
        <v>1201.6311499999999</v>
      </c>
      <c r="BA9" s="23" t="s">
        <v>8</v>
      </c>
    </row>
    <row r="10" spans="1:53" x14ac:dyDescent="0.25">
      <c r="A10" t="s">
        <v>134</v>
      </c>
      <c r="B10" t="s">
        <v>135</v>
      </c>
      <c r="C10">
        <v>22001887</v>
      </c>
      <c r="D10">
        <v>1201</v>
      </c>
      <c r="E10" s="11">
        <v>44789</v>
      </c>
      <c r="F10" t="s">
        <v>306</v>
      </c>
      <c r="G10" s="27">
        <v>2.14</v>
      </c>
      <c r="H10">
        <v>2.14</v>
      </c>
      <c r="I10" t="s">
        <v>56</v>
      </c>
      <c r="O10" t="s">
        <v>57</v>
      </c>
      <c r="Q10" t="s">
        <v>57</v>
      </c>
      <c r="R10" t="s">
        <v>137</v>
      </c>
      <c r="T10" t="s">
        <v>59</v>
      </c>
      <c r="U10" t="s">
        <v>60</v>
      </c>
      <c r="V10" t="s">
        <v>138</v>
      </c>
      <c r="W10" t="s">
        <v>139</v>
      </c>
      <c r="X10">
        <v>1934031</v>
      </c>
      <c r="Y10" s="11">
        <v>44792</v>
      </c>
      <c r="Z10" t="s">
        <v>57</v>
      </c>
      <c r="AA10">
        <v>10</v>
      </c>
      <c r="AB10" t="s">
        <v>57</v>
      </c>
      <c r="AD10" t="s">
        <v>57</v>
      </c>
      <c r="AE10" t="s">
        <v>57</v>
      </c>
      <c r="AF10" t="s">
        <v>57</v>
      </c>
      <c r="AG10">
        <v>60</v>
      </c>
      <c r="AH10" t="s">
        <v>57</v>
      </c>
      <c r="AL10" t="s">
        <v>57</v>
      </c>
      <c r="AM10" s="11">
        <v>44789</v>
      </c>
      <c r="AN10" t="s">
        <v>164</v>
      </c>
      <c r="AO10" t="s">
        <v>65</v>
      </c>
      <c r="AP10">
        <v>1201</v>
      </c>
      <c r="AQ10" t="s">
        <v>66</v>
      </c>
      <c r="AR10">
        <v>268975</v>
      </c>
      <c r="AU10" t="s">
        <v>57</v>
      </c>
      <c r="AV10" t="s">
        <v>68</v>
      </c>
      <c r="AX10" t="s">
        <v>57</v>
      </c>
      <c r="AY10">
        <v>631150</v>
      </c>
      <c r="AZ10">
        <v>1201.6311499999999</v>
      </c>
      <c r="BA10" s="23" t="s">
        <v>8</v>
      </c>
    </row>
    <row r="11" spans="1:53" x14ac:dyDescent="0.25">
      <c r="A11" t="s">
        <v>134</v>
      </c>
      <c r="B11" t="s">
        <v>135</v>
      </c>
      <c r="C11">
        <v>22001887</v>
      </c>
      <c r="D11">
        <v>1201</v>
      </c>
      <c r="E11" s="11">
        <v>44789</v>
      </c>
      <c r="F11" t="s">
        <v>306</v>
      </c>
      <c r="G11" s="27">
        <v>6.6</v>
      </c>
      <c r="H11">
        <v>6.6</v>
      </c>
      <c r="I11" t="s">
        <v>56</v>
      </c>
      <c r="O11" t="s">
        <v>57</v>
      </c>
      <c r="Q11" t="s">
        <v>57</v>
      </c>
      <c r="R11" t="s">
        <v>137</v>
      </c>
      <c r="T11" t="s">
        <v>59</v>
      </c>
      <c r="U11" t="s">
        <v>60</v>
      </c>
      <c r="V11" t="s">
        <v>138</v>
      </c>
      <c r="W11" t="s">
        <v>139</v>
      </c>
      <c r="X11">
        <v>1934031</v>
      </c>
      <c r="Y11" s="11">
        <v>44792</v>
      </c>
      <c r="Z11" t="s">
        <v>57</v>
      </c>
      <c r="AA11">
        <v>2</v>
      </c>
      <c r="AB11" t="s">
        <v>57</v>
      </c>
      <c r="AD11" t="s">
        <v>57</v>
      </c>
      <c r="AE11" t="s">
        <v>57</v>
      </c>
      <c r="AF11" t="s">
        <v>57</v>
      </c>
      <c r="AG11">
        <v>300</v>
      </c>
      <c r="AH11" t="s">
        <v>57</v>
      </c>
      <c r="AL11" t="s">
        <v>57</v>
      </c>
      <c r="AM11" s="11">
        <v>44789</v>
      </c>
      <c r="AN11" t="s">
        <v>164</v>
      </c>
      <c r="AO11" t="s">
        <v>65</v>
      </c>
      <c r="AP11">
        <v>1201</v>
      </c>
      <c r="AQ11" t="s">
        <v>66</v>
      </c>
      <c r="AR11">
        <v>118314</v>
      </c>
      <c r="AU11" t="s">
        <v>57</v>
      </c>
      <c r="AV11" t="s">
        <v>68</v>
      </c>
      <c r="AX11" t="s">
        <v>57</v>
      </c>
      <c r="AY11">
        <v>631150</v>
      </c>
      <c r="AZ11">
        <v>1201.6311499999999</v>
      </c>
      <c r="BA11" s="23" t="s">
        <v>8</v>
      </c>
    </row>
    <row r="12" spans="1:53" x14ac:dyDescent="0.25">
      <c r="A12" t="s">
        <v>134</v>
      </c>
      <c r="B12" t="s">
        <v>135</v>
      </c>
      <c r="C12">
        <v>22001884</v>
      </c>
      <c r="D12">
        <v>1201</v>
      </c>
      <c r="E12" s="11">
        <v>44784</v>
      </c>
      <c r="F12" t="s">
        <v>163</v>
      </c>
      <c r="G12" s="27">
        <v>9.1</v>
      </c>
      <c r="H12">
        <v>9.1</v>
      </c>
      <c r="I12" t="s">
        <v>56</v>
      </c>
      <c r="O12" t="s">
        <v>57</v>
      </c>
      <c r="Q12" t="s">
        <v>57</v>
      </c>
      <c r="R12" t="s">
        <v>137</v>
      </c>
      <c r="T12" t="s">
        <v>59</v>
      </c>
      <c r="U12" t="s">
        <v>60</v>
      </c>
      <c r="V12" t="s">
        <v>138</v>
      </c>
      <c r="W12" t="s">
        <v>139</v>
      </c>
      <c r="X12">
        <v>1934031</v>
      </c>
      <c r="Y12" s="11">
        <v>44792</v>
      </c>
      <c r="Z12" t="s">
        <v>57</v>
      </c>
      <c r="AA12">
        <v>2</v>
      </c>
      <c r="AB12" t="s">
        <v>57</v>
      </c>
      <c r="AD12" t="s">
        <v>57</v>
      </c>
      <c r="AE12" t="s">
        <v>57</v>
      </c>
      <c r="AF12" t="s">
        <v>57</v>
      </c>
      <c r="AG12">
        <v>200</v>
      </c>
      <c r="AH12" t="s">
        <v>57</v>
      </c>
      <c r="AL12" t="s">
        <v>57</v>
      </c>
      <c r="AM12" s="11">
        <v>44784</v>
      </c>
      <c r="AN12" t="s">
        <v>164</v>
      </c>
      <c r="AO12" t="s">
        <v>65</v>
      </c>
      <c r="AP12">
        <v>1201</v>
      </c>
      <c r="AQ12" t="s">
        <v>66</v>
      </c>
      <c r="AR12">
        <v>268576</v>
      </c>
      <c r="AU12" t="s">
        <v>57</v>
      </c>
      <c r="AV12" t="s">
        <v>68</v>
      </c>
      <c r="AX12" t="s">
        <v>57</v>
      </c>
      <c r="AY12">
        <v>631150</v>
      </c>
      <c r="AZ12">
        <v>1201.6311499999999</v>
      </c>
      <c r="BA12" s="23" t="s">
        <v>8</v>
      </c>
    </row>
    <row r="13" spans="1:53" x14ac:dyDescent="0.25">
      <c r="A13" t="s">
        <v>134</v>
      </c>
      <c r="B13" t="s">
        <v>135</v>
      </c>
      <c r="C13">
        <v>22001845</v>
      </c>
      <c r="D13">
        <v>1201</v>
      </c>
      <c r="E13" s="11">
        <v>44777</v>
      </c>
      <c r="F13" t="s">
        <v>165</v>
      </c>
      <c r="G13" s="27">
        <v>9.5</v>
      </c>
      <c r="H13">
        <v>9.5</v>
      </c>
      <c r="I13" t="s">
        <v>56</v>
      </c>
      <c r="O13" t="s">
        <v>57</v>
      </c>
      <c r="Q13" t="s">
        <v>57</v>
      </c>
      <c r="R13" t="s">
        <v>137</v>
      </c>
      <c r="T13" t="s">
        <v>59</v>
      </c>
      <c r="U13" t="s">
        <v>60</v>
      </c>
      <c r="V13" t="s">
        <v>138</v>
      </c>
      <c r="W13" t="s">
        <v>139</v>
      </c>
      <c r="X13">
        <v>1927384</v>
      </c>
      <c r="Y13" s="11">
        <v>44777</v>
      </c>
      <c r="Z13" t="s">
        <v>57</v>
      </c>
      <c r="AA13">
        <v>2</v>
      </c>
      <c r="AB13" t="s">
        <v>57</v>
      </c>
      <c r="AD13" t="s">
        <v>57</v>
      </c>
      <c r="AE13" t="s">
        <v>57</v>
      </c>
      <c r="AF13" t="s">
        <v>57</v>
      </c>
      <c r="AG13">
        <v>200</v>
      </c>
      <c r="AH13" t="s">
        <v>57</v>
      </c>
      <c r="AL13" t="s">
        <v>57</v>
      </c>
      <c r="AM13" s="11">
        <v>44777</v>
      </c>
      <c r="AN13" t="s">
        <v>166</v>
      </c>
      <c r="AO13" t="s">
        <v>65</v>
      </c>
      <c r="AP13">
        <v>1201</v>
      </c>
      <c r="AQ13" t="s">
        <v>66</v>
      </c>
      <c r="AR13">
        <v>266903</v>
      </c>
      <c r="AU13" t="s">
        <v>57</v>
      </c>
      <c r="AV13" t="s">
        <v>68</v>
      </c>
      <c r="AX13" t="s">
        <v>57</v>
      </c>
      <c r="AY13">
        <v>631150</v>
      </c>
      <c r="AZ13">
        <v>1201.6311499999999</v>
      </c>
      <c r="BA13" s="23" t="s">
        <v>8</v>
      </c>
    </row>
    <row r="14" spans="1:53" x14ac:dyDescent="0.25">
      <c r="A14" t="s">
        <v>134</v>
      </c>
      <c r="B14" t="s">
        <v>135</v>
      </c>
      <c r="C14">
        <v>22001870</v>
      </c>
      <c r="D14">
        <v>1201</v>
      </c>
      <c r="E14" s="11">
        <v>44785</v>
      </c>
      <c r="F14" t="s">
        <v>285</v>
      </c>
      <c r="I14" t="s">
        <v>56</v>
      </c>
      <c r="O14" t="s">
        <v>57</v>
      </c>
      <c r="Q14" t="s">
        <v>57</v>
      </c>
      <c r="R14" t="s">
        <v>137</v>
      </c>
      <c r="T14" t="s">
        <v>59</v>
      </c>
      <c r="U14" t="s">
        <v>60</v>
      </c>
      <c r="V14" t="s">
        <v>138</v>
      </c>
      <c r="W14" t="s">
        <v>139</v>
      </c>
      <c r="X14">
        <v>1930674</v>
      </c>
      <c r="Y14" s="11">
        <v>44785</v>
      </c>
      <c r="Z14" t="s">
        <v>57</v>
      </c>
      <c r="AA14">
        <v>2</v>
      </c>
      <c r="AB14" t="s">
        <v>57</v>
      </c>
      <c r="AD14" t="s">
        <v>57</v>
      </c>
      <c r="AE14" t="s">
        <v>57</v>
      </c>
      <c r="AF14" t="s">
        <v>57</v>
      </c>
      <c r="AG14">
        <v>2</v>
      </c>
      <c r="AH14" t="s">
        <v>57</v>
      </c>
      <c r="AL14" t="s">
        <v>57</v>
      </c>
      <c r="AM14" s="11">
        <v>44785</v>
      </c>
      <c r="AN14" t="s">
        <v>164</v>
      </c>
      <c r="AO14" t="s">
        <v>65</v>
      </c>
      <c r="AP14">
        <v>1201</v>
      </c>
      <c r="AQ14" t="s">
        <v>66</v>
      </c>
      <c r="AR14">
        <v>284537</v>
      </c>
      <c r="AU14" t="s">
        <v>57</v>
      </c>
      <c r="AV14" t="s">
        <v>68</v>
      </c>
      <c r="AX14" t="s">
        <v>57</v>
      </c>
      <c r="AY14">
        <v>631150</v>
      </c>
      <c r="AZ14">
        <v>1201.6311499999999</v>
      </c>
      <c r="BA14" s="23" t="s">
        <v>8</v>
      </c>
    </row>
    <row r="15" spans="1:53" x14ac:dyDescent="0.25">
      <c r="A15" t="s">
        <v>134</v>
      </c>
      <c r="B15" t="s">
        <v>135</v>
      </c>
      <c r="C15">
        <v>22001870</v>
      </c>
      <c r="D15">
        <v>1201</v>
      </c>
      <c r="E15" s="11">
        <v>44785</v>
      </c>
      <c r="F15" t="s">
        <v>285</v>
      </c>
      <c r="I15" t="s">
        <v>56</v>
      </c>
      <c r="O15" t="s">
        <v>57</v>
      </c>
      <c r="Q15" t="s">
        <v>57</v>
      </c>
      <c r="R15" t="s">
        <v>137</v>
      </c>
      <c r="T15" t="s">
        <v>59</v>
      </c>
      <c r="U15" t="s">
        <v>60</v>
      </c>
      <c r="V15" t="s">
        <v>138</v>
      </c>
      <c r="W15" t="s">
        <v>139</v>
      </c>
      <c r="X15">
        <v>1930674</v>
      </c>
      <c r="Y15" s="11">
        <v>44785</v>
      </c>
      <c r="Z15" t="s">
        <v>57</v>
      </c>
      <c r="AA15">
        <v>4</v>
      </c>
      <c r="AB15" t="s">
        <v>57</v>
      </c>
      <c r="AD15" t="s">
        <v>57</v>
      </c>
      <c r="AE15" t="s">
        <v>57</v>
      </c>
      <c r="AF15" t="s">
        <v>57</v>
      </c>
      <c r="AG15">
        <v>2</v>
      </c>
      <c r="AH15" t="s">
        <v>57</v>
      </c>
      <c r="AL15" t="s">
        <v>57</v>
      </c>
      <c r="AM15" s="11">
        <v>44785</v>
      </c>
      <c r="AN15" t="s">
        <v>164</v>
      </c>
      <c r="AO15" t="s">
        <v>65</v>
      </c>
      <c r="AP15">
        <v>1201</v>
      </c>
      <c r="AQ15" t="s">
        <v>66</v>
      </c>
      <c r="AR15">
        <v>284537</v>
      </c>
      <c r="AU15" t="s">
        <v>57</v>
      </c>
      <c r="AV15" t="s">
        <v>68</v>
      </c>
      <c r="AX15" t="s">
        <v>57</v>
      </c>
      <c r="AY15">
        <v>631150</v>
      </c>
      <c r="AZ15">
        <v>1201.6311499999999</v>
      </c>
      <c r="BA15" s="23" t="s">
        <v>8</v>
      </c>
    </row>
    <row r="16" spans="1:53" x14ac:dyDescent="0.25">
      <c r="A16" t="s">
        <v>134</v>
      </c>
      <c r="B16" t="s">
        <v>135</v>
      </c>
      <c r="C16">
        <v>22001870</v>
      </c>
      <c r="D16">
        <v>1201</v>
      </c>
      <c r="E16" s="11">
        <v>44785</v>
      </c>
      <c r="F16" t="s">
        <v>285</v>
      </c>
      <c r="I16" t="s">
        <v>56</v>
      </c>
      <c r="O16" t="s">
        <v>57</v>
      </c>
      <c r="Q16" t="s">
        <v>57</v>
      </c>
      <c r="R16" t="s">
        <v>137</v>
      </c>
      <c r="T16" t="s">
        <v>59</v>
      </c>
      <c r="U16" t="s">
        <v>60</v>
      </c>
      <c r="V16" t="s">
        <v>138</v>
      </c>
      <c r="W16" t="s">
        <v>139</v>
      </c>
      <c r="X16">
        <v>1930674</v>
      </c>
      <c r="Y16" s="11">
        <v>44785</v>
      </c>
      <c r="Z16" t="s">
        <v>57</v>
      </c>
      <c r="AA16">
        <v>6</v>
      </c>
      <c r="AB16" t="s">
        <v>57</v>
      </c>
      <c r="AD16" t="s">
        <v>57</v>
      </c>
      <c r="AE16" t="s">
        <v>57</v>
      </c>
      <c r="AF16" t="s">
        <v>57</v>
      </c>
      <c r="AG16">
        <v>2</v>
      </c>
      <c r="AH16" t="s">
        <v>57</v>
      </c>
      <c r="AL16" t="s">
        <v>57</v>
      </c>
      <c r="AM16" s="11">
        <v>44785</v>
      </c>
      <c r="AN16" t="s">
        <v>164</v>
      </c>
      <c r="AO16" t="s">
        <v>65</v>
      </c>
      <c r="AP16">
        <v>1201</v>
      </c>
      <c r="AQ16" t="s">
        <v>66</v>
      </c>
      <c r="AR16">
        <v>284537</v>
      </c>
      <c r="AU16" t="s">
        <v>57</v>
      </c>
      <c r="AV16" t="s">
        <v>68</v>
      </c>
      <c r="AX16" t="s">
        <v>57</v>
      </c>
      <c r="AY16">
        <v>631150</v>
      </c>
      <c r="AZ16">
        <v>1201.6311499999999</v>
      </c>
      <c r="BA16" s="23" t="s">
        <v>8</v>
      </c>
    </row>
    <row r="17" spans="1:53" x14ac:dyDescent="0.25">
      <c r="A17" t="s">
        <v>134</v>
      </c>
      <c r="B17" t="s">
        <v>135</v>
      </c>
      <c r="C17">
        <v>22001870</v>
      </c>
      <c r="D17">
        <v>1201</v>
      </c>
      <c r="E17" s="11">
        <v>44785</v>
      </c>
      <c r="F17" t="s">
        <v>285</v>
      </c>
      <c r="I17" t="s">
        <v>56</v>
      </c>
      <c r="O17" t="s">
        <v>57</v>
      </c>
      <c r="Q17" t="s">
        <v>57</v>
      </c>
      <c r="R17" t="s">
        <v>137</v>
      </c>
      <c r="T17" t="s">
        <v>59</v>
      </c>
      <c r="U17" t="s">
        <v>60</v>
      </c>
      <c r="V17" t="s">
        <v>138</v>
      </c>
      <c r="W17" t="s">
        <v>139</v>
      </c>
      <c r="X17">
        <v>1930674</v>
      </c>
      <c r="Y17" s="11">
        <v>44785</v>
      </c>
      <c r="Z17" t="s">
        <v>57</v>
      </c>
      <c r="AA17">
        <v>36</v>
      </c>
      <c r="AB17" t="s">
        <v>57</v>
      </c>
      <c r="AD17" t="s">
        <v>57</v>
      </c>
      <c r="AE17" t="s">
        <v>57</v>
      </c>
      <c r="AF17" t="s">
        <v>57</v>
      </c>
      <c r="AG17">
        <v>2</v>
      </c>
      <c r="AH17" t="s">
        <v>57</v>
      </c>
      <c r="AL17" t="s">
        <v>57</v>
      </c>
      <c r="AM17" s="11">
        <v>44785</v>
      </c>
      <c r="AN17" t="s">
        <v>164</v>
      </c>
      <c r="AO17" t="s">
        <v>65</v>
      </c>
      <c r="AP17">
        <v>1201</v>
      </c>
      <c r="AQ17" t="s">
        <v>66</v>
      </c>
      <c r="AR17">
        <v>284543</v>
      </c>
      <c r="AU17" t="s">
        <v>57</v>
      </c>
      <c r="AV17" t="s">
        <v>68</v>
      </c>
      <c r="AX17" t="s">
        <v>57</v>
      </c>
      <c r="AY17">
        <v>631150</v>
      </c>
      <c r="AZ17">
        <v>1201.6311499999999</v>
      </c>
      <c r="BA17" s="23" t="s">
        <v>8</v>
      </c>
    </row>
  </sheetData>
  <autoFilter ref="A3:BA3" xr:uid="{09DF95D1-952C-4F94-9CC5-C789DF580555}"/>
  <sortState xmlns:xlrd2="http://schemas.microsoft.com/office/spreadsheetml/2017/richdata2" ref="A4:BA17">
    <sortCondition ref="G4:G10000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87005-CC0E-4165-B00F-7031D02ECFAE}">
  <dimension ref="A1:BA359"/>
  <sheetViews>
    <sheetView workbookViewId="0"/>
  </sheetViews>
  <sheetFormatPr defaultRowHeight="15" x14ac:dyDescent="0.25"/>
  <cols>
    <col min="7" max="7" width="9.5703125" style="25" bestFit="1" customWidth="1"/>
  </cols>
  <sheetData>
    <row r="1" spans="1:53" x14ac:dyDescent="0.25">
      <c r="G1" s="26">
        <v>4000</v>
      </c>
    </row>
    <row r="2" spans="1:53" x14ac:dyDescent="0.25">
      <c r="G2" s="26">
        <f>SUBTOTAL(9,G4:G1000002)</f>
        <v>4941.7700000000004</v>
      </c>
    </row>
    <row r="3" spans="1:53" s="3" customFormat="1" x14ac:dyDescent="0.25">
      <c r="A3" s="3" t="s">
        <v>194</v>
      </c>
      <c r="B3" s="3" t="s">
        <v>195</v>
      </c>
      <c r="C3" s="3" t="s">
        <v>196</v>
      </c>
      <c r="D3" s="3" t="s">
        <v>197</v>
      </c>
      <c r="E3" s="3" t="s">
        <v>198</v>
      </c>
      <c r="F3" s="3" t="s">
        <v>199</v>
      </c>
      <c r="G3" s="26" t="s">
        <v>200</v>
      </c>
      <c r="H3" s="3" t="s">
        <v>201</v>
      </c>
      <c r="I3" s="3" t="s">
        <v>202</v>
      </c>
      <c r="J3" s="3" t="s">
        <v>203</v>
      </c>
      <c r="K3" s="3" t="s">
        <v>204</v>
      </c>
      <c r="L3" s="3" t="s">
        <v>205</v>
      </c>
      <c r="M3" s="3" t="s">
        <v>206</v>
      </c>
      <c r="N3" s="3" t="s">
        <v>207</v>
      </c>
      <c r="O3" s="3" t="s">
        <v>208</v>
      </c>
      <c r="P3" s="3" t="s">
        <v>209</v>
      </c>
      <c r="Q3" s="3" t="s">
        <v>210</v>
      </c>
      <c r="R3" s="3" t="s">
        <v>211</v>
      </c>
      <c r="S3" s="3" t="s">
        <v>212</v>
      </c>
      <c r="T3" s="3" t="s">
        <v>213</v>
      </c>
      <c r="U3" s="3" t="s">
        <v>214</v>
      </c>
      <c r="V3" s="3" t="s">
        <v>215</v>
      </c>
      <c r="W3" s="3" t="s">
        <v>216</v>
      </c>
      <c r="X3" s="3" t="s">
        <v>217</v>
      </c>
      <c r="Y3" s="3" t="s">
        <v>218</v>
      </c>
      <c r="Z3" s="3" t="s">
        <v>219</v>
      </c>
      <c r="AA3" s="3" t="s">
        <v>220</v>
      </c>
      <c r="AB3" s="3" t="s">
        <v>221</v>
      </c>
      <c r="AC3" s="3" t="s">
        <v>222</v>
      </c>
      <c r="AD3" s="3" t="s">
        <v>223</v>
      </c>
      <c r="AE3" s="3" t="s">
        <v>224</v>
      </c>
      <c r="AF3" s="3" t="s">
        <v>225</v>
      </c>
      <c r="AG3" s="3" t="s">
        <v>226</v>
      </c>
      <c r="AH3" s="3" t="s">
        <v>227</v>
      </c>
      <c r="AI3" s="3" t="s">
        <v>228</v>
      </c>
      <c r="AJ3" s="3" t="s">
        <v>229</v>
      </c>
      <c r="AK3" s="3" t="s">
        <v>230</v>
      </c>
      <c r="AL3" s="3" t="s">
        <v>231</v>
      </c>
      <c r="AM3" s="3" t="s">
        <v>232</v>
      </c>
      <c r="AN3" s="3" t="s">
        <v>233</v>
      </c>
      <c r="AO3" s="3" t="s">
        <v>234</v>
      </c>
      <c r="AP3" s="3" t="s">
        <v>235</v>
      </c>
      <c r="AQ3" s="3" t="s">
        <v>236</v>
      </c>
      <c r="AR3" s="3" t="s">
        <v>237</v>
      </c>
      <c r="AS3" s="3" t="s">
        <v>238</v>
      </c>
      <c r="AT3" s="3" t="s">
        <v>239</v>
      </c>
      <c r="AU3" s="3" t="s">
        <v>240</v>
      </c>
      <c r="AV3" s="3" t="s">
        <v>241</v>
      </c>
      <c r="AW3" s="3" t="s">
        <v>242</v>
      </c>
      <c r="AX3" s="3" t="s">
        <v>243</v>
      </c>
      <c r="AY3" s="3" t="s">
        <v>244</v>
      </c>
      <c r="AZ3" s="3" t="s">
        <v>245</v>
      </c>
      <c r="BA3" s="3" t="s">
        <v>19</v>
      </c>
    </row>
    <row r="4" spans="1:53" x14ac:dyDescent="0.25">
      <c r="A4" t="s">
        <v>134</v>
      </c>
      <c r="B4" t="s">
        <v>135</v>
      </c>
      <c r="C4">
        <v>22001785</v>
      </c>
      <c r="D4">
        <v>1204</v>
      </c>
      <c r="E4" s="11">
        <v>44774</v>
      </c>
      <c r="F4" t="s">
        <v>174</v>
      </c>
      <c r="G4" s="25">
        <v>-538.67999999999995</v>
      </c>
      <c r="I4" t="s">
        <v>56</v>
      </c>
      <c r="K4">
        <v>-538.67999999999995</v>
      </c>
      <c r="O4" t="s">
        <v>57</v>
      </c>
      <c r="Q4" t="s">
        <v>57</v>
      </c>
      <c r="R4" t="s">
        <v>137</v>
      </c>
      <c r="T4" t="s">
        <v>59</v>
      </c>
      <c r="U4" t="s">
        <v>60</v>
      </c>
      <c r="V4" t="s">
        <v>138</v>
      </c>
      <c r="W4" t="s">
        <v>139</v>
      </c>
      <c r="X4">
        <v>1925466</v>
      </c>
      <c r="Y4" s="11">
        <v>44774</v>
      </c>
      <c r="Z4" t="s">
        <v>57</v>
      </c>
      <c r="AA4">
        <v>26</v>
      </c>
      <c r="AB4" t="s">
        <v>57</v>
      </c>
      <c r="AD4" t="s">
        <v>57</v>
      </c>
      <c r="AE4" t="s">
        <v>57</v>
      </c>
      <c r="AF4" t="s">
        <v>57</v>
      </c>
      <c r="AG4">
        <v>-50</v>
      </c>
      <c r="AH4" t="s">
        <v>57</v>
      </c>
      <c r="AL4" t="s">
        <v>57</v>
      </c>
      <c r="AM4" s="11">
        <v>44774</v>
      </c>
      <c r="AN4" t="s">
        <v>173</v>
      </c>
      <c r="AO4" t="s">
        <v>65</v>
      </c>
      <c r="AP4">
        <v>1204</v>
      </c>
      <c r="AQ4" t="s">
        <v>66</v>
      </c>
      <c r="AR4">
        <v>254439</v>
      </c>
      <c r="AU4" t="s">
        <v>57</v>
      </c>
      <c r="AV4" t="s">
        <v>68</v>
      </c>
      <c r="AX4" t="s">
        <v>57</v>
      </c>
      <c r="AY4">
        <v>631110</v>
      </c>
      <c r="AZ4">
        <v>1204.63111</v>
      </c>
      <c r="BA4" s="23" t="s">
        <v>12</v>
      </c>
    </row>
    <row r="5" spans="1:53" x14ac:dyDescent="0.25">
      <c r="A5" t="s">
        <v>134</v>
      </c>
      <c r="B5" t="s">
        <v>135</v>
      </c>
      <c r="C5">
        <v>22001783</v>
      </c>
      <c r="D5">
        <v>1204</v>
      </c>
      <c r="E5" s="11">
        <v>44774</v>
      </c>
      <c r="F5" t="s">
        <v>172</v>
      </c>
      <c r="G5" s="25">
        <v>-272.61</v>
      </c>
      <c r="I5" t="s">
        <v>56</v>
      </c>
      <c r="K5">
        <v>-272.61</v>
      </c>
      <c r="O5" t="s">
        <v>57</v>
      </c>
      <c r="Q5" t="s">
        <v>57</v>
      </c>
      <c r="R5" t="s">
        <v>137</v>
      </c>
      <c r="T5" t="s">
        <v>59</v>
      </c>
      <c r="U5" t="s">
        <v>60</v>
      </c>
      <c r="V5" t="s">
        <v>138</v>
      </c>
      <c r="W5" t="s">
        <v>139</v>
      </c>
      <c r="X5">
        <v>1925466</v>
      </c>
      <c r="Y5" s="11">
        <v>44774</v>
      </c>
      <c r="Z5" t="s">
        <v>57</v>
      </c>
      <c r="AA5">
        <v>12</v>
      </c>
      <c r="AB5" t="s">
        <v>57</v>
      </c>
      <c r="AD5" t="s">
        <v>57</v>
      </c>
      <c r="AE5" t="s">
        <v>57</v>
      </c>
      <c r="AF5" t="s">
        <v>57</v>
      </c>
      <c r="AG5">
        <v>-20</v>
      </c>
      <c r="AH5" t="s">
        <v>57</v>
      </c>
      <c r="AL5" t="s">
        <v>57</v>
      </c>
      <c r="AM5" s="11">
        <v>44774</v>
      </c>
      <c r="AN5" t="s">
        <v>173</v>
      </c>
      <c r="AO5" t="s">
        <v>65</v>
      </c>
      <c r="AP5">
        <v>1204</v>
      </c>
      <c r="AQ5" t="s">
        <v>66</v>
      </c>
      <c r="AR5">
        <v>234831</v>
      </c>
      <c r="AU5" t="s">
        <v>57</v>
      </c>
      <c r="AV5" t="s">
        <v>68</v>
      </c>
      <c r="AX5" t="s">
        <v>57</v>
      </c>
      <c r="AY5">
        <v>631110</v>
      </c>
      <c r="AZ5">
        <v>1204.63111</v>
      </c>
      <c r="BA5" s="23" t="s">
        <v>12</v>
      </c>
    </row>
    <row r="6" spans="1:53" x14ac:dyDescent="0.25">
      <c r="A6" t="s">
        <v>134</v>
      </c>
      <c r="B6" t="s">
        <v>135</v>
      </c>
      <c r="C6">
        <v>22001837</v>
      </c>
      <c r="D6">
        <v>1204</v>
      </c>
      <c r="E6" s="11">
        <v>44782</v>
      </c>
      <c r="F6" t="s">
        <v>174</v>
      </c>
      <c r="G6" s="25">
        <v>0.04</v>
      </c>
      <c r="H6">
        <v>0.04</v>
      </c>
      <c r="I6" t="s">
        <v>56</v>
      </c>
      <c r="O6" t="s">
        <v>57</v>
      </c>
      <c r="Q6" t="s">
        <v>57</v>
      </c>
      <c r="R6" t="s">
        <v>137</v>
      </c>
      <c r="T6" t="s">
        <v>59</v>
      </c>
      <c r="U6" t="s">
        <v>60</v>
      </c>
      <c r="V6" t="s">
        <v>138</v>
      </c>
      <c r="W6" t="s">
        <v>139</v>
      </c>
      <c r="X6">
        <v>1929196</v>
      </c>
      <c r="Y6" s="11">
        <v>44782</v>
      </c>
      <c r="Z6" t="s">
        <v>57</v>
      </c>
      <c r="AA6">
        <v>20</v>
      </c>
      <c r="AB6" t="s">
        <v>57</v>
      </c>
      <c r="AD6" t="s">
        <v>57</v>
      </c>
      <c r="AE6" t="s">
        <v>57</v>
      </c>
      <c r="AF6" t="s">
        <v>57</v>
      </c>
      <c r="AG6">
        <v>1</v>
      </c>
      <c r="AH6" t="s">
        <v>57</v>
      </c>
      <c r="AL6" t="s">
        <v>57</v>
      </c>
      <c r="AM6" s="11">
        <v>44782</v>
      </c>
      <c r="AN6" t="s">
        <v>173</v>
      </c>
      <c r="AO6" t="s">
        <v>65</v>
      </c>
      <c r="AP6">
        <v>1204</v>
      </c>
      <c r="AQ6" t="s">
        <v>66</v>
      </c>
      <c r="AR6">
        <v>90041</v>
      </c>
      <c r="AU6" t="s">
        <v>57</v>
      </c>
      <c r="AV6" t="s">
        <v>68</v>
      </c>
      <c r="AX6" t="s">
        <v>57</v>
      </c>
      <c r="AY6">
        <v>631110</v>
      </c>
      <c r="AZ6">
        <v>1204.63111</v>
      </c>
      <c r="BA6" s="23" t="s">
        <v>12</v>
      </c>
    </row>
    <row r="7" spans="1:53" x14ac:dyDescent="0.25">
      <c r="A7" t="s">
        <v>134</v>
      </c>
      <c r="B7" t="s">
        <v>135</v>
      </c>
      <c r="C7">
        <v>22001836</v>
      </c>
      <c r="D7">
        <v>1204</v>
      </c>
      <c r="E7" s="11">
        <v>44782</v>
      </c>
      <c r="F7" t="s">
        <v>159</v>
      </c>
      <c r="G7" s="25">
        <v>7.0000000000000007E-2</v>
      </c>
      <c r="H7">
        <v>7.0000000000000007E-2</v>
      </c>
      <c r="I7" t="s">
        <v>56</v>
      </c>
      <c r="O7" t="s">
        <v>57</v>
      </c>
      <c r="Q7" t="s">
        <v>57</v>
      </c>
      <c r="R7" t="s">
        <v>137</v>
      </c>
      <c r="T7" t="s">
        <v>59</v>
      </c>
      <c r="U7" t="s">
        <v>60</v>
      </c>
      <c r="V7" t="s">
        <v>138</v>
      </c>
      <c r="W7" t="s">
        <v>139</v>
      </c>
      <c r="X7">
        <v>1929196</v>
      </c>
      <c r="Y7" s="11">
        <v>44782</v>
      </c>
      <c r="Z7" t="s">
        <v>57</v>
      </c>
      <c r="AA7">
        <v>6</v>
      </c>
      <c r="AB7" t="s">
        <v>57</v>
      </c>
      <c r="AD7" t="s">
        <v>57</v>
      </c>
      <c r="AE7" t="s">
        <v>57</v>
      </c>
      <c r="AF7" t="s">
        <v>57</v>
      </c>
      <c r="AG7">
        <v>1</v>
      </c>
      <c r="AH7" t="s">
        <v>57</v>
      </c>
      <c r="AL7" t="s">
        <v>57</v>
      </c>
      <c r="AM7" s="11">
        <v>44782</v>
      </c>
      <c r="AN7" t="s">
        <v>173</v>
      </c>
      <c r="AO7" t="s">
        <v>65</v>
      </c>
      <c r="AP7">
        <v>1204</v>
      </c>
      <c r="AQ7" t="s">
        <v>66</v>
      </c>
      <c r="AR7">
        <v>89908</v>
      </c>
      <c r="AU7" t="s">
        <v>57</v>
      </c>
      <c r="AV7" t="s">
        <v>68</v>
      </c>
      <c r="AX7" t="s">
        <v>57</v>
      </c>
      <c r="AY7">
        <v>631110</v>
      </c>
      <c r="AZ7">
        <v>1204.63111</v>
      </c>
      <c r="BA7" s="23" t="s">
        <v>12</v>
      </c>
    </row>
    <row r="8" spans="1:53" x14ac:dyDescent="0.25">
      <c r="A8" t="s">
        <v>134</v>
      </c>
      <c r="B8" t="s">
        <v>135</v>
      </c>
      <c r="C8">
        <v>22001843</v>
      </c>
      <c r="D8">
        <v>1204</v>
      </c>
      <c r="E8" s="11">
        <v>44783</v>
      </c>
      <c r="F8" t="s">
        <v>159</v>
      </c>
      <c r="G8" s="25">
        <v>7.0000000000000007E-2</v>
      </c>
      <c r="H8">
        <v>7.0000000000000007E-2</v>
      </c>
      <c r="I8" t="s">
        <v>56</v>
      </c>
      <c r="O8" t="s">
        <v>57</v>
      </c>
      <c r="Q8" t="s">
        <v>57</v>
      </c>
      <c r="R8" t="s">
        <v>137</v>
      </c>
      <c r="T8" t="s">
        <v>59</v>
      </c>
      <c r="U8" t="s">
        <v>60</v>
      </c>
      <c r="V8" t="s">
        <v>138</v>
      </c>
      <c r="W8" t="s">
        <v>139</v>
      </c>
      <c r="X8">
        <v>1930269</v>
      </c>
      <c r="Y8" s="11">
        <v>44783</v>
      </c>
      <c r="Z8" t="s">
        <v>57</v>
      </c>
      <c r="AA8">
        <v>10</v>
      </c>
      <c r="AB8" t="s">
        <v>57</v>
      </c>
      <c r="AD8" t="s">
        <v>57</v>
      </c>
      <c r="AE8" t="s">
        <v>57</v>
      </c>
      <c r="AF8" t="s">
        <v>57</v>
      </c>
      <c r="AG8">
        <v>1</v>
      </c>
      <c r="AH8" t="s">
        <v>57</v>
      </c>
      <c r="AL8" t="s">
        <v>57</v>
      </c>
      <c r="AM8" s="11">
        <v>44783</v>
      </c>
      <c r="AN8" t="s">
        <v>173</v>
      </c>
      <c r="AO8" t="s">
        <v>65</v>
      </c>
      <c r="AP8">
        <v>1204</v>
      </c>
      <c r="AQ8" t="s">
        <v>66</v>
      </c>
      <c r="AR8">
        <v>89908</v>
      </c>
      <c r="AU8" t="s">
        <v>57</v>
      </c>
      <c r="AV8" t="s">
        <v>68</v>
      </c>
      <c r="AX8" t="s">
        <v>57</v>
      </c>
      <c r="AY8">
        <v>631110</v>
      </c>
      <c r="AZ8">
        <v>1204.63111</v>
      </c>
      <c r="BA8" s="23" t="s">
        <v>12</v>
      </c>
    </row>
    <row r="9" spans="1:53" x14ac:dyDescent="0.25">
      <c r="A9" t="s">
        <v>134</v>
      </c>
      <c r="B9" t="s">
        <v>135</v>
      </c>
      <c r="C9">
        <v>22001847</v>
      </c>
      <c r="D9">
        <v>1204</v>
      </c>
      <c r="E9" s="11">
        <v>44784</v>
      </c>
      <c r="F9" t="s">
        <v>159</v>
      </c>
      <c r="G9" s="25">
        <v>7.0000000000000007E-2</v>
      </c>
      <c r="H9">
        <v>7.0000000000000007E-2</v>
      </c>
      <c r="I9" t="s">
        <v>56</v>
      </c>
      <c r="O9" t="s">
        <v>57</v>
      </c>
      <c r="Q9" t="s">
        <v>57</v>
      </c>
      <c r="R9" t="s">
        <v>137</v>
      </c>
      <c r="T9" t="s">
        <v>59</v>
      </c>
      <c r="U9" t="s">
        <v>60</v>
      </c>
      <c r="V9" t="s">
        <v>138</v>
      </c>
      <c r="W9" t="s">
        <v>139</v>
      </c>
      <c r="X9">
        <v>1930405</v>
      </c>
      <c r="Y9" s="11">
        <v>44784</v>
      </c>
      <c r="Z9" t="s">
        <v>57</v>
      </c>
      <c r="AA9">
        <v>2</v>
      </c>
      <c r="AB9" t="s">
        <v>57</v>
      </c>
      <c r="AD9" t="s">
        <v>57</v>
      </c>
      <c r="AE9" t="s">
        <v>57</v>
      </c>
      <c r="AF9" t="s">
        <v>57</v>
      </c>
      <c r="AG9">
        <v>1</v>
      </c>
      <c r="AH9" t="s">
        <v>57</v>
      </c>
      <c r="AL9" t="s">
        <v>57</v>
      </c>
      <c r="AM9" s="11">
        <v>44784</v>
      </c>
      <c r="AN9" t="s">
        <v>173</v>
      </c>
      <c r="AO9" t="s">
        <v>65</v>
      </c>
      <c r="AP9">
        <v>1204</v>
      </c>
      <c r="AQ9" t="s">
        <v>66</v>
      </c>
      <c r="AR9">
        <v>89908</v>
      </c>
      <c r="AU9" t="s">
        <v>57</v>
      </c>
      <c r="AV9" t="s">
        <v>68</v>
      </c>
      <c r="AX9" t="s">
        <v>57</v>
      </c>
      <c r="AY9">
        <v>631110</v>
      </c>
      <c r="AZ9">
        <v>1204.63111</v>
      </c>
      <c r="BA9" s="23" t="s">
        <v>12</v>
      </c>
    </row>
    <row r="10" spans="1:53" x14ac:dyDescent="0.25">
      <c r="A10" t="s">
        <v>134</v>
      </c>
      <c r="B10" t="s">
        <v>135</v>
      </c>
      <c r="C10">
        <v>22001869</v>
      </c>
      <c r="D10">
        <v>1204</v>
      </c>
      <c r="E10" s="11">
        <v>44788</v>
      </c>
      <c r="F10" t="s">
        <v>159</v>
      </c>
      <c r="G10" s="25">
        <v>7.0000000000000007E-2</v>
      </c>
      <c r="H10">
        <v>7.0000000000000007E-2</v>
      </c>
      <c r="I10" t="s">
        <v>56</v>
      </c>
      <c r="O10" t="s">
        <v>57</v>
      </c>
      <c r="Q10" t="s">
        <v>57</v>
      </c>
      <c r="R10" t="s">
        <v>137</v>
      </c>
      <c r="T10" t="s">
        <v>59</v>
      </c>
      <c r="U10" t="s">
        <v>60</v>
      </c>
      <c r="V10" t="s">
        <v>138</v>
      </c>
      <c r="W10" t="s">
        <v>139</v>
      </c>
      <c r="X10">
        <v>1932302</v>
      </c>
      <c r="Y10" s="11">
        <v>44788</v>
      </c>
      <c r="Z10" t="s">
        <v>57</v>
      </c>
      <c r="AA10">
        <v>2</v>
      </c>
      <c r="AB10" t="s">
        <v>57</v>
      </c>
      <c r="AD10" t="s">
        <v>57</v>
      </c>
      <c r="AE10" t="s">
        <v>57</v>
      </c>
      <c r="AF10" t="s">
        <v>57</v>
      </c>
      <c r="AG10">
        <v>1</v>
      </c>
      <c r="AH10" t="s">
        <v>57</v>
      </c>
      <c r="AL10" t="s">
        <v>57</v>
      </c>
      <c r="AM10" s="11">
        <v>44788</v>
      </c>
      <c r="AN10" t="s">
        <v>173</v>
      </c>
      <c r="AO10" t="s">
        <v>65</v>
      </c>
      <c r="AP10">
        <v>1204</v>
      </c>
      <c r="AQ10" t="s">
        <v>66</v>
      </c>
      <c r="AR10">
        <v>89908</v>
      </c>
      <c r="AU10" t="s">
        <v>57</v>
      </c>
      <c r="AV10" t="s">
        <v>68</v>
      </c>
      <c r="AX10" t="s">
        <v>57</v>
      </c>
      <c r="AY10">
        <v>631110</v>
      </c>
      <c r="AZ10">
        <v>1204.63111</v>
      </c>
      <c r="BA10" s="23" t="s">
        <v>12</v>
      </c>
    </row>
    <row r="11" spans="1:53" x14ac:dyDescent="0.25">
      <c r="A11" t="s">
        <v>134</v>
      </c>
      <c r="B11" t="s">
        <v>135</v>
      </c>
      <c r="C11">
        <v>22001870</v>
      </c>
      <c r="D11">
        <v>1204</v>
      </c>
      <c r="E11" s="11">
        <v>44789</v>
      </c>
      <c r="F11" t="s">
        <v>159</v>
      </c>
      <c r="G11" s="25">
        <v>7.0000000000000007E-2</v>
      </c>
      <c r="H11">
        <v>7.0000000000000007E-2</v>
      </c>
      <c r="I11" t="s">
        <v>56</v>
      </c>
      <c r="O11" t="s">
        <v>57</v>
      </c>
      <c r="Q11" t="s">
        <v>57</v>
      </c>
      <c r="R11" t="s">
        <v>137</v>
      </c>
      <c r="T11" t="s">
        <v>59</v>
      </c>
      <c r="U11" t="s">
        <v>60</v>
      </c>
      <c r="V11" t="s">
        <v>138</v>
      </c>
      <c r="W11" t="s">
        <v>139</v>
      </c>
      <c r="X11">
        <v>1933043</v>
      </c>
      <c r="Y11" s="11">
        <v>44789</v>
      </c>
      <c r="Z11" t="s">
        <v>57</v>
      </c>
      <c r="AA11">
        <v>8</v>
      </c>
      <c r="AB11" t="s">
        <v>57</v>
      </c>
      <c r="AD11" t="s">
        <v>57</v>
      </c>
      <c r="AE11" t="s">
        <v>57</v>
      </c>
      <c r="AF11" t="s">
        <v>57</v>
      </c>
      <c r="AG11">
        <v>1</v>
      </c>
      <c r="AH11" t="s">
        <v>57</v>
      </c>
      <c r="AL11" t="s">
        <v>57</v>
      </c>
      <c r="AM11" s="11">
        <v>44789</v>
      </c>
      <c r="AN11" t="s">
        <v>173</v>
      </c>
      <c r="AO11" t="s">
        <v>65</v>
      </c>
      <c r="AP11">
        <v>1204</v>
      </c>
      <c r="AQ11" t="s">
        <v>66</v>
      </c>
      <c r="AR11">
        <v>89908</v>
      </c>
      <c r="AU11" t="s">
        <v>57</v>
      </c>
      <c r="AV11" t="s">
        <v>68</v>
      </c>
      <c r="AX11" t="s">
        <v>57</v>
      </c>
      <c r="AY11">
        <v>631110</v>
      </c>
      <c r="AZ11">
        <v>1204.63111</v>
      </c>
      <c r="BA11" s="23" t="s">
        <v>12</v>
      </c>
    </row>
    <row r="12" spans="1:53" x14ac:dyDescent="0.25">
      <c r="A12" t="s">
        <v>134</v>
      </c>
      <c r="B12" t="s">
        <v>135</v>
      </c>
      <c r="C12">
        <v>22001804</v>
      </c>
      <c r="D12">
        <v>1204</v>
      </c>
      <c r="E12" s="11">
        <v>44775</v>
      </c>
      <c r="F12" t="s">
        <v>175</v>
      </c>
      <c r="G12" s="25">
        <v>0.08</v>
      </c>
      <c r="H12">
        <v>0.08</v>
      </c>
      <c r="I12" t="s">
        <v>56</v>
      </c>
      <c r="O12" t="s">
        <v>57</v>
      </c>
      <c r="Q12" t="s">
        <v>57</v>
      </c>
      <c r="R12" t="s">
        <v>137</v>
      </c>
      <c r="T12" t="s">
        <v>59</v>
      </c>
      <c r="U12" t="s">
        <v>60</v>
      </c>
      <c r="V12" t="s">
        <v>138</v>
      </c>
      <c r="W12" t="s">
        <v>139</v>
      </c>
      <c r="X12">
        <v>1926656</v>
      </c>
      <c r="Y12" s="11">
        <v>44775</v>
      </c>
      <c r="Z12" t="s">
        <v>57</v>
      </c>
      <c r="AA12">
        <v>6</v>
      </c>
      <c r="AB12" t="s">
        <v>57</v>
      </c>
      <c r="AD12" t="s">
        <v>57</v>
      </c>
      <c r="AE12" t="s">
        <v>57</v>
      </c>
      <c r="AF12" t="s">
        <v>57</v>
      </c>
      <c r="AG12">
        <v>1</v>
      </c>
      <c r="AH12" t="s">
        <v>57</v>
      </c>
      <c r="AL12" t="s">
        <v>57</v>
      </c>
      <c r="AM12" s="11">
        <v>44775</v>
      </c>
      <c r="AN12" t="s">
        <v>176</v>
      </c>
      <c r="AO12" t="s">
        <v>65</v>
      </c>
      <c r="AP12">
        <v>1204</v>
      </c>
      <c r="AQ12" t="s">
        <v>66</v>
      </c>
      <c r="AR12">
        <v>264585</v>
      </c>
      <c r="AU12" t="s">
        <v>57</v>
      </c>
      <c r="AV12" t="s">
        <v>68</v>
      </c>
      <c r="AX12" t="s">
        <v>57</v>
      </c>
      <c r="AY12">
        <v>631110</v>
      </c>
      <c r="AZ12">
        <v>1204.63111</v>
      </c>
      <c r="BA12" s="23" t="s">
        <v>12</v>
      </c>
    </row>
    <row r="13" spans="1:53" x14ac:dyDescent="0.25">
      <c r="A13" t="s">
        <v>134</v>
      </c>
      <c r="B13" t="s">
        <v>135</v>
      </c>
      <c r="C13">
        <v>22001840</v>
      </c>
      <c r="D13">
        <v>1204</v>
      </c>
      <c r="E13" s="11">
        <v>44782</v>
      </c>
      <c r="F13" t="s">
        <v>175</v>
      </c>
      <c r="G13" s="25">
        <v>0.08</v>
      </c>
      <c r="H13">
        <v>0.08</v>
      </c>
      <c r="I13" t="s">
        <v>56</v>
      </c>
      <c r="O13" t="s">
        <v>57</v>
      </c>
      <c r="Q13" t="s">
        <v>57</v>
      </c>
      <c r="R13" t="s">
        <v>137</v>
      </c>
      <c r="T13" t="s">
        <v>59</v>
      </c>
      <c r="U13" t="s">
        <v>60</v>
      </c>
      <c r="V13" t="s">
        <v>138</v>
      </c>
      <c r="W13" t="s">
        <v>139</v>
      </c>
      <c r="X13">
        <v>1929850</v>
      </c>
      <c r="Y13" s="11">
        <v>44782</v>
      </c>
      <c r="Z13" t="s">
        <v>57</v>
      </c>
      <c r="AA13">
        <v>8</v>
      </c>
      <c r="AB13" t="s">
        <v>57</v>
      </c>
      <c r="AD13" t="s">
        <v>57</v>
      </c>
      <c r="AE13" t="s">
        <v>57</v>
      </c>
      <c r="AF13" t="s">
        <v>57</v>
      </c>
      <c r="AG13">
        <v>1</v>
      </c>
      <c r="AH13" t="s">
        <v>57</v>
      </c>
      <c r="AL13" t="s">
        <v>57</v>
      </c>
      <c r="AM13" s="11">
        <v>44782</v>
      </c>
      <c r="AN13" t="s">
        <v>176</v>
      </c>
      <c r="AO13" t="s">
        <v>65</v>
      </c>
      <c r="AP13">
        <v>1204</v>
      </c>
      <c r="AQ13" t="s">
        <v>66</v>
      </c>
      <c r="AR13">
        <v>264585</v>
      </c>
      <c r="AU13" t="s">
        <v>57</v>
      </c>
      <c r="AV13" t="s">
        <v>68</v>
      </c>
      <c r="AX13" t="s">
        <v>57</v>
      </c>
      <c r="AY13">
        <v>631110</v>
      </c>
      <c r="AZ13">
        <v>1204.63111</v>
      </c>
      <c r="BA13" s="23" t="s">
        <v>12</v>
      </c>
    </row>
    <row r="14" spans="1:53" x14ac:dyDescent="0.25">
      <c r="A14" t="s">
        <v>134</v>
      </c>
      <c r="B14" t="s">
        <v>135</v>
      </c>
      <c r="C14">
        <v>22001852</v>
      </c>
      <c r="D14">
        <v>1204</v>
      </c>
      <c r="E14" s="11">
        <v>44784</v>
      </c>
      <c r="F14" t="s">
        <v>175</v>
      </c>
      <c r="G14" s="25">
        <v>0.08</v>
      </c>
      <c r="H14">
        <v>0.08</v>
      </c>
      <c r="I14" t="s">
        <v>56</v>
      </c>
      <c r="O14" t="s">
        <v>57</v>
      </c>
      <c r="Q14" t="s">
        <v>57</v>
      </c>
      <c r="R14" t="s">
        <v>137</v>
      </c>
      <c r="T14" t="s">
        <v>59</v>
      </c>
      <c r="U14" t="s">
        <v>60</v>
      </c>
      <c r="V14" t="s">
        <v>138</v>
      </c>
      <c r="W14" t="s">
        <v>139</v>
      </c>
      <c r="X14">
        <v>1930523</v>
      </c>
      <c r="Y14" s="11">
        <v>44784</v>
      </c>
      <c r="Z14" t="s">
        <v>57</v>
      </c>
      <c r="AA14">
        <v>8</v>
      </c>
      <c r="AB14" t="s">
        <v>57</v>
      </c>
      <c r="AD14" t="s">
        <v>57</v>
      </c>
      <c r="AE14" t="s">
        <v>57</v>
      </c>
      <c r="AF14" t="s">
        <v>57</v>
      </c>
      <c r="AG14">
        <v>1</v>
      </c>
      <c r="AH14" t="s">
        <v>57</v>
      </c>
      <c r="AL14" t="s">
        <v>57</v>
      </c>
      <c r="AM14" s="11">
        <v>44784</v>
      </c>
      <c r="AN14" t="s">
        <v>176</v>
      </c>
      <c r="AO14" t="s">
        <v>65</v>
      </c>
      <c r="AP14">
        <v>1204</v>
      </c>
      <c r="AQ14" t="s">
        <v>66</v>
      </c>
      <c r="AR14">
        <v>264585</v>
      </c>
      <c r="AU14" t="s">
        <v>57</v>
      </c>
      <c r="AV14" t="s">
        <v>68</v>
      </c>
      <c r="AX14" t="s">
        <v>57</v>
      </c>
      <c r="AY14">
        <v>631110</v>
      </c>
      <c r="AZ14">
        <v>1204.63111</v>
      </c>
      <c r="BA14" s="23" t="s">
        <v>12</v>
      </c>
    </row>
    <row r="15" spans="1:53" x14ac:dyDescent="0.25">
      <c r="A15" t="s">
        <v>134</v>
      </c>
      <c r="B15" t="s">
        <v>135</v>
      </c>
      <c r="C15">
        <v>22001880</v>
      </c>
      <c r="D15">
        <v>1204</v>
      </c>
      <c r="E15" s="11">
        <v>44791</v>
      </c>
      <c r="F15" t="s">
        <v>135</v>
      </c>
      <c r="G15" s="25">
        <v>0.08</v>
      </c>
      <c r="H15">
        <v>0.08</v>
      </c>
      <c r="I15" t="s">
        <v>56</v>
      </c>
      <c r="O15" t="s">
        <v>57</v>
      </c>
      <c r="Q15" t="s">
        <v>57</v>
      </c>
      <c r="R15" t="s">
        <v>137</v>
      </c>
      <c r="T15" t="s">
        <v>59</v>
      </c>
      <c r="U15" t="s">
        <v>60</v>
      </c>
      <c r="V15" t="s">
        <v>138</v>
      </c>
      <c r="W15" t="s">
        <v>139</v>
      </c>
      <c r="X15">
        <v>1933542</v>
      </c>
      <c r="Y15" s="11">
        <v>44791</v>
      </c>
      <c r="Z15" t="s">
        <v>57</v>
      </c>
      <c r="AA15">
        <v>2</v>
      </c>
      <c r="AB15" t="s">
        <v>57</v>
      </c>
      <c r="AD15" t="s">
        <v>57</v>
      </c>
      <c r="AE15" t="s">
        <v>57</v>
      </c>
      <c r="AF15" t="s">
        <v>57</v>
      </c>
      <c r="AG15">
        <v>1</v>
      </c>
      <c r="AH15" t="s">
        <v>57</v>
      </c>
      <c r="AL15" t="s">
        <v>57</v>
      </c>
      <c r="AM15" s="11">
        <v>44791</v>
      </c>
      <c r="AN15" t="s">
        <v>176</v>
      </c>
      <c r="AO15" t="s">
        <v>65</v>
      </c>
      <c r="AP15">
        <v>1204</v>
      </c>
      <c r="AQ15" t="s">
        <v>66</v>
      </c>
      <c r="AR15">
        <v>91479</v>
      </c>
      <c r="AU15" t="s">
        <v>57</v>
      </c>
      <c r="AV15" t="s">
        <v>68</v>
      </c>
      <c r="AX15" t="s">
        <v>57</v>
      </c>
      <c r="AY15">
        <v>631110</v>
      </c>
      <c r="AZ15">
        <v>1204.63111</v>
      </c>
      <c r="BA15" s="23" t="s">
        <v>12</v>
      </c>
    </row>
    <row r="16" spans="1:53" x14ac:dyDescent="0.25">
      <c r="A16" t="s">
        <v>134</v>
      </c>
      <c r="B16" t="s">
        <v>135</v>
      </c>
      <c r="C16">
        <v>22001893</v>
      </c>
      <c r="D16">
        <v>1204</v>
      </c>
      <c r="E16" s="11">
        <v>44792</v>
      </c>
      <c r="F16" t="s">
        <v>175</v>
      </c>
      <c r="G16" s="25">
        <v>0.08</v>
      </c>
      <c r="H16">
        <v>0.08</v>
      </c>
      <c r="I16" t="s">
        <v>56</v>
      </c>
      <c r="O16" t="s">
        <v>57</v>
      </c>
      <c r="Q16" t="s">
        <v>57</v>
      </c>
      <c r="R16" t="s">
        <v>137</v>
      </c>
      <c r="T16" t="s">
        <v>59</v>
      </c>
      <c r="U16" t="s">
        <v>60</v>
      </c>
      <c r="V16" t="s">
        <v>138</v>
      </c>
      <c r="W16" t="s">
        <v>139</v>
      </c>
      <c r="X16">
        <v>1934081</v>
      </c>
      <c r="Y16" s="11">
        <v>44792</v>
      </c>
      <c r="Z16" t="s">
        <v>57</v>
      </c>
      <c r="AA16">
        <v>4</v>
      </c>
      <c r="AB16" t="s">
        <v>57</v>
      </c>
      <c r="AD16" t="s">
        <v>57</v>
      </c>
      <c r="AE16" t="s">
        <v>57</v>
      </c>
      <c r="AF16" t="s">
        <v>57</v>
      </c>
      <c r="AG16">
        <v>1</v>
      </c>
      <c r="AH16" t="s">
        <v>57</v>
      </c>
      <c r="AL16" t="s">
        <v>57</v>
      </c>
      <c r="AM16" s="11">
        <v>44792</v>
      </c>
      <c r="AN16" t="s">
        <v>176</v>
      </c>
      <c r="AO16" t="s">
        <v>65</v>
      </c>
      <c r="AP16">
        <v>1204</v>
      </c>
      <c r="AQ16" t="s">
        <v>66</v>
      </c>
      <c r="AR16">
        <v>91479</v>
      </c>
      <c r="AU16" t="s">
        <v>57</v>
      </c>
      <c r="AV16" t="s">
        <v>68</v>
      </c>
      <c r="AX16" t="s">
        <v>57</v>
      </c>
      <c r="AY16">
        <v>631110</v>
      </c>
      <c r="AZ16">
        <v>1204.63111</v>
      </c>
      <c r="BA16" s="23" t="s">
        <v>12</v>
      </c>
    </row>
    <row r="17" spans="1:53" x14ac:dyDescent="0.25">
      <c r="A17" t="s">
        <v>134</v>
      </c>
      <c r="B17" t="s">
        <v>135</v>
      </c>
      <c r="C17">
        <v>22001893</v>
      </c>
      <c r="D17">
        <v>1204</v>
      </c>
      <c r="E17" s="11">
        <v>44792</v>
      </c>
      <c r="F17" t="s">
        <v>175</v>
      </c>
      <c r="G17" s="25">
        <v>0.08</v>
      </c>
      <c r="H17">
        <v>0.08</v>
      </c>
      <c r="I17" t="s">
        <v>56</v>
      </c>
      <c r="O17" t="s">
        <v>57</v>
      </c>
      <c r="Q17" t="s">
        <v>57</v>
      </c>
      <c r="R17" t="s">
        <v>137</v>
      </c>
      <c r="T17" t="s">
        <v>59</v>
      </c>
      <c r="U17" t="s">
        <v>60</v>
      </c>
      <c r="V17" t="s">
        <v>138</v>
      </c>
      <c r="W17" t="s">
        <v>139</v>
      </c>
      <c r="X17">
        <v>1934081</v>
      </c>
      <c r="Y17" s="11">
        <v>44792</v>
      </c>
      <c r="Z17" t="s">
        <v>57</v>
      </c>
      <c r="AA17">
        <v>8</v>
      </c>
      <c r="AB17" t="s">
        <v>57</v>
      </c>
      <c r="AD17" t="s">
        <v>57</v>
      </c>
      <c r="AE17" t="s">
        <v>57</v>
      </c>
      <c r="AF17" t="s">
        <v>57</v>
      </c>
      <c r="AG17">
        <v>1</v>
      </c>
      <c r="AH17" t="s">
        <v>57</v>
      </c>
      <c r="AL17" t="s">
        <v>57</v>
      </c>
      <c r="AM17" s="11">
        <v>44792</v>
      </c>
      <c r="AN17" t="s">
        <v>176</v>
      </c>
      <c r="AO17" t="s">
        <v>65</v>
      </c>
      <c r="AP17">
        <v>1204</v>
      </c>
      <c r="AQ17" t="s">
        <v>66</v>
      </c>
      <c r="AR17">
        <v>264585</v>
      </c>
      <c r="AU17" t="s">
        <v>57</v>
      </c>
      <c r="AV17" t="s">
        <v>68</v>
      </c>
      <c r="AX17" t="s">
        <v>57</v>
      </c>
      <c r="AY17">
        <v>631110</v>
      </c>
      <c r="AZ17">
        <v>1204.63111</v>
      </c>
      <c r="BA17" s="23" t="s">
        <v>12</v>
      </c>
    </row>
    <row r="18" spans="1:53" x14ac:dyDescent="0.25">
      <c r="A18" t="s">
        <v>134</v>
      </c>
      <c r="B18" t="s">
        <v>135</v>
      </c>
      <c r="C18">
        <v>22001810</v>
      </c>
      <c r="D18">
        <v>1204</v>
      </c>
      <c r="E18" s="11">
        <v>44776</v>
      </c>
      <c r="F18" t="s">
        <v>175</v>
      </c>
      <c r="G18" s="25">
        <v>0.11</v>
      </c>
      <c r="H18">
        <v>0.11</v>
      </c>
      <c r="I18" t="s">
        <v>56</v>
      </c>
      <c r="O18" t="s">
        <v>57</v>
      </c>
      <c r="Q18" t="s">
        <v>57</v>
      </c>
      <c r="R18" t="s">
        <v>137</v>
      </c>
      <c r="T18" t="s">
        <v>59</v>
      </c>
      <c r="U18" t="s">
        <v>60</v>
      </c>
      <c r="V18" t="s">
        <v>138</v>
      </c>
      <c r="W18" t="s">
        <v>139</v>
      </c>
      <c r="X18">
        <v>1927035</v>
      </c>
      <c r="Y18" s="11">
        <v>44776</v>
      </c>
      <c r="Z18" t="s">
        <v>57</v>
      </c>
      <c r="AA18">
        <v>8</v>
      </c>
      <c r="AB18" t="s">
        <v>57</v>
      </c>
      <c r="AD18" t="s">
        <v>57</v>
      </c>
      <c r="AE18" t="s">
        <v>57</v>
      </c>
      <c r="AF18" t="s">
        <v>57</v>
      </c>
      <c r="AG18">
        <v>1</v>
      </c>
      <c r="AH18" t="s">
        <v>57</v>
      </c>
      <c r="AL18" t="s">
        <v>57</v>
      </c>
      <c r="AM18" s="11">
        <v>44776</v>
      </c>
      <c r="AN18" t="s">
        <v>176</v>
      </c>
      <c r="AO18" t="s">
        <v>65</v>
      </c>
      <c r="AP18">
        <v>1204</v>
      </c>
      <c r="AQ18" t="s">
        <v>66</v>
      </c>
      <c r="AR18">
        <v>90435</v>
      </c>
      <c r="AU18" t="s">
        <v>57</v>
      </c>
      <c r="AV18" t="s">
        <v>68</v>
      </c>
      <c r="AX18" t="s">
        <v>57</v>
      </c>
      <c r="AY18">
        <v>631110</v>
      </c>
      <c r="AZ18">
        <v>1204.63111</v>
      </c>
      <c r="BA18" s="23" t="s">
        <v>12</v>
      </c>
    </row>
    <row r="19" spans="1:53" x14ac:dyDescent="0.25">
      <c r="A19" t="s">
        <v>134</v>
      </c>
      <c r="B19" t="s">
        <v>135</v>
      </c>
      <c r="C19">
        <v>22001813</v>
      </c>
      <c r="D19">
        <v>1204</v>
      </c>
      <c r="E19" s="11">
        <v>44777</v>
      </c>
      <c r="F19" t="s">
        <v>174</v>
      </c>
      <c r="G19" s="25">
        <v>0.11</v>
      </c>
      <c r="H19">
        <v>0.11</v>
      </c>
      <c r="I19" t="s">
        <v>56</v>
      </c>
      <c r="O19" t="s">
        <v>57</v>
      </c>
      <c r="Q19" t="s">
        <v>57</v>
      </c>
      <c r="R19" t="s">
        <v>137</v>
      </c>
      <c r="T19" t="s">
        <v>59</v>
      </c>
      <c r="U19" t="s">
        <v>60</v>
      </c>
      <c r="V19" t="s">
        <v>138</v>
      </c>
      <c r="W19" t="s">
        <v>139</v>
      </c>
      <c r="X19">
        <v>1927630</v>
      </c>
      <c r="Y19" s="11">
        <v>44777</v>
      </c>
      <c r="Z19" t="s">
        <v>57</v>
      </c>
      <c r="AA19">
        <v>16</v>
      </c>
      <c r="AB19" t="s">
        <v>57</v>
      </c>
      <c r="AD19" t="s">
        <v>57</v>
      </c>
      <c r="AE19" t="s">
        <v>57</v>
      </c>
      <c r="AF19" t="s">
        <v>57</v>
      </c>
      <c r="AG19">
        <v>2</v>
      </c>
      <c r="AH19" t="s">
        <v>57</v>
      </c>
      <c r="AL19" t="s">
        <v>57</v>
      </c>
      <c r="AM19" s="11">
        <v>44777</v>
      </c>
      <c r="AN19" t="s">
        <v>173</v>
      </c>
      <c r="AO19" t="s">
        <v>65</v>
      </c>
      <c r="AP19">
        <v>1204</v>
      </c>
      <c r="AQ19" t="s">
        <v>66</v>
      </c>
      <c r="AR19">
        <v>88799</v>
      </c>
      <c r="AU19" t="s">
        <v>57</v>
      </c>
      <c r="AV19" t="s">
        <v>68</v>
      </c>
      <c r="AX19" t="s">
        <v>57</v>
      </c>
      <c r="AY19">
        <v>631110</v>
      </c>
      <c r="AZ19">
        <v>1204.63111</v>
      </c>
      <c r="BA19" s="23" t="s">
        <v>12</v>
      </c>
    </row>
    <row r="20" spans="1:53" x14ac:dyDescent="0.25">
      <c r="A20" t="s">
        <v>134</v>
      </c>
      <c r="B20" t="s">
        <v>135</v>
      </c>
      <c r="C20">
        <v>22001870</v>
      </c>
      <c r="D20">
        <v>1204</v>
      </c>
      <c r="E20" s="11">
        <v>44789</v>
      </c>
      <c r="F20" t="s">
        <v>159</v>
      </c>
      <c r="G20" s="25">
        <v>0.13</v>
      </c>
      <c r="H20">
        <v>0.13</v>
      </c>
      <c r="I20" t="s">
        <v>56</v>
      </c>
      <c r="O20" t="s">
        <v>57</v>
      </c>
      <c r="Q20" t="s">
        <v>57</v>
      </c>
      <c r="R20" t="s">
        <v>137</v>
      </c>
      <c r="T20" t="s">
        <v>59</v>
      </c>
      <c r="U20" t="s">
        <v>60</v>
      </c>
      <c r="V20" t="s">
        <v>138</v>
      </c>
      <c r="W20" t="s">
        <v>139</v>
      </c>
      <c r="X20">
        <v>1933043</v>
      </c>
      <c r="Y20" s="11">
        <v>44789</v>
      </c>
      <c r="Z20" t="s">
        <v>57</v>
      </c>
      <c r="AA20">
        <v>4</v>
      </c>
      <c r="AB20" t="s">
        <v>57</v>
      </c>
      <c r="AD20" t="s">
        <v>57</v>
      </c>
      <c r="AE20" t="s">
        <v>57</v>
      </c>
      <c r="AF20" t="s">
        <v>57</v>
      </c>
      <c r="AG20">
        <v>2</v>
      </c>
      <c r="AH20" t="s">
        <v>57</v>
      </c>
      <c r="AL20" t="s">
        <v>57</v>
      </c>
      <c r="AM20" s="11">
        <v>44789</v>
      </c>
      <c r="AN20" t="s">
        <v>173</v>
      </c>
      <c r="AO20" t="s">
        <v>65</v>
      </c>
      <c r="AP20">
        <v>1204</v>
      </c>
      <c r="AQ20" t="s">
        <v>66</v>
      </c>
      <c r="AR20">
        <v>89908</v>
      </c>
      <c r="AU20" t="s">
        <v>57</v>
      </c>
      <c r="AV20" t="s">
        <v>68</v>
      </c>
      <c r="AX20" t="s">
        <v>57</v>
      </c>
      <c r="AY20">
        <v>631110</v>
      </c>
      <c r="AZ20">
        <v>1204.63111</v>
      </c>
      <c r="BA20" s="23" t="s">
        <v>12</v>
      </c>
    </row>
    <row r="21" spans="1:53" x14ac:dyDescent="0.25">
      <c r="A21" t="s">
        <v>134</v>
      </c>
      <c r="B21" t="s">
        <v>135</v>
      </c>
      <c r="C21">
        <v>22001877</v>
      </c>
      <c r="D21">
        <v>1204</v>
      </c>
      <c r="E21" s="11">
        <v>44791</v>
      </c>
      <c r="F21" t="s">
        <v>174</v>
      </c>
      <c r="G21" s="25">
        <v>0.13</v>
      </c>
      <c r="H21">
        <v>0.13</v>
      </c>
      <c r="I21" t="s">
        <v>56</v>
      </c>
      <c r="O21" t="s">
        <v>57</v>
      </c>
      <c r="Q21" t="s">
        <v>57</v>
      </c>
      <c r="R21" t="s">
        <v>137</v>
      </c>
      <c r="T21" t="s">
        <v>59</v>
      </c>
      <c r="U21" t="s">
        <v>60</v>
      </c>
      <c r="V21" t="s">
        <v>138</v>
      </c>
      <c r="W21" t="s">
        <v>139</v>
      </c>
      <c r="X21">
        <v>1933535</v>
      </c>
      <c r="Y21" s="11">
        <v>44791</v>
      </c>
      <c r="Z21" t="s">
        <v>57</v>
      </c>
      <c r="AA21">
        <v>2</v>
      </c>
      <c r="AB21" t="s">
        <v>57</v>
      </c>
      <c r="AD21" t="s">
        <v>57</v>
      </c>
      <c r="AE21" t="s">
        <v>57</v>
      </c>
      <c r="AF21" t="s">
        <v>57</v>
      </c>
      <c r="AG21">
        <v>1</v>
      </c>
      <c r="AH21" t="s">
        <v>57</v>
      </c>
      <c r="AL21" t="s">
        <v>57</v>
      </c>
      <c r="AM21" s="11">
        <v>44791</v>
      </c>
      <c r="AN21" t="s">
        <v>173</v>
      </c>
      <c r="AO21" t="s">
        <v>65</v>
      </c>
      <c r="AP21">
        <v>1204</v>
      </c>
      <c r="AQ21" t="s">
        <v>66</v>
      </c>
      <c r="AR21">
        <v>212697</v>
      </c>
      <c r="AU21" t="s">
        <v>57</v>
      </c>
      <c r="AV21" t="s">
        <v>68</v>
      </c>
      <c r="AX21" t="s">
        <v>57</v>
      </c>
      <c r="AY21">
        <v>631110</v>
      </c>
      <c r="AZ21">
        <v>1204.63111</v>
      </c>
      <c r="BA21" s="23" t="s">
        <v>12</v>
      </c>
    </row>
    <row r="22" spans="1:53" x14ac:dyDescent="0.25">
      <c r="A22" t="s">
        <v>134</v>
      </c>
      <c r="B22" t="s">
        <v>135</v>
      </c>
      <c r="C22">
        <v>22001807</v>
      </c>
      <c r="D22">
        <v>1204</v>
      </c>
      <c r="E22" s="11">
        <v>44776</v>
      </c>
      <c r="F22" t="s">
        <v>159</v>
      </c>
      <c r="G22" s="25">
        <v>0.14000000000000001</v>
      </c>
      <c r="H22">
        <v>0.14000000000000001</v>
      </c>
      <c r="I22" t="s">
        <v>56</v>
      </c>
      <c r="O22" t="s">
        <v>57</v>
      </c>
      <c r="Q22" t="s">
        <v>57</v>
      </c>
      <c r="R22" t="s">
        <v>137</v>
      </c>
      <c r="T22" t="s">
        <v>59</v>
      </c>
      <c r="U22" t="s">
        <v>60</v>
      </c>
      <c r="V22" t="s">
        <v>138</v>
      </c>
      <c r="W22" t="s">
        <v>139</v>
      </c>
      <c r="X22">
        <v>1926830</v>
      </c>
      <c r="Y22" s="11">
        <v>44776</v>
      </c>
      <c r="Z22" t="s">
        <v>57</v>
      </c>
      <c r="AA22">
        <v>4</v>
      </c>
      <c r="AB22" t="s">
        <v>57</v>
      </c>
      <c r="AD22" t="s">
        <v>57</v>
      </c>
      <c r="AE22" t="s">
        <v>57</v>
      </c>
      <c r="AF22" t="s">
        <v>57</v>
      </c>
      <c r="AG22">
        <v>2</v>
      </c>
      <c r="AH22" t="s">
        <v>57</v>
      </c>
      <c r="AL22" t="s">
        <v>57</v>
      </c>
      <c r="AM22" s="11">
        <v>44776</v>
      </c>
      <c r="AN22" t="s">
        <v>173</v>
      </c>
      <c r="AO22" t="s">
        <v>65</v>
      </c>
      <c r="AP22">
        <v>1204</v>
      </c>
      <c r="AQ22" t="s">
        <v>66</v>
      </c>
      <c r="AR22">
        <v>89908</v>
      </c>
      <c r="AU22" t="s">
        <v>57</v>
      </c>
      <c r="AV22" t="s">
        <v>68</v>
      </c>
      <c r="AX22" t="s">
        <v>57</v>
      </c>
      <c r="AY22">
        <v>631110</v>
      </c>
      <c r="AZ22">
        <v>1204.63111</v>
      </c>
      <c r="BA22" s="23" t="s">
        <v>12</v>
      </c>
    </row>
    <row r="23" spans="1:53" x14ac:dyDescent="0.25">
      <c r="A23" t="s">
        <v>134</v>
      </c>
      <c r="B23" t="s">
        <v>135</v>
      </c>
      <c r="C23">
        <v>22001836</v>
      </c>
      <c r="D23">
        <v>1204</v>
      </c>
      <c r="E23" s="11">
        <v>44782</v>
      </c>
      <c r="F23" t="s">
        <v>159</v>
      </c>
      <c r="G23" s="25">
        <v>0.14000000000000001</v>
      </c>
      <c r="H23">
        <v>0.14000000000000001</v>
      </c>
      <c r="I23" t="s">
        <v>56</v>
      </c>
      <c r="O23" t="s">
        <v>57</v>
      </c>
      <c r="Q23" t="s">
        <v>57</v>
      </c>
      <c r="R23" t="s">
        <v>137</v>
      </c>
      <c r="T23" t="s">
        <v>59</v>
      </c>
      <c r="U23" t="s">
        <v>60</v>
      </c>
      <c r="V23" t="s">
        <v>138</v>
      </c>
      <c r="W23" t="s">
        <v>139</v>
      </c>
      <c r="X23">
        <v>1929196</v>
      </c>
      <c r="Y23" s="11">
        <v>44782</v>
      </c>
      <c r="Z23" t="s">
        <v>57</v>
      </c>
      <c r="AA23">
        <v>2</v>
      </c>
      <c r="AB23" t="s">
        <v>57</v>
      </c>
      <c r="AD23" t="s">
        <v>57</v>
      </c>
      <c r="AE23" t="s">
        <v>57</v>
      </c>
      <c r="AF23" t="s">
        <v>57</v>
      </c>
      <c r="AG23">
        <v>2</v>
      </c>
      <c r="AH23" t="s">
        <v>57</v>
      </c>
      <c r="AL23" t="s">
        <v>57</v>
      </c>
      <c r="AM23" s="11">
        <v>44782</v>
      </c>
      <c r="AN23" t="s">
        <v>173</v>
      </c>
      <c r="AO23" t="s">
        <v>65</v>
      </c>
      <c r="AP23">
        <v>1204</v>
      </c>
      <c r="AQ23" t="s">
        <v>66</v>
      </c>
      <c r="AR23">
        <v>89908</v>
      </c>
      <c r="AU23" t="s">
        <v>57</v>
      </c>
      <c r="AV23" t="s">
        <v>68</v>
      </c>
      <c r="AX23" t="s">
        <v>57</v>
      </c>
      <c r="AY23">
        <v>631110</v>
      </c>
      <c r="AZ23">
        <v>1204.63111</v>
      </c>
      <c r="BA23" s="23" t="s">
        <v>12</v>
      </c>
    </row>
    <row r="24" spans="1:53" x14ac:dyDescent="0.25">
      <c r="A24" t="s">
        <v>134</v>
      </c>
      <c r="B24" t="s">
        <v>135</v>
      </c>
      <c r="C24">
        <v>22001843</v>
      </c>
      <c r="D24">
        <v>1204</v>
      </c>
      <c r="E24" s="11">
        <v>44783</v>
      </c>
      <c r="F24" t="s">
        <v>159</v>
      </c>
      <c r="G24" s="25">
        <v>0.14000000000000001</v>
      </c>
      <c r="H24">
        <v>0.14000000000000001</v>
      </c>
      <c r="I24" t="s">
        <v>56</v>
      </c>
      <c r="O24" t="s">
        <v>57</v>
      </c>
      <c r="Q24" t="s">
        <v>57</v>
      </c>
      <c r="R24" t="s">
        <v>137</v>
      </c>
      <c r="T24" t="s">
        <v>59</v>
      </c>
      <c r="U24" t="s">
        <v>60</v>
      </c>
      <c r="V24" t="s">
        <v>138</v>
      </c>
      <c r="W24" t="s">
        <v>139</v>
      </c>
      <c r="X24">
        <v>1930269</v>
      </c>
      <c r="Y24" s="11">
        <v>44783</v>
      </c>
      <c r="Z24" t="s">
        <v>57</v>
      </c>
      <c r="AA24">
        <v>8</v>
      </c>
      <c r="AB24" t="s">
        <v>57</v>
      </c>
      <c r="AD24" t="s">
        <v>57</v>
      </c>
      <c r="AE24" t="s">
        <v>57</v>
      </c>
      <c r="AF24" t="s">
        <v>57</v>
      </c>
      <c r="AG24">
        <v>2</v>
      </c>
      <c r="AH24" t="s">
        <v>57</v>
      </c>
      <c r="AL24" t="s">
        <v>57</v>
      </c>
      <c r="AM24" s="11">
        <v>44783</v>
      </c>
      <c r="AN24" t="s">
        <v>173</v>
      </c>
      <c r="AO24" t="s">
        <v>65</v>
      </c>
      <c r="AP24">
        <v>1204</v>
      </c>
      <c r="AQ24" t="s">
        <v>66</v>
      </c>
      <c r="AR24">
        <v>89908</v>
      </c>
      <c r="AU24" t="s">
        <v>57</v>
      </c>
      <c r="AV24" t="s">
        <v>68</v>
      </c>
      <c r="AX24" t="s">
        <v>57</v>
      </c>
      <c r="AY24">
        <v>631110</v>
      </c>
      <c r="AZ24">
        <v>1204.63111</v>
      </c>
      <c r="BA24" s="23" t="s">
        <v>12</v>
      </c>
    </row>
    <row r="25" spans="1:53" x14ac:dyDescent="0.25">
      <c r="A25" t="s">
        <v>134</v>
      </c>
      <c r="B25" t="s">
        <v>135</v>
      </c>
      <c r="C25">
        <v>22001815</v>
      </c>
      <c r="D25">
        <v>1204</v>
      </c>
      <c r="E25" s="11">
        <v>44777</v>
      </c>
      <c r="F25" t="s">
        <v>175</v>
      </c>
      <c r="G25" s="25">
        <v>0.15</v>
      </c>
      <c r="H25">
        <v>0.15</v>
      </c>
      <c r="I25" t="s">
        <v>56</v>
      </c>
      <c r="O25" t="s">
        <v>57</v>
      </c>
      <c r="Q25" t="s">
        <v>57</v>
      </c>
      <c r="R25" t="s">
        <v>137</v>
      </c>
      <c r="T25" t="s">
        <v>59</v>
      </c>
      <c r="U25" t="s">
        <v>60</v>
      </c>
      <c r="V25" t="s">
        <v>138</v>
      </c>
      <c r="W25" t="s">
        <v>139</v>
      </c>
      <c r="X25">
        <v>1927634</v>
      </c>
      <c r="Y25" s="11">
        <v>44777</v>
      </c>
      <c r="Z25" t="s">
        <v>57</v>
      </c>
      <c r="AA25">
        <v>4</v>
      </c>
      <c r="AB25" t="s">
        <v>57</v>
      </c>
      <c r="AD25" t="s">
        <v>57</v>
      </c>
      <c r="AE25" t="s">
        <v>57</v>
      </c>
      <c r="AF25" t="s">
        <v>57</v>
      </c>
      <c r="AG25">
        <v>2</v>
      </c>
      <c r="AH25" t="s">
        <v>57</v>
      </c>
      <c r="AL25" t="s">
        <v>57</v>
      </c>
      <c r="AM25" s="11">
        <v>44777</v>
      </c>
      <c r="AN25" t="s">
        <v>176</v>
      </c>
      <c r="AO25" t="s">
        <v>65</v>
      </c>
      <c r="AP25">
        <v>1204</v>
      </c>
      <c r="AQ25" t="s">
        <v>66</v>
      </c>
      <c r="AR25">
        <v>91479</v>
      </c>
      <c r="AU25" t="s">
        <v>57</v>
      </c>
      <c r="AV25" t="s">
        <v>68</v>
      </c>
      <c r="AX25" t="s">
        <v>57</v>
      </c>
      <c r="AY25">
        <v>631110</v>
      </c>
      <c r="AZ25">
        <v>1204.63111</v>
      </c>
      <c r="BA25" s="23" t="s">
        <v>12</v>
      </c>
    </row>
    <row r="26" spans="1:53" x14ac:dyDescent="0.25">
      <c r="A26" t="s">
        <v>134</v>
      </c>
      <c r="B26" t="s">
        <v>135</v>
      </c>
      <c r="C26">
        <v>22001845</v>
      </c>
      <c r="D26">
        <v>1204</v>
      </c>
      <c r="E26" s="11">
        <v>44783</v>
      </c>
      <c r="F26" t="s">
        <v>175</v>
      </c>
      <c r="G26" s="25">
        <v>0.15</v>
      </c>
      <c r="H26">
        <v>0.15</v>
      </c>
      <c r="I26" t="s">
        <v>56</v>
      </c>
      <c r="O26" t="s">
        <v>57</v>
      </c>
      <c r="Q26" t="s">
        <v>57</v>
      </c>
      <c r="R26" t="s">
        <v>137</v>
      </c>
      <c r="T26" t="s">
        <v>59</v>
      </c>
      <c r="U26" t="s">
        <v>60</v>
      </c>
      <c r="V26" t="s">
        <v>138</v>
      </c>
      <c r="W26" t="s">
        <v>139</v>
      </c>
      <c r="X26">
        <v>1930355</v>
      </c>
      <c r="Y26" s="11">
        <v>44783</v>
      </c>
      <c r="Z26" t="s">
        <v>57</v>
      </c>
      <c r="AA26">
        <v>2</v>
      </c>
      <c r="AB26" t="s">
        <v>57</v>
      </c>
      <c r="AD26" t="s">
        <v>57</v>
      </c>
      <c r="AE26" t="s">
        <v>57</v>
      </c>
      <c r="AF26" t="s">
        <v>57</v>
      </c>
      <c r="AG26">
        <v>2</v>
      </c>
      <c r="AH26" t="s">
        <v>57</v>
      </c>
      <c r="AL26" t="s">
        <v>57</v>
      </c>
      <c r="AM26" s="11">
        <v>44783</v>
      </c>
      <c r="AN26" t="s">
        <v>176</v>
      </c>
      <c r="AO26" t="s">
        <v>65</v>
      </c>
      <c r="AP26">
        <v>1204</v>
      </c>
      <c r="AQ26" t="s">
        <v>66</v>
      </c>
      <c r="AR26">
        <v>91479</v>
      </c>
      <c r="AU26" t="s">
        <v>57</v>
      </c>
      <c r="AV26" t="s">
        <v>68</v>
      </c>
      <c r="AX26" t="s">
        <v>57</v>
      </c>
      <c r="AY26">
        <v>631110</v>
      </c>
      <c r="AZ26">
        <v>1204.63111</v>
      </c>
      <c r="BA26" s="23" t="s">
        <v>12</v>
      </c>
    </row>
    <row r="27" spans="1:53" x14ac:dyDescent="0.25">
      <c r="A27" t="s">
        <v>134</v>
      </c>
      <c r="B27" t="s">
        <v>135</v>
      </c>
      <c r="C27">
        <v>22001845</v>
      </c>
      <c r="D27">
        <v>1204</v>
      </c>
      <c r="E27" s="11">
        <v>44783</v>
      </c>
      <c r="F27" t="s">
        <v>175</v>
      </c>
      <c r="G27" s="25">
        <v>0.15</v>
      </c>
      <c r="H27">
        <v>0.15</v>
      </c>
      <c r="I27" t="s">
        <v>56</v>
      </c>
      <c r="O27" t="s">
        <v>57</v>
      </c>
      <c r="Q27" t="s">
        <v>57</v>
      </c>
      <c r="R27" t="s">
        <v>137</v>
      </c>
      <c r="T27" t="s">
        <v>59</v>
      </c>
      <c r="U27" t="s">
        <v>60</v>
      </c>
      <c r="V27" t="s">
        <v>138</v>
      </c>
      <c r="W27" t="s">
        <v>139</v>
      </c>
      <c r="X27">
        <v>1930355</v>
      </c>
      <c r="Y27" s="11">
        <v>44783</v>
      </c>
      <c r="Z27" t="s">
        <v>57</v>
      </c>
      <c r="AA27">
        <v>8</v>
      </c>
      <c r="AB27" t="s">
        <v>57</v>
      </c>
      <c r="AD27" t="s">
        <v>57</v>
      </c>
      <c r="AE27" t="s">
        <v>57</v>
      </c>
      <c r="AF27" t="s">
        <v>57</v>
      </c>
      <c r="AG27">
        <v>2</v>
      </c>
      <c r="AH27" t="s">
        <v>57</v>
      </c>
      <c r="AL27" t="s">
        <v>57</v>
      </c>
      <c r="AM27" s="11">
        <v>44783</v>
      </c>
      <c r="AN27" t="s">
        <v>176</v>
      </c>
      <c r="AO27" t="s">
        <v>65</v>
      </c>
      <c r="AP27">
        <v>1204</v>
      </c>
      <c r="AQ27" t="s">
        <v>66</v>
      </c>
      <c r="AR27">
        <v>264585</v>
      </c>
      <c r="AU27" t="s">
        <v>57</v>
      </c>
      <c r="AV27" t="s">
        <v>68</v>
      </c>
      <c r="AX27" t="s">
        <v>57</v>
      </c>
      <c r="AY27">
        <v>631110</v>
      </c>
      <c r="AZ27">
        <v>1204.63111</v>
      </c>
      <c r="BA27" s="23" t="s">
        <v>12</v>
      </c>
    </row>
    <row r="28" spans="1:53" x14ac:dyDescent="0.25">
      <c r="A28" t="s">
        <v>134</v>
      </c>
      <c r="B28" t="s">
        <v>135</v>
      </c>
      <c r="C28">
        <v>22001865</v>
      </c>
      <c r="D28">
        <v>1204</v>
      </c>
      <c r="E28" s="11">
        <v>44785</v>
      </c>
      <c r="F28" t="s">
        <v>175</v>
      </c>
      <c r="G28" s="25">
        <v>0.15</v>
      </c>
      <c r="H28">
        <v>0.15</v>
      </c>
      <c r="I28" t="s">
        <v>56</v>
      </c>
      <c r="O28" t="s">
        <v>57</v>
      </c>
      <c r="Q28" t="s">
        <v>57</v>
      </c>
      <c r="R28" t="s">
        <v>137</v>
      </c>
      <c r="T28" t="s">
        <v>59</v>
      </c>
      <c r="U28" t="s">
        <v>60</v>
      </c>
      <c r="V28" t="s">
        <v>138</v>
      </c>
      <c r="W28" t="s">
        <v>139</v>
      </c>
      <c r="X28">
        <v>1930744</v>
      </c>
      <c r="Y28" s="11">
        <v>44785</v>
      </c>
      <c r="Z28" t="s">
        <v>57</v>
      </c>
      <c r="AA28">
        <v>6</v>
      </c>
      <c r="AB28" t="s">
        <v>57</v>
      </c>
      <c r="AD28" t="s">
        <v>57</v>
      </c>
      <c r="AE28" t="s">
        <v>57</v>
      </c>
      <c r="AF28" t="s">
        <v>57</v>
      </c>
      <c r="AG28">
        <v>2</v>
      </c>
      <c r="AH28" t="s">
        <v>57</v>
      </c>
      <c r="AL28" t="s">
        <v>57</v>
      </c>
      <c r="AM28" s="11">
        <v>44785</v>
      </c>
      <c r="AN28" t="s">
        <v>176</v>
      </c>
      <c r="AO28" t="s">
        <v>65</v>
      </c>
      <c r="AP28">
        <v>1204</v>
      </c>
      <c r="AQ28" t="s">
        <v>66</v>
      </c>
      <c r="AR28">
        <v>264585</v>
      </c>
      <c r="AU28" t="s">
        <v>57</v>
      </c>
      <c r="AV28" t="s">
        <v>68</v>
      </c>
      <c r="AX28" t="s">
        <v>57</v>
      </c>
      <c r="AY28">
        <v>631110</v>
      </c>
      <c r="AZ28">
        <v>1204.63111</v>
      </c>
      <c r="BA28" s="23" t="s">
        <v>12</v>
      </c>
    </row>
    <row r="29" spans="1:53" x14ac:dyDescent="0.25">
      <c r="A29" t="s">
        <v>134</v>
      </c>
      <c r="B29" t="s">
        <v>135</v>
      </c>
      <c r="C29">
        <v>22001808</v>
      </c>
      <c r="D29">
        <v>1204</v>
      </c>
      <c r="E29" s="11">
        <v>44776</v>
      </c>
      <c r="F29" t="s">
        <v>174</v>
      </c>
      <c r="G29" s="25">
        <v>0.16</v>
      </c>
      <c r="H29">
        <v>0.16</v>
      </c>
      <c r="I29" t="s">
        <v>56</v>
      </c>
      <c r="O29" t="s">
        <v>57</v>
      </c>
      <c r="Q29" t="s">
        <v>57</v>
      </c>
      <c r="R29" t="s">
        <v>137</v>
      </c>
      <c r="T29" t="s">
        <v>59</v>
      </c>
      <c r="U29" t="s">
        <v>60</v>
      </c>
      <c r="V29" t="s">
        <v>138</v>
      </c>
      <c r="W29" t="s">
        <v>139</v>
      </c>
      <c r="X29">
        <v>1926830</v>
      </c>
      <c r="Y29" s="11">
        <v>44776</v>
      </c>
      <c r="Z29" t="s">
        <v>57</v>
      </c>
      <c r="AA29">
        <v>24</v>
      </c>
      <c r="AB29" t="s">
        <v>57</v>
      </c>
      <c r="AD29" t="s">
        <v>57</v>
      </c>
      <c r="AE29" t="s">
        <v>57</v>
      </c>
      <c r="AF29" t="s">
        <v>57</v>
      </c>
      <c r="AG29">
        <v>1</v>
      </c>
      <c r="AH29" t="s">
        <v>57</v>
      </c>
      <c r="AL29" t="s">
        <v>57</v>
      </c>
      <c r="AM29" s="11">
        <v>44776</v>
      </c>
      <c r="AN29" t="s">
        <v>173</v>
      </c>
      <c r="AO29" t="s">
        <v>65</v>
      </c>
      <c r="AP29">
        <v>1204</v>
      </c>
      <c r="AQ29" t="s">
        <v>66</v>
      </c>
      <c r="AR29">
        <v>88760</v>
      </c>
      <c r="AU29" t="s">
        <v>57</v>
      </c>
      <c r="AV29" t="s">
        <v>68</v>
      </c>
      <c r="AX29" t="s">
        <v>57</v>
      </c>
      <c r="AY29">
        <v>631110</v>
      </c>
      <c r="AZ29">
        <v>1204.63111</v>
      </c>
      <c r="BA29" s="23" t="s">
        <v>12</v>
      </c>
    </row>
    <row r="30" spans="1:53" x14ac:dyDescent="0.25">
      <c r="A30" t="s">
        <v>134</v>
      </c>
      <c r="B30" t="s">
        <v>135</v>
      </c>
      <c r="C30">
        <v>22001813</v>
      </c>
      <c r="D30">
        <v>1204</v>
      </c>
      <c r="E30" s="11">
        <v>44777</v>
      </c>
      <c r="F30" t="s">
        <v>174</v>
      </c>
      <c r="G30" s="25">
        <v>0.16</v>
      </c>
      <c r="H30">
        <v>0.16</v>
      </c>
      <c r="I30" t="s">
        <v>56</v>
      </c>
      <c r="O30" t="s">
        <v>57</v>
      </c>
      <c r="Q30" t="s">
        <v>57</v>
      </c>
      <c r="R30" t="s">
        <v>137</v>
      </c>
      <c r="T30" t="s">
        <v>59</v>
      </c>
      <c r="U30" t="s">
        <v>60</v>
      </c>
      <c r="V30" t="s">
        <v>138</v>
      </c>
      <c r="W30" t="s">
        <v>139</v>
      </c>
      <c r="X30">
        <v>1927630</v>
      </c>
      <c r="Y30" s="11">
        <v>44777</v>
      </c>
      <c r="Z30" t="s">
        <v>57</v>
      </c>
      <c r="AA30">
        <v>24</v>
      </c>
      <c r="AB30" t="s">
        <v>57</v>
      </c>
      <c r="AD30" t="s">
        <v>57</v>
      </c>
      <c r="AE30" t="s">
        <v>57</v>
      </c>
      <c r="AF30" t="s">
        <v>57</v>
      </c>
      <c r="AG30">
        <v>1</v>
      </c>
      <c r="AH30" t="s">
        <v>57</v>
      </c>
      <c r="AL30" t="s">
        <v>57</v>
      </c>
      <c r="AM30" s="11">
        <v>44777</v>
      </c>
      <c r="AN30" t="s">
        <v>173</v>
      </c>
      <c r="AO30" t="s">
        <v>65</v>
      </c>
      <c r="AP30">
        <v>1204</v>
      </c>
      <c r="AQ30" t="s">
        <v>66</v>
      </c>
      <c r="AR30">
        <v>88760</v>
      </c>
      <c r="AU30" t="s">
        <v>57</v>
      </c>
      <c r="AV30" t="s">
        <v>68</v>
      </c>
      <c r="AX30" t="s">
        <v>57</v>
      </c>
      <c r="AY30">
        <v>631110</v>
      </c>
      <c r="AZ30">
        <v>1204.63111</v>
      </c>
      <c r="BA30" s="23" t="s">
        <v>12</v>
      </c>
    </row>
    <row r="31" spans="1:53" x14ac:dyDescent="0.25">
      <c r="A31" t="s">
        <v>134</v>
      </c>
      <c r="B31" t="s">
        <v>135</v>
      </c>
      <c r="C31">
        <v>22001837</v>
      </c>
      <c r="D31">
        <v>1204</v>
      </c>
      <c r="E31" s="11">
        <v>44782</v>
      </c>
      <c r="F31" t="s">
        <v>174</v>
      </c>
      <c r="G31" s="25">
        <v>0.16</v>
      </c>
      <c r="H31">
        <v>0.16</v>
      </c>
      <c r="I31" t="s">
        <v>56</v>
      </c>
      <c r="O31" t="s">
        <v>57</v>
      </c>
      <c r="Q31" t="s">
        <v>57</v>
      </c>
      <c r="R31" t="s">
        <v>137</v>
      </c>
      <c r="T31" t="s">
        <v>59</v>
      </c>
      <c r="U31" t="s">
        <v>60</v>
      </c>
      <c r="V31" t="s">
        <v>138</v>
      </c>
      <c r="W31" t="s">
        <v>139</v>
      </c>
      <c r="X31">
        <v>1929196</v>
      </c>
      <c r="Y31" s="11">
        <v>44782</v>
      </c>
      <c r="Z31" t="s">
        <v>57</v>
      </c>
      <c r="AA31">
        <v>2</v>
      </c>
      <c r="AB31" t="s">
        <v>57</v>
      </c>
      <c r="AD31" t="s">
        <v>57</v>
      </c>
      <c r="AE31" t="s">
        <v>57</v>
      </c>
      <c r="AF31" t="s">
        <v>57</v>
      </c>
      <c r="AG31">
        <v>1</v>
      </c>
      <c r="AH31" t="s">
        <v>57</v>
      </c>
      <c r="AL31" t="s">
        <v>57</v>
      </c>
      <c r="AM31" s="11">
        <v>44782</v>
      </c>
      <c r="AN31" t="s">
        <v>173</v>
      </c>
      <c r="AO31" t="s">
        <v>65</v>
      </c>
      <c r="AP31">
        <v>1204</v>
      </c>
      <c r="AQ31" t="s">
        <v>66</v>
      </c>
      <c r="AR31">
        <v>88760</v>
      </c>
      <c r="AU31" t="s">
        <v>57</v>
      </c>
      <c r="AV31" t="s">
        <v>68</v>
      </c>
      <c r="AX31" t="s">
        <v>57</v>
      </c>
      <c r="AY31">
        <v>631110</v>
      </c>
      <c r="AZ31">
        <v>1204.63111</v>
      </c>
      <c r="BA31" s="23" t="s">
        <v>12</v>
      </c>
    </row>
    <row r="32" spans="1:53" x14ac:dyDescent="0.25">
      <c r="A32" t="s">
        <v>134</v>
      </c>
      <c r="B32" t="s">
        <v>135</v>
      </c>
      <c r="C32">
        <v>22001842</v>
      </c>
      <c r="D32">
        <v>1204</v>
      </c>
      <c r="E32" s="11">
        <v>44783</v>
      </c>
      <c r="F32" t="s">
        <v>174</v>
      </c>
      <c r="G32" s="25">
        <v>0.16</v>
      </c>
      <c r="H32">
        <v>0.16</v>
      </c>
      <c r="I32" t="s">
        <v>56</v>
      </c>
      <c r="O32" t="s">
        <v>57</v>
      </c>
      <c r="Q32" t="s">
        <v>57</v>
      </c>
      <c r="R32" t="s">
        <v>137</v>
      </c>
      <c r="T32" t="s">
        <v>59</v>
      </c>
      <c r="U32" t="s">
        <v>60</v>
      </c>
      <c r="V32" t="s">
        <v>138</v>
      </c>
      <c r="W32" t="s">
        <v>139</v>
      </c>
      <c r="X32">
        <v>1930268</v>
      </c>
      <c r="Y32" s="11">
        <v>44783</v>
      </c>
      <c r="Z32" t="s">
        <v>57</v>
      </c>
      <c r="AA32">
        <v>4</v>
      </c>
      <c r="AB32" t="s">
        <v>57</v>
      </c>
      <c r="AD32" t="s">
        <v>57</v>
      </c>
      <c r="AE32" t="s">
        <v>57</v>
      </c>
      <c r="AF32" t="s">
        <v>57</v>
      </c>
      <c r="AG32">
        <v>1</v>
      </c>
      <c r="AH32" t="s">
        <v>57</v>
      </c>
      <c r="AL32" t="s">
        <v>57</v>
      </c>
      <c r="AM32" s="11">
        <v>44783</v>
      </c>
      <c r="AN32" t="s">
        <v>173</v>
      </c>
      <c r="AO32" t="s">
        <v>65</v>
      </c>
      <c r="AP32">
        <v>1204</v>
      </c>
      <c r="AQ32" t="s">
        <v>66</v>
      </c>
      <c r="AR32">
        <v>88760</v>
      </c>
      <c r="AU32" t="s">
        <v>57</v>
      </c>
      <c r="AV32" t="s">
        <v>68</v>
      </c>
      <c r="AX32" t="s">
        <v>57</v>
      </c>
      <c r="AY32">
        <v>631110</v>
      </c>
      <c r="AZ32">
        <v>1204.63111</v>
      </c>
      <c r="BA32" s="23" t="s">
        <v>12</v>
      </c>
    </row>
    <row r="33" spans="1:53" x14ac:dyDescent="0.25">
      <c r="A33" t="s">
        <v>134</v>
      </c>
      <c r="B33" t="s">
        <v>135</v>
      </c>
      <c r="C33">
        <v>22001849</v>
      </c>
      <c r="D33">
        <v>1204</v>
      </c>
      <c r="E33" s="11">
        <v>44784</v>
      </c>
      <c r="F33" t="s">
        <v>174</v>
      </c>
      <c r="G33" s="25">
        <v>0.16</v>
      </c>
      <c r="H33">
        <v>0.16</v>
      </c>
      <c r="I33" t="s">
        <v>56</v>
      </c>
      <c r="O33" t="s">
        <v>57</v>
      </c>
      <c r="Q33" t="s">
        <v>57</v>
      </c>
      <c r="R33" t="s">
        <v>137</v>
      </c>
      <c r="T33" t="s">
        <v>59</v>
      </c>
      <c r="U33" t="s">
        <v>60</v>
      </c>
      <c r="V33" t="s">
        <v>138</v>
      </c>
      <c r="W33" t="s">
        <v>139</v>
      </c>
      <c r="X33">
        <v>1930407</v>
      </c>
      <c r="Y33" s="11">
        <v>44784</v>
      </c>
      <c r="Z33" t="s">
        <v>57</v>
      </c>
      <c r="AA33">
        <v>8</v>
      </c>
      <c r="AB33" t="s">
        <v>57</v>
      </c>
      <c r="AD33" t="s">
        <v>57</v>
      </c>
      <c r="AE33" t="s">
        <v>57</v>
      </c>
      <c r="AF33" t="s">
        <v>57</v>
      </c>
      <c r="AG33">
        <v>1</v>
      </c>
      <c r="AH33" t="s">
        <v>57</v>
      </c>
      <c r="AL33" t="s">
        <v>57</v>
      </c>
      <c r="AM33" s="11">
        <v>44784</v>
      </c>
      <c r="AN33" t="s">
        <v>173</v>
      </c>
      <c r="AO33" t="s">
        <v>65</v>
      </c>
      <c r="AP33">
        <v>1204</v>
      </c>
      <c r="AQ33" t="s">
        <v>66</v>
      </c>
      <c r="AR33">
        <v>88760</v>
      </c>
      <c r="AU33" t="s">
        <v>57</v>
      </c>
      <c r="AV33" t="s">
        <v>68</v>
      </c>
      <c r="AX33" t="s">
        <v>57</v>
      </c>
      <c r="AY33">
        <v>631110</v>
      </c>
      <c r="AZ33">
        <v>1204.63111</v>
      </c>
      <c r="BA33" s="23" t="s">
        <v>12</v>
      </c>
    </row>
    <row r="34" spans="1:53" x14ac:dyDescent="0.25">
      <c r="A34" t="s">
        <v>134</v>
      </c>
      <c r="B34" t="s">
        <v>135</v>
      </c>
      <c r="C34">
        <v>22001849</v>
      </c>
      <c r="D34">
        <v>1204</v>
      </c>
      <c r="E34" s="11">
        <v>44784</v>
      </c>
      <c r="F34" t="s">
        <v>174</v>
      </c>
      <c r="G34" s="25">
        <v>0.16</v>
      </c>
      <c r="H34">
        <v>0.16</v>
      </c>
      <c r="I34" t="s">
        <v>56</v>
      </c>
      <c r="O34" t="s">
        <v>57</v>
      </c>
      <c r="Q34" t="s">
        <v>57</v>
      </c>
      <c r="R34" t="s">
        <v>137</v>
      </c>
      <c r="T34" t="s">
        <v>59</v>
      </c>
      <c r="U34" t="s">
        <v>60</v>
      </c>
      <c r="V34" t="s">
        <v>138</v>
      </c>
      <c r="W34" t="s">
        <v>139</v>
      </c>
      <c r="X34">
        <v>1930407</v>
      </c>
      <c r="Y34" s="11">
        <v>44784</v>
      </c>
      <c r="Z34" t="s">
        <v>57</v>
      </c>
      <c r="AA34">
        <v>14</v>
      </c>
      <c r="AB34" t="s">
        <v>57</v>
      </c>
      <c r="AD34" t="s">
        <v>57</v>
      </c>
      <c r="AE34" t="s">
        <v>57</v>
      </c>
      <c r="AF34" t="s">
        <v>57</v>
      </c>
      <c r="AG34">
        <v>1</v>
      </c>
      <c r="AH34" t="s">
        <v>57</v>
      </c>
      <c r="AL34" t="s">
        <v>57</v>
      </c>
      <c r="AM34" s="11">
        <v>44784</v>
      </c>
      <c r="AN34" t="s">
        <v>173</v>
      </c>
      <c r="AO34" t="s">
        <v>65</v>
      </c>
      <c r="AP34">
        <v>1204</v>
      </c>
      <c r="AQ34" t="s">
        <v>66</v>
      </c>
      <c r="AR34">
        <v>88760</v>
      </c>
      <c r="AU34" t="s">
        <v>57</v>
      </c>
      <c r="AV34" t="s">
        <v>68</v>
      </c>
      <c r="AX34" t="s">
        <v>57</v>
      </c>
      <c r="AY34">
        <v>631110</v>
      </c>
      <c r="AZ34">
        <v>1204.63111</v>
      </c>
      <c r="BA34" s="23" t="s">
        <v>12</v>
      </c>
    </row>
    <row r="35" spans="1:53" x14ac:dyDescent="0.25">
      <c r="A35" t="s">
        <v>134</v>
      </c>
      <c r="B35" t="s">
        <v>135</v>
      </c>
      <c r="C35">
        <v>22001849</v>
      </c>
      <c r="D35">
        <v>1204</v>
      </c>
      <c r="E35" s="11">
        <v>44784</v>
      </c>
      <c r="F35" t="s">
        <v>174</v>
      </c>
      <c r="G35" s="25">
        <v>0.16</v>
      </c>
      <c r="H35">
        <v>0.16</v>
      </c>
      <c r="I35" t="s">
        <v>56</v>
      </c>
      <c r="O35" t="s">
        <v>57</v>
      </c>
      <c r="Q35" t="s">
        <v>57</v>
      </c>
      <c r="R35" t="s">
        <v>137</v>
      </c>
      <c r="T35" t="s">
        <v>59</v>
      </c>
      <c r="U35" t="s">
        <v>60</v>
      </c>
      <c r="V35" t="s">
        <v>138</v>
      </c>
      <c r="W35" t="s">
        <v>139</v>
      </c>
      <c r="X35">
        <v>1930407</v>
      </c>
      <c r="Y35" s="11">
        <v>44784</v>
      </c>
      <c r="Z35" t="s">
        <v>57</v>
      </c>
      <c r="AA35">
        <v>22</v>
      </c>
      <c r="AB35" t="s">
        <v>57</v>
      </c>
      <c r="AD35" t="s">
        <v>57</v>
      </c>
      <c r="AE35" t="s">
        <v>57</v>
      </c>
      <c r="AF35" t="s">
        <v>57</v>
      </c>
      <c r="AG35">
        <v>1</v>
      </c>
      <c r="AH35" t="s">
        <v>57</v>
      </c>
      <c r="AL35" t="s">
        <v>57</v>
      </c>
      <c r="AM35" s="11">
        <v>44784</v>
      </c>
      <c r="AN35" t="s">
        <v>173</v>
      </c>
      <c r="AO35" t="s">
        <v>65</v>
      </c>
      <c r="AP35">
        <v>1204</v>
      </c>
      <c r="AQ35" t="s">
        <v>66</v>
      </c>
      <c r="AR35">
        <v>88760</v>
      </c>
      <c r="AU35" t="s">
        <v>57</v>
      </c>
      <c r="AV35" t="s">
        <v>68</v>
      </c>
      <c r="AX35" t="s">
        <v>57</v>
      </c>
      <c r="AY35">
        <v>631110</v>
      </c>
      <c r="AZ35">
        <v>1204.63111</v>
      </c>
      <c r="BA35" s="23" t="s">
        <v>12</v>
      </c>
    </row>
    <row r="36" spans="1:53" x14ac:dyDescent="0.25">
      <c r="A36" t="s">
        <v>134</v>
      </c>
      <c r="B36" t="s">
        <v>135</v>
      </c>
      <c r="C36">
        <v>22001855</v>
      </c>
      <c r="D36">
        <v>1204</v>
      </c>
      <c r="E36" s="11">
        <v>44785</v>
      </c>
      <c r="F36" t="s">
        <v>174</v>
      </c>
      <c r="G36" s="25">
        <v>0.16</v>
      </c>
      <c r="H36">
        <v>0.16</v>
      </c>
      <c r="I36" t="s">
        <v>56</v>
      </c>
      <c r="O36" t="s">
        <v>57</v>
      </c>
      <c r="Q36" t="s">
        <v>57</v>
      </c>
      <c r="R36" t="s">
        <v>137</v>
      </c>
      <c r="T36" t="s">
        <v>59</v>
      </c>
      <c r="U36" t="s">
        <v>60</v>
      </c>
      <c r="V36" t="s">
        <v>138</v>
      </c>
      <c r="W36" t="s">
        <v>139</v>
      </c>
      <c r="X36">
        <v>1930576</v>
      </c>
      <c r="Y36" s="11">
        <v>44785</v>
      </c>
      <c r="Z36" t="s">
        <v>57</v>
      </c>
      <c r="AA36">
        <v>14</v>
      </c>
      <c r="AB36" t="s">
        <v>57</v>
      </c>
      <c r="AD36" t="s">
        <v>57</v>
      </c>
      <c r="AE36" t="s">
        <v>57</v>
      </c>
      <c r="AF36" t="s">
        <v>57</v>
      </c>
      <c r="AG36">
        <v>1</v>
      </c>
      <c r="AH36" t="s">
        <v>57</v>
      </c>
      <c r="AL36" t="s">
        <v>57</v>
      </c>
      <c r="AM36" s="11">
        <v>44785</v>
      </c>
      <c r="AN36" t="s">
        <v>173</v>
      </c>
      <c r="AO36" t="s">
        <v>65</v>
      </c>
      <c r="AP36">
        <v>1204</v>
      </c>
      <c r="AQ36" t="s">
        <v>66</v>
      </c>
      <c r="AR36">
        <v>88760</v>
      </c>
      <c r="AU36" t="s">
        <v>57</v>
      </c>
      <c r="AV36" t="s">
        <v>68</v>
      </c>
      <c r="AX36" t="s">
        <v>57</v>
      </c>
      <c r="AY36">
        <v>631110</v>
      </c>
      <c r="AZ36">
        <v>1204.63111</v>
      </c>
      <c r="BA36" s="23" t="s">
        <v>12</v>
      </c>
    </row>
    <row r="37" spans="1:53" x14ac:dyDescent="0.25">
      <c r="A37" t="s">
        <v>134</v>
      </c>
      <c r="B37" t="s">
        <v>135</v>
      </c>
      <c r="C37">
        <v>22001867</v>
      </c>
      <c r="D37">
        <v>1204</v>
      </c>
      <c r="E37" s="11">
        <v>44788</v>
      </c>
      <c r="F37" t="s">
        <v>174</v>
      </c>
      <c r="G37" s="25">
        <v>0.16</v>
      </c>
      <c r="H37">
        <v>0.16</v>
      </c>
      <c r="I37" t="s">
        <v>56</v>
      </c>
      <c r="O37" t="s">
        <v>57</v>
      </c>
      <c r="Q37" t="s">
        <v>57</v>
      </c>
      <c r="R37" t="s">
        <v>137</v>
      </c>
      <c r="T37" t="s">
        <v>59</v>
      </c>
      <c r="U37" t="s">
        <v>60</v>
      </c>
      <c r="V37" t="s">
        <v>138</v>
      </c>
      <c r="W37" t="s">
        <v>139</v>
      </c>
      <c r="X37">
        <v>1932108</v>
      </c>
      <c r="Y37" s="11">
        <v>44788</v>
      </c>
      <c r="Z37" t="s">
        <v>57</v>
      </c>
      <c r="AA37">
        <v>28</v>
      </c>
      <c r="AB37" t="s">
        <v>57</v>
      </c>
      <c r="AD37" t="s">
        <v>57</v>
      </c>
      <c r="AE37" t="s">
        <v>57</v>
      </c>
      <c r="AF37" t="s">
        <v>57</v>
      </c>
      <c r="AG37">
        <v>1</v>
      </c>
      <c r="AH37" t="s">
        <v>57</v>
      </c>
      <c r="AL37" t="s">
        <v>57</v>
      </c>
      <c r="AM37" s="11">
        <v>44788</v>
      </c>
      <c r="AN37" t="s">
        <v>173</v>
      </c>
      <c r="AO37" t="s">
        <v>65</v>
      </c>
      <c r="AP37">
        <v>1204</v>
      </c>
      <c r="AQ37" t="s">
        <v>66</v>
      </c>
      <c r="AR37">
        <v>88760</v>
      </c>
      <c r="AU37" t="s">
        <v>57</v>
      </c>
      <c r="AV37" t="s">
        <v>68</v>
      </c>
      <c r="AX37" t="s">
        <v>57</v>
      </c>
      <c r="AY37">
        <v>631110</v>
      </c>
      <c r="AZ37">
        <v>1204.63111</v>
      </c>
      <c r="BA37" s="23" t="s">
        <v>12</v>
      </c>
    </row>
    <row r="38" spans="1:53" x14ac:dyDescent="0.25">
      <c r="A38" t="s">
        <v>134</v>
      </c>
      <c r="B38" t="s">
        <v>135</v>
      </c>
      <c r="C38">
        <v>22001867</v>
      </c>
      <c r="D38">
        <v>1204</v>
      </c>
      <c r="E38" s="11">
        <v>44788</v>
      </c>
      <c r="F38" t="s">
        <v>174</v>
      </c>
      <c r="G38" s="25">
        <v>0.16</v>
      </c>
      <c r="H38">
        <v>0.16</v>
      </c>
      <c r="I38" t="s">
        <v>56</v>
      </c>
      <c r="O38" t="s">
        <v>57</v>
      </c>
      <c r="Q38" t="s">
        <v>57</v>
      </c>
      <c r="R38" t="s">
        <v>137</v>
      </c>
      <c r="T38" t="s">
        <v>59</v>
      </c>
      <c r="U38" t="s">
        <v>60</v>
      </c>
      <c r="V38" t="s">
        <v>138</v>
      </c>
      <c r="W38" t="s">
        <v>139</v>
      </c>
      <c r="X38">
        <v>1932108</v>
      </c>
      <c r="Y38" s="11">
        <v>44788</v>
      </c>
      <c r="Z38" t="s">
        <v>57</v>
      </c>
      <c r="AA38">
        <v>32</v>
      </c>
      <c r="AB38" t="s">
        <v>57</v>
      </c>
      <c r="AD38" t="s">
        <v>57</v>
      </c>
      <c r="AE38" t="s">
        <v>57</v>
      </c>
      <c r="AF38" t="s">
        <v>57</v>
      </c>
      <c r="AG38">
        <v>1</v>
      </c>
      <c r="AH38" t="s">
        <v>57</v>
      </c>
      <c r="AL38" t="s">
        <v>57</v>
      </c>
      <c r="AM38" s="11">
        <v>44788</v>
      </c>
      <c r="AN38" t="s">
        <v>173</v>
      </c>
      <c r="AO38" t="s">
        <v>65</v>
      </c>
      <c r="AP38">
        <v>1204</v>
      </c>
      <c r="AQ38" t="s">
        <v>66</v>
      </c>
      <c r="AR38">
        <v>88760</v>
      </c>
      <c r="AU38" t="s">
        <v>57</v>
      </c>
      <c r="AV38" t="s">
        <v>68</v>
      </c>
      <c r="AX38" t="s">
        <v>57</v>
      </c>
      <c r="AY38">
        <v>631110</v>
      </c>
      <c r="AZ38">
        <v>1204.63111</v>
      </c>
      <c r="BA38" s="23" t="s">
        <v>12</v>
      </c>
    </row>
    <row r="39" spans="1:53" x14ac:dyDescent="0.25">
      <c r="A39" t="s">
        <v>134</v>
      </c>
      <c r="B39" t="s">
        <v>135</v>
      </c>
      <c r="C39">
        <v>22001836</v>
      </c>
      <c r="D39">
        <v>1204</v>
      </c>
      <c r="E39" s="11">
        <v>44782</v>
      </c>
      <c r="F39" t="s">
        <v>159</v>
      </c>
      <c r="G39" s="25">
        <v>0.18</v>
      </c>
      <c r="H39">
        <v>0.18</v>
      </c>
      <c r="I39" t="s">
        <v>56</v>
      </c>
      <c r="O39" t="s">
        <v>57</v>
      </c>
      <c r="Q39" t="s">
        <v>57</v>
      </c>
      <c r="R39" t="s">
        <v>137</v>
      </c>
      <c r="T39" t="s">
        <v>59</v>
      </c>
      <c r="U39" t="s">
        <v>60</v>
      </c>
      <c r="V39" t="s">
        <v>138</v>
      </c>
      <c r="W39" t="s">
        <v>139</v>
      </c>
      <c r="X39">
        <v>1929196</v>
      </c>
      <c r="Y39" s="11">
        <v>44782</v>
      </c>
      <c r="Z39" t="s">
        <v>57</v>
      </c>
      <c r="AA39">
        <v>8</v>
      </c>
      <c r="AB39" t="s">
        <v>57</v>
      </c>
      <c r="AD39" t="s">
        <v>57</v>
      </c>
      <c r="AE39" t="s">
        <v>57</v>
      </c>
      <c r="AF39" t="s">
        <v>57</v>
      </c>
      <c r="AG39">
        <v>1</v>
      </c>
      <c r="AH39" t="s">
        <v>57</v>
      </c>
      <c r="AL39" t="s">
        <v>57</v>
      </c>
      <c r="AM39" s="11">
        <v>44782</v>
      </c>
      <c r="AN39" t="s">
        <v>173</v>
      </c>
      <c r="AO39" t="s">
        <v>65</v>
      </c>
      <c r="AP39">
        <v>1204</v>
      </c>
      <c r="AQ39" t="s">
        <v>66</v>
      </c>
      <c r="AR39">
        <v>214210</v>
      </c>
      <c r="AU39" t="s">
        <v>57</v>
      </c>
      <c r="AV39" t="s">
        <v>68</v>
      </c>
      <c r="AX39" t="s">
        <v>57</v>
      </c>
      <c r="AY39">
        <v>631110</v>
      </c>
      <c r="AZ39">
        <v>1204.63111</v>
      </c>
      <c r="BA39" s="23" t="s">
        <v>12</v>
      </c>
    </row>
    <row r="40" spans="1:53" x14ac:dyDescent="0.25">
      <c r="A40" t="s">
        <v>134</v>
      </c>
      <c r="B40" t="s">
        <v>135</v>
      </c>
      <c r="C40">
        <v>22001870</v>
      </c>
      <c r="D40">
        <v>1204</v>
      </c>
      <c r="E40" s="11">
        <v>44789</v>
      </c>
      <c r="F40" t="s">
        <v>159</v>
      </c>
      <c r="G40" s="25">
        <v>0.18</v>
      </c>
      <c r="H40">
        <v>0.18</v>
      </c>
      <c r="I40" t="s">
        <v>56</v>
      </c>
      <c r="O40" t="s">
        <v>57</v>
      </c>
      <c r="Q40" t="s">
        <v>57</v>
      </c>
      <c r="R40" t="s">
        <v>137</v>
      </c>
      <c r="T40" t="s">
        <v>59</v>
      </c>
      <c r="U40" t="s">
        <v>60</v>
      </c>
      <c r="V40" t="s">
        <v>138</v>
      </c>
      <c r="W40" t="s">
        <v>139</v>
      </c>
      <c r="X40">
        <v>1933043</v>
      </c>
      <c r="Y40" s="11">
        <v>44789</v>
      </c>
      <c r="Z40" t="s">
        <v>57</v>
      </c>
      <c r="AA40">
        <v>6</v>
      </c>
      <c r="AB40" t="s">
        <v>57</v>
      </c>
      <c r="AD40" t="s">
        <v>57</v>
      </c>
      <c r="AE40" t="s">
        <v>57</v>
      </c>
      <c r="AF40" t="s">
        <v>57</v>
      </c>
      <c r="AG40">
        <v>1</v>
      </c>
      <c r="AH40" t="s">
        <v>57</v>
      </c>
      <c r="AL40" t="s">
        <v>57</v>
      </c>
      <c r="AM40" s="11">
        <v>44789</v>
      </c>
      <c r="AN40" t="s">
        <v>173</v>
      </c>
      <c r="AO40" t="s">
        <v>65</v>
      </c>
      <c r="AP40">
        <v>1204</v>
      </c>
      <c r="AQ40" t="s">
        <v>66</v>
      </c>
      <c r="AR40">
        <v>214210</v>
      </c>
      <c r="AU40" t="s">
        <v>57</v>
      </c>
      <c r="AV40" t="s">
        <v>68</v>
      </c>
      <c r="AX40" t="s">
        <v>57</v>
      </c>
      <c r="AY40">
        <v>631110</v>
      </c>
      <c r="AZ40">
        <v>1204.63111</v>
      </c>
      <c r="BA40" s="23" t="s">
        <v>12</v>
      </c>
    </row>
    <row r="41" spans="1:53" x14ac:dyDescent="0.25">
      <c r="A41" t="s">
        <v>134</v>
      </c>
      <c r="B41" t="s">
        <v>135</v>
      </c>
      <c r="C41">
        <v>22001826</v>
      </c>
      <c r="D41">
        <v>1204</v>
      </c>
      <c r="E41" s="11">
        <v>44778</v>
      </c>
      <c r="F41" t="s">
        <v>159</v>
      </c>
      <c r="G41" s="25">
        <v>0.21</v>
      </c>
      <c r="H41">
        <v>0.21</v>
      </c>
      <c r="I41" t="s">
        <v>56</v>
      </c>
      <c r="O41" t="s">
        <v>57</v>
      </c>
      <c r="Q41" t="s">
        <v>57</v>
      </c>
      <c r="R41" t="s">
        <v>137</v>
      </c>
      <c r="T41" t="s">
        <v>59</v>
      </c>
      <c r="U41" t="s">
        <v>60</v>
      </c>
      <c r="V41" t="s">
        <v>138</v>
      </c>
      <c r="W41" t="s">
        <v>139</v>
      </c>
      <c r="X41">
        <v>1928763</v>
      </c>
      <c r="Y41" s="11">
        <v>44778</v>
      </c>
      <c r="Z41" t="s">
        <v>57</v>
      </c>
      <c r="AA41">
        <v>4</v>
      </c>
      <c r="AB41" t="s">
        <v>57</v>
      </c>
      <c r="AD41" t="s">
        <v>57</v>
      </c>
      <c r="AE41" t="s">
        <v>57</v>
      </c>
      <c r="AF41" t="s">
        <v>57</v>
      </c>
      <c r="AG41">
        <v>3</v>
      </c>
      <c r="AH41" t="s">
        <v>57</v>
      </c>
      <c r="AL41" t="s">
        <v>57</v>
      </c>
      <c r="AM41" s="11">
        <v>44778</v>
      </c>
      <c r="AN41" t="s">
        <v>173</v>
      </c>
      <c r="AO41" t="s">
        <v>65</v>
      </c>
      <c r="AP41">
        <v>1204</v>
      </c>
      <c r="AQ41" t="s">
        <v>66</v>
      </c>
      <c r="AR41">
        <v>89908</v>
      </c>
      <c r="AU41" t="s">
        <v>57</v>
      </c>
      <c r="AV41" t="s">
        <v>68</v>
      </c>
      <c r="AX41" t="s">
        <v>57</v>
      </c>
      <c r="AY41">
        <v>631110</v>
      </c>
      <c r="AZ41">
        <v>1204.63111</v>
      </c>
      <c r="BA41" s="23" t="s">
        <v>12</v>
      </c>
    </row>
    <row r="42" spans="1:53" x14ac:dyDescent="0.25">
      <c r="A42" t="s">
        <v>134</v>
      </c>
      <c r="B42" t="s">
        <v>135</v>
      </c>
      <c r="C42">
        <v>22001815</v>
      </c>
      <c r="D42">
        <v>1204</v>
      </c>
      <c r="E42" s="11">
        <v>44777</v>
      </c>
      <c r="F42" t="s">
        <v>175</v>
      </c>
      <c r="G42" s="25">
        <v>0.22</v>
      </c>
      <c r="H42">
        <v>0.22</v>
      </c>
      <c r="I42" t="s">
        <v>56</v>
      </c>
      <c r="O42" t="s">
        <v>57</v>
      </c>
      <c r="Q42" t="s">
        <v>57</v>
      </c>
      <c r="R42" t="s">
        <v>137</v>
      </c>
      <c r="T42" t="s">
        <v>59</v>
      </c>
      <c r="U42" t="s">
        <v>60</v>
      </c>
      <c r="V42" t="s">
        <v>138</v>
      </c>
      <c r="W42" t="s">
        <v>139</v>
      </c>
      <c r="X42">
        <v>1927634</v>
      </c>
      <c r="Y42" s="11">
        <v>44777</v>
      </c>
      <c r="Z42" t="s">
        <v>57</v>
      </c>
      <c r="AA42">
        <v>8</v>
      </c>
      <c r="AB42" t="s">
        <v>57</v>
      </c>
      <c r="AD42" t="s">
        <v>57</v>
      </c>
      <c r="AE42" t="s">
        <v>57</v>
      </c>
      <c r="AF42" t="s">
        <v>57</v>
      </c>
      <c r="AG42">
        <v>2</v>
      </c>
      <c r="AH42" t="s">
        <v>57</v>
      </c>
      <c r="AL42" t="s">
        <v>57</v>
      </c>
      <c r="AM42" s="11">
        <v>44777</v>
      </c>
      <c r="AN42" t="s">
        <v>176</v>
      </c>
      <c r="AO42" t="s">
        <v>65</v>
      </c>
      <c r="AP42">
        <v>1204</v>
      </c>
      <c r="AQ42" t="s">
        <v>66</v>
      </c>
      <c r="AR42">
        <v>90435</v>
      </c>
      <c r="AU42" t="s">
        <v>57</v>
      </c>
      <c r="AV42" t="s">
        <v>68</v>
      </c>
      <c r="AX42" t="s">
        <v>57</v>
      </c>
      <c r="AY42">
        <v>631110</v>
      </c>
      <c r="AZ42">
        <v>1204.63111</v>
      </c>
      <c r="BA42" s="23" t="s">
        <v>12</v>
      </c>
    </row>
    <row r="43" spans="1:53" x14ac:dyDescent="0.25">
      <c r="A43" t="s">
        <v>134</v>
      </c>
      <c r="B43" t="s">
        <v>135</v>
      </c>
      <c r="C43">
        <v>22001798</v>
      </c>
      <c r="D43">
        <v>1204</v>
      </c>
      <c r="E43" s="11">
        <v>44774</v>
      </c>
      <c r="F43" t="s">
        <v>175</v>
      </c>
      <c r="G43" s="25">
        <v>0.23</v>
      </c>
      <c r="H43">
        <v>0.23</v>
      </c>
      <c r="I43" t="s">
        <v>56</v>
      </c>
      <c r="O43" t="s">
        <v>57</v>
      </c>
      <c r="Q43" t="s">
        <v>57</v>
      </c>
      <c r="R43" t="s">
        <v>137</v>
      </c>
      <c r="T43" t="s">
        <v>59</v>
      </c>
      <c r="U43" t="s">
        <v>60</v>
      </c>
      <c r="V43" t="s">
        <v>138</v>
      </c>
      <c r="W43" t="s">
        <v>139</v>
      </c>
      <c r="X43">
        <v>1925598</v>
      </c>
      <c r="Y43" s="11">
        <v>44774</v>
      </c>
      <c r="Z43" t="s">
        <v>57</v>
      </c>
      <c r="AA43">
        <v>6</v>
      </c>
      <c r="AB43" t="s">
        <v>57</v>
      </c>
      <c r="AD43" t="s">
        <v>57</v>
      </c>
      <c r="AE43" t="s">
        <v>57</v>
      </c>
      <c r="AF43" t="s">
        <v>57</v>
      </c>
      <c r="AG43">
        <v>2</v>
      </c>
      <c r="AH43" t="s">
        <v>57</v>
      </c>
      <c r="AL43" t="s">
        <v>57</v>
      </c>
      <c r="AM43" s="11">
        <v>44774</v>
      </c>
      <c r="AN43" t="s">
        <v>176</v>
      </c>
      <c r="AO43" t="s">
        <v>65</v>
      </c>
      <c r="AP43">
        <v>1204</v>
      </c>
      <c r="AQ43" t="s">
        <v>66</v>
      </c>
      <c r="AR43">
        <v>90435</v>
      </c>
      <c r="AU43" t="s">
        <v>57</v>
      </c>
      <c r="AV43" t="s">
        <v>68</v>
      </c>
      <c r="AX43" t="s">
        <v>57</v>
      </c>
      <c r="AY43">
        <v>631110</v>
      </c>
      <c r="AZ43">
        <v>1204.63111</v>
      </c>
      <c r="BA43" s="23" t="s">
        <v>12</v>
      </c>
    </row>
    <row r="44" spans="1:53" x14ac:dyDescent="0.25">
      <c r="A44" t="s">
        <v>134</v>
      </c>
      <c r="B44" t="s">
        <v>135</v>
      </c>
      <c r="C44">
        <v>22001798</v>
      </c>
      <c r="D44">
        <v>1204</v>
      </c>
      <c r="E44" s="11">
        <v>44774</v>
      </c>
      <c r="F44" t="s">
        <v>175</v>
      </c>
      <c r="G44" s="25">
        <v>0.23</v>
      </c>
      <c r="H44">
        <v>0.23</v>
      </c>
      <c r="I44" t="s">
        <v>56</v>
      </c>
      <c r="O44" t="s">
        <v>57</v>
      </c>
      <c r="Q44" t="s">
        <v>57</v>
      </c>
      <c r="R44" t="s">
        <v>137</v>
      </c>
      <c r="T44" t="s">
        <v>59</v>
      </c>
      <c r="U44" t="s">
        <v>60</v>
      </c>
      <c r="V44" t="s">
        <v>138</v>
      </c>
      <c r="W44" t="s">
        <v>139</v>
      </c>
      <c r="X44">
        <v>1925598</v>
      </c>
      <c r="Y44" s="11">
        <v>44774</v>
      </c>
      <c r="Z44" t="s">
        <v>57</v>
      </c>
      <c r="AA44">
        <v>10</v>
      </c>
      <c r="AB44" t="s">
        <v>57</v>
      </c>
      <c r="AD44" t="s">
        <v>57</v>
      </c>
      <c r="AE44" t="s">
        <v>57</v>
      </c>
      <c r="AF44" t="s">
        <v>57</v>
      </c>
      <c r="AG44">
        <v>3</v>
      </c>
      <c r="AH44" t="s">
        <v>57</v>
      </c>
      <c r="AL44" t="s">
        <v>57</v>
      </c>
      <c r="AM44" s="11">
        <v>44774</v>
      </c>
      <c r="AN44" t="s">
        <v>176</v>
      </c>
      <c r="AO44" t="s">
        <v>65</v>
      </c>
      <c r="AP44">
        <v>1204</v>
      </c>
      <c r="AQ44" t="s">
        <v>66</v>
      </c>
      <c r="AR44">
        <v>264585</v>
      </c>
      <c r="AU44" t="s">
        <v>57</v>
      </c>
      <c r="AV44" t="s">
        <v>68</v>
      </c>
      <c r="AX44" t="s">
        <v>57</v>
      </c>
      <c r="AY44">
        <v>631110</v>
      </c>
      <c r="AZ44">
        <v>1204.63111</v>
      </c>
      <c r="BA44" s="23" t="s">
        <v>12</v>
      </c>
    </row>
    <row r="45" spans="1:53" x14ac:dyDescent="0.25">
      <c r="A45" t="s">
        <v>134</v>
      </c>
      <c r="B45" t="s">
        <v>135</v>
      </c>
      <c r="C45">
        <v>22001829</v>
      </c>
      <c r="D45">
        <v>1204</v>
      </c>
      <c r="E45" s="11">
        <v>44778</v>
      </c>
      <c r="F45" t="s">
        <v>175</v>
      </c>
      <c r="G45" s="25">
        <v>0.23</v>
      </c>
      <c r="H45">
        <v>0.23</v>
      </c>
      <c r="I45" t="s">
        <v>56</v>
      </c>
      <c r="O45" t="s">
        <v>57</v>
      </c>
      <c r="Q45" t="s">
        <v>57</v>
      </c>
      <c r="R45" t="s">
        <v>137</v>
      </c>
      <c r="T45" t="s">
        <v>59</v>
      </c>
      <c r="U45" t="s">
        <v>60</v>
      </c>
      <c r="V45" t="s">
        <v>138</v>
      </c>
      <c r="W45" t="s">
        <v>139</v>
      </c>
      <c r="X45">
        <v>1928767</v>
      </c>
      <c r="Y45" s="11">
        <v>44778</v>
      </c>
      <c r="Z45" t="s">
        <v>57</v>
      </c>
      <c r="AA45">
        <v>2</v>
      </c>
      <c r="AB45" t="s">
        <v>57</v>
      </c>
      <c r="AD45" t="s">
        <v>57</v>
      </c>
      <c r="AE45" t="s">
        <v>57</v>
      </c>
      <c r="AF45" t="s">
        <v>57</v>
      </c>
      <c r="AG45">
        <v>3</v>
      </c>
      <c r="AH45" t="s">
        <v>57</v>
      </c>
      <c r="AL45" t="s">
        <v>57</v>
      </c>
      <c r="AM45" s="11">
        <v>44778</v>
      </c>
      <c r="AN45" t="s">
        <v>176</v>
      </c>
      <c r="AO45" t="s">
        <v>65</v>
      </c>
      <c r="AP45">
        <v>1204</v>
      </c>
      <c r="AQ45" t="s">
        <v>66</v>
      </c>
      <c r="AR45">
        <v>91479</v>
      </c>
      <c r="AU45" t="s">
        <v>57</v>
      </c>
      <c r="AV45" t="s">
        <v>68</v>
      </c>
      <c r="AX45" t="s">
        <v>57</v>
      </c>
      <c r="AY45">
        <v>631110</v>
      </c>
      <c r="AZ45">
        <v>1204.63111</v>
      </c>
      <c r="BA45" s="23" t="s">
        <v>12</v>
      </c>
    </row>
    <row r="46" spans="1:53" x14ac:dyDescent="0.25">
      <c r="A46" t="s">
        <v>134</v>
      </c>
      <c r="B46" t="s">
        <v>135</v>
      </c>
      <c r="C46">
        <v>22001835</v>
      </c>
      <c r="D46">
        <v>1204</v>
      </c>
      <c r="E46" s="11">
        <v>44781</v>
      </c>
      <c r="F46" t="s">
        <v>175</v>
      </c>
      <c r="G46" s="25">
        <v>0.23</v>
      </c>
      <c r="H46">
        <v>0.23</v>
      </c>
      <c r="I46" t="s">
        <v>56</v>
      </c>
      <c r="O46" t="s">
        <v>57</v>
      </c>
      <c r="Q46" t="s">
        <v>57</v>
      </c>
      <c r="R46" t="s">
        <v>137</v>
      </c>
      <c r="T46" t="s">
        <v>59</v>
      </c>
      <c r="U46" t="s">
        <v>60</v>
      </c>
      <c r="V46" t="s">
        <v>138</v>
      </c>
      <c r="W46" t="s">
        <v>139</v>
      </c>
      <c r="X46">
        <v>1928976</v>
      </c>
      <c r="Y46" s="11">
        <v>44781</v>
      </c>
      <c r="Z46" t="s">
        <v>57</v>
      </c>
      <c r="AA46">
        <v>8</v>
      </c>
      <c r="AB46" t="s">
        <v>57</v>
      </c>
      <c r="AD46" t="s">
        <v>57</v>
      </c>
      <c r="AE46" t="s">
        <v>57</v>
      </c>
      <c r="AF46" t="s">
        <v>57</v>
      </c>
      <c r="AG46">
        <v>3</v>
      </c>
      <c r="AH46" t="s">
        <v>57</v>
      </c>
      <c r="AL46" t="s">
        <v>57</v>
      </c>
      <c r="AM46" s="11">
        <v>44781</v>
      </c>
      <c r="AN46" t="s">
        <v>176</v>
      </c>
      <c r="AO46" t="s">
        <v>65</v>
      </c>
      <c r="AP46">
        <v>1204</v>
      </c>
      <c r="AQ46" t="s">
        <v>66</v>
      </c>
      <c r="AR46">
        <v>264585</v>
      </c>
      <c r="AU46" t="s">
        <v>57</v>
      </c>
      <c r="AV46" t="s">
        <v>68</v>
      </c>
      <c r="AX46" t="s">
        <v>57</v>
      </c>
      <c r="AY46">
        <v>631110</v>
      </c>
      <c r="AZ46">
        <v>1204.63111</v>
      </c>
      <c r="BA46" s="23" t="s">
        <v>12</v>
      </c>
    </row>
    <row r="47" spans="1:53" x14ac:dyDescent="0.25">
      <c r="A47" t="s">
        <v>134</v>
      </c>
      <c r="B47" t="s">
        <v>135</v>
      </c>
      <c r="C47">
        <v>22001874</v>
      </c>
      <c r="D47">
        <v>1204</v>
      </c>
      <c r="E47" s="11">
        <v>44789</v>
      </c>
      <c r="F47" t="s">
        <v>135</v>
      </c>
      <c r="G47" s="25">
        <v>0.23</v>
      </c>
      <c r="H47">
        <v>0.23</v>
      </c>
      <c r="I47" t="s">
        <v>56</v>
      </c>
      <c r="O47" t="s">
        <v>57</v>
      </c>
      <c r="Q47" t="s">
        <v>57</v>
      </c>
      <c r="R47" t="s">
        <v>137</v>
      </c>
      <c r="T47" t="s">
        <v>59</v>
      </c>
      <c r="U47" t="s">
        <v>60</v>
      </c>
      <c r="V47" t="s">
        <v>138</v>
      </c>
      <c r="W47" t="s">
        <v>139</v>
      </c>
      <c r="X47">
        <v>1933168</v>
      </c>
      <c r="Y47" s="11">
        <v>44789</v>
      </c>
      <c r="Z47" t="s">
        <v>57</v>
      </c>
      <c r="AA47">
        <v>10</v>
      </c>
      <c r="AB47" t="s">
        <v>57</v>
      </c>
      <c r="AD47" t="s">
        <v>57</v>
      </c>
      <c r="AE47" t="s">
        <v>57</v>
      </c>
      <c r="AF47" t="s">
        <v>57</v>
      </c>
      <c r="AG47">
        <v>3</v>
      </c>
      <c r="AH47" t="s">
        <v>57</v>
      </c>
      <c r="AL47" t="s">
        <v>57</v>
      </c>
      <c r="AM47" s="11">
        <v>44789</v>
      </c>
      <c r="AN47" t="s">
        <v>176</v>
      </c>
      <c r="AO47" t="s">
        <v>65</v>
      </c>
      <c r="AP47">
        <v>1204</v>
      </c>
      <c r="AQ47" t="s">
        <v>66</v>
      </c>
      <c r="AR47">
        <v>264585</v>
      </c>
      <c r="AU47" t="s">
        <v>57</v>
      </c>
      <c r="AV47" t="s">
        <v>68</v>
      </c>
      <c r="AX47" t="s">
        <v>57</v>
      </c>
      <c r="AY47">
        <v>631110</v>
      </c>
      <c r="AZ47">
        <v>1204.63111</v>
      </c>
      <c r="BA47" s="23" t="s">
        <v>12</v>
      </c>
    </row>
    <row r="48" spans="1:53" x14ac:dyDescent="0.25">
      <c r="A48" t="s">
        <v>134</v>
      </c>
      <c r="B48" t="s">
        <v>135</v>
      </c>
      <c r="C48">
        <v>22001837</v>
      </c>
      <c r="D48">
        <v>1204</v>
      </c>
      <c r="E48" s="11">
        <v>44782</v>
      </c>
      <c r="F48" t="s">
        <v>174</v>
      </c>
      <c r="G48" s="25">
        <v>0.3</v>
      </c>
      <c r="H48">
        <v>0.3</v>
      </c>
      <c r="I48" t="s">
        <v>56</v>
      </c>
      <c r="O48" t="s">
        <v>57</v>
      </c>
      <c r="Q48" t="s">
        <v>57</v>
      </c>
      <c r="R48" t="s">
        <v>137</v>
      </c>
      <c r="T48" t="s">
        <v>59</v>
      </c>
      <c r="U48" t="s">
        <v>60</v>
      </c>
      <c r="V48" t="s">
        <v>138</v>
      </c>
      <c r="W48" t="s">
        <v>139</v>
      </c>
      <c r="X48">
        <v>1929196</v>
      </c>
      <c r="Y48" s="11">
        <v>44782</v>
      </c>
      <c r="Z48" t="s">
        <v>57</v>
      </c>
      <c r="AA48">
        <v>8</v>
      </c>
      <c r="AB48" t="s">
        <v>57</v>
      </c>
      <c r="AD48" t="s">
        <v>57</v>
      </c>
      <c r="AE48" t="s">
        <v>57</v>
      </c>
      <c r="AF48" t="s">
        <v>57</v>
      </c>
      <c r="AG48">
        <v>2</v>
      </c>
      <c r="AH48" t="s">
        <v>57</v>
      </c>
      <c r="AL48" t="s">
        <v>57</v>
      </c>
      <c r="AM48" s="11">
        <v>44782</v>
      </c>
      <c r="AN48" t="s">
        <v>173</v>
      </c>
      <c r="AO48" t="s">
        <v>65</v>
      </c>
      <c r="AP48">
        <v>1204</v>
      </c>
      <c r="AQ48" t="s">
        <v>66</v>
      </c>
      <c r="AR48">
        <v>197776</v>
      </c>
      <c r="AU48" t="s">
        <v>57</v>
      </c>
      <c r="AV48" t="s">
        <v>68</v>
      </c>
      <c r="AX48" t="s">
        <v>57</v>
      </c>
      <c r="AY48">
        <v>631110</v>
      </c>
      <c r="AZ48">
        <v>1204.63111</v>
      </c>
      <c r="BA48" s="23" t="s">
        <v>12</v>
      </c>
    </row>
    <row r="49" spans="1:53" x14ac:dyDescent="0.25">
      <c r="A49" t="s">
        <v>134</v>
      </c>
      <c r="B49" t="s">
        <v>135</v>
      </c>
      <c r="C49">
        <v>22001880</v>
      </c>
      <c r="D49">
        <v>1204</v>
      </c>
      <c r="E49" s="11">
        <v>44791</v>
      </c>
      <c r="F49" t="s">
        <v>135</v>
      </c>
      <c r="G49" s="25">
        <v>0.31</v>
      </c>
      <c r="H49">
        <v>0.31</v>
      </c>
      <c r="I49" t="s">
        <v>56</v>
      </c>
      <c r="O49" t="s">
        <v>57</v>
      </c>
      <c r="Q49" t="s">
        <v>57</v>
      </c>
      <c r="R49" t="s">
        <v>137</v>
      </c>
      <c r="T49" t="s">
        <v>59</v>
      </c>
      <c r="U49" t="s">
        <v>60</v>
      </c>
      <c r="V49" t="s">
        <v>138</v>
      </c>
      <c r="W49" t="s">
        <v>139</v>
      </c>
      <c r="X49">
        <v>1933542</v>
      </c>
      <c r="Y49" s="11">
        <v>44791</v>
      </c>
      <c r="Z49" t="s">
        <v>57</v>
      </c>
      <c r="AA49">
        <v>10</v>
      </c>
      <c r="AB49" t="s">
        <v>57</v>
      </c>
      <c r="AD49" t="s">
        <v>57</v>
      </c>
      <c r="AE49" t="s">
        <v>57</v>
      </c>
      <c r="AF49" t="s">
        <v>57</v>
      </c>
      <c r="AG49">
        <v>2</v>
      </c>
      <c r="AH49" t="s">
        <v>57</v>
      </c>
      <c r="AL49" t="s">
        <v>57</v>
      </c>
      <c r="AM49" s="11">
        <v>44791</v>
      </c>
      <c r="AN49" t="s">
        <v>176</v>
      </c>
      <c r="AO49" t="s">
        <v>65</v>
      </c>
      <c r="AP49">
        <v>1204</v>
      </c>
      <c r="AQ49" t="s">
        <v>66</v>
      </c>
      <c r="AR49">
        <v>89712</v>
      </c>
      <c r="AU49" t="s">
        <v>57</v>
      </c>
      <c r="AV49" t="s">
        <v>68</v>
      </c>
      <c r="AX49" t="s">
        <v>57</v>
      </c>
      <c r="AY49">
        <v>631110</v>
      </c>
      <c r="AZ49">
        <v>1204.63111</v>
      </c>
      <c r="BA49" s="23" t="s">
        <v>12</v>
      </c>
    </row>
    <row r="50" spans="1:53" x14ac:dyDescent="0.25">
      <c r="A50" t="s">
        <v>134</v>
      </c>
      <c r="B50" t="s">
        <v>135</v>
      </c>
      <c r="C50">
        <v>22001827</v>
      </c>
      <c r="D50">
        <v>1204</v>
      </c>
      <c r="E50" s="11">
        <v>44778</v>
      </c>
      <c r="F50" t="s">
        <v>174</v>
      </c>
      <c r="G50" s="25">
        <v>0.32</v>
      </c>
      <c r="H50">
        <v>0.32</v>
      </c>
      <c r="I50" t="s">
        <v>56</v>
      </c>
      <c r="O50" t="s">
        <v>57</v>
      </c>
      <c r="Q50" t="s">
        <v>57</v>
      </c>
      <c r="R50" t="s">
        <v>137</v>
      </c>
      <c r="T50" t="s">
        <v>59</v>
      </c>
      <c r="U50" t="s">
        <v>60</v>
      </c>
      <c r="V50" t="s">
        <v>138</v>
      </c>
      <c r="W50" t="s">
        <v>139</v>
      </c>
      <c r="X50">
        <v>1928763</v>
      </c>
      <c r="Y50" s="11">
        <v>44778</v>
      </c>
      <c r="Z50" t="s">
        <v>57</v>
      </c>
      <c r="AA50">
        <v>14</v>
      </c>
      <c r="AB50" t="s">
        <v>57</v>
      </c>
      <c r="AD50" t="s">
        <v>57</v>
      </c>
      <c r="AE50" t="s">
        <v>57</v>
      </c>
      <c r="AF50" t="s">
        <v>57</v>
      </c>
      <c r="AG50">
        <v>2</v>
      </c>
      <c r="AH50" t="s">
        <v>57</v>
      </c>
      <c r="AL50" t="s">
        <v>57</v>
      </c>
      <c r="AM50" s="11">
        <v>44778</v>
      </c>
      <c r="AN50" t="s">
        <v>173</v>
      </c>
      <c r="AO50" t="s">
        <v>65</v>
      </c>
      <c r="AP50">
        <v>1204</v>
      </c>
      <c r="AQ50" t="s">
        <v>66</v>
      </c>
      <c r="AR50">
        <v>88760</v>
      </c>
      <c r="AU50" t="s">
        <v>57</v>
      </c>
      <c r="AV50" t="s">
        <v>68</v>
      </c>
      <c r="AX50" t="s">
        <v>57</v>
      </c>
      <c r="AY50">
        <v>631110</v>
      </c>
      <c r="AZ50">
        <v>1204.63111</v>
      </c>
      <c r="BA50" s="23" t="s">
        <v>12</v>
      </c>
    </row>
    <row r="51" spans="1:53" x14ac:dyDescent="0.25">
      <c r="A51" t="s">
        <v>134</v>
      </c>
      <c r="B51" t="s">
        <v>135</v>
      </c>
      <c r="C51">
        <v>22001855</v>
      </c>
      <c r="D51">
        <v>1204</v>
      </c>
      <c r="E51" s="11">
        <v>44785</v>
      </c>
      <c r="F51" t="s">
        <v>174</v>
      </c>
      <c r="G51" s="25">
        <v>0.32</v>
      </c>
      <c r="H51">
        <v>0.32</v>
      </c>
      <c r="I51" t="s">
        <v>56</v>
      </c>
      <c r="O51" t="s">
        <v>57</v>
      </c>
      <c r="Q51" t="s">
        <v>57</v>
      </c>
      <c r="R51" t="s">
        <v>137</v>
      </c>
      <c r="T51" t="s">
        <v>59</v>
      </c>
      <c r="U51" t="s">
        <v>60</v>
      </c>
      <c r="V51" t="s">
        <v>138</v>
      </c>
      <c r="W51" t="s">
        <v>139</v>
      </c>
      <c r="X51">
        <v>1930576</v>
      </c>
      <c r="Y51" s="11">
        <v>44785</v>
      </c>
      <c r="Z51" t="s">
        <v>57</v>
      </c>
      <c r="AA51">
        <v>2</v>
      </c>
      <c r="AB51" t="s">
        <v>57</v>
      </c>
      <c r="AD51" t="s">
        <v>57</v>
      </c>
      <c r="AE51" t="s">
        <v>57</v>
      </c>
      <c r="AF51" t="s">
        <v>57</v>
      </c>
      <c r="AG51">
        <v>2</v>
      </c>
      <c r="AH51" t="s">
        <v>57</v>
      </c>
      <c r="AL51" t="s">
        <v>57</v>
      </c>
      <c r="AM51" s="11">
        <v>44785</v>
      </c>
      <c r="AN51" t="s">
        <v>173</v>
      </c>
      <c r="AO51" t="s">
        <v>65</v>
      </c>
      <c r="AP51">
        <v>1204</v>
      </c>
      <c r="AQ51" t="s">
        <v>66</v>
      </c>
      <c r="AR51">
        <v>88760</v>
      </c>
      <c r="AU51" t="s">
        <v>57</v>
      </c>
      <c r="AV51" t="s">
        <v>68</v>
      </c>
      <c r="AX51" t="s">
        <v>57</v>
      </c>
      <c r="AY51">
        <v>631110</v>
      </c>
      <c r="AZ51">
        <v>1204.63111</v>
      </c>
      <c r="BA51" s="23" t="s">
        <v>12</v>
      </c>
    </row>
    <row r="52" spans="1:53" x14ac:dyDescent="0.25">
      <c r="A52" t="s">
        <v>134</v>
      </c>
      <c r="B52" t="s">
        <v>135</v>
      </c>
      <c r="C52">
        <v>22001845</v>
      </c>
      <c r="D52">
        <v>1204</v>
      </c>
      <c r="E52" s="11">
        <v>44783</v>
      </c>
      <c r="F52" t="s">
        <v>175</v>
      </c>
      <c r="G52" s="25">
        <v>0.33</v>
      </c>
      <c r="H52">
        <v>0.33</v>
      </c>
      <c r="I52" t="s">
        <v>56</v>
      </c>
      <c r="O52" t="s">
        <v>57</v>
      </c>
      <c r="Q52" t="s">
        <v>57</v>
      </c>
      <c r="R52" t="s">
        <v>137</v>
      </c>
      <c r="T52" t="s">
        <v>59</v>
      </c>
      <c r="U52" t="s">
        <v>60</v>
      </c>
      <c r="V52" t="s">
        <v>138</v>
      </c>
      <c r="W52" t="s">
        <v>139</v>
      </c>
      <c r="X52">
        <v>1930355</v>
      </c>
      <c r="Y52" s="11">
        <v>44783</v>
      </c>
      <c r="Z52" t="s">
        <v>57</v>
      </c>
      <c r="AA52">
        <v>6</v>
      </c>
      <c r="AB52" t="s">
        <v>57</v>
      </c>
      <c r="AD52" t="s">
        <v>57</v>
      </c>
      <c r="AE52" t="s">
        <v>57</v>
      </c>
      <c r="AF52" t="s">
        <v>57</v>
      </c>
      <c r="AG52">
        <v>3</v>
      </c>
      <c r="AH52" t="s">
        <v>57</v>
      </c>
      <c r="AL52" t="s">
        <v>57</v>
      </c>
      <c r="AM52" s="11">
        <v>44783</v>
      </c>
      <c r="AN52" t="s">
        <v>176</v>
      </c>
      <c r="AO52" t="s">
        <v>65</v>
      </c>
      <c r="AP52">
        <v>1204</v>
      </c>
      <c r="AQ52" t="s">
        <v>66</v>
      </c>
      <c r="AR52">
        <v>90435</v>
      </c>
      <c r="AU52" t="s">
        <v>57</v>
      </c>
      <c r="AV52" t="s">
        <v>68</v>
      </c>
      <c r="AX52" t="s">
        <v>57</v>
      </c>
      <c r="AY52">
        <v>631110</v>
      </c>
      <c r="AZ52">
        <v>1204.63111</v>
      </c>
      <c r="BA52" s="23" t="s">
        <v>12</v>
      </c>
    </row>
    <row r="53" spans="1:53" x14ac:dyDescent="0.25">
      <c r="A53" t="s">
        <v>134</v>
      </c>
      <c r="B53" t="s">
        <v>135</v>
      </c>
      <c r="C53">
        <v>22001852</v>
      </c>
      <c r="D53">
        <v>1204</v>
      </c>
      <c r="E53" s="11">
        <v>44784</v>
      </c>
      <c r="F53" t="s">
        <v>175</v>
      </c>
      <c r="G53" s="25">
        <v>0.33</v>
      </c>
      <c r="H53">
        <v>0.33</v>
      </c>
      <c r="I53" t="s">
        <v>56</v>
      </c>
      <c r="O53" t="s">
        <v>57</v>
      </c>
      <c r="Q53" t="s">
        <v>57</v>
      </c>
      <c r="R53" t="s">
        <v>137</v>
      </c>
      <c r="T53" t="s">
        <v>59</v>
      </c>
      <c r="U53" t="s">
        <v>60</v>
      </c>
      <c r="V53" t="s">
        <v>138</v>
      </c>
      <c r="W53" t="s">
        <v>139</v>
      </c>
      <c r="X53">
        <v>1930523</v>
      </c>
      <c r="Y53" s="11">
        <v>44784</v>
      </c>
      <c r="Z53" t="s">
        <v>57</v>
      </c>
      <c r="AA53">
        <v>6</v>
      </c>
      <c r="AB53" t="s">
        <v>57</v>
      </c>
      <c r="AD53" t="s">
        <v>57</v>
      </c>
      <c r="AE53" t="s">
        <v>57</v>
      </c>
      <c r="AF53" t="s">
        <v>57</v>
      </c>
      <c r="AG53">
        <v>3</v>
      </c>
      <c r="AH53" t="s">
        <v>57</v>
      </c>
      <c r="AL53" t="s">
        <v>57</v>
      </c>
      <c r="AM53" s="11">
        <v>44784</v>
      </c>
      <c r="AN53" t="s">
        <v>176</v>
      </c>
      <c r="AO53" t="s">
        <v>65</v>
      </c>
      <c r="AP53">
        <v>1204</v>
      </c>
      <c r="AQ53" t="s">
        <v>66</v>
      </c>
      <c r="AR53">
        <v>90435</v>
      </c>
      <c r="AU53" t="s">
        <v>57</v>
      </c>
      <c r="AV53" t="s">
        <v>68</v>
      </c>
      <c r="AX53" t="s">
        <v>57</v>
      </c>
      <c r="AY53">
        <v>631110</v>
      </c>
      <c r="AZ53">
        <v>1204.63111</v>
      </c>
      <c r="BA53" s="23" t="s">
        <v>12</v>
      </c>
    </row>
    <row r="54" spans="1:53" x14ac:dyDescent="0.25">
      <c r="A54" t="s">
        <v>134</v>
      </c>
      <c r="B54" t="s">
        <v>135</v>
      </c>
      <c r="C54">
        <v>22001874</v>
      </c>
      <c r="D54">
        <v>1204</v>
      </c>
      <c r="E54" s="11">
        <v>44789</v>
      </c>
      <c r="F54" t="s">
        <v>135</v>
      </c>
      <c r="G54" s="25">
        <v>0.33</v>
      </c>
      <c r="H54">
        <v>0.33</v>
      </c>
      <c r="I54" t="s">
        <v>56</v>
      </c>
      <c r="O54" t="s">
        <v>57</v>
      </c>
      <c r="Q54" t="s">
        <v>57</v>
      </c>
      <c r="R54" t="s">
        <v>137</v>
      </c>
      <c r="T54" t="s">
        <v>59</v>
      </c>
      <c r="U54" t="s">
        <v>60</v>
      </c>
      <c r="V54" t="s">
        <v>138</v>
      </c>
      <c r="W54" t="s">
        <v>139</v>
      </c>
      <c r="X54">
        <v>1933168</v>
      </c>
      <c r="Y54" s="11">
        <v>44789</v>
      </c>
      <c r="Z54" t="s">
        <v>57</v>
      </c>
      <c r="AA54">
        <v>8</v>
      </c>
      <c r="AB54" t="s">
        <v>57</v>
      </c>
      <c r="AD54" t="s">
        <v>57</v>
      </c>
      <c r="AE54" t="s">
        <v>57</v>
      </c>
      <c r="AF54" t="s">
        <v>57</v>
      </c>
      <c r="AG54">
        <v>3</v>
      </c>
      <c r="AH54" t="s">
        <v>57</v>
      </c>
      <c r="AL54" t="s">
        <v>57</v>
      </c>
      <c r="AM54" s="11">
        <v>44789</v>
      </c>
      <c r="AN54" t="s">
        <v>176</v>
      </c>
      <c r="AO54" t="s">
        <v>65</v>
      </c>
      <c r="AP54">
        <v>1204</v>
      </c>
      <c r="AQ54" t="s">
        <v>66</v>
      </c>
      <c r="AR54">
        <v>90435</v>
      </c>
      <c r="AU54" t="s">
        <v>57</v>
      </c>
      <c r="AV54" t="s">
        <v>68</v>
      </c>
      <c r="AX54" t="s">
        <v>57</v>
      </c>
      <c r="AY54">
        <v>631110</v>
      </c>
      <c r="AZ54">
        <v>1204.63111</v>
      </c>
      <c r="BA54" s="23" t="s">
        <v>12</v>
      </c>
    </row>
    <row r="55" spans="1:53" x14ac:dyDescent="0.25">
      <c r="A55" t="s">
        <v>134</v>
      </c>
      <c r="B55" t="s">
        <v>135</v>
      </c>
      <c r="C55">
        <v>22001837</v>
      </c>
      <c r="D55">
        <v>1204</v>
      </c>
      <c r="E55" s="11">
        <v>44782</v>
      </c>
      <c r="F55" t="s">
        <v>174</v>
      </c>
      <c r="G55" s="25">
        <v>0.35</v>
      </c>
      <c r="H55">
        <v>0.35</v>
      </c>
      <c r="I55" t="s">
        <v>56</v>
      </c>
      <c r="O55" t="s">
        <v>57</v>
      </c>
      <c r="Q55" t="s">
        <v>57</v>
      </c>
      <c r="R55" t="s">
        <v>137</v>
      </c>
      <c r="T55" t="s">
        <v>59</v>
      </c>
      <c r="U55" t="s">
        <v>60</v>
      </c>
      <c r="V55" t="s">
        <v>138</v>
      </c>
      <c r="W55" t="s">
        <v>139</v>
      </c>
      <c r="X55">
        <v>1929196</v>
      </c>
      <c r="Y55" s="11">
        <v>44782</v>
      </c>
      <c r="Z55" t="s">
        <v>57</v>
      </c>
      <c r="AA55">
        <v>14</v>
      </c>
      <c r="AB55" t="s">
        <v>57</v>
      </c>
      <c r="AD55" t="s">
        <v>57</v>
      </c>
      <c r="AE55" t="s">
        <v>57</v>
      </c>
      <c r="AF55" t="s">
        <v>57</v>
      </c>
      <c r="AG55">
        <v>1</v>
      </c>
      <c r="AH55" t="s">
        <v>57</v>
      </c>
      <c r="AL55" t="s">
        <v>57</v>
      </c>
      <c r="AM55" s="11">
        <v>44782</v>
      </c>
      <c r="AN55" t="s">
        <v>173</v>
      </c>
      <c r="AO55" t="s">
        <v>65</v>
      </c>
      <c r="AP55">
        <v>1204</v>
      </c>
      <c r="AQ55" t="s">
        <v>66</v>
      </c>
      <c r="AR55">
        <v>249245</v>
      </c>
      <c r="AU55" t="s">
        <v>57</v>
      </c>
      <c r="AV55" t="s">
        <v>68</v>
      </c>
      <c r="AX55" t="s">
        <v>57</v>
      </c>
      <c r="AY55">
        <v>631110</v>
      </c>
      <c r="AZ55">
        <v>1204.63111</v>
      </c>
      <c r="BA55" s="23" t="s">
        <v>12</v>
      </c>
    </row>
    <row r="56" spans="1:53" x14ac:dyDescent="0.25">
      <c r="A56" t="s">
        <v>134</v>
      </c>
      <c r="B56" t="s">
        <v>135</v>
      </c>
      <c r="C56">
        <v>22001835</v>
      </c>
      <c r="D56">
        <v>1204</v>
      </c>
      <c r="E56" s="11">
        <v>44781</v>
      </c>
      <c r="F56" t="s">
        <v>175</v>
      </c>
      <c r="G56" s="25">
        <v>0.39</v>
      </c>
      <c r="H56">
        <v>0.39</v>
      </c>
      <c r="I56" t="s">
        <v>56</v>
      </c>
      <c r="O56" t="s">
        <v>57</v>
      </c>
      <c r="Q56" t="s">
        <v>57</v>
      </c>
      <c r="R56" t="s">
        <v>137</v>
      </c>
      <c r="T56" t="s">
        <v>59</v>
      </c>
      <c r="U56" t="s">
        <v>60</v>
      </c>
      <c r="V56" t="s">
        <v>138</v>
      </c>
      <c r="W56" t="s">
        <v>139</v>
      </c>
      <c r="X56">
        <v>1928976</v>
      </c>
      <c r="Y56" s="11">
        <v>44781</v>
      </c>
      <c r="Z56" t="s">
        <v>57</v>
      </c>
      <c r="AA56">
        <v>2</v>
      </c>
      <c r="AB56" t="s">
        <v>57</v>
      </c>
      <c r="AD56" t="s">
        <v>57</v>
      </c>
      <c r="AE56" t="s">
        <v>57</v>
      </c>
      <c r="AF56" t="s">
        <v>57</v>
      </c>
      <c r="AG56">
        <v>5</v>
      </c>
      <c r="AH56" t="s">
        <v>57</v>
      </c>
      <c r="AL56" t="s">
        <v>57</v>
      </c>
      <c r="AM56" s="11">
        <v>44781</v>
      </c>
      <c r="AN56" t="s">
        <v>176</v>
      </c>
      <c r="AO56" t="s">
        <v>65</v>
      </c>
      <c r="AP56">
        <v>1204</v>
      </c>
      <c r="AQ56" t="s">
        <v>66</v>
      </c>
      <c r="AR56">
        <v>91479</v>
      </c>
      <c r="AU56" t="s">
        <v>57</v>
      </c>
      <c r="AV56" t="s">
        <v>68</v>
      </c>
      <c r="AX56" t="s">
        <v>57</v>
      </c>
      <c r="AY56">
        <v>631110</v>
      </c>
      <c r="AZ56">
        <v>1204.63111</v>
      </c>
      <c r="BA56" s="23" t="s">
        <v>12</v>
      </c>
    </row>
    <row r="57" spans="1:53" x14ac:dyDescent="0.25">
      <c r="A57" t="s">
        <v>134</v>
      </c>
      <c r="B57" t="s">
        <v>135</v>
      </c>
      <c r="C57">
        <v>22001808</v>
      </c>
      <c r="D57">
        <v>1204</v>
      </c>
      <c r="E57" s="11">
        <v>44776</v>
      </c>
      <c r="F57" t="s">
        <v>174</v>
      </c>
      <c r="G57" s="25">
        <v>0.42</v>
      </c>
      <c r="H57">
        <v>0.42</v>
      </c>
      <c r="I57" t="s">
        <v>56</v>
      </c>
      <c r="O57" t="s">
        <v>57</v>
      </c>
      <c r="Q57" t="s">
        <v>57</v>
      </c>
      <c r="R57" t="s">
        <v>137</v>
      </c>
      <c r="T57" t="s">
        <v>59</v>
      </c>
      <c r="U57" t="s">
        <v>60</v>
      </c>
      <c r="V57" t="s">
        <v>138</v>
      </c>
      <c r="W57" t="s">
        <v>139</v>
      </c>
      <c r="X57">
        <v>1926830</v>
      </c>
      <c r="Y57" s="11">
        <v>44776</v>
      </c>
      <c r="Z57" t="s">
        <v>57</v>
      </c>
      <c r="AA57">
        <v>6</v>
      </c>
      <c r="AB57" t="s">
        <v>57</v>
      </c>
      <c r="AD57" t="s">
        <v>57</v>
      </c>
      <c r="AE57" t="s">
        <v>57</v>
      </c>
      <c r="AF57" t="s">
        <v>57</v>
      </c>
      <c r="AG57">
        <v>1</v>
      </c>
      <c r="AH57" t="s">
        <v>57</v>
      </c>
      <c r="AL57" t="s">
        <v>57</v>
      </c>
      <c r="AM57" s="11">
        <v>44776</v>
      </c>
      <c r="AN57" t="s">
        <v>173</v>
      </c>
      <c r="AO57" t="s">
        <v>65</v>
      </c>
      <c r="AP57">
        <v>1204</v>
      </c>
      <c r="AQ57" t="s">
        <v>66</v>
      </c>
      <c r="AR57">
        <v>108183</v>
      </c>
      <c r="AU57" t="s">
        <v>57</v>
      </c>
      <c r="AV57" t="s">
        <v>68</v>
      </c>
      <c r="AX57" t="s">
        <v>57</v>
      </c>
      <c r="AY57">
        <v>631110</v>
      </c>
      <c r="AZ57">
        <v>1204.63111</v>
      </c>
      <c r="BA57" s="23" t="s">
        <v>12</v>
      </c>
    </row>
    <row r="58" spans="1:53" x14ac:dyDescent="0.25">
      <c r="A58" t="s">
        <v>134</v>
      </c>
      <c r="B58" t="s">
        <v>135</v>
      </c>
      <c r="C58">
        <v>22001835</v>
      </c>
      <c r="D58">
        <v>1204</v>
      </c>
      <c r="E58" s="11">
        <v>44781</v>
      </c>
      <c r="F58" t="s">
        <v>175</v>
      </c>
      <c r="G58" s="25">
        <v>0.44</v>
      </c>
      <c r="H58">
        <v>0.44</v>
      </c>
      <c r="I58" t="s">
        <v>56</v>
      </c>
      <c r="O58" t="s">
        <v>57</v>
      </c>
      <c r="Q58" t="s">
        <v>57</v>
      </c>
      <c r="R58" t="s">
        <v>137</v>
      </c>
      <c r="T58" t="s">
        <v>59</v>
      </c>
      <c r="U58" t="s">
        <v>60</v>
      </c>
      <c r="V58" t="s">
        <v>138</v>
      </c>
      <c r="W58" t="s">
        <v>139</v>
      </c>
      <c r="X58">
        <v>1928976</v>
      </c>
      <c r="Y58" s="11">
        <v>44781</v>
      </c>
      <c r="Z58" t="s">
        <v>57</v>
      </c>
      <c r="AA58">
        <v>6</v>
      </c>
      <c r="AB58" t="s">
        <v>57</v>
      </c>
      <c r="AD58" t="s">
        <v>57</v>
      </c>
      <c r="AE58" t="s">
        <v>57</v>
      </c>
      <c r="AF58" t="s">
        <v>57</v>
      </c>
      <c r="AG58">
        <v>4</v>
      </c>
      <c r="AH58" t="s">
        <v>57</v>
      </c>
      <c r="AL58" t="s">
        <v>57</v>
      </c>
      <c r="AM58" s="11">
        <v>44781</v>
      </c>
      <c r="AN58" t="s">
        <v>176</v>
      </c>
      <c r="AO58" t="s">
        <v>65</v>
      </c>
      <c r="AP58">
        <v>1204</v>
      </c>
      <c r="AQ58" t="s">
        <v>66</v>
      </c>
      <c r="AR58">
        <v>90435</v>
      </c>
      <c r="AU58" t="s">
        <v>57</v>
      </c>
      <c r="AV58" t="s">
        <v>68</v>
      </c>
      <c r="AX58" t="s">
        <v>57</v>
      </c>
      <c r="AY58">
        <v>631110</v>
      </c>
      <c r="AZ58">
        <v>1204.63111</v>
      </c>
      <c r="BA58" s="23" t="s">
        <v>12</v>
      </c>
    </row>
    <row r="59" spans="1:53" x14ac:dyDescent="0.25">
      <c r="A59" t="s">
        <v>134</v>
      </c>
      <c r="B59" t="s">
        <v>135</v>
      </c>
      <c r="C59">
        <v>22001865</v>
      </c>
      <c r="D59">
        <v>1204</v>
      </c>
      <c r="E59" s="11">
        <v>44785</v>
      </c>
      <c r="F59" t="s">
        <v>175</v>
      </c>
      <c r="G59" s="25">
        <v>0.44</v>
      </c>
      <c r="H59">
        <v>0.44</v>
      </c>
      <c r="I59" t="s">
        <v>56</v>
      </c>
      <c r="O59" t="s">
        <v>57</v>
      </c>
      <c r="Q59" t="s">
        <v>57</v>
      </c>
      <c r="R59" t="s">
        <v>137</v>
      </c>
      <c r="T59" t="s">
        <v>59</v>
      </c>
      <c r="U59" t="s">
        <v>60</v>
      </c>
      <c r="V59" t="s">
        <v>138</v>
      </c>
      <c r="W59" t="s">
        <v>139</v>
      </c>
      <c r="X59">
        <v>1930744</v>
      </c>
      <c r="Y59" s="11">
        <v>44785</v>
      </c>
      <c r="Z59" t="s">
        <v>57</v>
      </c>
      <c r="AA59">
        <v>4</v>
      </c>
      <c r="AB59" t="s">
        <v>57</v>
      </c>
      <c r="AD59" t="s">
        <v>57</v>
      </c>
      <c r="AE59" t="s">
        <v>57</v>
      </c>
      <c r="AF59" t="s">
        <v>57</v>
      </c>
      <c r="AG59">
        <v>4</v>
      </c>
      <c r="AH59" t="s">
        <v>57</v>
      </c>
      <c r="AL59" t="s">
        <v>57</v>
      </c>
      <c r="AM59" s="11">
        <v>44785</v>
      </c>
      <c r="AN59" t="s">
        <v>176</v>
      </c>
      <c r="AO59" t="s">
        <v>65</v>
      </c>
      <c r="AP59">
        <v>1204</v>
      </c>
      <c r="AQ59" t="s">
        <v>66</v>
      </c>
      <c r="AR59">
        <v>90435</v>
      </c>
      <c r="AU59" t="s">
        <v>57</v>
      </c>
      <c r="AV59" t="s">
        <v>68</v>
      </c>
      <c r="AX59" t="s">
        <v>57</v>
      </c>
      <c r="AY59">
        <v>631110</v>
      </c>
      <c r="AZ59">
        <v>1204.63111</v>
      </c>
      <c r="BA59" s="23" t="s">
        <v>12</v>
      </c>
    </row>
    <row r="60" spans="1:53" x14ac:dyDescent="0.25">
      <c r="A60" t="s">
        <v>134</v>
      </c>
      <c r="B60" t="s">
        <v>135</v>
      </c>
      <c r="C60">
        <v>22001852</v>
      </c>
      <c r="D60">
        <v>1204</v>
      </c>
      <c r="E60" s="11">
        <v>44784</v>
      </c>
      <c r="F60" t="s">
        <v>175</v>
      </c>
      <c r="G60" s="25">
        <v>0.45</v>
      </c>
      <c r="H60">
        <v>0.45</v>
      </c>
      <c r="I60" t="s">
        <v>56</v>
      </c>
      <c r="O60" t="s">
        <v>57</v>
      </c>
      <c r="Q60" t="s">
        <v>57</v>
      </c>
      <c r="R60" t="s">
        <v>137</v>
      </c>
      <c r="T60" t="s">
        <v>59</v>
      </c>
      <c r="U60" t="s">
        <v>60</v>
      </c>
      <c r="V60" t="s">
        <v>138</v>
      </c>
      <c r="W60" t="s">
        <v>139</v>
      </c>
      <c r="X60">
        <v>1930523</v>
      </c>
      <c r="Y60" s="11">
        <v>44784</v>
      </c>
      <c r="Z60" t="s">
        <v>57</v>
      </c>
      <c r="AA60">
        <v>14</v>
      </c>
      <c r="AB60" t="s">
        <v>57</v>
      </c>
      <c r="AD60" t="s">
        <v>57</v>
      </c>
      <c r="AE60" t="s">
        <v>57</v>
      </c>
      <c r="AF60" t="s">
        <v>57</v>
      </c>
      <c r="AG60">
        <v>3</v>
      </c>
      <c r="AH60" t="s">
        <v>57</v>
      </c>
      <c r="AL60" t="s">
        <v>57</v>
      </c>
      <c r="AM60" s="11">
        <v>44784</v>
      </c>
      <c r="AN60" t="s">
        <v>176</v>
      </c>
      <c r="AO60" t="s">
        <v>65</v>
      </c>
      <c r="AP60">
        <v>1204</v>
      </c>
      <c r="AQ60" t="s">
        <v>66</v>
      </c>
      <c r="AR60">
        <v>144854</v>
      </c>
      <c r="AU60" t="s">
        <v>57</v>
      </c>
      <c r="AV60" t="s">
        <v>68</v>
      </c>
      <c r="AX60" t="s">
        <v>57</v>
      </c>
      <c r="AY60">
        <v>631110</v>
      </c>
      <c r="AZ60">
        <v>1204.63111</v>
      </c>
      <c r="BA60" s="23" t="s">
        <v>12</v>
      </c>
    </row>
    <row r="61" spans="1:53" x14ac:dyDescent="0.25">
      <c r="A61" t="s">
        <v>134</v>
      </c>
      <c r="B61" t="s">
        <v>135</v>
      </c>
      <c r="C61">
        <v>22001798</v>
      </c>
      <c r="D61">
        <v>1204</v>
      </c>
      <c r="E61" s="11">
        <v>44774</v>
      </c>
      <c r="F61" t="s">
        <v>175</v>
      </c>
      <c r="G61" s="25">
        <v>0.46</v>
      </c>
      <c r="H61">
        <v>0.46</v>
      </c>
      <c r="I61" t="s">
        <v>56</v>
      </c>
      <c r="O61" t="s">
        <v>57</v>
      </c>
      <c r="Q61" t="s">
        <v>57</v>
      </c>
      <c r="R61" t="s">
        <v>137</v>
      </c>
      <c r="T61" t="s">
        <v>59</v>
      </c>
      <c r="U61" t="s">
        <v>60</v>
      </c>
      <c r="V61" t="s">
        <v>138</v>
      </c>
      <c r="W61" t="s">
        <v>139</v>
      </c>
      <c r="X61">
        <v>1925598</v>
      </c>
      <c r="Y61" s="11">
        <v>44774</v>
      </c>
      <c r="Z61" t="s">
        <v>57</v>
      </c>
      <c r="AA61">
        <v>2</v>
      </c>
      <c r="AB61" t="s">
        <v>57</v>
      </c>
      <c r="AD61" t="s">
        <v>57</v>
      </c>
      <c r="AE61" t="s">
        <v>57</v>
      </c>
      <c r="AF61" t="s">
        <v>57</v>
      </c>
      <c r="AG61">
        <v>6</v>
      </c>
      <c r="AH61" t="s">
        <v>57</v>
      </c>
      <c r="AL61" t="s">
        <v>57</v>
      </c>
      <c r="AM61" s="11">
        <v>44774</v>
      </c>
      <c r="AN61" t="s">
        <v>176</v>
      </c>
      <c r="AO61" t="s">
        <v>65</v>
      </c>
      <c r="AP61">
        <v>1204</v>
      </c>
      <c r="AQ61" t="s">
        <v>66</v>
      </c>
      <c r="AR61">
        <v>91479</v>
      </c>
      <c r="AU61" t="s">
        <v>57</v>
      </c>
      <c r="AV61" t="s">
        <v>68</v>
      </c>
      <c r="AX61" t="s">
        <v>57</v>
      </c>
      <c r="AY61">
        <v>631110</v>
      </c>
      <c r="AZ61">
        <v>1204.63111</v>
      </c>
      <c r="BA61" s="23" t="s">
        <v>12</v>
      </c>
    </row>
    <row r="62" spans="1:53" x14ac:dyDescent="0.25">
      <c r="A62" t="s">
        <v>134</v>
      </c>
      <c r="B62" t="s">
        <v>135</v>
      </c>
      <c r="C62">
        <v>22001810</v>
      </c>
      <c r="D62">
        <v>1204</v>
      </c>
      <c r="E62" s="11">
        <v>44776</v>
      </c>
      <c r="F62" t="s">
        <v>175</v>
      </c>
      <c r="G62" s="25">
        <v>0.46</v>
      </c>
      <c r="H62">
        <v>0.46</v>
      </c>
      <c r="I62" t="s">
        <v>56</v>
      </c>
      <c r="O62" t="s">
        <v>57</v>
      </c>
      <c r="Q62" t="s">
        <v>57</v>
      </c>
      <c r="R62" t="s">
        <v>137</v>
      </c>
      <c r="T62" t="s">
        <v>59</v>
      </c>
      <c r="U62" t="s">
        <v>60</v>
      </c>
      <c r="V62" t="s">
        <v>138</v>
      </c>
      <c r="W62" t="s">
        <v>139</v>
      </c>
      <c r="X62">
        <v>1927035</v>
      </c>
      <c r="Y62" s="11">
        <v>44776</v>
      </c>
      <c r="Z62" t="s">
        <v>57</v>
      </c>
      <c r="AA62">
        <v>2</v>
      </c>
      <c r="AB62" t="s">
        <v>57</v>
      </c>
      <c r="AD62" t="s">
        <v>57</v>
      </c>
      <c r="AE62" t="s">
        <v>57</v>
      </c>
      <c r="AF62" t="s">
        <v>57</v>
      </c>
      <c r="AG62">
        <v>6</v>
      </c>
      <c r="AH62" t="s">
        <v>57</v>
      </c>
      <c r="AL62" t="s">
        <v>57</v>
      </c>
      <c r="AM62" s="11">
        <v>44776</v>
      </c>
      <c r="AN62" t="s">
        <v>176</v>
      </c>
      <c r="AO62" t="s">
        <v>65</v>
      </c>
      <c r="AP62">
        <v>1204</v>
      </c>
      <c r="AQ62" t="s">
        <v>66</v>
      </c>
      <c r="AR62">
        <v>91479</v>
      </c>
      <c r="AU62" t="s">
        <v>57</v>
      </c>
      <c r="AV62" t="s">
        <v>68</v>
      </c>
      <c r="AX62" t="s">
        <v>57</v>
      </c>
      <c r="AY62">
        <v>631110</v>
      </c>
      <c r="AZ62">
        <v>1204.63111</v>
      </c>
      <c r="BA62" s="23" t="s">
        <v>12</v>
      </c>
    </row>
    <row r="63" spans="1:53" x14ac:dyDescent="0.25">
      <c r="A63" t="s">
        <v>134</v>
      </c>
      <c r="B63" t="s">
        <v>135</v>
      </c>
      <c r="C63">
        <v>22001840</v>
      </c>
      <c r="D63">
        <v>1204</v>
      </c>
      <c r="E63" s="11">
        <v>44782</v>
      </c>
      <c r="F63" t="s">
        <v>175</v>
      </c>
      <c r="G63" s="25">
        <v>0.46</v>
      </c>
      <c r="H63">
        <v>0.46</v>
      </c>
      <c r="I63" t="s">
        <v>56</v>
      </c>
      <c r="O63" t="s">
        <v>57</v>
      </c>
      <c r="Q63" t="s">
        <v>57</v>
      </c>
      <c r="R63" t="s">
        <v>137</v>
      </c>
      <c r="T63" t="s">
        <v>59</v>
      </c>
      <c r="U63" t="s">
        <v>60</v>
      </c>
      <c r="V63" t="s">
        <v>138</v>
      </c>
      <c r="W63" t="s">
        <v>139</v>
      </c>
      <c r="X63">
        <v>1929850</v>
      </c>
      <c r="Y63" s="11">
        <v>44782</v>
      </c>
      <c r="Z63" t="s">
        <v>57</v>
      </c>
      <c r="AA63">
        <v>2</v>
      </c>
      <c r="AB63" t="s">
        <v>57</v>
      </c>
      <c r="AD63" t="s">
        <v>57</v>
      </c>
      <c r="AE63" t="s">
        <v>57</v>
      </c>
      <c r="AF63" t="s">
        <v>57</v>
      </c>
      <c r="AG63">
        <v>6</v>
      </c>
      <c r="AH63" t="s">
        <v>57</v>
      </c>
      <c r="AL63" t="s">
        <v>57</v>
      </c>
      <c r="AM63" s="11">
        <v>44782</v>
      </c>
      <c r="AN63" t="s">
        <v>176</v>
      </c>
      <c r="AO63" t="s">
        <v>65</v>
      </c>
      <c r="AP63">
        <v>1204</v>
      </c>
      <c r="AQ63" t="s">
        <v>66</v>
      </c>
      <c r="AR63">
        <v>91479</v>
      </c>
      <c r="AU63" t="s">
        <v>57</v>
      </c>
      <c r="AV63" t="s">
        <v>68</v>
      </c>
      <c r="AX63" t="s">
        <v>57</v>
      </c>
      <c r="AY63">
        <v>631110</v>
      </c>
      <c r="AZ63">
        <v>1204.63111</v>
      </c>
      <c r="BA63" s="23" t="s">
        <v>12</v>
      </c>
    </row>
    <row r="64" spans="1:53" x14ac:dyDescent="0.25">
      <c r="A64" t="s">
        <v>134</v>
      </c>
      <c r="B64" t="s">
        <v>135</v>
      </c>
      <c r="C64">
        <v>22001830</v>
      </c>
      <c r="D64">
        <v>1204</v>
      </c>
      <c r="E64" s="11">
        <v>44781</v>
      </c>
      <c r="F64" t="s">
        <v>174</v>
      </c>
      <c r="G64" s="25">
        <v>0.48</v>
      </c>
      <c r="H64">
        <v>0.48</v>
      </c>
      <c r="I64" t="s">
        <v>56</v>
      </c>
      <c r="O64" t="s">
        <v>57</v>
      </c>
      <c r="Q64" t="s">
        <v>57</v>
      </c>
      <c r="R64" t="s">
        <v>137</v>
      </c>
      <c r="T64" t="s">
        <v>59</v>
      </c>
      <c r="U64" t="s">
        <v>60</v>
      </c>
      <c r="V64" t="s">
        <v>138</v>
      </c>
      <c r="W64" t="s">
        <v>139</v>
      </c>
      <c r="X64">
        <v>1928770</v>
      </c>
      <c r="Y64" s="11">
        <v>44781</v>
      </c>
      <c r="Z64" t="s">
        <v>57</v>
      </c>
      <c r="AA64">
        <v>34</v>
      </c>
      <c r="AB64" t="s">
        <v>57</v>
      </c>
      <c r="AD64" t="s">
        <v>57</v>
      </c>
      <c r="AE64" t="s">
        <v>57</v>
      </c>
      <c r="AF64" t="s">
        <v>57</v>
      </c>
      <c r="AG64">
        <v>3</v>
      </c>
      <c r="AH64" t="s">
        <v>57</v>
      </c>
      <c r="AL64" t="s">
        <v>57</v>
      </c>
      <c r="AM64" s="11">
        <v>44781</v>
      </c>
      <c r="AN64" t="s">
        <v>173</v>
      </c>
      <c r="AO64" t="s">
        <v>65</v>
      </c>
      <c r="AP64">
        <v>1204</v>
      </c>
      <c r="AQ64" t="s">
        <v>66</v>
      </c>
      <c r="AR64">
        <v>88760</v>
      </c>
      <c r="AU64" t="s">
        <v>57</v>
      </c>
      <c r="AV64" t="s">
        <v>68</v>
      </c>
      <c r="AX64" t="s">
        <v>57</v>
      </c>
      <c r="AY64">
        <v>631110</v>
      </c>
      <c r="AZ64">
        <v>1204.63111</v>
      </c>
      <c r="BA64" s="23" t="s">
        <v>12</v>
      </c>
    </row>
    <row r="65" spans="1:53" x14ac:dyDescent="0.25">
      <c r="A65" t="s">
        <v>134</v>
      </c>
      <c r="B65" t="s">
        <v>135</v>
      </c>
      <c r="C65">
        <v>22001871</v>
      </c>
      <c r="D65">
        <v>1204</v>
      </c>
      <c r="E65" s="11">
        <v>44789</v>
      </c>
      <c r="F65" t="s">
        <v>174</v>
      </c>
      <c r="G65" s="25">
        <v>0.48</v>
      </c>
      <c r="H65">
        <v>0.48</v>
      </c>
      <c r="I65" t="s">
        <v>56</v>
      </c>
      <c r="O65" t="s">
        <v>57</v>
      </c>
      <c r="Q65" t="s">
        <v>57</v>
      </c>
      <c r="R65" t="s">
        <v>137</v>
      </c>
      <c r="T65" t="s">
        <v>59</v>
      </c>
      <c r="U65" t="s">
        <v>60</v>
      </c>
      <c r="V65" t="s">
        <v>138</v>
      </c>
      <c r="W65" t="s">
        <v>139</v>
      </c>
      <c r="X65">
        <v>1933046</v>
      </c>
      <c r="Y65" s="11">
        <v>44789</v>
      </c>
      <c r="Z65" t="s">
        <v>57</v>
      </c>
      <c r="AA65">
        <v>6</v>
      </c>
      <c r="AB65" t="s">
        <v>57</v>
      </c>
      <c r="AD65" t="s">
        <v>57</v>
      </c>
      <c r="AE65" t="s">
        <v>57</v>
      </c>
      <c r="AF65" t="s">
        <v>57</v>
      </c>
      <c r="AG65">
        <v>3</v>
      </c>
      <c r="AH65" t="s">
        <v>57</v>
      </c>
      <c r="AL65" t="s">
        <v>57</v>
      </c>
      <c r="AM65" s="11">
        <v>44789</v>
      </c>
      <c r="AN65" t="s">
        <v>173</v>
      </c>
      <c r="AO65" t="s">
        <v>65</v>
      </c>
      <c r="AP65">
        <v>1204</v>
      </c>
      <c r="AQ65" t="s">
        <v>66</v>
      </c>
      <c r="AR65">
        <v>88760</v>
      </c>
      <c r="AU65" t="s">
        <v>57</v>
      </c>
      <c r="AV65" t="s">
        <v>68</v>
      </c>
      <c r="AX65" t="s">
        <v>57</v>
      </c>
      <c r="AY65">
        <v>631110</v>
      </c>
      <c r="AZ65">
        <v>1204.63111</v>
      </c>
      <c r="BA65" s="23" t="s">
        <v>12</v>
      </c>
    </row>
    <row r="66" spans="1:53" x14ac:dyDescent="0.25">
      <c r="A66" t="s">
        <v>134</v>
      </c>
      <c r="B66" t="s">
        <v>135</v>
      </c>
      <c r="C66">
        <v>22001785</v>
      </c>
      <c r="D66">
        <v>1204</v>
      </c>
      <c r="E66" s="11">
        <v>44774</v>
      </c>
      <c r="F66" t="s">
        <v>174</v>
      </c>
      <c r="G66" s="25">
        <v>0.49</v>
      </c>
      <c r="H66">
        <v>0.49</v>
      </c>
      <c r="I66" t="s">
        <v>56</v>
      </c>
      <c r="O66" t="s">
        <v>57</v>
      </c>
      <c r="Q66" t="s">
        <v>57</v>
      </c>
      <c r="R66" t="s">
        <v>137</v>
      </c>
      <c r="T66" t="s">
        <v>59</v>
      </c>
      <c r="U66" t="s">
        <v>60</v>
      </c>
      <c r="V66" t="s">
        <v>138</v>
      </c>
      <c r="W66" t="s">
        <v>139</v>
      </c>
      <c r="X66">
        <v>1925466</v>
      </c>
      <c r="Y66" s="11">
        <v>44774</v>
      </c>
      <c r="Z66" t="s">
        <v>57</v>
      </c>
      <c r="AA66">
        <v>4</v>
      </c>
      <c r="AB66" t="s">
        <v>57</v>
      </c>
      <c r="AD66" t="s">
        <v>57</v>
      </c>
      <c r="AE66" t="s">
        <v>57</v>
      </c>
      <c r="AF66" t="s">
        <v>57</v>
      </c>
      <c r="AG66">
        <v>1</v>
      </c>
      <c r="AH66" t="s">
        <v>57</v>
      </c>
      <c r="AL66" t="s">
        <v>57</v>
      </c>
      <c r="AM66" s="11">
        <v>44774</v>
      </c>
      <c r="AN66" t="s">
        <v>173</v>
      </c>
      <c r="AO66" t="s">
        <v>65</v>
      </c>
      <c r="AP66">
        <v>1204</v>
      </c>
      <c r="AQ66" t="s">
        <v>66</v>
      </c>
      <c r="AR66">
        <v>228050</v>
      </c>
      <c r="AU66" t="s">
        <v>57</v>
      </c>
      <c r="AV66" t="s">
        <v>68</v>
      </c>
      <c r="AX66" t="s">
        <v>57</v>
      </c>
      <c r="AY66">
        <v>631110</v>
      </c>
      <c r="AZ66">
        <v>1204.63111</v>
      </c>
      <c r="BA66" s="23" t="s">
        <v>12</v>
      </c>
    </row>
    <row r="67" spans="1:53" x14ac:dyDescent="0.25">
      <c r="A67" t="s">
        <v>134</v>
      </c>
      <c r="B67" t="s">
        <v>135</v>
      </c>
      <c r="C67">
        <v>22001785</v>
      </c>
      <c r="D67">
        <v>1204</v>
      </c>
      <c r="E67" s="11">
        <v>44774</v>
      </c>
      <c r="F67" t="s">
        <v>174</v>
      </c>
      <c r="G67" s="25">
        <v>0.49</v>
      </c>
      <c r="H67">
        <v>0.49</v>
      </c>
      <c r="I67" t="s">
        <v>56</v>
      </c>
      <c r="O67" t="s">
        <v>57</v>
      </c>
      <c r="Q67" t="s">
        <v>57</v>
      </c>
      <c r="R67" t="s">
        <v>137</v>
      </c>
      <c r="T67" t="s">
        <v>59</v>
      </c>
      <c r="U67" t="s">
        <v>60</v>
      </c>
      <c r="V67" t="s">
        <v>138</v>
      </c>
      <c r="W67" t="s">
        <v>139</v>
      </c>
      <c r="X67">
        <v>1925466</v>
      </c>
      <c r="Y67" s="11">
        <v>44774</v>
      </c>
      <c r="Z67" t="s">
        <v>57</v>
      </c>
      <c r="AA67">
        <v>8</v>
      </c>
      <c r="AB67" t="s">
        <v>57</v>
      </c>
      <c r="AD67" t="s">
        <v>57</v>
      </c>
      <c r="AE67" t="s">
        <v>57</v>
      </c>
      <c r="AF67" t="s">
        <v>57</v>
      </c>
      <c r="AG67">
        <v>1</v>
      </c>
      <c r="AH67" t="s">
        <v>57</v>
      </c>
      <c r="AL67" t="s">
        <v>57</v>
      </c>
      <c r="AM67" s="11">
        <v>44774</v>
      </c>
      <c r="AN67" t="s">
        <v>173</v>
      </c>
      <c r="AO67" t="s">
        <v>65</v>
      </c>
      <c r="AP67">
        <v>1204</v>
      </c>
      <c r="AQ67" t="s">
        <v>66</v>
      </c>
      <c r="AR67">
        <v>90122</v>
      </c>
      <c r="AU67" t="s">
        <v>57</v>
      </c>
      <c r="AV67" t="s">
        <v>68</v>
      </c>
      <c r="AX67" t="s">
        <v>57</v>
      </c>
      <c r="AY67">
        <v>631110</v>
      </c>
      <c r="AZ67">
        <v>1204.63111</v>
      </c>
      <c r="BA67" s="23" t="s">
        <v>12</v>
      </c>
    </row>
    <row r="68" spans="1:53" x14ac:dyDescent="0.25">
      <c r="A68" t="s">
        <v>134</v>
      </c>
      <c r="B68" t="s">
        <v>135</v>
      </c>
      <c r="C68">
        <v>22001801</v>
      </c>
      <c r="D68">
        <v>1204</v>
      </c>
      <c r="E68" s="11">
        <v>44775</v>
      </c>
      <c r="F68" t="s">
        <v>174</v>
      </c>
      <c r="G68" s="25">
        <v>0.49</v>
      </c>
      <c r="H68">
        <v>0.49</v>
      </c>
      <c r="I68" t="s">
        <v>56</v>
      </c>
      <c r="O68" t="s">
        <v>57</v>
      </c>
      <c r="Q68" t="s">
        <v>57</v>
      </c>
      <c r="R68" t="s">
        <v>137</v>
      </c>
      <c r="T68" t="s">
        <v>59</v>
      </c>
      <c r="U68" t="s">
        <v>60</v>
      </c>
      <c r="V68" t="s">
        <v>138</v>
      </c>
      <c r="W68" t="s">
        <v>139</v>
      </c>
      <c r="X68">
        <v>1926653</v>
      </c>
      <c r="Y68" s="11">
        <v>44775</v>
      </c>
      <c r="Z68" t="s">
        <v>57</v>
      </c>
      <c r="AA68">
        <v>12</v>
      </c>
      <c r="AB68" t="s">
        <v>57</v>
      </c>
      <c r="AD68" t="s">
        <v>57</v>
      </c>
      <c r="AE68" t="s">
        <v>57</v>
      </c>
      <c r="AF68" t="s">
        <v>57</v>
      </c>
      <c r="AG68">
        <v>1</v>
      </c>
      <c r="AH68" t="s">
        <v>57</v>
      </c>
      <c r="AL68" t="s">
        <v>57</v>
      </c>
      <c r="AM68" s="11">
        <v>44775</v>
      </c>
      <c r="AN68" t="s">
        <v>173</v>
      </c>
      <c r="AO68" t="s">
        <v>65</v>
      </c>
      <c r="AP68">
        <v>1204</v>
      </c>
      <c r="AQ68" t="s">
        <v>66</v>
      </c>
      <c r="AR68">
        <v>90122</v>
      </c>
      <c r="AU68" t="s">
        <v>57</v>
      </c>
      <c r="AV68" t="s">
        <v>68</v>
      </c>
      <c r="AX68" t="s">
        <v>57</v>
      </c>
      <c r="AY68">
        <v>631110</v>
      </c>
      <c r="AZ68">
        <v>1204.63111</v>
      </c>
      <c r="BA68" s="23" t="s">
        <v>12</v>
      </c>
    </row>
    <row r="69" spans="1:53" x14ac:dyDescent="0.25">
      <c r="A69" t="s">
        <v>134</v>
      </c>
      <c r="B69" t="s">
        <v>135</v>
      </c>
      <c r="C69">
        <v>22001830</v>
      </c>
      <c r="D69">
        <v>1204</v>
      </c>
      <c r="E69" s="11">
        <v>44781</v>
      </c>
      <c r="F69" t="s">
        <v>174</v>
      </c>
      <c r="G69" s="25">
        <v>0.49</v>
      </c>
      <c r="H69">
        <v>0.49</v>
      </c>
      <c r="I69" t="s">
        <v>56</v>
      </c>
      <c r="O69" t="s">
        <v>57</v>
      </c>
      <c r="Q69" t="s">
        <v>57</v>
      </c>
      <c r="R69" t="s">
        <v>137</v>
      </c>
      <c r="T69" t="s">
        <v>59</v>
      </c>
      <c r="U69" t="s">
        <v>60</v>
      </c>
      <c r="V69" t="s">
        <v>138</v>
      </c>
      <c r="W69" t="s">
        <v>139</v>
      </c>
      <c r="X69">
        <v>1928770</v>
      </c>
      <c r="Y69" s="11">
        <v>44781</v>
      </c>
      <c r="Z69" t="s">
        <v>57</v>
      </c>
      <c r="AA69">
        <v>28</v>
      </c>
      <c r="AB69" t="s">
        <v>57</v>
      </c>
      <c r="AD69" t="s">
        <v>57</v>
      </c>
      <c r="AE69" t="s">
        <v>57</v>
      </c>
      <c r="AF69" t="s">
        <v>57</v>
      </c>
      <c r="AG69">
        <v>1</v>
      </c>
      <c r="AH69" t="s">
        <v>57</v>
      </c>
      <c r="AL69" t="s">
        <v>57</v>
      </c>
      <c r="AM69" s="11">
        <v>44781</v>
      </c>
      <c r="AN69" t="s">
        <v>173</v>
      </c>
      <c r="AO69" t="s">
        <v>65</v>
      </c>
      <c r="AP69">
        <v>1204</v>
      </c>
      <c r="AQ69" t="s">
        <v>66</v>
      </c>
      <c r="AR69">
        <v>90122</v>
      </c>
      <c r="AU69" t="s">
        <v>57</v>
      </c>
      <c r="AV69" t="s">
        <v>68</v>
      </c>
      <c r="AX69" t="s">
        <v>57</v>
      </c>
      <c r="AY69">
        <v>631110</v>
      </c>
      <c r="AZ69">
        <v>1204.63111</v>
      </c>
      <c r="BA69" s="23" t="s">
        <v>12</v>
      </c>
    </row>
    <row r="70" spans="1:53" x14ac:dyDescent="0.25">
      <c r="A70" t="s">
        <v>134</v>
      </c>
      <c r="B70" t="s">
        <v>135</v>
      </c>
      <c r="C70">
        <v>22001830</v>
      </c>
      <c r="D70">
        <v>1204</v>
      </c>
      <c r="E70" s="11">
        <v>44781</v>
      </c>
      <c r="F70" t="s">
        <v>174</v>
      </c>
      <c r="G70" s="25">
        <v>0.49</v>
      </c>
      <c r="H70">
        <v>0.49</v>
      </c>
      <c r="I70" t="s">
        <v>56</v>
      </c>
      <c r="O70" t="s">
        <v>57</v>
      </c>
      <c r="Q70" t="s">
        <v>57</v>
      </c>
      <c r="R70" t="s">
        <v>137</v>
      </c>
      <c r="T70" t="s">
        <v>59</v>
      </c>
      <c r="U70" t="s">
        <v>60</v>
      </c>
      <c r="V70" t="s">
        <v>138</v>
      </c>
      <c r="W70" t="s">
        <v>139</v>
      </c>
      <c r="X70">
        <v>1928770</v>
      </c>
      <c r="Y70" s="11">
        <v>44781</v>
      </c>
      <c r="Z70" t="s">
        <v>57</v>
      </c>
      <c r="AA70">
        <v>14</v>
      </c>
      <c r="AB70" t="s">
        <v>57</v>
      </c>
      <c r="AD70" t="s">
        <v>57</v>
      </c>
      <c r="AE70" t="s">
        <v>57</v>
      </c>
      <c r="AF70" t="s">
        <v>57</v>
      </c>
      <c r="AG70">
        <v>1</v>
      </c>
      <c r="AH70" t="s">
        <v>57</v>
      </c>
      <c r="AL70" t="s">
        <v>57</v>
      </c>
      <c r="AM70" s="11">
        <v>44781</v>
      </c>
      <c r="AN70" t="s">
        <v>173</v>
      </c>
      <c r="AO70" t="s">
        <v>65</v>
      </c>
      <c r="AP70">
        <v>1204</v>
      </c>
      <c r="AQ70" t="s">
        <v>66</v>
      </c>
      <c r="AR70">
        <v>228050</v>
      </c>
      <c r="AU70" t="s">
        <v>57</v>
      </c>
      <c r="AV70" t="s">
        <v>68</v>
      </c>
      <c r="AX70" t="s">
        <v>57</v>
      </c>
      <c r="AY70">
        <v>631110</v>
      </c>
      <c r="AZ70">
        <v>1204.63111</v>
      </c>
      <c r="BA70" s="23" t="s">
        <v>12</v>
      </c>
    </row>
    <row r="71" spans="1:53" x14ac:dyDescent="0.25">
      <c r="A71" t="s">
        <v>134</v>
      </c>
      <c r="B71" t="s">
        <v>135</v>
      </c>
      <c r="C71">
        <v>22001891</v>
      </c>
      <c r="D71">
        <v>1204</v>
      </c>
      <c r="E71" s="11">
        <v>44792</v>
      </c>
      <c r="F71" t="s">
        <v>174</v>
      </c>
      <c r="G71" s="25">
        <v>0.49</v>
      </c>
      <c r="H71">
        <v>0.49</v>
      </c>
      <c r="I71" t="s">
        <v>56</v>
      </c>
      <c r="O71" t="s">
        <v>57</v>
      </c>
      <c r="Q71" t="s">
        <v>57</v>
      </c>
      <c r="R71" t="s">
        <v>137</v>
      </c>
      <c r="T71" t="s">
        <v>59</v>
      </c>
      <c r="U71" t="s">
        <v>60</v>
      </c>
      <c r="V71" t="s">
        <v>138</v>
      </c>
      <c r="W71" t="s">
        <v>139</v>
      </c>
      <c r="X71">
        <v>1934076</v>
      </c>
      <c r="Y71" s="11">
        <v>44792</v>
      </c>
      <c r="Z71" t="s">
        <v>57</v>
      </c>
      <c r="AA71">
        <v>12</v>
      </c>
      <c r="AB71" t="s">
        <v>57</v>
      </c>
      <c r="AD71" t="s">
        <v>57</v>
      </c>
      <c r="AE71" t="s">
        <v>57</v>
      </c>
      <c r="AF71" t="s">
        <v>57</v>
      </c>
      <c r="AG71">
        <v>1</v>
      </c>
      <c r="AH71" t="s">
        <v>57</v>
      </c>
      <c r="AL71" t="s">
        <v>57</v>
      </c>
      <c r="AM71" s="11">
        <v>44792</v>
      </c>
      <c r="AN71" t="s">
        <v>173</v>
      </c>
      <c r="AO71" t="s">
        <v>65</v>
      </c>
      <c r="AP71">
        <v>1204</v>
      </c>
      <c r="AQ71" t="s">
        <v>66</v>
      </c>
      <c r="AR71">
        <v>90122</v>
      </c>
      <c r="AU71" t="s">
        <v>57</v>
      </c>
      <c r="AV71" t="s">
        <v>68</v>
      </c>
      <c r="AX71" t="s">
        <v>57</v>
      </c>
      <c r="AY71">
        <v>631110</v>
      </c>
      <c r="AZ71">
        <v>1204.63111</v>
      </c>
      <c r="BA71" s="23" t="s">
        <v>12</v>
      </c>
    </row>
    <row r="72" spans="1:53" x14ac:dyDescent="0.25">
      <c r="A72" t="s">
        <v>134</v>
      </c>
      <c r="B72" t="s">
        <v>135</v>
      </c>
      <c r="C72">
        <v>22001852</v>
      </c>
      <c r="D72">
        <v>1204</v>
      </c>
      <c r="E72" s="11">
        <v>44784</v>
      </c>
      <c r="F72" t="s">
        <v>175</v>
      </c>
      <c r="G72" s="25">
        <v>0.54</v>
      </c>
      <c r="H72">
        <v>0.54</v>
      </c>
      <c r="I72" t="s">
        <v>56</v>
      </c>
      <c r="O72" t="s">
        <v>57</v>
      </c>
      <c r="Q72" t="s">
        <v>57</v>
      </c>
      <c r="R72" t="s">
        <v>137</v>
      </c>
      <c r="T72" t="s">
        <v>59</v>
      </c>
      <c r="U72" t="s">
        <v>60</v>
      </c>
      <c r="V72" t="s">
        <v>138</v>
      </c>
      <c r="W72" t="s">
        <v>139</v>
      </c>
      <c r="X72">
        <v>1930523</v>
      </c>
      <c r="Y72" s="11">
        <v>44784</v>
      </c>
      <c r="Z72" t="s">
        <v>57</v>
      </c>
      <c r="AA72">
        <v>2</v>
      </c>
      <c r="AB72" t="s">
        <v>57</v>
      </c>
      <c r="AD72" t="s">
        <v>57</v>
      </c>
      <c r="AE72" t="s">
        <v>57</v>
      </c>
      <c r="AF72" t="s">
        <v>57</v>
      </c>
      <c r="AG72">
        <v>7</v>
      </c>
      <c r="AH72" t="s">
        <v>57</v>
      </c>
      <c r="AL72" t="s">
        <v>57</v>
      </c>
      <c r="AM72" s="11">
        <v>44784</v>
      </c>
      <c r="AN72" t="s">
        <v>176</v>
      </c>
      <c r="AO72" t="s">
        <v>65</v>
      </c>
      <c r="AP72">
        <v>1204</v>
      </c>
      <c r="AQ72" t="s">
        <v>66</v>
      </c>
      <c r="AR72">
        <v>91479</v>
      </c>
      <c r="AU72" t="s">
        <v>57</v>
      </c>
      <c r="AV72" t="s">
        <v>68</v>
      </c>
      <c r="AX72" t="s">
        <v>57</v>
      </c>
      <c r="AY72">
        <v>631110</v>
      </c>
      <c r="AZ72">
        <v>1204.63111</v>
      </c>
      <c r="BA72" s="23" t="s">
        <v>12</v>
      </c>
    </row>
    <row r="73" spans="1:53" x14ac:dyDescent="0.25">
      <c r="A73" t="s">
        <v>134</v>
      </c>
      <c r="B73" t="s">
        <v>135</v>
      </c>
      <c r="C73">
        <v>22001808</v>
      </c>
      <c r="D73">
        <v>1204</v>
      </c>
      <c r="E73" s="11">
        <v>44776</v>
      </c>
      <c r="F73" t="s">
        <v>174</v>
      </c>
      <c r="G73" s="25">
        <v>0.55000000000000004</v>
      </c>
      <c r="H73">
        <v>0.55000000000000004</v>
      </c>
      <c r="I73" t="s">
        <v>56</v>
      </c>
      <c r="O73" t="s">
        <v>57</v>
      </c>
      <c r="Q73" t="s">
        <v>57</v>
      </c>
      <c r="R73" t="s">
        <v>137</v>
      </c>
      <c r="T73" t="s">
        <v>59</v>
      </c>
      <c r="U73" t="s">
        <v>60</v>
      </c>
      <c r="V73" t="s">
        <v>138</v>
      </c>
      <c r="W73" t="s">
        <v>139</v>
      </c>
      <c r="X73">
        <v>1926830</v>
      </c>
      <c r="Y73" s="11">
        <v>44776</v>
      </c>
      <c r="Z73" t="s">
        <v>57</v>
      </c>
      <c r="AA73">
        <v>18</v>
      </c>
      <c r="AB73" t="s">
        <v>57</v>
      </c>
      <c r="AD73" t="s">
        <v>57</v>
      </c>
      <c r="AE73" t="s">
        <v>57</v>
      </c>
      <c r="AF73" t="s">
        <v>57</v>
      </c>
      <c r="AG73">
        <v>1</v>
      </c>
      <c r="AH73" t="s">
        <v>57</v>
      </c>
      <c r="AL73" t="s">
        <v>57</v>
      </c>
      <c r="AM73" s="11">
        <v>44776</v>
      </c>
      <c r="AN73" t="s">
        <v>173</v>
      </c>
      <c r="AO73" t="s">
        <v>65</v>
      </c>
      <c r="AP73">
        <v>1204</v>
      </c>
      <c r="AQ73" t="s">
        <v>66</v>
      </c>
      <c r="AR73">
        <v>89777</v>
      </c>
      <c r="AU73" t="s">
        <v>57</v>
      </c>
      <c r="AV73" t="s">
        <v>68</v>
      </c>
      <c r="AX73" t="s">
        <v>57</v>
      </c>
      <c r="AY73">
        <v>631110</v>
      </c>
      <c r="AZ73">
        <v>1204.63111</v>
      </c>
      <c r="BA73" s="23" t="s">
        <v>12</v>
      </c>
    </row>
    <row r="74" spans="1:53" x14ac:dyDescent="0.25">
      <c r="A74" t="s">
        <v>134</v>
      </c>
      <c r="B74" t="s">
        <v>135</v>
      </c>
      <c r="C74">
        <v>22001813</v>
      </c>
      <c r="D74">
        <v>1204</v>
      </c>
      <c r="E74" s="11">
        <v>44777</v>
      </c>
      <c r="F74" t="s">
        <v>174</v>
      </c>
      <c r="G74" s="25">
        <v>0.55000000000000004</v>
      </c>
      <c r="H74">
        <v>0.55000000000000004</v>
      </c>
      <c r="I74" t="s">
        <v>56</v>
      </c>
      <c r="O74" t="s">
        <v>57</v>
      </c>
      <c r="Q74" t="s">
        <v>57</v>
      </c>
      <c r="R74" t="s">
        <v>137</v>
      </c>
      <c r="T74" t="s">
        <v>59</v>
      </c>
      <c r="U74" t="s">
        <v>60</v>
      </c>
      <c r="V74" t="s">
        <v>138</v>
      </c>
      <c r="W74" t="s">
        <v>139</v>
      </c>
      <c r="X74">
        <v>1927630</v>
      </c>
      <c r="Y74" s="11">
        <v>44777</v>
      </c>
      <c r="Z74" t="s">
        <v>57</v>
      </c>
      <c r="AA74">
        <v>12</v>
      </c>
      <c r="AB74" t="s">
        <v>57</v>
      </c>
      <c r="AD74" t="s">
        <v>57</v>
      </c>
      <c r="AE74" t="s">
        <v>57</v>
      </c>
      <c r="AF74" t="s">
        <v>57</v>
      </c>
      <c r="AG74">
        <v>1</v>
      </c>
      <c r="AH74" t="s">
        <v>57</v>
      </c>
      <c r="AL74" t="s">
        <v>57</v>
      </c>
      <c r="AM74" s="11">
        <v>44777</v>
      </c>
      <c r="AN74" t="s">
        <v>173</v>
      </c>
      <c r="AO74" t="s">
        <v>65</v>
      </c>
      <c r="AP74">
        <v>1204</v>
      </c>
      <c r="AQ74" t="s">
        <v>66</v>
      </c>
      <c r="AR74">
        <v>89777</v>
      </c>
      <c r="AU74" t="s">
        <v>57</v>
      </c>
      <c r="AV74" t="s">
        <v>68</v>
      </c>
      <c r="AX74" t="s">
        <v>57</v>
      </c>
      <c r="AY74">
        <v>631110</v>
      </c>
      <c r="AZ74">
        <v>1204.63111</v>
      </c>
      <c r="BA74" s="23" t="s">
        <v>12</v>
      </c>
    </row>
    <row r="75" spans="1:53" x14ac:dyDescent="0.25">
      <c r="A75" t="s">
        <v>134</v>
      </c>
      <c r="B75" t="s">
        <v>135</v>
      </c>
      <c r="C75">
        <v>22001830</v>
      </c>
      <c r="D75">
        <v>1204</v>
      </c>
      <c r="E75" s="11">
        <v>44781</v>
      </c>
      <c r="F75" t="s">
        <v>174</v>
      </c>
      <c r="G75" s="25">
        <v>0.55000000000000004</v>
      </c>
      <c r="H75">
        <v>0.55000000000000004</v>
      </c>
      <c r="I75" t="s">
        <v>56</v>
      </c>
      <c r="O75" t="s">
        <v>57</v>
      </c>
      <c r="Q75" t="s">
        <v>57</v>
      </c>
      <c r="R75" t="s">
        <v>137</v>
      </c>
      <c r="T75" t="s">
        <v>59</v>
      </c>
      <c r="U75" t="s">
        <v>60</v>
      </c>
      <c r="V75" t="s">
        <v>138</v>
      </c>
      <c r="W75" t="s">
        <v>139</v>
      </c>
      <c r="X75">
        <v>1928770</v>
      </c>
      <c r="Y75" s="11">
        <v>44781</v>
      </c>
      <c r="Z75" t="s">
        <v>57</v>
      </c>
      <c r="AA75">
        <v>36</v>
      </c>
      <c r="AB75" t="s">
        <v>57</v>
      </c>
      <c r="AD75" t="s">
        <v>57</v>
      </c>
      <c r="AE75" t="s">
        <v>57</v>
      </c>
      <c r="AF75" t="s">
        <v>57</v>
      </c>
      <c r="AG75">
        <v>1</v>
      </c>
      <c r="AH75" t="s">
        <v>57</v>
      </c>
      <c r="AL75" t="s">
        <v>57</v>
      </c>
      <c r="AM75" s="11">
        <v>44781</v>
      </c>
      <c r="AN75" t="s">
        <v>173</v>
      </c>
      <c r="AO75" t="s">
        <v>65</v>
      </c>
      <c r="AP75">
        <v>1204</v>
      </c>
      <c r="AQ75" t="s">
        <v>66</v>
      </c>
      <c r="AR75">
        <v>89777</v>
      </c>
      <c r="AU75" t="s">
        <v>57</v>
      </c>
      <c r="AV75" t="s">
        <v>68</v>
      </c>
      <c r="AX75" t="s">
        <v>57</v>
      </c>
      <c r="AY75">
        <v>631110</v>
      </c>
      <c r="AZ75">
        <v>1204.63111</v>
      </c>
      <c r="BA75" s="23" t="s">
        <v>12</v>
      </c>
    </row>
    <row r="76" spans="1:53" x14ac:dyDescent="0.25">
      <c r="A76" t="s">
        <v>134</v>
      </c>
      <c r="B76" t="s">
        <v>135</v>
      </c>
      <c r="C76">
        <v>22001837</v>
      </c>
      <c r="D76">
        <v>1204</v>
      </c>
      <c r="E76" s="11">
        <v>44782</v>
      </c>
      <c r="F76" t="s">
        <v>174</v>
      </c>
      <c r="G76" s="25">
        <v>0.55000000000000004</v>
      </c>
      <c r="H76">
        <v>0.55000000000000004</v>
      </c>
      <c r="I76" t="s">
        <v>56</v>
      </c>
      <c r="O76" t="s">
        <v>57</v>
      </c>
      <c r="Q76" t="s">
        <v>57</v>
      </c>
      <c r="R76" t="s">
        <v>137</v>
      </c>
      <c r="T76" t="s">
        <v>59</v>
      </c>
      <c r="U76" t="s">
        <v>60</v>
      </c>
      <c r="V76" t="s">
        <v>138</v>
      </c>
      <c r="W76" t="s">
        <v>139</v>
      </c>
      <c r="X76">
        <v>1929196</v>
      </c>
      <c r="Y76" s="11">
        <v>44782</v>
      </c>
      <c r="Z76" t="s">
        <v>57</v>
      </c>
      <c r="AA76">
        <v>16</v>
      </c>
      <c r="AB76" t="s">
        <v>57</v>
      </c>
      <c r="AD76" t="s">
        <v>57</v>
      </c>
      <c r="AE76" t="s">
        <v>57</v>
      </c>
      <c r="AF76" t="s">
        <v>57</v>
      </c>
      <c r="AG76">
        <v>1</v>
      </c>
      <c r="AH76" t="s">
        <v>57</v>
      </c>
      <c r="AL76" t="s">
        <v>57</v>
      </c>
      <c r="AM76" s="11">
        <v>44782</v>
      </c>
      <c r="AN76" t="s">
        <v>173</v>
      </c>
      <c r="AO76" t="s">
        <v>65</v>
      </c>
      <c r="AP76">
        <v>1204</v>
      </c>
      <c r="AQ76" t="s">
        <v>66</v>
      </c>
      <c r="AR76">
        <v>89777</v>
      </c>
      <c r="AU76" t="s">
        <v>57</v>
      </c>
      <c r="AV76" t="s">
        <v>68</v>
      </c>
      <c r="AX76" t="s">
        <v>57</v>
      </c>
      <c r="AY76">
        <v>631110</v>
      </c>
      <c r="AZ76">
        <v>1204.63111</v>
      </c>
      <c r="BA76" s="23" t="s">
        <v>12</v>
      </c>
    </row>
    <row r="77" spans="1:53" x14ac:dyDescent="0.25">
      <c r="A77" t="s">
        <v>134</v>
      </c>
      <c r="B77" t="s">
        <v>135</v>
      </c>
      <c r="C77">
        <v>22001849</v>
      </c>
      <c r="D77">
        <v>1204</v>
      </c>
      <c r="E77" s="11">
        <v>44784</v>
      </c>
      <c r="F77" t="s">
        <v>174</v>
      </c>
      <c r="G77" s="25">
        <v>0.55000000000000004</v>
      </c>
      <c r="H77">
        <v>0.55000000000000004</v>
      </c>
      <c r="I77" t="s">
        <v>56</v>
      </c>
      <c r="O77" t="s">
        <v>57</v>
      </c>
      <c r="Q77" t="s">
        <v>57</v>
      </c>
      <c r="R77" t="s">
        <v>137</v>
      </c>
      <c r="T77" t="s">
        <v>59</v>
      </c>
      <c r="U77" t="s">
        <v>60</v>
      </c>
      <c r="V77" t="s">
        <v>138</v>
      </c>
      <c r="W77" t="s">
        <v>139</v>
      </c>
      <c r="X77">
        <v>1930407</v>
      </c>
      <c r="Y77" s="11">
        <v>44784</v>
      </c>
      <c r="Z77" t="s">
        <v>57</v>
      </c>
      <c r="AA77">
        <v>4</v>
      </c>
      <c r="AB77" t="s">
        <v>57</v>
      </c>
      <c r="AD77" t="s">
        <v>57</v>
      </c>
      <c r="AE77" t="s">
        <v>57</v>
      </c>
      <c r="AF77" t="s">
        <v>57</v>
      </c>
      <c r="AG77">
        <v>1</v>
      </c>
      <c r="AH77" t="s">
        <v>57</v>
      </c>
      <c r="AL77" t="s">
        <v>57</v>
      </c>
      <c r="AM77" s="11">
        <v>44784</v>
      </c>
      <c r="AN77" t="s">
        <v>173</v>
      </c>
      <c r="AO77" t="s">
        <v>65</v>
      </c>
      <c r="AP77">
        <v>1204</v>
      </c>
      <c r="AQ77" t="s">
        <v>66</v>
      </c>
      <c r="AR77">
        <v>140249</v>
      </c>
      <c r="AU77" t="s">
        <v>57</v>
      </c>
      <c r="AV77" t="s">
        <v>68</v>
      </c>
      <c r="AX77" t="s">
        <v>57</v>
      </c>
      <c r="AY77">
        <v>631110</v>
      </c>
      <c r="AZ77">
        <v>1204.63111</v>
      </c>
      <c r="BA77" s="23" t="s">
        <v>12</v>
      </c>
    </row>
    <row r="78" spans="1:53" x14ac:dyDescent="0.25">
      <c r="A78" t="s">
        <v>134</v>
      </c>
      <c r="B78" t="s">
        <v>135</v>
      </c>
      <c r="C78">
        <v>22001855</v>
      </c>
      <c r="D78">
        <v>1204</v>
      </c>
      <c r="E78" s="11">
        <v>44785</v>
      </c>
      <c r="F78" t="s">
        <v>174</v>
      </c>
      <c r="G78" s="25">
        <v>0.55000000000000004</v>
      </c>
      <c r="H78">
        <v>0.55000000000000004</v>
      </c>
      <c r="I78" t="s">
        <v>56</v>
      </c>
      <c r="O78" t="s">
        <v>57</v>
      </c>
      <c r="Q78" t="s">
        <v>57</v>
      </c>
      <c r="R78" t="s">
        <v>137</v>
      </c>
      <c r="T78" t="s">
        <v>59</v>
      </c>
      <c r="U78" t="s">
        <v>60</v>
      </c>
      <c r="V78" t="s">
        <v>138</v>
      </c>
      <c r="W78" t="s">
        <v>139</v>
      </c>
      <c r="X78">
        <v>1930576</v>
      </c>
      <c r="Y78" s="11">
        <v>44785</v>
      </c>
      <c r="Z78" t="s">
        <v>57</v>
      </c>
      <c r="AA78">
        <v>6</v>
      </c>
      <c r="AB78" t="s">
        <v>57</v>
      </c>
      <c r="AD78" t="s">
        <v>57</v>
      </c>
      <c r="AE78" t="s">
        <v>57</v>
      </c>
      <c r="AF78" t="s">
        <v>57</v>
      </c>
      <c r="AG78">
        <v>1</v>
      </c>
      <c r="AH78" t="s">
        <v>57</v>
      </c>
      <c r="AL78" t="s">
        <v>57</v>
      </c>
      <c r="AM78" s="11">
        <v>44785</v>
      </c>
      <c r="AN78" t="s">
        <v>173</v>
      </c>
      <c r="AO78" t="s">
        <v>65</v>
      </c>
      <c r="AP78">
        <v>1204</v>
      </c>
      <c r="AQ78" t="s">
        <v>66</v>
      </c>
      <c r="AR78">
        <v>89777</v>
      </c>
      <c r="AU78" t="s">
        <v>57</v>
      </c>
      <c r="AV78" t="s">
        <v>68</v>
      </c>
      <c r="AX78" t="s">
        <v>57</v>
      </c>
      <c r="AY78">
        <v>631110</v>
      </c>
      <c r="AZ78">
        <v>1204.63111</v>
      </c>
      <c r="BA78" s="23" t="s">
        <v>12</v>
      </c>
    </row>
    <row r="79" spans="1:53" x14ac:dyDescent="0.25">
      <c r="A79" t="s">
        <v>134</v>
      </c>
      <c r="B79" t="s">
        <v>135</v>
      </c>
      <c r="C79">
        <v>22001880</v>
      </c>
      <c r="D79">
        <v>1204</v>
      </c>
      <c r="E79" s="11">
        <v>44791</v>
      </c>
      <c r="F79" t="s">
        <v>135</v>
      </c>
      <c r="G79" s="25">
        <v>0.6</v>
      </c>
      <c r="H79">
        <v>0.6</v>
      </c>
      <c r="I79" t="s">
        <v>56</v>
      </c>
      <c r="O79" t="s">
        <v>57</v>
      </c>
      <c r="Q79" t="s">
        <v>57</v>
      </c>
      <c r="R79" t="s">
        <v>137</v>
      </c>
      <c r="T79" t="s">
        <v>59</v>
      </c>
      <c r="U79" t="s">
        <v>60</v>
      </c>
      <c r="V79" t="s">
        <v>138</v>
      </c>
      <c r="W79" t="s">
        <v>139</v>
      </c>
      <c r="X79">
        <v>1933542</v>
      </c>
      <c r="Y79" s="11">
        <v>44791</v>
      </c>
      <c r="Z79" t="s">
        <v>57</v>
      </c>
      <c r="AA79">
        <v>14</v>
      </c>
      <c r="AB79" t="s">
        <v>57</v>
      </c>
      <c r="AD79" t="s">
        <v>57</v>
      </c>
      <c r="AE79" t="s">
        <v>57</v>
      </c>
      <c r="AF79" t="s">
        <v>57</v>
      </c>
      <c r="AG79">
        <v>4</v>
      </c>
      <c r="AH79" t="s">
        <v>57</v>
      </c>
      <c r="AL79" t="s">
        <v>57</v>
      </c>
      <c r="AM79" s="11">
        <v>44791</v>
      </c>
      <c r="AN79" t="s">
        <v>176</v>
      </c>
      <c r="AO79" t="s">
        <v>65</v>
      </c>
      <c r="AP79">
        <v>1204</v>
      </c>
      <c r="AQ79" t="s">
        <v>66</v>
      </c>
      <c r="AR79">
        <v>144854</v>
      </c>
      <c r="AU79" t="s">
        <v>57</v>
      </c>
      <c r="AV79" t="s">
        <v>68</v>
      </c>
      <c r="AX79" t="s">
        <v>57</v>
      </c>
      <c r="AY79">
        <v>631110</v>
      </c>
      <c r="AZ79">
        <v>1204.63111</v>
      </c>
      <c r="BA79" s="23" t="s">
        <v>12</v>
      </c>
    </row>
    <row r="80" spans="1:53" x14ac:dyDescent="0.25">
      <c r="A80" t="s">
        <v>134</v>
      </c>
      <c r="B80" t="s">
        <v>135</v>
      </c>
      <c r="C80">
        <v>22001785</v>
      </c>
      <c r="D80">
        <v>1204</v>
      </c>
      <c r="E80" s="11">
        <v>44774</v>
      </c>
      <c r="F80" t="s">
        <v>174</v>
      </c>
      <c r="G80" s="25">
        <v>0.63</v>
      </c>
      <c r="H80">
        <v>0.63</v>
      </c>
      <c r="I80" t="s">
        <v>56</v>
      </c>
      <c r="O80" t="s">
        <v>57</v>
      </c>
      <c r="Q80" t="s">
        <v>57</v>
      </c>
      <c r="R80" t="s">
        <v>137</v>
      </c>
      <c r="T80" t="s">
        <v>59</v>
      </c>
      <c r="U80" t="s">
        <v>60</v>
      </c>
      <c r="V80" t="s">
        <v>138</v>
      </c>
      <c r="W80" t="s">
        <v>139</v>
      </c>
      <c r="X80">
        <v>1925466</v>
      </c>
      <c r="Y80" s="11">
        <v>44774</v>
      </c>
      <c r="Z80" t="s">
        <v>57</v>
      </c>
      <c r="AA80">
        <v>6</v>
      </c>
      <c r="AB80" t="s">
        <v>57</v>
      </c>
      <c r="AD80" t="s">
        <v>57</v>
      </c>
      <c r="AE80" t="s">
        <v>57</v>
      </c>
      <c r="AF80" t="s">
        <v>57</v>
      </c>
      <c r="AG80">
        <v>1</v>
      </c>
      <c r="AH80" t="s">
        <v>57</v>
      </c>
      <c r="AL80" t="s">
        <v>57</v>
      </c>
      <c r="AM80" s="11">
        <v>44774</v>
      </c>
      <c r="AN80" t="s">
        <v>173</v>
      </c>
      <c r="AO80" t="s">
        <v>65</v>
      </c>
      <c r="AP80">
        <v>1204</v>
      </c>
      <c r="AQ80" t="s">
        <v>66</v>
      </c>
      <c r="AR80">
        <v>220123</v>
      </c>
      <c r="AU80" t="s">
        <v>57</v>
      </c>
      <c r="AV80" t="s">
        <v>68</v>
      </c>
      <c r="AX80" t="s">
        <v>57</v>
      </c>
      <c r="AY80">
        <v>631110</v>
      </c>
      <c r="AZ80">
        <v>1204.63111</v>
      </c>
      <c r="BA80" s="23" t="s">
        <v>12</v>
      </c>
    </row>
    <row r="81" spans="1:53" x14ac:dyDescent="0.25">
      <c r="A81" t="s">
        <v>134</v>
      </c>
      <c r="B81" t="s">
        <v>135</v>
      </c>
      <c r="C81">
        <v>22001893</v>
      </c>
      <c r="D81">
        <v>1204</v>
      </c>
      <c r="E81" s="11">
        <v>44792</v>
      </c>
      <c r="F81" t="s">
        <v>175</v>
      </c>
      <c r="G81" s="25">
        <v>0.63</v>
      </c>
      <c r="H81">
        <v>0.63</v>
      </c>
      <c r="I81" t="s">
        <v>56</v>
      </c>
      <c r="O81" t="s">
        <v>57</v>
      </c>
      <c r="Q81" t="s">
        <v>57</v>
      </c>
      <c r="R81" t="s">
        <v>137</v>
      </c>
      <c r="T81" t="s">
        <v>59</v>
      </c>
      <c r="U81" t="s">
        <v>60</v>
      </c>
      <c r="V81" t="s">
        <v>138</v>
      </c>
      <c r="W81" t="s">
        <v>139</v>
      </c>
      <c r="X81">
        <v>1934081</v>
      </c>
      <c r="Y81" s="11">
        <v>44792</v>
      </c>
      <c r="Z81" t="s">
        <v>57</v>
      </c>
      <c r="AA81">
        <v>12</v>
      </c>
      <c r="AB81" t="s">
        <v>57</v>
      </c>
      <c r="AD81" t="s">
        <v>57</v>
      </c>
      <c r="AE81" t="s">
        <v>57</v>
      </c>
      <c r="AF81" t="s">
        <v>57</v>
      </c>
      <c r="AG81">
        <v>4</v>
      </c>
      <c r="AH81" t="s">
        <v>57</v>
      </c>
      <c r="AL81" t="s">
        <v>57</v>
      </c>
      <c r="AM81" s="11">
        <v>44792</v>
      </c>
      <c r="AN81" t="s">
        <v>176</v>
      </c>
      <c r="AO81" t="s">
        <v>65</v>
      </c>
      <c r="AP81">
        <v>1204</v>
      </c>
      <c r="AQ81" t="s">
        <v>66</v>
      </c>
      <c r="AR81">
        <v>89712</v>
      </c>
      <c r="AU81" t="s">
        <v>57</v>
      </c>
      <c r="AV81" t="s">
        <v>68</v>
      </c>
      <c r="AX81" t="s">
        <v>57</v>
      </c>
      <c r="AY81">
        <v>631110</v>
      </c>
      <c r="AZ81">
        <v>1204.63111</v>
      </c>
      <c r="BA81" s="23" t="s">
        <v>12</v>
      </c>
    </row>
    <row r="82" spans="1:53" x14ac:dyDescent="0.25">
      <c r="A82" t="s">
        <v>134</v>
      </c>
      <c r="B82" t="s">
        <v>135</v>
      </c>
      <c r="C82">
        <v>22001851</v>
      </c>
      <c r="D82">
        <v>1204</v>
      </c>
      <c r="E82" s="11">
        <v>44784</v>
      </c>
      <c r="F82" t="s">
        <v>174</v>
      </c>
      <c r="G82" s="25">
        <v>0.64</v>
      </c>
      <c r="H82">
        <v>0.64</v>
      </c>
      <c r="I82" t="s">
        <v>56</v>
      </c>
      <c r="O82" t="s">
        <v>57</v>
      </c>
      <c r="Q82" t="s">
        <v>57</v>
      </c>
      <c r="R82" t="s">
        <v>137</v>
      </c>
      <c r="T82" t="s">
        <v>59</v>
      </c>
      <c r="U82" t="s">
        <v>60</v>
      </c>
      <c r="V82" t="s">
        <v>138</v>
      </c>
      <c r="W82" t="s">
        <v>139</v>
      </c>
      <c r="X82">
        <v>1930522</v>
      </c>
      <c r="Y82" s="11">
        <v>44784</v>
      </c>
      <c r="Z82" t="s">
        <v>57</v>
      </c>
      <c r="AA82">
        <v>8</v>
      </c>
      <c r="AB82" t="s">
        <v>57</v>
      </c>
      <c r="AD82" t="s">
        <v>57</v>
      </c>
      <c r="AE82" t="s">
        <v>57</v>
      </c>
      <c r="AF82" t="s">
        <v>57</v>
      </c>
      <c r="AG82">
        <v>1</v>
      </c>
      <c r="AH82" t="s">
        <v>57</v>
      </c>
      <c r="AL82" t="s">
        <v>57</v>
      </c>
      <c r="AM82" s="11">
        <v>44784</v>
      </c>
      <c r="AN82" t="s">
        <v>173</v>
      </c>
      <c r="AO82" t="s">
        <v>65</v>
      </c>
      <c r="AP82">
        <v>1204</v>
      </c>
      <c r="AQ82" t="s">
        <v>66</v>
      </c>
      <c r="AR82">
        <v>270706</v>
      </c>
      <c r="AU82" t="s">
        <v>57</v>
      </c>
      <c r="AV82" t="s">
        <v>68</v>
      </c>
      <c r="AX82" t="s">
        <v>57</v>
      </c>
      <c r="AY82">
        <v>631110</v>
      </c>
      <c r="AZ82">
        <v>1204.63111</v>
      </c>
      <c r="BA82" s="23" t="s">
        <v>12</v>
      </c>
    </row>
    <row r="83" spans="1:53" x14ac:dyDescent="0.25">
      <c r="A83" t="s">
        <v>134</v>
      </c>
      <c r="B83" t="s">
        <v>135</v>
      </c>
      <c r="C83">
        <v>22001804</v>
      </c>
      <c r="D83">
        <v>1204</v>
      </c>
      <c r="E83" s="11">
        <v>44775</v>
      </c>
      <c r="F83" t="s">
        <v>175</v>
      </c>
      <c r="G83" s="25">
        <v>0.66</v>
      </c>
      <c r="H83">
        <v>0.66</v>
      </c>
      <c r="I83" t="s">
        <v>56</v>
      </c>
      <c r="O83" t="s">
        <v>57</v>
      </c>
      <c r="Q83" t="s">
        <v>57</v>
      </c>
      <c r="R83" t="s">
        <v>137</v>
      </c>
      <c r="T83" t="s">
        <v>59</v>
      </c>
      <c r="U83" t="s">
        <v>60</v>
      </c>
      <c r="V83" t="s">
        <v>138</v>
      </c>
      <c r="W83" t="s">
        <v>139</v>
      </c>
      <c r="X83">
        <v>1926656</v>
      </c>
      <c r="Y83" s="11">
        <v>44775</v>
      </c>
      <c r="Z83" t="s">
        <v>57</v>
      </c>
      <c r="AA83">
        <v>4</v>
      </c>
      <c r="AB83" t="s">
        <v>57</v>
      </c>
      <c r="AD83" t="s">
        <v>57</v>
      </c>
      <c r="AE83" t="s">
        <v>57</v>
      </c>
      <c r="AF83" t="s">
        <v>57</v>
      </c>
      <c r="AG83">
        <v>6</v>
      </c>
      <c r="AH83" t="s">
        <v>57</v>
      </c>
      <c r="AL83" t="s">
        <v>57</v>
      </c>
      <c r="AM83" s="11">
        <v>44775</v>
      </c>
      <c r="AN83" t="s">
        <v>176</v>
      </c>
      <c r="AO83" t="s">
        <v>65</v>
      </c>
      <c r="AP83">
        <v>1204</v>
      </c>
      <c r="AQ83" t="s">
        <v>66</v>
      </c>
      <c r="AR83">
        <v>90435</v>
      </c>
      <c r="AU83" t="s">
        <v>57</v>
      </c>
      <c r="AV83" t="s">
        <v>68</v>
      </c>
      <c r="AX83" t="s">
        <v>57</v>
      </c>
      <c r="AY83">
        <v>631110</v>
      </c>
      <c r="AZ83">
        <v>1204.63111</v>
      </c>
      <c r="BA83" s="23" t="s">
        <v>12</v>
      </c>
    </row>
    <row r="84" spans="1:53" x14ac:dyDescent="0.25">
      <c r="A84" t="s">
        <v>134</v>
      </c>
      <c r="B84" t="s">
        <v>135</v>
      </c>
      <c r="C84">
        <v>22001829</v>
      </c>
      <c r="D84">
        <v>1204</v>
      </c>
      <c r="E84" s="11">
        <v>44778</v>
      </c>
      <c r="F84" t="s">
        <v>175</v>
      </c>
      <c r="G84" s="25">
        <v>0.66</v>
      </c>
      <c r="H84">
        <v>0.66</v>
      </c>
      <c r="I84" t="s">
        <v>56</v>
      </c>
      <c r="O84" t="s">
        <v>57</v>
      </c>
      <c r="Q84" t="s">
        <v>57</v>
      </c>
      <c r="R84" t="s">
        <v>137</v>
      </c>
      <c r="T84" t="s">
        <v>59</v>
      </c>
      <c r="U84" t="s">
        <v>60</v>
      </c>
      <c r="V84" t="s">
        <v>138</v>
      </c>
      <c r="W84" t="s">
        <v>139</v>
      </c>
      <c r="X84">
        <v>1928767</v>
      </c>
      <c r="Y84" s="11">
        <v>44778</v>
      </c>
      <c r="Z84" t="s">
        <v>57</v>
      </c>
      <c r="AA84">
        <v>6</v>
      </c>
      <c r="AB84" t="s">
        <v>57</v>
      </c>
      <c r="AD84" t="s">
        <v>57</v>
      </c>
      <c r="AE84" t="s">
        <v>57</v>
      </c>
      <c r="AF84" t="s">
        <v>57</v>
      </c>
      <c r="AG84">
        <v>6</v>
      </c>
      <c r="AH84" t="s">
        <v>57</v>
      </c>
      <c r="AL84" t="s">
        <v>57</v>
      </c>
      <c r="AM84" s="11">
        <v>44778</v>
      </c>
      <c r="AN84" t="s">
        <v>176</v>
      </c>
      <c r="AO84" t="s">
        <v>65</v>
      </c>
      <c r="AP84">
        <v>1204</v>
      </c>
      <c r="AQ84" t="s">
        <v>66</v>
      </c>
      <c r="AR84">
        <v>90435</v>
      </c>
      <c r="AU84" t="s">
        <v>57</v>
      </c>
      <c r="AV84" t="s">
        <v>68</v>
      </c>
      <c r="AX84" t="s">
        <v>57</v>
      </c>
      <c r="AY84">
        <v>631110</v>
      </c>
      <c r="AZ84">
        <v>1204.63111</v>
      </c>
      <c r="BA84" s="23" t="s">
        <v>12</v>
      </c>
    </row>
    <row r="85" spans="1:53" x14ac:dyDescent="0.25">
      <c r="A85" t="s">
        <v>134</v>
      </c>
      <c r="B85" t="s">
        <v>135</v>
      </c>
      <c r="C85">
        <v>22001867</v>
      </c>
      <c r="D85">
        <v>1204</v>
      </c>
      <c r="E85" s="11">
        <v>44788</v>
      </c>
      <c r="F85" t="s">
        <v>174</v>
      </c>
      <c r="G85" s="25">
        <v>0.69</v>
      </c>
      <c r="H85">
        <v>0.69</v>
      </c>
      <c r="I85" t="s">
        <v>56</v>
      </c>
      <c r="O85" t="s">
        <v>57</v>
      </c>
      <c r="Q85" t="s">
        <v>57</v>
      </c>
      <c r="R85" t="s">
        <v>137</v>
      </c>
      <c r="T85" t="s">
        <v>59</v>
      </c>
      <c r="U85" t="s">
        <v>60</v>
      </c>
      <c r="V85" t="s">
        <v>138</v>
      </c>
      <c r="W85" t="s">
        <v>139</v>
      </c>
      <c r="X85">
        <v>1932108</v>
      </c>
      <c r="Y85" s="11">
        <v>44788</v>
      </c>
      <c r="Z85" t="s">
        <v>57</v>
      </c>
      <c r="AA85">
        <v>14</v>
      </c>
      <c r="AB85" t="s">
        <v>57</v>
      </c>
      <c r="AD85" t="s">
        <v>57</v>
      </c>
      <c r="AE85" t="s">
        <v>57</v>
      </c>
      <c r="AF85" t="s">
        <v>57</v>
      </c>
      <c r="AG85">
        <v>1</v>
      </c>
      <c r="AH85" t="s">
        <v>57</v>
      </c>
      <c r="AL85" t="s">
        <v>57</v>
      </c>
      <c r="AM85" s="11">
        <v>44788</v>
      </c>
      <c r="AN85" t="s">
        <v>173</v>
      </c>
      <c r="AO85" t="s">
        <v>65</v>
      </c>
      <c r="AP85">
        <v>1204</v>
      </c>
      <c r="AQ85" t="s">
        <v>66</v>
      </c>
      <c r="AR85">
        <v>112854</v>
      </c>
      <c r="AU85" t="s">
        <v>57</v>
      </c>
      <c r="AV85" t="s">
        <v>68</v>
      </c>
      <c r="AX85" t="s">
        <v>57</v>
      </c>
      <c r="AY85">
        <v>631110</v>
      </c>
      <c r="AZ85">
        <v>1204.63111</v>
      </c>
      <c r="BA85" s="23" t="s">
        <v>12</v>
      </c>
    </row>
    <row r="86" spans="1:53" x14ac:dyDescent="0.25">
      <c r="A86" t="s">
        <v>134</v>
      </c>
      <c r="B86" t="s">
        <v>135</v>
      </c>
      <c r="C86">
        <v>22001871</v>
      </c>
      <c r="D86">
        <v>1204</v>
      </c>
      <c r="E86" s="11">
        <v>44789</v>
      </c>
      <c r="F86" t="s">
        <v>174</v>
      </c>
      <c r="G86" s="25">
        <v>0.69</v>
      </c>
      <c r="H86">
        <v>0.69</v>
      </c>
      <c r="I86" t="s">
        <v>56</v>
      </c>
      <c r="O86" t="s">
        <v>57</v>
      </c>
      <c r="Q86" t="s">
        <v>57</v>
      </c>
      <c r="R86" t="s">
        <v>137</v>
      </c>
      <c r="T86" t="s">
        <v>59</v>
      </c>
      <c r="U86" t="s">
        <v>60</v>
      </c>
      <c r="V86" t="s">
        <v>138</v>
      </c>
      <c r="W86" t="s">
        <v>139</v>
      </c>
      <c r="X86">
        <v>1933046</v>
      </c>
      <c r="Y86" s="11">
        <v>44789</v>
      </c>
      <c r="Z86" t="s">
        <v>57</v>
      </c>
      <c r="AA86">
        <v>8</v>
      </c>
      <c r="AB86" t="s">
        <v>57</v>
      </c>
      <c r="AD86" t="s">
        <v>57</v>
      </c>
      <c r="AE86" t="s">
        <v>57</v>
      </c>
      <c r="AF86" t="s">
        <v>57</v>
      </c>
      <c r="AG86">
        <v>1</v>
      </c>
      <c r="AH86" t="s">
        <v>57</v>
      </c>
      <c r="AL86" t="s">
        <v>57</v>
      </c>
      <c r="AM86" s="11">
        <v>44789</v>
      </c>
      <c r="AN86" t="s">
        <v>173</v>
      </c>
      <c r="AO86" t="s">
        <v>65</v>
      </c>
      <c r="AP86">
        <v>1204</v>
      </c>
      <c r="AQ86" t="s">
        <v>66</v>
      </c>
      <c r="AR86">
        <v>282149</v>
      </c>
      <c r="AU86" t="s">
        <v>57</v>
      </c>
      <c r="AV86" t="s">
        <v>68</v>
      </c>
      <c r="AX86" t="s">
        <v>57</v>
      </c>
      <c r="AY86">
        <v>631110</v>
      </c>
      <c r="AZ86">
        <v>1204.63111</v>
      </c>
      <c r="BA86" s="23" t="s">
        <v>12</v>
      </c>
    </row>
    <row r="87" spans="1:53" x14ac:dyDescent="0.25">
      <c r="A87" t="s">
        <v>134</v>
      </c>
      <c r="B87" t="s">
        <v>135</v>
      </c>
      <c r="C87">
        <v>22001877</v>
      </c>
      <c r="D87">
        <v>1204</v>
      </c>
      <c r="E87" s="11">
        <v>44791</v>
      </c>
      <c r="F87" t="s">
        <v>174</v>
      </c>
      <c r="G87" s="25">
        <v>0.69</v>
      </c>
      <c r="H87">
        <v>0.69</v>
      </c>
      <c r="I87" t="s">
        <v>56</v>
      </c>
      <c r="O87" t="s">
        <v>57</v>
      </c>
      <c r="Q87" t="s">
        <v>57</v>
      </c>
      <c r="R87" t="s">
        <v>137</v>
      </c>
      <c r="T87" t="s">
        <v>59</v>
      </c>
      <c r="U87" t="s">
        <v>60</v>
      </c>
      <c r="V87" t="s">
        <v>138</v>
      </c>
      <c r="W87" t="s">
        <v>139</v>
      </c>
      <c r="X87">
        <v>1933535</v>
      </c>
      <c r="Y87" s="11">
        <v>44791</v>
      </c>
      <c r="Z87" t="s">
        <v>57</v>
      </c>
      <c r="AA87">
        <v>10</v>
      </c>
      <c r="AB87" t="s">
        <v>57</v>
      </c>
      <c r="AD87" t="s">
        <v>57</v>
      </c>
      <c r="AE87" t="s">
        <v>57</v>
      </c>
      <c r="AF87" t="s">
        <v>57</v>
      </c>
      <c r="AG87">
        <v>1</v>
      </c>
      <c r="AH87" t="s">
        <v>57</v>
      </c>
      <c r="AL87" t="s">
        <v>57</v>
      </c>
      <c r="AM87" s="11">
        <v>44791</v>
      </c>
      <c r="AN87" t="s">
        <v>173</v>
      </c>
      <c r="AO87" t="s">
        <v>65</v>
      </c>
      <c r="AP87">
        <v>1204</v>
      </c>
      <c r="AQ87" t="s">
        <v>66</v>
      </c>
      <c r="AR87">
        <v>282149</v>
      </c>
      <c r="AU87" t="s">
        <v>57</v>
      </c>
      <c r="AV87" t="s">
        <v>68</v>
      </c>
      <c r="AX87" t="s">
        <v>57</v>
      </c>
      <c r="AY87">
        <v>631110</v>
      </c>
      <c r="AZ87">
        <v>1204.63111</v>
      </c>
      <c r="BA87" s="23" t="s">
        <v>12</v>
      </c>
    </row>
    <row r="88" spans="1:53" x14ac:dyDescent="0.25">
      <c r="A88" t="s">
        <v>134</v>
      </c>
      <c r="B88" t="s">
        <v>135</v>
      </c>
      <c r="C88">
        <v>22001808</v>
      </c>
      <c r="D88">
        <v>1204</v>
      </c>
      <c r="E88" s="11">
        <v>44776</v>
      </c>
      <c r="F88" t="s">
        <v>174</v>
      </c>
      <c r="G88" s="25">
        <v>0.7</v>
      </c>
      <c r="H88">
        <v>0.7</v>
      </c>
      <c r="I88" t="s">
        <v>56</v>
      </c>
      <c r="O88" t="s">
        <v>57</v>
      </c>
      <c r="Q88" t="s">
        <v>57</v>
      </c>
      <c r="R88" t="s">
        <v>137</v>
      </c>
      <c r="T88" t="s">
        <v>59</v>
      </c>
      <c r="U88" t="s">
        <v>60</v>
      </c>
      <c r="V88" t="s">
        <v>138</v>
      </c>
      <c r="W88" t="s">
        <v>139</v>
      </c>
      <c r="X88">
        <v>1926830</v>
      </c>
      <c r="Y88" s="11">
        <v>44776</v>
      </c>
      <c r="Z88" t="s">
        <v>57</v>
      </c>
      <c r="AA88">
        <v>4</v>
      </c>
      <c r="AB88" t="s">
        <v>57</v>
      </c>
      <c r="AD88" t="s">
        <v>57</v>
      </c>
      <c r="AE88" t="s">
        <v>57</v>
      </c>
      <c r="AF88" t="s">
        <v>57</v>
      </c>
      <c r="AG88">
        <v>1</v>
      </c>
      <c r="AH88" t="s">
        <v>57</v>
      </c>
      <c r="AL88" t="s">
        <v>57</v>
      </c>
      <c r="AM88" s="11">
        <v>44776</v>
      </c>
      <c r="AN88" t="s">
        <v>173</v>
      </c>
      <c r="AO88" t="s">
        <v>65</v>
      </c>
      <c r="AP88">
        <v>1204</v>
      </c>
      <c r="AQ88" t="s">
        <v>66</v>
      </c>
      <c r="AR88">
        <v>90167</v>
      </c>
      <c r="AU88" t="s">
        <v>57</v>
      </c>
      <c r="AV88" t="s">
        <v>68</v>
      </c>
      <c r="AX88" t="s">
        <v>57</v>
      </c>
      <c r="AY88">
        <v>631110</v>
      </c>
      <c r="AZ88">
        <v>1204.63111</v>
      </c>
      <c r="BA88" s="23" t="s">
        <v>12</v>
      </c>
    </row>
    <row r="89" spans="1:53" x14ac:dyDescent="0.25">
      <c r="A89" t="s">
        <v>134</v>
      </c>
      <c r="B89" t="s">
        <v>135</v>
      </c>
      <c r="C89">
        <v>22001849</v>
      </c>
      <c r="D89">
        <v>1204</v>
      </c>
      <c r="E89" s="11">
        <v>44784</v>
      </c>
      <c r="F89" t="s">
        <v>174</v>
      </c>
      <c r="G89" s="25">
        <v>0.7</v>
      </c>
      <c r="H89">
        <v>0.7</v>
      </c>
      <c r="I89" t="s">
        <v>56</v>
      </c>
      <c r="O89" t="s">
        <v>57</v>
      </c>
      <c r="Q89" t="s">
        <v>57</v>
      </c>
      <c r="R89" t="s">
        <v>137</v>
      </c>
      <c r="T89" t="s">
        <v>59</v>
      </c>
      <c r="U89" t="s">
        <v>60</v>
      </c>
      <c r="V89" t="s">
        <v>138</v>
      </c>
      <c r="W89" t="s">
        <v>139</v>
      </c>
      <c r="X89">
        <v>1930407</v>
      </c>
      <c r="Y89" s="11">
        <v>44784</v>
      </c>
      <c r="Z89" t="s">
        <v>57</v>
      </c>
      <c r="AA89">
        <v>2</v>
      </c>
      <c r="AB89" t="s">
        <v>57</v>
      </c>
      <c r="AD89" t="s">
        <v>57</v>
      </c>
      <c r="AE89" t="s">
        <v>57</v>
      </c>
      <c r="AF89" t="s">
        <v>57</v>
      </c>
      <c r="AG89">
        <v>1</v>
      </c>
      <c r="AH89" t="s">
        <v>57</v>
      </c>
      <c r="AL89" t="s">
        <v>57</v>
      </c>
      <c r="AM89" s="11">
        <v>44784</v>
      </c>
      <c r="AN89" t="s">
        <v>173</v>
      </c>
      <c r="AO89" t="s">
        <v>65</v>
      </c>
      <c r="AP89">
        <v>1204</v>
      </c>
      <c r="AQ89" t="s">
        <v>66</v>
      </c>
      <c r="AR89">
        <v>90167</v>
      </c>
      <c r="AU89" t="s">
        <v>57</v>
      </c>
      <c r="AV89" t="s">
        <v>68</v>
      </c>
      <c r="AX89" t="s">
        <v>57</v>
      </c>
      <c r="AY89">
        <v>631110</v>
      </c>
      <c r="AZ89">
        <v>1204.63111</v>
      </c>
      <c r="BA89" s="23" t="s">
        <v>12</v>
      </c>
    </row>
    <row r="90" spans="1:53" x14ac:dyDescent="0.25">
      <c r="A90" t="s">
        <v>134</v>
      </c>
      <c r="B90" t="s">
        <v>135</v>
      </c>
      <c r="C90">
        <v>22001871</v>
      </c>
      <c r="D90">
        <v>1204</v>
      </c>
      <c r="E90" s="11">
        <v>44789</v>
      </c>
      <c r="F90" t="s">
        <v>174</v>
      </c>
      <c r="G90" s="25">
        <v>0.7</v>
      </c>
      <c r="H90">
        <v>0.7</v>
      </c>
      <c r="I90" t="s">
        <v>56</v>
      </c>
      <c r="O90" t="s">
        <v>57</v>
      </c>
      <c r="Q90" t="s">
        <v>57</v>
      </c>
      <c r="R90" t="s">
        <v>137</v>
      </c>
      <c r="T90" t="s">
        <v>59</v>
      </c>
      <c r="U90" t="s">
        <v>60</v>
      </c>
      <c r="V90" t="s">
        <v>138</v>
      </c>
      <c r="W90" t="s">
        <v>139</v>
      </c>
      <c r="X90">
        <v>1933046</v>
      </c>
      <c r="Y90" s="11">
        <v>44789</v>
      </c>
      <c r="Z90" t="s">
        <v>57</v>
      </c>
      <c r="AA90">
        <v>16</v>
      </c>
      <c r="AB90" t="s">
        <v>57</v>
      </c>
      <c r="AD90" t="s">
        <v>57</v>
      </c>
      <c r="AE90" t="s">
        <v>57</v>
      </c>
      <c r="AF90" t="s">
        <v>57</v>
      </c>
      <c r="AG90">
        <v>1</v>
      </c>
      <c r="AH90" t="s">
        <v>57</v>
      </c>
      <c r="AL90" t="s">
        <v>57</v>
      </c>
      <c r="AM90" s="11">
        <v>44789</v>
      </c>
      <c r="AN90" t="s">
        <v>173</v>
      </c>
      <c r="AO90" t="s">
        <v>65</v>
      </c>
      <c r="AP90">
        <v>1204</v>
      </c>
      <c r="AQ90" t="s">
        <v>66</v>
      </c>
      <c r="AR90">
        <v>90167</v>
      </c>
      <c r="AU90" t="s">
        <v>57</v>
      </c>
      <c r="AV90" t="s">
        <v>68</v>
      </c>
      <c r="AX90" t="s">
        <v>57</v>
      </c>
      <c r="AY90">
        <v>631110</v>
      </c>
      <c r="AZ90">
        <v>1204.63111</v>
      </c>
      <c r="BA90" s="23" t="s">
        <v>12</v>
      </c>
    </row>
    <row r="91" spans="1:53" x14ac:dyDescent="0.25">
      <c r="A91" t="s">
        <v>134</v>
      </c>
      <c r="B91" t="s">
        <v>135</v>
      </c>
      <c r="C91">
        <v>22001785</v>
      </c>
      <c r="D91">
        <v>1204</v>
      </c>
      <c r="E91" s="11">
        <v>44774</v>
      </c>
      <c r="F91" t="s">
        <v>174</v>
      </c>
      <c r="G91" s="25">
        <v>0.71</v>
      </c>
      <c r="H91">
        <v>0.71</v>
      </c>
      <c r="I91" t="s">
        <v>56</v>
      </c>
      <c r="O91" t="s">
        <v>57</v>
      </c>
      <c r="Q91" t="s">
        <v>57</v>
      </c>
      <c r="R91" t="s">
        <v>137</v>
      </c>
      <c r="T91" t="s">
        <v>59</v>
      </c>
      <c r="U91" t="s">
        <v>60</v>
      </c>
      <c r="V91" t="s">
        <v>138</v>
      </c>
      <c r="W91" t="s">
        <v>139</v>
      </c>
      <c r="X91">
        <v>1925466</v>
      </c>
      <c r="Y91" s="11">
        <v>44774</v>
      </c>
      <c r="Z91" t="s">
        <v>57</v>
      </c>
      <c r="AA91">
        <v>20</v>
      </c>
      <c r="AB91" t="s">
        <v>57</v>
      </c>
      <c r="AD91" t="s">
        <v>57</v>
      </c>
      <c r="AE91" t="s">
        <v>57</v>
      </c>
      <c r="AF91" t="s">
        <v>57</v>
      </c>
      <c r="AG91">
        <v>1</v>
      </c>
      <c r="AH91" t="s">
        <v>57</v>
      </c>
      <c r="AL91" t="s">
        <v>57</v>
      </c>
      <c r="AM91" s="11">
        <v>44774</v>
      </c>
      <c r="AN91" t="s">
        <v>173</v>
      </c>
      <c r="AO91" t="s">
        <v>65</v>
      </c>
      <c r="AP91">
        <v>1204</v>
      </c>
      <c r="AQ91" t="s">
        <v>66</v>
      </c>
      <c r="AR91">
        <v>89486</v>
      </c>
      <c r="AU91" t="s">
        <v>57</v>
      </c>
      <c r="AV91" t="s">
        <v>68</v>
      </c>
      <c r="AX91" t="s">
        <v>57</v>
      </c>
      <c r="AY91">
        <v>631110</v>
      </c>
      <c r="AZ91">
        <v>1204.63111</v>
      </c>
      <c r="BA91" s="23" t="s">
        <v>12</v>
      </c>
    </row>
    <row r="92" spans="1:53" x14ac:dyDescent="0.25">
      <c r="A92" t="s">
        <v>134</v>
      </c>
      <c r="B92" t="s">
        <v>135</v>
      </c>
      <c r="C92">
        <v>22001810</v>
      </c>
      <c r="D92">
        <v>1204</v>
      </c>
      <c r="E92" s="11">
        <v>44776</v>
      </c>
      <c r="F92" t="s">
        <v>175</v>
      </c>
      <c r="G92" s="25">
        <v>0.75</v>
      </c>
      <c r="H92">
        <v>0.75</v>
      </c>
      <c r="I92" t="s">
        <v>56</v>
      </c>
      <c r="O92" t="s">
        <v>57</v>
      </c>
      <c r="Q92" t="s">
        <v>57</v>
      </c>
      <c r="R92" t="s">
        <v>137</v>
      </c>
      <c r="T92" t="s">
        <v>59</v>
      </c>
      <c r="U92" t="s">
        <v>60</v>
      </c>
      <c r="V92" t="s">
        <v>138</v>
      </c>
      <c r="W92" t="s">
        <v>139</v>
      </c>
      <c r="X92">
        <v>1927035</v>
      </c>
      <c r="Y92" s="11">
        <v>44776</v>
      </c>
      <c r="Z92" t="s">
        <v>57</v>
      </c>
      <c r="AA92">
        <v>16</v>
      </c>
      <c r="AB92" t="s">
        <v>57</v>
      </c>
      <c r="AD92" t="s">
        <v>57</v>
      </c>
      <c r="AE92" t="s">
        <v>57</v>
      </c>
      <c r="AF92" t="s">
        <v>57</v>
      </c>
      <c r="AG92">
        <v>5</v>
      </c>
      <c r="AH92" t="s">
        <v>57</v>
      </c>
      <c r="AL92" t="s">
        <v>57</v>
      </c>
      <c r="AM92" s="11">
        <v>44776</v>
      </c>
      <c r="AN92" t="s">
        <v>176</v>
      </c>
      <c r="AO92" t="s">
        <v>65</v>
      </c>
      <c r="AP92">
        <v>1204</v>
      </c>
      <c r="AQ92" t="s">
        <v>66</v>
      </c>
      <c r="AR92">
        <v>144854</v>
      </c>
      <c r="AU92" t="s">
        <v>57</v>
      </c>
      <c r="AV92" t="s">
        <v>68</v>
      </c>
      <c r="AX92" t="s">
        <v>57</v>
      </c>
      <c r="AY92">
        <v>631110</v>
      </c>
      <c r="AZ92">
        <v>1204.63111</v>
      </c>
      <c r="BA92" s="23" t="s">
        <v>12</v>
      </c>
    </row>
    <row r="93" spans="1:53" x14ac:dyDescent="0.25">
      <c r="A93" t="s">
        <v>134</v>
      </c>
      <c r="B93" t="s">
        <v>135</v>
      </c>
      <c r="C93">
        <v>22001804</v>
      </c>
      <c r="D93">
        <v>1204</v>
      </c>
      <c r="E93" s="11">
        <v>44775</v>
      </c>
      <c r="F93" t="s">
        <v>175</v>
      </c>
      <c r="G93" s="25">
        <v>0.76</v>
      </c>
      <c r="H93">
        <v>0.76</v>
      </c>
      <c r="I93" t="s">
        <v>56</v>
      </c>
      <c r="O93" t="s">
        <v>57</v>
      </c>
      <c r="Q93" t="s">
        <v>57</v>
      </c>
      <c r="R93" t="s">
        <v>137</v>
      </c>
      <c r="T93" t="s">
        <v>59</v>
      </c>
      <c r="U93" t="s">
        <v>60</v>
      </c>
      <c r="V93" t="s">
        <v>138</v>
      </c>
      <c r="W93" t="s">
        <v>139</v>
      </c>
      <c r="X93">
        <v>1926656</v>
      </c>
      <c r="Y93" s="11">
        <v>44775</v>
      </c>
      <c r="Z93" t="s">
        <v>57</v>
      </c>
      <c r="AA93">
        <v>12</v>
      </c>
      <c r="AB93" t="s">
        <v>57</v>
      </c>
      <c r="AD93" t="s">
        <v>57</v>
      </c>
      <c r="AE93" t="s">
        <v>57</v>
      </c>
      <c r="AF93" t="s">
        <v>57</v>
      </c>
      <c r="AG93">
        <v>5</v>
      </c>
      <c r="AH93" t="s">
        <v>57</v>
      </c>
      <c r="AL93" t="s">
        <v>57</v>
      </c>
      <c r="AM93" s="11">
        <v>44775</v>
      </c>
      <c r="AN93" t="s">
        <v>176</v>
      </c>
      <c r="AO93" t="s">
        <v>65</v>
      </c>
      <c r="AP93">
        <v>1204</v>
      </c>
      <c r="AQ93" t="s">
        <v>66</v>
      </c>
      <c r="AR93">
        <v>144854</v>
      </c>
      <c r="AU93" t="s">
        <v>57</v>
      </c>
      <c r="AV93" t="s">
        <v>68</v>
      </c>
      <c r="AX93" t="s">
        <v>57</v>
      </c>
      <c r="AY93">
        <v>631110</v>
      </c>
      <c r="AZ93">
        <v>1204.63111</v>
      </c>
      <c r="BA93" s="23" t="s">
        <v>12</v>
      </c>
    </row>
    <row r="94" spans="1:53" x14ac:dyDescent="0.25">
      <c r="A94" t="s">
        <v>134</v>
      </c>
      <c r="B94" t="s">
        <v>135</v>
      </c>
      <c r="C94">
        <v>22001880</v>
      </c>
      <c r="D94">
        <v>1204</v>
      </c>
      <c r="E94" s="11">
        <v>44791</v>
      </c>
      <c r="F94" t="s">
        <v>135</v>
      </c>
      <c r="G94" s="25">
        <v>0.77</v>
      </c>
      <c r="H94">
        <v>0.77</v>
      </c>
      <c r="I94" t="s">
        <v>56</v>
      </c>
      <c r="O94" t="s">
        <v>57</v>
      </c>
      <c r="Q94" t="s">
        <v>57</v>
      </c>
      <c r="R94" t="s">
        <v>137</v>
      </c>
      <c r="T94" t="s">
        <v>59</v>
      </c>
      <c r="U94" t="s">
        <v>60</v>
      </c>
      <c r="V94" t="s">
        <v>138</v>
      </c>
      <c r="W94" t="s">
        <v>139</v>
      </c>
      <c r="X94">
        <v>1933542</v>
      </c>
      <c r="Y94" s="11">
        <v>44791</v>
      </c>
      <c r="Z94" t="s">
        <v>57</v>
      </c>
      <c r="AA94">
        <v>6</v>
      </c>
      <c r="AB94" t="s">
        <v>57</v>
      </c>
      <c r="AD94" t="s">
        <v>57</v>
      </c>
      <c r="AE94" t="s">
        <v>57</v>
      </c>
      <c r="AF94" t="s">
        <v>57</v>
      </c>
      <c r="AG94">
        <v>7</v>
      </c>
      <c r="AH94" t="s">
        <v>57</v>
      </c>
      <c r="AL94" t="s">
        <v>57</v>
      </c>
      <c r="AM94" s="11">
        <v>44791</v>
      </c>
      <c r="AN94" t="s">
        <v>176</v>
      </c>
      <c r="AO94" t="s">
        <v>65</v>
      </c>
      <c r="AP94">
        <v>1204</v>
      </c>
      <c r="AQ94" t="s">
        <v>66</v>
      </c>
      <c r="AR94">
        <v>90435</v>
      </c>
      <c r="AU94" t="s">
        <v>57</v>
      </c>
      <c r="AV94" t="s">
        <v>68</v>
      </c>
      <c r="AX94" t="s">
        <v>57</v>
      </c>
      <c r="AY94">
        <v>631110</v>
      </c>
      <c r="AZ94">
        <v>1204.63111</v>
      </c>
      <c r="BA94" s="23" t="s">
        <v>12</v>
      </c>
    </row>
    <row r="95" spans="1:53" x14ac:dyDescent="0.25">
      <c r="A95" t="s">
        <v>134</v>
      </c>
      <c r="B95" t="s">
        <v>135</v>
      </c>
      <c r="C95">
        <v>22001815</v>
      </c>
      <c r="D95">
        <v>1204</v>
      </c>
      <c r="E95" s="11">
        <v>44777</v>
      </c>
      <c r="F95" t="s">
        <v>175</v>
      </c>
      <c r="G95" s="25">
        <v>0.8</v>
      </c>
      <c r="H95">
        <v>0.8</v>
      </c>
      <c r="I95" t="s">
        <v>56</v>
      </c>
      <c r="O95" t="s">
        <v>57</v>
      </c>
      <c r="Q95" t="s">
        <v>57</v>
      </c>
      <c r="R95" t="s">
        <v>137</v>
      </c>
      <c r="T95" t="s">
        <v>59</v>
      </c>
      <c r="U95" t="s">
        <v>60</v>
      </c>
      <c r="V95" t="s">
        <v>138</v>
      </c>
      <c r="W95" t="s">
        <v>139</v>
      </c>
      <c r="X95">
        <v>1927634</v>
      </c>
      <c r="Y95" s="11">
        <v>44777</v>
      </c>
      <c r="Z95" t="s">
        <v>57</v>
      </c>
      <c r="AA95">
        <v>2</v>
      </c>
      <c r="AB95" t="s">
        <v>57</v>
      </c>
      <c r="AD95" t="s">
        <v>57</v>
      </c>
      <c r="AE95" t="s">
        <v>57</v>
      </c>
      <c r="AF95" t="s">
        <v>57</v>
      </c>
      <c r="AG95">
        <v>10</v>
      </c>
      <c r="AH95" t="s">
        <v>57</v>
      </c>
      <c r="AL95" t="s">
        <v>57</v>
      </c>
      <c r="AM95" s="11">
        <v>44777</v>
      </c>
      <c r="AN95" t="s">
        <v>176</v>
      </c>
      <c r="AO95" t="s">
        <v>65</v>
      </c>
      <c r="AP95">
        <v>1204</v>
      </c>
      <c r="AQ95" t="s">
        <v>66</v>
      </c>
      <c r="AR95">
        <v>265878</v>
      </c>
      <c r="AU95" t="s">
        <v>57</v>
      </c>
      <c r="AV95" t="s">
        <v>68</v>
      </c>
      <c r="AX95" t="s">
        <v>57</v>
      </c>
      <c r="AY95">
        <v>631110</v>
      </c>
      <c r="AZ95">
        <v>1204.63111</v>
      </c>
      <c r="BA95" s="23" t="s">
        <v>12</v>
      </c>
    </row>
    <row r="96" spans="1:53" x14ac:dyDescent="0.25">
      <c r="A96" t="s">
        <v>134</v>
      </c>
      <c r="B96" t="s">
        <v>135</v>
      </c>
      <c r="C96">
        <v>22001842</v>
      </c>
      <c r="D96">
        <v>1204</v>
      </c>
      <c r="E96" s="11">
        <v>44783</v>
      </c>
      <c r="F96" t="s">
        <v>174</v>
      </c>
      <c r="G96" s="25">
        <v>0.8</v>
      </c>
      <c r="H96">
        <v>0.8</v>
      </c>
      <c r="I96" t="s">
        <v>56</v>
      </c>
      <c r="O96" t="s">
        <v>57</v>
      </c>
      <c r="Q96" t="s">
        <v>57</v>
      </c>
      <c r="R96" t="s">
        <v>137</v>
      </c>
      <c r="T96" t="s">
        <v>59</v>
      </c>
      <c r="U96" t="s">
        <v>60</v>
      </c>
      <c r="V96" t="s">
        <v>138</v>
      </c>
      <c r="W96" t="s">
        <v>139</v>
      </c>
      <c r="X96">
        <v>1930268</v>
      </c>
      <c r="Y96" s="11">
        <v>44783</v>
      </c>
      <c r="Z96" t="s">
        <v>57</v>
      </c>
      <c r="AA96">
        <v>8</v>
      </c>
      <c r="AB96" t="s">
        <v>57</v>
      </c>
      <c r="AD96" t="s">
        <v>57</v>
      </c>
      <c r="AE96" t="s">
        <v>57</v>
      </c>
      <c r="AF96" t="s">
        <v>57</v>
      </c>
      <c r="AG96">
        <v>1</v>
      </c>
      <c r="AH96" t="s">
        <v>57</v>
      </c>
      <c r="AL96" t="s">
        <v>57</v>
      </c>
      <c r="AM96" s="11">
        <v>44783</v>
      </c>
      <c r="AN96" t="s">
        <v>173</v>
      </c>
      <c r="AO96" t="s">
        <v>65</v>
      </c>
      <c r="AP96">
        <v>1204</v>
      </c>
      <c r="AQ96" t="s">
        <v>66</v>
      </c>
      <c r="AR96">
        <v>247349</v>
      </c>
      <c r="AU96" t="s">
        <v>57</v>
      </c>
      <c r="AV96" t="s">
        <v>68</v>
      </c>
      <c r="AX96" t="s">
        <v>57</v>
      </c>
      <c r="AY96">
        <v>631110</v>
      </c>
      <c r="AZ96">
        <v>1204.63111</v>
      </c>
      <c r="BA96" s="23" t="s">
        <v>12</v>
      </c>
    </row>
    <row r="97" spans="1:53" x14ac:dyDescent="0.25">
      <c r="A97" t="s">
        <v>134</v>
      </c>
      <c r="B97" t="s">
        <v>135</v>
      </c>
      <c r="C97">
        <v>22001865</v>
      </c>
      <c r="D97">
        <v>1204</v>
      </c>
      <c r="E97" s="11">
        <v>44785</v>
      </c>
      <c r="F97" t="s">
        <v>175</v>
      </c>
      <c r="G97" s="25">
        <v>0.82</v>
      </c>
      <c r="H97">
        <v>0.82</v>
      </c>
      <c r="I97" t="s">
        <v>56</v>
      </c>
      <c r="O97" t="s">
        <v>57</v>
      </c>
      <c r="Q97" t="s">
        <v>57</v>
      </c>
      <c r="R97" t="s">
        <v>137</v>
      </c>
      <c r="T97" t="s">
        <v>59</v>
      </c>
      <c r="U97" t="s">
        <v>60</v>
      </c>
      <c r="V97" t="s">
        <v>138</v>
      </c>
      <c r="W97" t="s">
        <v>139</v>
      </c>
      <c r="X97">
        <v>1930744</v>
      </c>
      <c r="Y97" s="11">
        <v>44785</v>
      </c>
      <c r="Z97" t="s">
        <v>57</v>
      </c>
      <c r="AA97">
        <v>2</v>
      </c>
      <c r="AB97" t="s">
        <v>57</v>
      </c>
      <c r="AD97" t="s">
        <v>57</v>
      </c>
      <c r="AE97" t="s">
        <v>57</v>
      </c>
      <c r="AF97" t="s">
        <v>57</v>
      </c>
      <c r="AG97">
        <v>10</v>
      </c>
      <c r="AH97" t="s">
        <v>57</v>
      </c>
      <c r="AL97" t="s">
        <v>57</v>
      </c>
      <c r="AM97" s="11">
        <v>44785</v>
      </c>
      <c r="AN97" t="s">
        <v>176</v>
      </c>
      <c r="AO97" t="s">
        <v>65</v>
      </c>
      <c r="AP97">
        <v>1204</v>
      </c>
      <c r="AQ97" t="s">
        <v>66</v>
      </c>
      <c r="AR97">
        <v>265878</v>
      </c>
      <c r="AU97" t="s">
        <v>57</v>
      </c>
      <c r="AV97" t="s">
        <v>68</v>
      </c>
      <c r="AX97" t="s">
        <v>57</v>
      </c>
      <c r="AY97">
        <v>631110</v>
      </c>
      <c r="AZ97">
        <v>1204.63111</v>
      </c>
      <c r="BA97" s="23" t="s">
        <v>12</v>
      </c>
    </row>
    <row r="98" spans="1:53" x14ac:dyDescent="0.25">
      <c r="A98" t="s">
        <v>134</v>
      </c>
      <c r="B98" t="s">
        <v>135</v>
      </c>
      <c r="C98">
        <v>22001874</v>
      </c>
      <c r="D98">
        <v>1204</v>
      </c>
      <c r="E98" s="11">
        <v>44789</v>
      </c>
      <c r="F98" t="s">
        <v>135</v>
      </c>
      <c r="G98" s="25">
        <v>0.82</v>
      </c>
      <c r="H98">
        <v>0.82</v>
      </c>
      <c r="I98" t="s">
        <v>56</v>
      </c>
      <c r="O98" t="s">
        <v>57</v>
      </c>
      <c r="Q98" t="s">
        <v>57</v>
      </c>
      <c r="R98" t="s">
        <v>137</v>
      </c>
      <c r="T98" t="s">
        <v>59</v>
      </c>
      <c r="U98" t="s">
        <v>60</v>
      </c>
      <c r="V98" t="s">
        <v>138</v>
      </c>
      <c r="W98" t="s">
        <v>139</v>
      </c>
      <c r="X98">
        <v>1933168</v>
      </c>
      <c r="Y98" s="11">
        <v>44789</v>
      </c>
      <c r="Z98" t="s">
        <v>57</v>
      </c>
      <c r="AA98">
        <v>2</v>
      </c>
      <c r="AB98" t="s">
        <v>57</v>
      </c>
      <c r="AD98" t="s">
        <v>57</v>
      </c>
      <c r="AE98" t="s">
        <v>57</v>
      </c>
      <c r="AF98" t="s">
        <v>57</v>
      </c>
      <c r="AG98">
        <v>10</v>
      </c>
      <c r="AH98" t="s">
        <v>57</v>
      </c>
      <c r="AL98" t="s">
        <v>57</v>
      </c>
      <c r="AM98" s="11">
        <v>44789</v>
      </c>
      <c r="AN98" t="s">
        <v>176</v>
      </c>
      <c r="AO98" t="s">
        <v>65</v>
      </c>
      <c r="AP98">
        <v>1204</v>
      </c>
      <c r="AQ98" t="s">
        <v>66</v>
      </c>
      <c r="AR98">
        <v>265878</v>
      </c>
      <c r="AU98" t="s">
        <v>57</v>
      </c>
      <c r="AV98" t="s">
        <v>68</v>
      </c>
      <c r="AX98" t="s">
        <v>57</v>
      </c>
      <c r="AY98">
        <v>631110</v>
      </c>
      <c r="AZ98">
        <v>1204.63111</v>
      </c>
      <c r="BA98" s="23" t="s">
        <v>12</v>
      </c>
    </row>
    <row r="99" spans="1:53" x14ac:dyDescent="0.25">
      <c r="A99" t="s">
        <v>134</v>
      </c>
      <c r="B99" t="s">
        <v>135</v>
      </c>
      <c r="C99">
        <v>22001893</v>
      </c>
      <c r="D99">
        <v>1204</v>
      </c>
      <c r="E99" s="11">
        <v>44792</v>
      </c>
      <c r="F99" t="s">
        <v>175</v>
      </c>
      <c r="G99" s="25">
        <v>0.82</v>
      </c>
      <c r="H99">
        <v>0.82</v>
      </c>
      <c r="I99" t="s">
        <v>56</v>
      </c>
      <c r="O99" t="s">
        <v>57</v>
      </c>
      <c r="Q99" t="s">
        <v>57</v>
      </c>
      <c r="R99" t="s">
        <v>137</v>
      </c>
      <c r="T99" t="s">
        <v>59</v>
      </c>
      <c r="U99" t="s">
        <v>60</v>
      </c>
      <c r="V99" t="s">
        <v>138</v>
      </c>
      <c r="W99" t="s">
        <v>139</v>
      </c>
      <c r="X99">
        <v>1934081</v>
      </c>
      <c r="Y99" s="11">
        <v>44792</v>
      </c>
      <c r="Z99" t="s">
        <v>57</v>
      </c>
      <c r="AA99">
        <v>2</v>
      </c>
      <c r="AB99" t="s">
        <v>57</v>
      </c>
      <c r="AD99" t="s">
        <v>57</v>
      </c>
      <c r="AE99" t="s">
        <v>57</v>
      </c>
      <c r="AF99" t="s">
        <v>57</v>
      </c>
      <c r="AG99">
        <v>10</v>
      </c>
      <c r="AH99" t="s">
        <v>57</v>
      </c>
      <c r="AL99" t="s">
        <v>57</v>
      </c>
      <c r="AM99" s="11">
        <v>44792</v>
      </c>
      <c r="AN99" t="s">
        <v>176</v>
      </c>
      <c r="AO99" t="s">
        <v>65</v>
      </c>
      <c r="AP99">
        <v>1204</v>
      </c>
      <c r="AQ99" t="s">
        <v>66</v>
      </c>
      <c r="AR99">
        <v>265878</v>
      </c>
      <c r="AU99" t="s">
        <v>57</v>
      </c>
      <c r="AV99" t="s">
        <v>68</v>
      </c>
      <c r="AX99" t="s">
        <v>57</v>
      </c>
      <c r="AY99">
        <v>631110</v>
      </c>
      <c r="AZ99">
        <v>1204.63111</v>
      </c>
      <c r="BA99" s="23" t="s">
        <v>12</v>
      </c>
    </row>
    <row r="100" spans="1:53" x14ac:dyDescent="0.25">
      <c r="A100" t="s">
        <v>134</v>
      </c>
      <c r="B100" t="s">
        <v>135</v>
      </c>
      <c r="C100">
        <v>22001801</v>
      </c>
      <c r="D100">
        <v>1204</v>
      </c>
      <c r="E100" s="11">
        <v>44775</v>
      </c>
      <c r="F100" t="s">
        <v>174</v>
      </c>
      <c r="G100" s="25">
        <v>0.84</v>
      </c>
      <c r="H100">
        <v>0.84</v>
      </c>
      <c r="I100" t="s">
        <v>56</v>
      </c>
      <c r="O100" t="s">
        <v>57</v>
      </c>
      <c r="Q100" t="s">
        <v>57</v>
      </c>
      <c r="R100" t="s">
        <v>137</v>
      </c>
      <c r="T100" t="s">
        <v>59</v>
      </c>
      <c r="U100" t="s">
        <v>60</v>
      </c>
      <c r="V100" t="s">
        <v>138</v>
      </c>
      <c r="W100" t="s">
        <v>139</v>
      </c>
      <c r="X100">
        <v>1926653</v>
      </c>
      <c r="Y100" s="11">
        <v>44775</v>
      </c>
      <c r="Z100" t="s">
        <v>57</v>
      </c>
      <c r="AA100">
        <v>16</v>
      </c>
      <c r="AB100" t="s">
        <v>57</v>
      </c>
      <c r="AD100" t="s">
        <v>57</v>
      </c>
      <c r="AE100" t="s">
        <v>57</v>
      </c>
      <c r="AF100" t="s">
        <v>57</v>
      </c>
      <c r="AG100">
        <v>1</v>
      </c>
      <c r="AH100" t="s">
        <v>57</v>
      </c>
      <c r="AL100" t="s">
        <v>57</v>
      </c>
      <c r="AM100" s="11">
        <v>44775</v>
      </c>
      <c r="AN100" t="s">
        <v>173</v>
      </c>
      <c r="AO100" t="s">
        <v>65</v>
      </c>
      <c r="AP100">
        <v>1204</v>
      </c>
      <c r="AQ100" t="s">
        <v>66</v>
      </c>
      <c r="AR100">
        <v>270704</v>
      </c>
      <c r="AU100" t="s">
        <v>57</v>
      </c>
      <c r="AV100" t="s">
        <v>68</v>
      </c>
      <c r="AX100" t="s">
        <v>57</v>
      </c>
      <c r="AY100">
        <v>631110</v>
      </c>
      <c r="AZ100">
        <v>1204.63111</v>
      </c>
      <c r="BA100" s="23" t="s">
        <v>12</v>
      </c>
    </row>
    <row r="101" spans="1:53" x14ac:dyDescent="0.25">
      <c r="A101" t="s">
        <v>134</v>
      </c>
      <c r="B101" t="s">
        <v>135</v>
      </c>
      <c r="C101">
        <v>22001827</v>
      </c>
      <c r="D101">
        <v>1204</v>
      </c>
      <c r="E101" s="11">
        <v>44778</v>
      </c>
      <c r="F101" t="s">
        <v>174</v>
      </c>
      <c r="G101" s="25">
        <v>0.85</v>
      </c>
      <c r="H101">
        <v>0.85</v>
      </c>
      <c r="I101" t="s">
        <v>56</v>
      </c>
      <c r="O101" t="s">
        <v>57</v>
      </c>
      <c r="Q101" t="s">
        <v>57</v>
      </c>
      <c r="R101" t="s">
        <v>137</v>
      </c>
      <c r="T101" t="s">
        <v>59</v>
      </c>
      <c r="U101" t="s">
        <v>60</v>
      </c>
      <c r="V101" t="s">
        <v>138</v>
      </c>
      <c r="W101" t="s">
        <v>139</v>
      </c>
      <c r="X101">
        <v>1928763</v>
      </c>
      <c r="Y101" s="11">
        <v>44778</v>
      </c>
      <c r="Z101" t="s">
        <v>57</v>
      </c>
      <c r="AA101">
        <v>16</v>
      </c>
      <c r="AB101" t="s">
        <v>57</v>
      </c>
      <c r="AD101" t="s">
        <v>57</v>
      </c>
      <c r="AE101" t="s">
        <v>57</v>
      </c>
      <c r="AF101" t="s">
        <v>57</v>
      </c>
      <c r="AG101">
        <v>1</v>
      </c>
      <c r="AH101" t="s">
        <v>57</v>
      </c>
      <c r="AL101" t="s">
        <v>57</v>
      </c>
      <c r="AM101" s="11">
        <v>44778</v>
      </c>
      <c r="AN101" t="s">
        <v>173</v>
      </c>
      <c r="AO101" t="s">
        <v>65</v>
      </c>
      <c r="AP101">
        <v>1204</v>
      </c>
      <c r="AQ101" t="s">
        <v>66</v>
      </c>
      <c r="AR101">
        <v>88702</v>
      </c>
      <c r="AU101" t="s">
        <v>57</v>
      </c>
      <c r="AV101" t="s">
        <v>68</v>
      </c>
      <c r="AX101" t="s">
        <v>57</v>
      </c>
      <c r="AY101">
        <v>631110</v>
      </c>
      <c r="AZ101">
        <v>1204.63111</v>
      </c>
      <c r="BA101" s="23" t="s">
        <v>12</v>
      </c>
    </row>
    <row r="102" spans="1:53" x14ac:dyDescent="0.25">
      <c r="A102" t="s">
        <v>134</v>
      </c>
      <c r="B102" t="s">
        <v>135</v>
      </c>
      <c r="C102">
        <v>22001810</v>
      </c>
      <c r="D102">
        <v>1204</v>
      </c>
      <c r="E102" s="11">
        <v>44776</v>
      </c>
      <c r="F102" t="s">
        <v>175</v>
      </c>
      <c r="G102" s="25">
        <v>0.89</v>
      </c>
      <c r="H102">
        <v>0.89</v>
      </c>
      <c r="I102" t="s">
        <v>56</v>
      </c>
      <c r="O102" t="s">
        <v>57</v>
      </c>
      <c r="Q102" t="s">
        <v>57</v>
      </c>
      <c r="R102" t="s">
        <v>137</v>
      </c>
      <c r="T102" t="s">
        <v>59</v>
      </c>
      <c r="U102" t="s">
        <v>60</v>
      </c>
      <c r="V102" t="s">
        <v>138</v>
      </c>
      <c r="W102" t="s">
        <v>139</v>
      </c>
      <c r="X102">
        <v>1927035</v>
      </c>
      <c r="Y102" s="11">
        <v>44776</v>
      </c>
      <c r="Z102" t="s">
        <v>57</v>
      </c>
      <c r="AA102">
        <v>6</v>
      </c>
      <c r="AB102" t="s">
        <v>57</v>
      </c>
      <c r="AD102" t="s">
        <v>57</v>
      </c>
      <c r="AE102" t="s">
        <v>57</v>
      </c>
      <c r="AF102" t="s">
        <v>57</v>
      </c>
      <c r="AG102">
        <v>8</v>
      </c>
      <c r="AH102" t="s">
        <v>57</v>
      </c>
      <c r="AL102" t="s">
        <v>57</v>
      </c>
      <c r="AM102" s="11">
        <v>44776</v>
      </c>
      <c r="AN102" t="s">
        <v>176</v>
      </c>
      <c r="AO102" t="s">
        <v>65</v>
      </c>
      <c r="AP102">
        <v>1204</v>
      </c>
      <c r="AQ102" t="s">
        <v>66</v>
      </c>
      <c r="AR102">
        <v>265267</v>
      </c>
      <c r="AU102" t="s">
        <v>57</v>
      </c>
      <c r="AV102" t="s">
        <v>68</v>
      </c>
      <c r="AX102" t="s">
        <v>57</v>
      </c>
      <c r="AY102">
        <v>631110</v>
      </c>
      <c r="AZ102">
        <v>1204.63111</v>
      </c>
      <c r="BA102" s="23" t="s">
        <v>12</v>
      </c>
    </row>
    <row r="103" spans="1:53" x14ac:dyDescent="0.25">
      <c r="A103" t="s">
        <v>134</v>
      </c>
      <c r="B103" t="s">
        <v>135</v>
      </c>
      <c r="C103">
        <v>22001840</v>
      </c>
      <c r="D103">
        <v>1204</v>
      </c>
      <c r="E103" s="11">
        <v>44782</v>
      </c>
      <c r="F103" t="s">
        <v>175</v>
      </c>
      <c r="G103" s="25">
        <v>0.9</v>
      </c>
      <c r="H103">
        <v>0.9</v>
      </c>
      <c r="I103" t="s">
        <v>56</v>
      </c>
      <c r="O103" t="s">
        <v>57</v>
      </c>
      <c r="Q103" t="s">
        <v>57</v>
      </c>
      <c r="R103" t="s">
        <v>137</v>
      </c>
      <c r="T103" t="s">
        <v>59</v>
      </c>
      <c r="U103" t="s">
        <v>60</v>
      </c>
      <c r="V103" t="s">
        <v>138</v>
      </c>
      <c r="W103" t="s">
        <v>139</v>
      </c>
      <c r="X103">
        <v>1929850</v>
      </c>
      <c r="Y103" s="11">
        <v>44782</v>
      </c>
      <c r="Z103" t="s">
        <v>57</v>
      </c>
      <c r="AA103">
        <v>16</v>
      </c>
      <c r="AB103" t="s">
        <v>57</v>
      </c>
      <c r="AD103" t="s">
        <v>57</v>
      </c>
      <c r="AE103" t="s">
        <v>57</v>
      </c>
      <c r="AF103" t="s">
        <v>57</v>
      </c>
      <c r="AG103">
        <v>6</v>
      </c>
      <c r="AH103" t="s">
        <v>57</v>
      </c>
      <c r="AL103" t="s">
        <v>57</v>
      </c>
      <c r="AM103" s="11">
        <v>44782</v>
      </c>
      <c r="AN103" t="s">
        <v>176</v>
      </c>
      <c r="AO103" t="s">
        <v>65</v>
      </c>
      <c r="AP103">
        <v>1204</v>
      </c>
      <c r="AQ103" t="s">
        <v>66</v>
      </c>
      <c r="AR103">
        <v>144854</v>
      </c>
      <c r="AU103" t="s">
        <v>57</v>
      </c>
      <c r="AV103" t="s">
        <v>68</v>
      </c>
      <c r="AX103" t="s">
        <v>57</v>
      </c>
      <c r="AY103">
        <v>631110</v>
      </c>
      <c r="AZ103">
        <v>1204.63111</v>
      </c>
      <c r="BA103" s="23" t="s">
        <v>12</v>
      </c>
    </row>
    <row r="104" spans="1:53" x14ac:dyDescent="0.25">
      <c r="A104" t="s">
        <v>134</v>
      </c>
      <c r="B104" t="s">
        <v>135</v>
      </c>
      <c r="C104">
        <v>22001842</v>
      </c>
      <c r="D104">
        <v>1204</v>
      </c>
      <c r="E104" s="11">
        <v>44783</v>
      </c>
      <c r="F104" t="s">
        <v>174</v>
      </c>
      <c r="G104" s="25">
        <v>0.97</v>
      </c>
      <c r="H104">
        <v>0.97</v>
      </c>
      <c r="I104" t="s">
        <v>56</v>
      </c>
      <c r="O104" t="s">
        <v>57</v>
      </c>
      <c r="Q104" t="s">
        <v>57</v>
      </c>
      <c r="R104" t="s">
        <v>137</v>
      </c>
      <c r="T104" t="s">
        <v>59</v>
      </c>
      <c r="U104" t="s">
        <v>60</v>
      </c>
      <c r="V104" t="s">
        <v>138</v>
      </c>
      <c r="W104" t="s">
        <v>139</v>
      </c>
      <c r="X104">
        <v>1930268</v>
      </c>
      <c r="Y104" s="11">
        <v>44783</v>
      </c>
      <c r="Z104" t="s">
        <v>57</v>
      </c>
      <c r="AA104">
        <v>14</v>
      </c>
      <c r="AB104" t="s">
        <v>57</v>
      </c>
      <c r="AD104" t="s">
        <v>57</v>
      </c>
      <c r="AE104" t="s">
        <v>57</v>
      </c>
      <c r="AF104" t="s">
        <v>57</v>
      </c>
      <c r="AG104">
        <v>2</v>
      </c>
      <c r="AH104" t="s">
        <v>57</v>
      </c>
      <c r="AL104" t="s">
        <v>57</v>
      </c>
      <c r="AM104" s="11">
        <v>44783</v>
      </c>
      <c r="AN104" t="s">
        <v>173</v>
      </c>
      <c r="AO104" t="s">
        <v>65</v>
      </c>
      <c r="AP104">
        <v>1204</v>
      </c>
      <c r="AQ104" t="s">
        <v>66</v>
      </c>
      <c r="AR104">
        <v>228050</v>
      </c>
      <c r="AU104" t="s">
        <v>57</v>
      </c>
      <c r="AV104" t="s">
        <v>68</v>
      </c>
      <c r="AX104" t="s">
        <v>57</v>
      </c>
      <c r="AY104">
        <v>631110</v>
      </c>
      <c r="AZ104">
        <v>1204.63111</v>
      </c>
      <c r="BA104" s="23" t="s">
        <v>12</v>
      </c>
    </row>
    <row r="105" spans="1:53" x14ac:dyDescent="0.25">
      <c r="A105" t="s">
        <v>134</v>
      </c>
      <c r="B105" t="s">
        <v>135</v>
      </c>
      <c r="C105">
        <v>22001867</v>
      </c>
      <c r="D105">
        <v>1204</v>
      </c>
      <c r="E105" s="11">
        <v>44788</v>
      </c>
      <c r="F105" t="s">
        <v>174</v>
      </c>
      <c r="G105" s="25">
        <v>0.97</v>
      </c>
      <c r="H105">
        <v>0.97</v>
      </c>
      <c r="I105" t="s">
        <v>56</v>
      </c>
      <c r="O105" t="s">
        <v>57</v>
      </c>
      <c r="Q105" t="s">
        <v>57</v>
      </c>
      <c r="R105" t="s">
        <v>137</v>
      </c>
      <c r="T105" t="s">
        <v>59</v>
      </c>
      <c r="U105" t="s">
        <v>60</v>
      </c>
      <c r="V105" t="s">
        <v>138</v>
      </c>
      <c r="W105" t="s">
        <v>139</v>
      </c>
      <c r="X105">
        <v>1932108</v>
      </c>
      <c r="Y105" s="11">
        <v>44788</v>
      </c>
      <c r="Z105" t="s">
        <v>57</v>
      </c>
      <c r="AA105">
        <v>6</v>
      </c>
      <c r="AB105" t="s">
        <v>57</v>
      </c>
      <c r="AD105" t="s">
        <v>57</v>
      </c>
      <c r="AE105" t="s">
        <v>57</v>
      </c>
      <c r="AF105" t="s">
        <v>57</v>
      </c>
      <c r="AG105">
        <v>2</v>
      </c>
      <c r="AH105" t="s">
        <v>57</v>
      </c>
      <c r="AL105" t="s">
        <v>57</v>
      </c>
      <c r="AM105" s="11">
        <v>44788</v>
      </c>
      <c r="AN105" t="s">
        <v>173</v>
      </c>
      <c r="AO105" t="s">
        <v>65</v>
      </c>
      <c r="AP105">
        <v>1204</v>
      </c>
      <c r="AQ105" t="s">
        <v>66</v>
      </c>
      <c r="AR105">
        <v>228050</v>
      </c>
      <c r="AU105" t="s">
        <v>57</v>
      </c>
      <c r="AV105" t="s">
        <v>68</v>
      </c>
      <c r="AX105" t="s">
        <v>57</v>
      </c>
      <c r="AY105">
        <v>631110</v>
      </c>
      <c r="AZ105">
        <v>1204.63111</v>
      </c>
      <c r="BA105" s="23" t="s">
        <v>12</v>
      </c>
    </row>
    <row r="106" spans="1:53" x14ac:dyDescent="0.25">
      <c r="A106" t="s">
        <v>134</v>
      </c>
      <c r="B106" t="s">
        <v>135</v>
      </c>
      <c r="C106">
        <v>22001798</v>
      </c>
      <c r="D106">
        <v>1204</v>
      </c>
      <c r="E106" s="11">
        <v>44774</v>
      </c>
      <c r="F106" t="s">
        <v>175</v>
      </c>
      <c r="G106" s="25">
        <v>0.99</v>
      </c>
      <c r="H106">
        <v>0.99</v>
      </c>
      <c r="I106" t="s">
        <v>56</v>
      </c>
      <c r="O106" t="s">
        <v>57</v>
      </c>
      <c r="Q106" t="s">
        <v>57</v>
      </c>
      <c r="R106" t="s">
        <v>137</v>
      </c>
      <c r="T106" t="s">
        <v>59</v>
      </c>
      <c r="U106" t="s">
        <v>60</v>
      </c>
      <c r="V106" t="s">
        <v>138</v>
      </c>
      <c r="W106" t="s">
        <v>139</v>
      </c>
      <c r="X106">
        <v>1925598</v>
      </c>
      <c r="Y106" s="11">
        <v>44774</v>
      </c>
      <c r="Z106" t="s">
        <v>57</v>
      </c>
      <c r="AA106">
        <v>8</v>
      </c>
      <c r="AB106" t="s">
        <v>57</v>
      </c>
      <c r="AD106" t="s">
        <v>57</v>
      </c>
      <c r="AE106" t="s">
        <v>57</v>
      </c>
      <c r="AF106" t="s">
        <v>57</v>
      </c>
      <c r="AG106">
        <v>9</v>
      </c>
      <c r="AH106" t="s">
        <v>57</v>
      </c>
      <c r="AL106" t="s">
        <v>57</v>
      </c>
      <c r="AM106" s="11">
        <v>44774</v>
      </c>
      <c r="AN106" t="s">
        <v>176</v>
      </c>
      <c r="AO106" t="s">
        <v>65</v>
      </c>
      <c r="AP106">
        <v>1204</v>
      </c>
      <c r="AQ106" t="s">
        <v>66</v>
      </c>
      <c r="AR106">
        <v>90435</v>
      </c>
      <c r="AU106" t="s">
        <v>57</v>
      </c>
      <c r="AV106" t="s">
        <v>68</v>
      </c>
      <c r="AX106" t="s">
        <v>57</v>
      </c>
      <c r="AY106">
        <v>631110</v>
      </c>
      <c r="AZ106">
        <v>1204.63111</v>
      </c>
      <c r="BA106" s="23" t="s">
        <v>12</v>
      </c>
    </row>
    <row r="107" spans="1:53" x14ac:dyDescent="0.25">
      <c r="A107" t="s">
        <v>134</v>
      </c>
      <c r="B107" t="s">
        <v>135</v>
      </c>
      <c r="C107">
        <v>22001830</v>
      </c>
      <c r="D107">
        <v>1204</v>
      </c>
      <c r="E107" s="11">
        <v>44781</v>
      </c>
      <c r="F107" t="s">
        <v>174</v>
      </c>
      <c r="G107" s="25">
        <v>0.99</v>
      </c>
      <c r="H107">
        <v>0.99</v>
      </c>
      <c r="I107" t="s">
        <v>56</v>
      </c>
      <c r="O107" t="s">
        <v>57</v>
      </c>
      <c r="Q107" t="s">
        <v>57</v>
      </c>
      <c r="R107" t="s">
        <v>137</v>
      </c>
      <c r="T107" t="s">
        <v>59</v>
      </c>
      <c r="U107" t="s">
        <v>60</v>
      </c>
      <c r="V107" t="s">
        <v>138</v>
      </c>
      <c r="W107" t="s">
        <v>139</v>
      </c>
      <c r="X107">
        <v>1928770</v>
      </c>
      <c r="Y107" s="11">
        <v>44781</v>
      </c>
      <c r="Z107" t="s">
        <v>57</v>
      </c>
      <c r="AA107">
        <v>18</v>
      </c>
      <c r="AB107" t="s">
        <v>57</v>
      </c>
      <c r="AD107" t="s">
        <v>57</v>
      </c>
      <c r="AE107" t="s">
        <v>57</v>
      </c>
      <c r="AF107" t="s">
        <v>57</v>
      </c>
      <c r="AG107">
        <v>2</v>
      </c>
      <c r="AH107" t="s">
        <v>57</v>
      </c>
      <c r="AL107" t="s">
        <v>57</v>
      </c>
      <c r="AM107" s="11">
        <v>44781</v>
      </c>
      <c r="AN107" t="s">
        <v>173</v>
      </c>
      <c r="AO107" t="s">
        <v>65</v>
      </c>
      <c r="AP107">
        <v>1204</v>
      </c>
      <c r="AQ107" t="s">
        <v>66</v>
      </c>
      <c r="AR107">
        <v>121863</v>
      </c>
      <c r="AU107" t="s">
        <v>57</v>
      </c>
      <c r="AV107" t="s">
        <v>68</v>
      </c>
      <c r="AX107" t="s">
        <v>57</v>
      </c>
      <c r="AY107">
        <v>631110</v>
      </c>
      <c r="AZ107">
        <v>1204.63111</v>
      </c>
      <c r="BA107" s="23" t="s">
        <v>12</v>
      </c>
    </row>
    <row r="108" spans="1:53" x14ac:dyDescent="0.25">
      <c r="A108" t="s">
        <v>134</v>
      </c>
      <c r="B108" t="s">
        <v>135</v>
      </c>
      <c r="C108">
        <v>22001842</v>
      </c>
      <c r="D108">
        <v>1204</v>
      </c>
      <c r="E108" s="11">
        <v>44783</v>
      </c>
      <c r="F108" t="s">
        <v>174</v>
      </c>
      <c r="G108" s="25">
        <v>0.99</v>
      </c>
      <c r="H108">
        <v>0.99</v>
      </c>
      <c r="I108" t="s">
        <v>56</v>
      </c>
      <c r="O108" t="s">
        <v>57</v>
      </c>
      <c r="Q108" t="s">
        <v>57</v>
      </c>
      <c r="R108" t="s">
        <v>137</v>
      </c>
      <c r="T108" t="s">
        <v>59</v>
      </c>
      <c r="U108" t="s">
        <v>60</v>
      </c>
      <c r="V108" t="s">
        <v>138</v>
      </c>
      <c r="W108" t="s">
        <v>139</v>
      </c>
      <c r="X108">
        <v>1930268</v>
      </c>
      <c r="Y108" s="11">
        <v>44783</v>
      </c>
      <c r="Z108" t="s">
        <v>57</v>
      </c>
      <c r="AA108">
        <v>16</v>
      </c>
      <c r="AB108" t="s">
        <v>57</v>
      </c>
      <c r="AD108" t="s">
        <v>57</v>
      </c>
      <c r="AE108" t="s">
        <v>57</v>
      </c>
      <c r="AF108" t="s">
        <v>57</v>
      </c>
      <c r="AG108">
        <v>2</v>
      </c>
      <c r="AH108" t="s">
        <v>57</v>
      </c>
      <c r="AL108" t="s">
        <v>57</v>
      </c>
      <c r="AM108" s="11">
        <v>44783</v>
      </c>
      <c r="AN108" t="s">
        <v>173</v>
      </c>
      <c r="AO108" t="s">
        <v>65</v>
      </c>
      <c r="AP108">
        <v>1204</v>
      </c>
      <c r="AQ108" t="s">
        <v>66</v>
      </c>
      <c r="AR108">
        <v>121863</v>
      </c>
      <c r="AU108" t="s">
        <v>57</v>
      </c>
      <c r="AV108" t="s">
        <v>68</v>
      </c>
      <c r="AX108" t="s">
        <v>57</v>
      </c>
      <c r="AY108">
        <v>631110</v>
      </c>
      <c r="AZ108">
        <v>1204.63111</v>
      </c>
      <c r="BA108" s="23" t="s">
        <v>12</v>
      </c>
    </row>
    <row r="109" spans="1:53" x14ac:dyDescent="0.25">
      <c r="A109" t="s">
        <v>134</v>
      </c>
      <c r="B109" t="s">
        <v>135</v>
      </c>
      <c r="C109">
        <v>22001867</v>
      </c>
      <c r="D109">
        <v>1204</v>
      </c>
      <c r="E109" s="11">
        <v>44788</v>
      </c>
      <c r="F109" t="s">
        <v>174</v>
      </c>
      <c r="G109" s="25">
        <v>0.99</v>
      </c>
      <c r="H109">
        <v>0.99</v>
      </c>
      <c r="I109" t="s">
        <v>56</v>
      </c>
      <c r="O109" t="s">
        <v>57</v>
      </c>
      <c r="Q109" t="s">
        <v>57</v>
      </c>
      <c r="R109" t="s">
        <v>137</v>
      </c>
      <c r="T109" t="s">
        <v>59</v>
      </c>
      <c r="U109" t="s">
        <v>60</v>
      </c>
      <c r="V109" t="s">
        <v>138</v>
      </c>
      <c r="W109" t="s">
        <v>139</v>
      </c>
      <c r="X109">
        <v>1932108</v>
      </c>
      <c r="Y109" s="11">
        <v>44788</v>
      </c>
      <c r="Z109" t="s">
        <v>57</v>
      </c>
      <c r="AA109">
        <v>18</v>
      </c>
      <c r="AB109" t="s">
        <v>57</v>
      </c>
      <c r="AD109" t="s">
        <v>57</v>
      </c>
      <c r="AE109" t="s">
        <v>57</v>
      </c>
      <c r="AF109" t="s">
        <v>57</v>
      </c>
      <c r="AG109">
        <v>2</v>
      </c>
      <c r="AH109" t="s">
        <v>57</v>
      </c>
      <c r="AL109" t="s">
        <v>57</v>
      </c>
      <c r="AM109" s="11">
        <v>44788</v>
      </c>
      <c r="AN109" t="s">
        <v>173</v>
      </c>
      <c r="AO109" t="s">
        <v>65</v>
      </c>
      <c r="AP109">
        <v>1204</v>
      </c>
      <c r="AQ109" t="s">
        <v>66</v>
      </c>
      <c r="AR109">
        <v>121863</v>
      </c>
      <c r="AU109" t="s">
        <v>57</v>
      </c>
      <c r="AV109" t="s">
        <v>68</v>
      </c>
      <c r="AX109" t="s">
        <v>57</v>
      </c>
      <c r="AY109">
        <v>631110</v>
      </c>
      <c r="AZ109">
        <v>1204.63111</v>
      </c>
      <c r="BA109" s="23" t="s">
        <v>12</v>
      </c>
    </row>
    <row r="110" spans="1:53" x14ac:dyDescent="0.25">
      <c r="A110" t="s">
        <v>134</v>
      </c>
      <c r="B110" t="s">
        <v>135</v>
      </c>
      <c r="C110">
        <v>22001801</v>
      </c>
      <c r="D110">
        <v>1204</v>
      </c>
      <c r="E110" s="11">
        <v>44775</v>
      </c>
      <c r="F110" t="s">
        <v>174</v>
      </c>
      <c r="G110" s="25">
        <v>1</v>
      </c>
      <c r="H110">
        <v>1</v>
      </c>
      <c r="I110" t="s">
        <v>56</v>
      </c>
      <c r="O110" t="s">
        <v>57</v>
      </c>
      <c r="Q110" t="s">
        <v>57</v>
      </c>
      <c r="R110" t="s">
        <v>137</v>
      </c>
      <c r="T110" t="s">
        <v>59</v>
      </c>
      <c r="U110" t="s">
        <v>60</v>
      </c>
      <c r="V110" t="s">
        <v>138</v>
      </c>
      <c r="W110" t="s">
        <v>139</v>
      </c>
      <c r="X110">
        <v>1926653</v>
      </c>
      <c r="Y110" s="11">
        <v>44775</v>
      </c>
      <c r="Z110" t="s">
        <v>57</v>
      </c>
      <c r="AA110">
        <v>18</v>
      </c>
      <c r="AB110" t="s">
        <v>57</v>
      </c>
      <c r="AD110" t="s">
        <v>57</v>
      </c>
      <c r="AE110" t="s">
        <v>57</v>
      </c>
      <c r="AF110" t="s">
        <v>57</v>
      </c>
      <c r="AG110">
        <v>1</v>
      </c>
      <c r="AH110" t="s">
        <v>57</v>
      </c>
      <c r="AL110" t="s">
        <v>57</v>
      </c>
      <c r="AM110" s="11">
        <v>44775</v>
      </c>
      <c r="AN110" t="s">
        <v>173</v>
      </c>
      <c r="AO110" t="s">
        <v>65</v>
      </c>
      <c r="AP110">
        <v>1204</v>
      </c>
      <c r="AQ110" t="s">
        <v>66</v>
      </c>
      <c r="AR110">
        <v>88703</v>
      </c>
      <c r="AU110" t="s">
        <v>57</v>
      </c>
      <c r="AV110" t="s">
        <v>68</v>
      </c>
      <c r="AX110" t="s">
        <v>57</v>
      </c>
      <c r="AY110">
        <v>631110</v>
      </c>
      <c r="AZ110">
        <v>1204.63111</v>
      </c>
      <c r="BA110" s="23" t="s">
        <v>12</v>
      </c>
    </row>
    <row r="111" spans="1:53" x14ac:dyDescent="0.25">
      <c r="A111" t="s">
        <v>134</v>
      </c>
      <c r="B111" t="s">
        <v>135</v>
      </c>
      <c r="C111">
        <v>22001827</v>
      </c>
      <c r="D111">
        <v>1204</v>
      </c>
      <c r="E111" s="11">
        <v>44778</v>
      </c>
      <c r="F111" t="s">
        <v>174</v>
      </c>
      <c r="G111" s="25">
        <v>1</v>
      </c>
      <c r="H111">
        <v>1</v>
      </c>
      <c r="I111" t="s">
        <v>56</v>
      </c>
      <c r="O111" t="s">
        <v>57</v>
      </c>
      <c r="Q111" t="s">
        <v>57</v>
      </c>
      <c r="R111" t="s">
        <v>137</v>
      </c>
      <c r="T111" t="s">
        <v>59</v>
      </c>
      <c r="U111" t="s">
        <v>60</v>
      </c>
      <c r="V111" t="s">
        <v>138</v>
      </c>
      <c r="W111" t="s">
        <v>139</v>
      </c>
      <c r="X111">
        <v>1928763</v>
      </c>
      <c r="Y111" s="11">
        <v>44778</v>
      </c>
      <c r="Z111" t="s">
        <v>57</v>
      </c>
      <c r="AA111">
        <v>18</v>
      </c>
      <c r="AB111" t="s">
        <v>57</v>
      </c>
      <c r="AD111" t="s">
        <v>57</v>
      </c>
      <c r="AE111" t="s">
        <v>57</v>
      </c>
      <c r="AF111" t="s">
        <v>57</v>
      </c>
      <c r="AG111">
        <v>1</v>
      </c>
      <c r="AH111" t="s">
        <v>57</v>
      </c>
      <c r="AL111" t="s">
        <v>57</v>
      </c>
      <c r="AM111" s="11">
        <v>44778</v>
      </c>
      <c r="AN111" t="s">
        <v>173</v>
      </c>
      <c r="AO111" t="s">
        <v>65</v>
      </c>
      <c r="AP111">
        <v>1204</v>
      </c>
      <c r="AQ111" t="s">
        <v>66</v>
      </c>
      <c r="AR111">
        <v>88703</v>
      </c>
      <c r="AU111" t="s">
        <v>57</v>
      </c>
      <c r="AV111" t="s">
        <v>68</v>
      </c>
      <c r="AX111" t="s">
        <v>57</v>
      </c>
      <c r="AY111">
        <v>631110</v>
      </c>
      <c r="AZ111">
        <v>1204.63111</v>
      </c>
      <c r="BA111" s="23" t="s">
        <v>12</v>
      </c>
    </row>
    <row r="112" spans="1:53" x14ac:dyDescent="0.25">
      <c r="A112" t="s">
        <v>134</v>
      </c>
      <c r="B112" t="s">
        <v>135</v>
      </c>
      <c r="C112">
        <v>22001813</v>
      </c>
      <c r="D112">
        <v>1204</v>
      </c>
      <c r="E112" s="11">
        <v>44777</v>
      </c>
      <c r="F112" t="s">
        <v>174</v>
      </c>
      <c r="G112" s="25">
        <v>1.01</v>
      </c>
      <c r="H112">
        <v>1.01</v>
      </c>
      <c r="I112" t="s">
        <v>56</v>
      </c>
      <c r="O112" t="s">
        <v>57</v>
      </c>
      <c r="Q112" t="s">
        <v>57</v>
      </c>
      <c r="R112" t="s">
        <v>137</v>
      </c>
      <c r="T112" t="s">
        <v>59</v>
      </c>
      <c r="U112" t="s">
        <v>60</v>
      </c>
      <c r="V112" t="s">
        <v>138</v>
      </c>
      <c r="W112" t="s">
        <v>139</v>
      </c>
      <c r="X112">
        <v>1927630</v>
      </c>
      <c r="Y112" s="11">
        <v>44777</v>
      </c>
      <c r="Z112" t="s">
        <v>57</v>
      </c>
      <c r="AA112">
        <v>18</v>
      </c>
      <c r="AB112" t="s">
        <v>57</v>
      </c>
      <c r="AD112" t="s">
        <v>57</v>
      </c>
      <c r="AE112" t="s">
        <v>57</v>
      </c>
      <c r="AF112" t="s">
        <v>57</v>
      </c>
      <c r="AG112">
        <v>1</v>
      </c>
      <c r="AH112" t="s">
        <v>57</v>
      </c>
      <c r="AL112" t="s">
        <v>57</v>
      </c>
      <c r="AM112" s="11">
        <v>44777</v>
      </c>
      <c r="AN112" t="s">
        <v>173</v>
      </c>
      <c r="AO112" t="s">
        <v>65</v>
      </c>
      <c r="AP112">
        <v>1204</v>
      </c>
      <c r="AQ112" t="s">
        <v>66</v>
      </c>
      <c r="AR112">
        <v>248508</v>
      </c>
      <c r="AU112" t="s">
        <v>57</v>
      </c>
      <c r="AV112" t="s">
        <v>68</v>
      </c>
      <c r="AX112" t="s">
        <v>57</v>
      </c>
      <c r="AY112">
        <v>631110</v>
      </c>
      <c r="AZ112">
        <v>1204.63111</v>
      </c>
      <c r="BA112" s="23" t="s">
        <v>12</v>
      </c>
    </row>
    <row r="113" spans="1:53" x14ac:dyDescent="0.25">
      <c r="A113" t="s">
        <v>134</v>
      </c>
      <c r="B113" t="s">
        <v>135</v>
      </c>
      <c r="C113">
        <v>22001871</v>
      </c>
      <c r="D113">
        <v>1204</v>
      </c>
      <c r="E113" s="11">
        <v>44789</v>
      </c>
      <c r="F113" t="s">
        <v>174</v>
      </c>
      <c r="G113" s="25">
        <v>1.04</v>
      </c>
      <c r="H113">
        <v>1.04</v>
      </c>
      <c r="I113" t="s">
        <v>56</v>
      </c>
      <c r="O113" t="s">
        <v>57</v>
      </c>
      <c r="Q113" t="s">
        <v>57</v>
      </c>
      <c r="R113" t="s">
        <v>137</v>
      </c>
      <c r="T113" t="s">
        <v>59</v>
      </c>
      <c r="U113" t="s">
        <v>60</v>
      </c>
      <c r="V113" t="s">
        <v>138</v>
      </c>
      <c r="W113" t="s">
        <v>139</v>
      </c>
      <c r="X113">
        <v>1933046</v>
      </c>
      <c r="Y113" s="11">
        <v>44789</v>
      </c>
      <c r="Z113" t="s">
        <v>57</v>
      </c>
      <c r="AA113">
        <v>14</v>
      </c>
      <c r="AB113" t="s">
        <v>57</v>
      </c>
      <c r="AD113" t="s">
        <v>57</v>
      </c>
      <c r="AE113" t="s">
        <v>57</v>
      </c>
      <c r="AF113" t="s">
        <v>57</v>
      </c>
      <c r="AG113">
        <v>1</v>
      </c>
      <c r="AH113" t="s">
        <v>57</v>
      </c>
      <c r="AL113" t="s">
        <v>57</v>
      </c>
      <c r="AM113" s="11">
        <v>44789</v>
      </c>
      <c r="AN113" t="s">
        <v>173</v>
      </c>
      <c r="AO113" t="s">
        <v>65</v>
      </c>
      <c r="AP113">
        <v>1204</v>
      </c>
      <c r="AQ113" t="s">
        <v>66</v>
      </c>
      <c r="AR113">
        <v>88592</v>
      </c>
      <c r="AU113" t="s">
        <v>57</v>
      </c>
      <c r="AV113" t="s">
        <v>68</v>
      </c>
      <c r="AX113" t="s">
        <v>57</v>
      </c>
      <c r="AY113">
        <v>631110</v>
      </c>
      <c r="AZ113">
        <v>1204.63111</v>
      </c>
      <c r="BA113" s="23" t="s">
        <v>12</v>
      </c>
    </row>
    <row r="114" spans="1:53" x14ac:dyDescent="0.25">
      <c r="A114" t="s">
        <v>134</v>
      </c>
      <c r="B114" t="s">
        <v>135</v>
      </c>
      <c r="C114">
        <v>22001835</v>
      </c>
      <c r="D114">
        <v>1204</v>
      </c>
      <c r="E114" s="11">
        <v>44781</v>
      </c>
      <c r="F114" t="s">
        <v>175</v>
      </c>
      <c r="G114" s="25">
        <v>1.05</v>
      </c>
      <c r="H114">
        <v>1.05</v>
      </c>
      <c r="I114" t="s">
        <v>56</v>
      </c>
      <c r="O114" t="s">
        <v>57</v>
      </c>
      <c r="Q114" t="s">
        <v>57</v>
      </c>
      <c r="R114" t="s">
        <v>137</v>
      </c>
      <c r="T114" t="s">
        <v>59</v>
      </c>
      <c r="U114" t="s">
        <v>60</v>
      </c>
      <c r="V114" t="s">
        <v>138</v>
      </c>
      <c r="W114" t="s">
        <v>139</v>
      </c>
      <c r="X114">
        <v>1928976</v>
      </c>
      <c r="Y114" s="11">
        <v>44781</v>
      </c>
      <c r="Z114" t="s">
        <v>57</v>
      </c>
      <c r="AA114">
        <v>14</v>
      </c>
      <c r="AB114" t="s">
        <v>57</v>
      </c>
      <c r="AD114" t="s">
        <v>57</v>
      </c>
      <c r="AE114" t="s">
        <v>57</v>
      </c>
      <c r="AF114" t="s">
        <v>57</v>
      </c>
      <c r="AG114">
        <v>7</v>
      </c>
      <c r="AH114" t="s">
        <v>57</v>
      </c>
      <c r="AL114" t="s">
        <v>57</v>
      </c>
      <c r="AM114" s="11">
        <v>44781</v>
      </c>
      <c r="AN114" t="s">
        <v>176</v>
      </c>
      <c r="AO114" t="s">
        <v>65</v>
      </c>
      <c r="AP114">
        <v>1204</v>
      </c>
      <c r="AQ114" t="s">
        <v>66</v>
      </c>
      <c r="AR114">
        <v>144854</v>
      </c>
      <c r="AU114" t="s">
        <v>57</v>
      </c>
      <c r="AV114" t="s">
        <v>68</v>
      </c>
      <c r="AX114" t="s">
        <v>57</v>
      </c>
      <c r="AY114">
        <v>631110</v>
      </c>
      <c r="AZ114">
        <v>1204.63111</v>
      </c>
      <c r="BA114" s="23" t="s">
        <v>12</v>
      </c>
    </row>
    <row r="115" spans="1:53" x14ac:dyDescent="0.25">
      <c r="A115" t="s">
        <v>134</v>
      </c>
      <c r="B115" t="s">
        <v>135</v>
      </c>
      <c r="C115">
        <v>22001845</v>
      </c>
      <c r="D115">
        <v>1204</v>
      </c>
      <c r="E115" s="11">
        <v>44783</v>
      </c>
      <c r="F115" t="s">
        <v>175</v>
      </c>
      <c r="G115" s="25">
        <v>1.05</v>
      </c>
      <c r="H115">
        <v>1.05</v>
      </c>
      <c r="I115" t="s">
        <v>56</v>
      </c>
      <c r="O115" t="s">
        <v>57</v>
      </c>
      <c r="Q115" t="s">
        <v>57</v>
      </c>
      <c r="R115" t="s">
        <v>137</v>
      </c>
      <c r="T115" t="s">
        <v>59</v>
      </c>
      <c r="U115" t="s">
        <v>60</v>
      </c>
      <c r="V115" t="s">
        <v>138</v>
      </c>
      <c r="W115" t="s">
        <v>139</v>
      </c>
      <c r="X115">
        <v>1930355</v>
      </c>
      <c r="Y115" s="11">
        <v>44783</v>
      </c>
      <c r="Z115" t="s">
        <v>57</v>
      </c>
      <c r="AA115">
        <v>14</v>
      </c>
      <c r="AB115" t="s">
        <v>57</v>
      </c>
      <c r="AD115" t="s">
        <v>57</v>
      </c>
      <c r="AE115" t="s">
        <v>57</v>
      </c>
      <c r="AF115" t="s">
        <v>57</v>
      </c>
      <c r="AG115">
        <v>7</v>
      </c>
      <c r="AH115" t="s">
        <v>57</v>
      </c>
      <c r="AL115" t="s">
        <v>57</v>
      </c>
      <c r="AM115" s="11">
        <v>44783</v>
      </c>
      <c r="AN115" t="s">
        <v>176</v>
      </c>
      <c r="AO115" t="s">
        <v>65</v>
      </c>
      <c r="AP115">
        <v>1204</v>
      </c>
      <c r="AQ115" t="s">
        <v>66</v>
      </c>
      <c r="AR115">
        <v>144854</v>
      </c>
      <c r="AU115" t="s">
        <v>57</v>
      </c>
      <c r="AV115" t="s">
        <v>68</v>
      </c>
      <c r="AX115" t="s">
        <v>57</v>
      </c>
      <c r="AY115">
        <v>631110</v>
      </c>
      <c r="AZ115">
        <v>1204.63111</v>
      </c>
      <c r="BA115" s="23" t="s">
        <v>12</v>
      </c>
    </row>
    <row r="116" spans="1:53" x14ac:dyDescent="0.25">
      <c r="A116" t="s">
        <v>134</v>
      </c>
      <c r="B116" t="s">
        <v>135</v>
      </c>
      <c r="C116">
        <v>22001865</v>
      </c>
      <c r="D116">
        <v>1204</v>
      </c>
      <c r="E116" s="11">
        <v>44785</v>
      </c>
      <c r="F116" t="s">
        <v>175</v>
      </c>
      <c r="G116" s="25">
        <v>1.05</v>
      </c>
      <c r="H116">
        <v>1.05</v>
      </c>
      <c r="I116" t="s">
        <v>56</v>
      </c>
      <c r="O116" t="s">
        <v>57</v>
      </c>
      <c r="Q116" t="s">
        <v>57</v>
      </c>
      <c r="R116" t="s">
        <v>137</v>
      </c>
      <c r="T116" t="s">
        <v>59</v>
      </c>
      <c r="U116" t="s">
        <v>60</v>
      </c>
      <c r="V116" t="s">
        <v>138</v>
      </c>
      <c r="W116" t="s">
        <v>139</v>
      </c>
      <c r="X116">
        <v>1930744</v>
      </c>
      <c r="Y116" s="11">
        <v>44785</v>
      </c>
      <c r="Z116" t="s">
        <v>57</v>
      </c>
      <c r="AA116">
        <v>12</v>
      </c>
      <c r="AB116" t="s">
        <v>57</v>
      </c>
      <c r="AD116" t="s">
        <v>57</v>
      </c>
      <c r="AE116" t="s">
        <v>57</v>
      </c>
      <c r="AF116" t="s">
        <v>57</v>
      </c>
      <c r="AG116">
        <v>7</v>
      </c>
      <c r="AH116" t="s">
        <v>57</v>
      </c>
      <c r="AL116" t="s">
        <v>57</v>
      </c>
      <c r="AM116" s="11">
        <v>44785</v>
      </c>
      <c r="AN116" t="s">
        <v>176</v>
      </c>
      <c r="AO116" t="s">
        <v>65</v>
      </c>
      <c r="AP116">
        <v>1204</v>
      </c>
      <c r="AQ116" t="s">
        <v>66</v>
      </c>
      <c r="AR116">
        <v>144854</v>
      </c>
      <c r="AU116" t="s">
        <v>57</v>
      </c>
      <c r="AV116" t="s">
        <v>68</v>
      </c>
      <c r="AX116" t="s">
        <v>57</v>
      </c>
      <c r="AY116">
        <v>631110</v>
      </c>
      <c r="AZ116">
        <v>1204.63111</v>
      </c>
      <c r="BA116" s="23" t="s">
        <v>12</v>
      </c>
    </row>
    <row r="117" spans="1:53" x14ac:dyDescent="0.25">
      <c r="A117" t="s">
        <v>134</v>
      </c>
      <c r="B117" t="s">
        <v>135</v>
      </c>
      <c r="C117">
        <v>22001893</v>
      </c>
      <c r="D117">
        <v>1204</v>
      </c>
      <c r="E117" s="11">
        <v>44792</v>
      </c>
      <c r="F117" t="s">
        <v>175</v>
      </c>
      <c r="G117" s="25">
        <v>1.05</v>
      </c>
      <c r="H117">
        <v>1.05</v>
      </c>
      <c r="I117" t="s">
        <v>56</v>
      </c>
      <c r="O117" t="s">
        <v>57</v>
      </c>
      <c r="Q117" t="s">
        <v>57</v>
      </c>
      <c r="R117" t="s">
        <v>137</v>
      </c>
      <c r="T117" t="s">
        <v>59</v>
      </c>
      <c r="U117" t="s">
        <v>60</v>
      </c>
      <c r="V117" t="s">
        <v>138</v>
      </c>
      <c r="W117" t="s">
        <v>139</v>
      </c>
      <c r="X117">
        <v>1934081</v>
      </c>
      <c r="Y117" s="11">
        <v>44792</v>
      </c>
      <c r="Z117" t="s">
        <v>57</v>
      </c>
      <c r="AA117">
        <v>16</v>
      </c>
      <c r="AB117" t="s">
        <v>57</v>
      </c>
      <c r="AD117" t="s">
        <v>57</v>
      </c>
      <c r="AE117" t="s">
        <v>57</v>
      </c>
      <c r="AF117" t="s">
        <v>57</v>
      </c>
      <c r="AG117">
        <v>7</v>
      </c>
      <c r="AH117" t="s">
        <v>57</v>
      </c>
      <c r="AL117" t="s">
        <v>57</v>
      </c>
      <c r="AM117" s="11">
        <v>44792</v>
      </c>
      <c r="AN117" t="s">
        <v>176</v>
      </c>
      <c r="AO117" t="s">
        <v>65</v>
      </c>
      <c r="AP117">
        <v>1204</v>
      </c>
      <c r="AQ117" t="s">
        <v>66</v>
      </c>
      <c r="AR117">
        <v>144854</v>
      </c>
      <c r="AU117" t="s">
        <v>57</v>
      </c>
      <c r="AV117" t="s">
        <v>68</v>
      </c>
      <c r="AX117" t="s">
        <v>57</v>
      </c>
      <c r="AY117">
        <v>631110</v>
      </c>
      <c r="AZ117">
        <v>1204.63111</v>
      </c>
      <c r="BA117" s="23" t="s">
        <v>12</v>
      </c>
    </row>
    <row r="118" spans="1:53" x14ac:dyDescent="0.25">
      <c r="A118" t="s">
        <v>134</v>
      </c>
      <c r="B118" t="s">
        <v>135</v>
      </c>
      <c r="C118">
        <v>22001808</v>
      </c>
      <c r="D118">
        <v>1204</v>
      </c>
      <c r="E118" s="11">
        <v>44776</v>
      </c>
      <c r="F118" t="s">
        <v>174</v>
      </c>
      <c r="G118" s="25">
        <v>1.06</v>
      </c>
      <c r="H118">
        <v>1.06</v>
      </c>
      <c r="I118" t="s">
        <v>56</v>
      </c>
      <c r="O118" t="s">
        <v>57</v>
      </c>
      <c r="Q118" t="s">
        <v>57</v>
      </c>
      <c r="R118" t="s">
        <v>137</v>
      </c>
      <c r="T118" t="s">
        <v>59</v>
      </c>
      <c r="U118" t="s">
        <v>60</v>
      </c>
      <c r="V118" t="s">
        <v>138</v>
      </c>
      <c r="W118" t="s">
        <v>139</v>
      </c>
      <c r="X118">
        <v>1926830</v>
      </c>
      <c r="Y118" s="11">
        <v>44776</v>
      </c>
      <c r="Z118" t="s">
        <v>57</v>
      </c>
      <c r="AA118">
        <v>14</v>
      </c>
      <c r="AB118" t="s">
        <v>57</v>
      </c>
      <c r="AD118" t="s">
        <v>57</v>
      </c>
      <c r="AE118" t="s">
        <v>57</v>
      </c>
      <c r="AF118" t="s">
        <v>57</v>
      </c>
      <c r="AG118">
        <v>1</v>
      </c>
      <c r="AH118" t="s">
        <v>57</v>
      </c>
      <c r="AL118" t="s">
        <v>57</v>
      </c>
      <c r="AM118" s="11">
        <v>44776</v>
      </c>
      <c r="AN118" t="s">
        <v>173</v>
      </c>
      <c r="AO118" t="s">
        <v>65</v>
      </c>
      <c r="AP118">
        <v>1204</v>
      </c>
      <c r="AQ118" t="s">
        <v>66</v>
      </c>
      <c r="AR118">
        <v>88720</v>
      </c>
      <c r="AU118" t="s">
        <v>57</v>
      </c>
      <c r="AV118" t="s">
        <v>68</v>
      </c>
      <c r="AX118" t="s">
        <v>57</v>
      </c>
      <c r="AY118">
        <v>631110</v>
      </c>
      <c r="AZ118">
        <v>1204.63111</v>
      </c>
      <c r="BA118" s="23" t="s">
        <v>12</v>
      </c>
    </row>
    <row r="119" spans="1:53" x14ac:dyDescent="0.25">
      <c r="A119" t="s">
        <v>134</v>
      </c>
      <c r="B119" t="s">
        <v>135</v>
      </c>
      <c r="C119">
        <v>22001837</v>
      </c>
      <c r="D119">
        <v>1204</v>
      </c>
      <c r="E119" s="11">
        <v>44782</v>
      </c>
      <c r="F119" t="s">
        <v>174</v>
      </c>
      <c r="G119" s="25">
        <v>1.06</v>
      </c>
      <c r="H119">
        <v>1.06</v>
      </c>
      <c r="I119" t="s">
        <v>56</v>
      </c>
      <c r="O119" t="s">
        <v>57</v>
      </c>
      <c r="Q119" t="s">
        <v>57</v>
      </c>
      <c r="R119" t="s">
        <v>137</v>
      </c>
      <c r="T119" t="s">
        <v>59</v>
      </c>
      <c r="U119" t="s">
        <v>60</v>
      </c>
      <c r="V119" t="s">
        <v>138</v>
      </c>
      <c r="W119" t="s">
        <v>139</v>
      </c>
      <c r="X119">
        <v>1929196</v>
      </c>
      <c r="Y119" s="11">
        <v>44782</v>
      </c>
      <c r="Z119" t="s">
        <v>57</v>
      </c>
      <c r="AA119">
        <v>12</v>
      </c>
      <c r="AB119" t="s">
        <v>57</v>
      </c>
      <c r="AD119" t="s">
        <v>57</v>
      </c>
      <c r="AE119" t="s">
        <v>57</v>
      </c>
      <c r="AF119" t="s">
        <v>57</v>
      </c>
      <c r="AG119">
        <v>1</v>
      </c>
      <c r="AH119" t="s">
        <v>57</v>
      </c>
      <c r="AL119" t="s">
        <v>57</v>
      </c>
      <c r="AM119" s="11">
        <v>44782</v>
      </c>
      <c r="AN119" t="s">
        <v>173</v>
      </c>
      <c r="AO119" t="s">
        <v>65</v>
      </c>
      <c r="AP119">
        <v>1204</v>
      </c>
      <c r="AQ119" t="s">
        <v>66</v>
      </c>
      <c r="AR119">
        <v>88720</v>
      </c>
      <c r="AU119" t="s">
        <v>57</v>
      </c>
      <c r="AV119" t="s">
        <v>68</v>
      </c>
      <c r="AX119" t="s">
        <v>57</v>
      </c>
      <c r="AY119">
        <v>631110</v>
      </c>
      <c r="AZ119">
        <v>1204.63111</v>
      </c>
      <c r="BA119" s="23" t="s">
        <v>12</v>
      </c>
    </row>
    <row r="120" spans="1:53" x14ac:dyDescent="0.25">
      <c r="A120" t="s">
        <v>134</v>
      </c>
      <c r="B120" t="s">
        <v>135</v>
      </c>
      <c r="C120">
        <v>22001874</v>
      </c>
      <c r="D120">
        <v>1204</v>
      </c>
      <c r="E120" s="11">
        <v>44789</v>
      </c>
      <c r="F120" t="s">
        <v>135</v>
      </c>
      <c r="G120" s="25">
        <v>1.08</v>
      </c>
      <c r="H120">
        <v>1.08</v>
      </c>
      <c r="I120" t="s">
        <v>56</v>
      </c>
      <c r="O120" t="s">
        <v>57</v>
      </c>
      <c r="Q120" t="s">
        <v>57</v>
      </c>
      <c r="R120" t="s">
        <v>137</v>
      </c>
      <c r="T120" t="s">
        <v>59</v>
      </c>
      <c r="U120" t="s">
        <v>60</v>
      </c>
      <c r="V120" t="s">
        <v>138</v>
      </c>
      <c r="W120" t="s">
        <v>139</v>
      </c>
      <c r="X120">
        <v>1933168</v>
      </c>
      <c r="Y120" s="11">
        <v>44789</v>
      </c>
      <c r="Z120" t="s">
        <v>57</v>
      </c>
      <c r="AA120">
        <v>14</v>
      </c>
      <c r="AB120" t="s">
        <v>57</v>
      </c>
      <c r="AD120" t="s">
        <v>57</v>
      </c>
      <c r="AE120" t="s">
        <v>57</v>
      </c>
      <c r="AF120" t="s">
        <v>57</v>
      </c>
      <c r="AG120">
        <v>7</v>
      </c>
      <c r="AH120" t="s">
        <v>57</v>
      </c>
      <c r="AL120" t="s">
        <v>57</v>
      </c>
      <c r="AM120" s="11">
        <v>44789</v>
      </c>
      <c r="AN120" t="s">
        <v>176</v>
      </c>
      <c r="AO120" t="s">
        <v>65</v>
      </c>
      <c r="AP120">
        <v>1204</v>
      </c>
      <c r="AQ120" t="s">
        <v>66</v>
      </c>
      <c r="AR120">
        <v>89712</v>
      </c>
      <c r="AU120" t="s">
        <v>57</v>
      </c>
      <c r="AV120" t="s">
        <v>68</v>
      </c>
      <c r="AX120" t="s">
        <v>57</v>
      </c>
      <c r="AY120">
        <v>631110</v>
      </c>
      <c r="AZ120">
        <v>1204.63111</v>
      </c>
      <c r="BA120" s="23" t="s">
        <v>12</v>
      </c>
    </row>
    <row r="121" spans="1:53" x14ac:dyDescent="0.25">
      <c r="A121" t="s">
        <v>134</v>
      </c>
      <c r="B121" t="s">
        <v>135</v>
      </c>
      <c r="C121">
        <v>22001842</v>
      </c>
      <c r="D121">
        <v>1204</v>
      </c>
      <c r="E121" s="11">
        <v>44783</v>
      </c>
      <c r="F121" t="s">
        <v>174</v>
      </c>
      <c r="G121" s="25">
        <v>1.0900000000000001</v>
      </c>
      <c r="H121">
        <v>1.0900000000000001</v>
      </c>
      <c r="I121" t="s">
        <v>56</v>
      </c>
      <c r="O121" t="s">
        <v>57</v>
      </c>
      <c r="Q121" t="s">
        <v>57</v>
      </c>
      <c r="R121" t="s">
        <v>137</v>
      </c>
      <c r="T121" t="s">
        <v>59</v>
      </c>
      <c r="U121" t="s">
        <v>60</v>
      </c>
      <c r="V121" t="s">
        <v>138</v>
      </c>
      <c r="W121" t="s">
        <v>139</v>
      </c>
      <c r="X121">
        <v>1930268</v>
      </c>
      <c r="Y121" s="11">
        <v>44783</v>
      </c>
      <c r="Z121" t="s">
        <v>57</v>
      </c>
      <c r="AA121">
        <v>2</v>
      </c>
      <c r="AB121" t="s">
        <v>57</v>
      </c>
      <c r="AD121" t="s">
        <v>57</v>
      </c>
      <c r="AE121" t="s">
        <v>57</v>
      </c>
      <c r="AF121" t="s">
        <v>57</v>
      </c>
      <c r="AG121">
        <v>2</v>
      </c>
      <c r="AH121" t="s">
        <v>57</v>
      </c>
      <c r="AL121" t="s">
        <v>57</v>
      </c>
      <c r="AM121" s="11">
        <v>44783</v>
      </c>
      <c r="AN121" t="s">
        <v>173</v>
      </c>
      <c r="AO121" t="s">
        <v>65</v>
      </c>
      <c r="AP121">
        <v>1204</v>
      </c>
      <c r="AQ121" t="s">
        <v>66</v>
      </c>
      <c r="AR121">
        <v>89777</v>
      </c>
      <c r="AU121" t="s">
        <v>57</v>
      </c>
      <c r="AV121" t="s">
        <v>68</v>
      </c>
      <c r="AX121" t="s">
        <v>57</v>
      </c>
      <c r="AY121">
        <v>631110</v>
      </c>
      <c r="AZ121">
        <v>1204.63111</v>
      </c>
      <c r="BA121" s="23" t="s">
        <v>12</v>
      </c>
    </row>
    <row r="122" spans="1:53" x14ac:dyDescent="0.25">
      <c r="A122" t="s">
        <v>134</v>
      </c>
      <c r="B122" t="s">
        <v>135</v>
      </c>
      <c r="C122">
        <v>22001867</v>
      </c>
      <c r="D122">
        <v>1204</v>
      </c>
      <c r="E122" s="11">
        <v>44788</v>
      </c>
      <c r="F122" t="s">
        <v>174</v>
      </c>
      <c r="G122" s="25">
        <v>1.0900000000000001</v>
      </c>
      <c r="H122">
        <v>1.0900000000000001</v>
      </c>
      <c r="I122" t="s">
        <v>56</v>
      </c>
      <c r="O122" t="s">
        <v>57</v>
      </c>
      <c r="Q122" t="s">
        <v>57</v>
      </c>
      <c r="R122" t="s">
        <v>137</v>
      </c>
      <c r="T122" t="s">
        <v>59</v>
      </c>
      <c r="U122" t="s">
        <v>60</v>
      </c>
      <c r="V122" t="s">
        <v>138</v>
      </c>
      <c r="W122" t="s">
        <v>139</v>
      </c>
      <c r="X122">
        <v>1932108</v>
      </c>
      <c r="Y122" s="11">
        <v>44788</v>
      </c>
      <c r="Z122" t="s">
        <v>57</v>
      </c>
      <c r="AA122">
        <v>30</v>
      </c>
      <c r="AB122" t="s">
        <v>57</v>
      </c>
      <c r="AD122" t="s">
        <v>57</v>
      </c>
      <c r="AE122" t="s">
        <v>57</v>
      </c>
      <c r="AF122" t="s">
        <v>57</v>
      </c>
      <c r="AG122">
        <v>2</v>
      </c>
      <c r="AH122" t="s">
        <v>57</v>
      </c>
      <c r="AL122" t="s">
        <v>57</v>
      </c>
      <c r="AM122" s="11">
        <v>44788</v>
      </c>
      <c r="AN122" t="s">
        <v>173</v>
      </c>
      <c r="AO122" t="s">
        <v>65</v>
      </c>
      <c r="AP122">
        <v>1204</v>
      </c>
      <c r="AQ122" t="s">
        <v>66</v>
      </c>
      <c r="AR122">
        <v>89777</v>
      </c>
      <c r="AU122" t="s">
        <v>57</v>
      </c>
      <c r="AV122" t="s">
        <v>68</v>
      </c>
      <c r="AX122" t="s">
        <v>57</v>
      </c>
      <c r="AY122">
        <v>631110</v>
      </c>
      <c r="AZ122">
        <v>1204.63111</v>
      </c>
      <c r="BA122" s="23" t="s">
        <v>12</v>
      </c>
    </row>
    <row r="123" spans="1:53" x14ac:dyDescent="0.25">
      <c r="A123" t="s">
        <v>134</v>
      </c>
      <c r="B123" t="s">
        <v>135</v>
      </c>
      <c r="C123">
        <v>22001798</v>
      </c>
      <c r="D123">
        <v>1204</v>
      </c>
      <c r="E123" s="11">
        <v>44774</v>
      </c>
      <c r="F123" t="s">
        <v>175</v>
      </c>
      <c r="G123" s="25">
        <v>1.1000000000000001</v>
      </c>
      <c r="H123">
        <v>1.1000000000000001</v>
      </c>
      <c r="I123" t="s">
        <v>56</v>
      </c>
      <c r="O123" t="s">
        <v>57</v>
      </c>
      <c r="Q123" t="s">
        <v>57</v>
      </c>
      <c r="R123" t="s">
        <v>137</v>
      </c>
      <c r="T123" t="s">
        <v>59</v>
      </c>
      <c r="U123" t="s">
        <v>60</v>
      </c>
      <c r="V123" t="s">
        <v>138</v>
      </c>
      <c r="W123" t="s">
        <v>139</v>
      </c>
      <c r="X123">
        <v>1925598</v>
      </c>
      <c r="Y123" s="11">
        <v>44774</v>
      </c>
      <c r="Z123" t="s">
        <v>57</v>
      </c>
      <c r="AA123">
        <v>4</v>
      </c>
      <c r="AB123" t="s">
        <v>57</v>
      </c>
      <c r="AD123" t="s">
        <v>57</v>
      </c>
      <c r="AE123" t="s">
        <v>57</v>
      </c>
      <c r="AF123" t="s">
        <v>57</v>
      </c>
      <c r="AG123">
        <v>10</v>
      </c>
      <c r="AH123" t="s">
        <v>57</v>
      </c>
      <c r="AL123" t="s">
        <v>57</v>
      </c>
      <c r="AM123" s="11">
        <v>44774</v>
      </c>
      <c r="AN123" t="s">
        <v>176</v>
      </c>
      <c r="AO123" t="s">
        <v>65</v>
      </c>
      <c r="AP123">
        <v>1204</v>
      </c>
      <c r="AQ123" t="s">
        <v>66</v>
      </c>
      <c r="AR123">
        <v>265267</v>
      </c>
      <c r="AU123" t="s">
        <v>57</v>
      </c>
      <c r="AV123" t="s">
        <v>68</v>
      </c>
      <c r="AX123" t="s">
        <v>57</v>
      </c>
      <c r="AY123">
        <v>631110</v>
      </c>
      <c r="AZ123">
        <v>1204.63111</v>
      </c>
      <c r="BA123" s="23" t="s">
        <v>12</v>
      </c>
    </row>
    <row r="124" spans="1:53" x14ac:dyDescent="0.25">
      <c r="A124" t="s">
        <v>134</v>
      </c>
      <c r="B124" t="s">
        <v>135</v>
      </c>
      <c r="C124">
        <v>22001815</v>
      </c>
      <c r="D124">
        <v>1204</v>
      </c>
      <c r="E124" s="11">
        <v>44777</v>
      </c>
      <c r="F124" t="s">
        <v>175</v>
      </c>
      <c r="G124" s="25">
        <v>1.1200000000000001</v>
      </c>
      <c r="H124">
        <v>1.1200000000000001</v>
      </c>
      <c r="I124" t="s">
        <v>56</v>
      </c>
      <c r="O124" t="s">
        <v>57</v>
      </c>
      <c r="Q124" t="s">
        <v>57</v>
      </c>
      <c r="R124" t="s">
        <v>137</v>
      </c>
      <c r="T124" t="s">
        <v>59</v>
      </c>
      <c r="U124" t="s">
        <v>60</v>
      </c>
      <c r="V124" t="s">
        <v>138</v>
      </c>
      <c r="W124" t="s">
        <v>139</v>
      </c>
      <c r="X124">
        <v>1927634</v>
      </c>
      <c r="Y124" s="11">
        <v>44777</v>
      </c>
      <c r="Z124" t="s">
        <v>57</v>
      </c>
      <c r="AA124">
        <v>6</v>
      </c>
      <c r="AB124" t="s">
        <v>57</v>
      </c>
      <c r="AD124" t="s">
        <v>57</v>
      </c>
      <c r="AE124" t="s">
        <v>57</v>
      </c>
      <c r="AF124" t="s">
        <v>57</v>
      </c>
      <c r="AG124">
        <v>10</v>
      </c>
      <c r="AH124" t="s">
        <v>57</v>
      </c>
      <c r="AL124" t="s">
        <v>57</v>
      </c>
      <c r="AM124" s="11">
        <v>44777</v>
      </c>
      <c r="AN124" t="s">
        <v>176</v>
      </c>
      <c r="AO124" t="s">
        <v>65</v>
      </c>
      <c r="AP124">
        <v>1204</v>
      </c>
      <c r="AQ124" t="s">
        <v>66</v>
      </c>
      <c r="AR124">
        <v>265267</v>
      </c>
      <c r="AU124" t="s">
        <v>57</v>
      </c>
      <c r="AV124" t="s">
        <v>68</v>
      </c>
      <c r="AX124" t="s">
        <v>57</v>
      </c>
      <c r="AY124">
        <v>631110</v>
      </c>
      <c r="AZ124">
        <v>1204.63111</v>
      </c>
      <c r="BA124" s="23" t="s">
        <v>12</v>
      </c>
    </row>
    <row r="125" spans="1:53" x14ac:dyDescent="0.25">
      <c r="A125" t="s">
        <v>134</v>
      </c>
      <c r="B125" t="s">
        <v>135</v>
      </c>
      <c r="C125">
        <v>22001829</v>
      </c>
      <c r="D125">
        <v>1204</v>
      </c>
      <c r="E125" s="11">
        <v>44778</v>
      </c>
      <c r="F125" t="s">
        <v>175</v>
      </c>
      <c r="G125" s="25">
        <v>1.1200000000000001</v>
      </c>
      <c r="H125">
        <v>1.1200000000000001</v>
      </c>
      <c r="I125" t="s">
        <v>56</v>
      </c>
      <c r="O125" t="s">
        <v>57</v>
      </c>
      <c r="Q125" t="s">
        <v>57</v>
      </c>
      <c r="R125" t="s">
        <v>137</v>
      </c>
      <c r="T125" t="s">
        <v>59</v>
      </c>
      <c r="U125" t="s">
        <v>60</v>
      </c>
      <c r="V125" t="s">
        <v>138</v>
      </c>
      <c r="W125" t="s">
        <v>139</v>
      </c>
      <c r="X125">
        <v>1928767</v>
      </c>
      <c r="Y125" s="11">
        <v>44778</v>
      </c>
      <c r="Z125" t="s">
        <v>57</v>
      </c>
      <c r="AA125">
        <v>4</v>
      </c>
      <c r="AB125" t="s">
        <v>57</v>
      </c>
      <c r="AD125" t="s">
        <v>57</v>
      </c>
      <c r="AE125" t="s">
        <v>57</v>
      </c>
      <c r="AF125" t="s">
        <v>57</v>
      </c>
      <c r="AG125">
        <v>10</v>
      </c>
      <c r="AH125" t="s">
        <v>57</v>
      </c>
      <c r="AL125" t="s">
        <v>57</v>
      </c>
      <c r="AM125" s="11">
        <v>44778</v>
      </c>
      <c r="AN125" t="s">
        <v>176</v>
      </c>
      <c r="AO125" t="s">
        <v>65</v>
      </c>
      <c r="AP125">
        <v>1204</v>
      </c>
      <c r="AQ125" t="s">
        <v>66</v>
      </c>
      <c r="AR125">
        <v>265267</v>
      </c>
      <c r="AU125" t="s">
        <v>57</v>
      </c>
      <c r="AV125" t="s">
        <v>68</v>
      </c>
      <c r="AX125" t="s">
        <v>57</v>
      </c>
      <c r="AY125">
        <v>631110</v>
      </c>
      <c r="AZ125">
        <v>1204.63111</v>
      </c>
      <c r="BA125" s="23" t="s">
        <v>12</v>
      </c>
    </row>
    <row r="126" spans="1:53" x14ac:dyDescent="0.25">
      <c r="A126" t="s">
        <v>134</v>
      </c>
      <c r="B126" t="s">
        <v>135</v>
      </c>
      <c r="C126">
        <v>22001835</v>
      </c>
      <c r="D126">
        <v>1204</v>
      </c>
      <c r="E126" s="11">
        <v>44781</v>
      </c>
      <c r="F126" t="s">
        <v>175</v>
      </c>
      <c r="G126" s="25">
        <v>1.1200000000000001</v>
      </c>
      <c r="H126">
        <v>1.1200000000000001</v>
      </c>
      <c r="I126" t="s">
        <v>56</v>
      </c>
      <c r="O126" t="s">
        <v>57</v>
      </c>
      <c r="Q126" t="s">
        <v>57</v>
      </c>
      <c r="R126" t="s">
        <v>137</v>
      </c>
      <c r="T126" t="s">
        <v>59</v>
      </c>
      <c r="U126" t="s">
        <v>60</v>
      </c>
      <c r="V126" t="s">
        <v>138</v>
      </c>
      <c r="W126" t="s">
        <v>139</v>
      </c>
      <c r="X126">
        <v>1928976</v>
      </c>
      <c r="Y126" s="11">
        <v>44781</v>
      </c>
      <c r="Z126" t="s">
        <v>57</v>
      </c>
      <c r="AA126">
        <v>4</v>
      </c>
      <c r="AB126" t="s">
        <v>57</v>
      </c>
      <c r="AD126" t="s">
        <v>57</v>
      </c>
      <c r="AE126" t="s">
        <v>57</v>
      </c>
      <c r="AF126" t="s">
        <v>57</v>
      </c>
      <c r="AG126">
        <v>10</v>
      </c>
      <c r="AH126" t="s">
        <v>57</v>
      </c>
      <c r="AL126" t="s">
        <v>57</v>
      </c>
      <c r="AM126" s="11">
        <v>44781</v>
      </c>
      <c r="AN126" t="s">
        <v>176</v>
      </c>
      <c r="AO126" t="s">
        <v>65</v>
      </c>
      <c r="AP126">
        <v>1204</v>
      </c>
      <c r="AQ126" t="s">
        <v>66</v>
      </c>
      <c r="AR126">
        <v>265267</v>
      </c>
      <c r="AU126" t="s">
        <v>57</v>
      </c>
      <c r="AV126" t="s">
        <v>68</v>
      </c>
      <c r="AX126" t="s">
        <v>57</v>
      </c>
      <c r="AY126">
        <v>631110</v>
      </c>
      <c r="AZ126">
        <v>1204.63111</v>
      </c>
      <c r="BA126" s="23" t="s">
        <v>12</v>
      </c>
    </row>
    <row r="127" spans="1:53" x14ac:dyDescent="0.25">
      <c r="A127" t="s">
        <v>134</v>
      </c>
      <c r="B127" t="s">
        <v>135</v>
      </c>
      <c r="C127">
        <v>22001840</v>
      </c>
      <c r="D127">
        <v>1204</v>
      </c>
      <c r="E127" s="11">
        <v>44782</v>
      </c>
      <c r="F127" t="s">
        <v>175</v>
      </c>
      <c r="G127" s="25">
        <v>1.1200000000000001</v>
      </c>
      <c r="H127">
        <v>1.1200000000000001</v>
      </c>
      <c r="I127" t="s">
        <v>56</v>
      </c>
      <c r="O127" t="s">
        <v>57</v>
      </c>
      <c r="Q127" t="s">
        <v>57</v>
      </c>
      <c r="R127" t="s">
        <v>137</v>
      </c>
      <c r="T127" t="s">
        <v>59</v>
      </c>
      <c r="U127" t="s">
        <v>60</v>
      </c>
      <c r="V127" t="s">
        <v>138</v>
      </c>
      <c r="W127" t="s">
        <v>139</v>
      </c>
      <c r="X127">
        <v>1929850</v>
      </c>
      <c r="Y127" s="11">
        <v>44782</v>
      </c>
      <c r="Z127" t="s">
        <v>57</v>
      </c>
      <c r="AA127">
        <v>4</v>
      </c>
      <c r="AB127" t="s">
        <v>57</v>
      </c>
      <c r="AD127" t="s">
        <v>57</v>
      </c>
      <c r="AE127" t="s">
        <v>57</v>
      </c>
      <c r="AF127" t="s">
        <v>57</v>
      </c>
      <c r="AG127">
        <v>10</v>
      </c>
      <c r="AH127" t="s">
        <v>57</v>
      </c>
      <c r="AL127" t="s">
        <v>57</v>
      </c>
      <c r="AM127" s="11">
        <v>44782</v>
      </c>
      <c r="AN127" t="s">
        <v>176</v>
      </c>
      <c r="AO127" t="s">
        <v>65</v>
      </c>
      <c r="AP127">
        <v>1204</v>
      </c>
      <c r="AQ127" t="s">
        <v>66</v>
      </c>
      <c r="AR127">
        <v>265267</v>
      </c>
      <c r="AU127" t="s">
        <v>57</v>
      </c>
      <c r="AV127" t="s">
        <v>68</v>
      </c>
      <c r="AX127" t="s">
        <v>57</v>
      </c>
      <c r="AY127">
        <v>631110</v>
      </c>
      <c r="AZ127">
        <v>1204.63111</v>
      </c>
      <c r="BA127" s="23" t="s">
        <v>12</v>
      </c>
    </row>
    <row r="128" spans="1:53" x14ac:dyDescent="0.25">
      <c r="A128" t="s">
        <v>134</v>
      </c>
      <c r="B128" t="s">
        <v>135</v>
      </c>
      <c r="C128">
        <v>22001845</v>
      </c>
      <c r="D128">
        <v>1204</v>
      </c>
      <c r="E128" s="11">
        <v>44783</v>
      </c>
      <c r="F128" t="s">
        <v>175</v>
      </c>
      <c r="G128" s="25">
        <v>1.1200000000000001</v>
      </c>
      <c r="H128">
        <v>1.1200000000000001</v>
      </c>
      <c r="I128" t="s">
        <v>56</v>
      </c>
      <c r="O128" t="s">
        <v>57</v>
      </c>
      <c r="Q128" t="s">
        <v>57</v>
      </c>
      <c r="R128" t="s">
        <v>137</v>
      </c>
      <c r="T128" t="s">
        <v>59</v>
      </c>
      <c r="U128" t="s">
        <v>60</v>
      </c>
      <c r="V128" t="s">
        <v>138</v>
      </c>
      <c r="W128" t="s">
        <v>139</v>
      </c>
      <c r="X128">
        <v>1930355</v>
      </c>
      <c r="Y128" s="11">
        <v>44783</v>
      </c>
      <c r="Z128" t="s">
        <v>57</v>
      </c>
      <c r="AA128">
        <v>4</v>
      </c>
      <c r="AB128" t="s">
        <v>57</v>
      </c>
      <c r="AD128" t="s">
        <v>57</v>
      </c>
      <c r="AE128" t="s">
        <v>57</v>
      </c>
      <c r="AF128" t="s">
        <v>57</v>
      </c>
      <c r="AG128">
        <v>10</v>
      </c>
      <c r="AH128" t="s">
        <v>57</v>
      </c>
      <c r="AL128" t="s">
        <v>57</v>
      </c>
      <c r="AM128" s="11">
        <v>44783</v>
      </c>
      <c r="AN128" t="s">
        <v>176</v>
      </c>
      <c r="AO128" t="s">
        <v>65</v>
      </c>
      <c r="AP128">
        <v>1204</v>
      </c>
      <c r="AQ128" t="s">
        <v>66</v>
      </c>
      <c r="AR128">
        <v>265267</v>
      </c>
      <c r="AU128" t="s">
        <v>57</v>
      </c>
      <c r="AV128" t="s">
        <v>68</v>
      </c>
      <c r="AX128" t="s">
        <v>57</v>
      </c>
      <c r="AY128">
        <v>631110</v>
      </c>
      <c r="AZ128">
        <v>1204.63111</v>
      </c>
      <c r="BA128" s="23" t="s">
        <v>12</v>
      </c>
    </row>
    <row r="129" spans="1:53" x14ac:dyDescent="0.25">
      <c r="A129" t="s">
        <v>134</v>
      </c>
      <c r="B129" t="s">
        <v>135</v>
      </c>
      <c r="C129">
        <v>22001877</v>
      </c>
      <c r="D129">
        <v>1204</v>
      </c>
      <c r="E129" s="11">
        <v>44791</v>
      </c>
      <c r="F129" t="s">
        <v>174</v>
      </c>
      <c r="G129" s="25">
        <v>1.18</v>
      </c>
      <c r="H129">
        <v>1.18</v>
      </c>
      <c r="I129" t="s">
        <v>56</v>
      </c>
      <c r="O129" t="s">
        <v>57</v>
      </c>
      <c r="Q129" t="s">
        <v>57</v>
      </c>
      <c r="R129" t="s">
        <v>137</v>
      </c>
      <c r="T129" t="s">
        <v>59</v>
      </c>
      <c r="U129" t="s">
        <v>60</v>
      </c>
      <c r="V129" t="s">
        <v>138</v>
      </c>
      <c r="W129" t="s">
        <v>139</v>
      </c>
      <c r="X129">
        <v>1933535</v>
      </c>
      <c r="Y129" s="11">
        <v>44791</v>
      </c>
      <c r="Z129" t="s">
        <v>57</v>
      </c>
      <c r="AA129">
        <v>8</v>
      </c>
      <c r="AB129" t="s">
        <v>57</v>
      </c>
      <c r="AD129" t="s">
        <v>57</v>
      </c>
      <c r="AE129" t="s">
        <v>57</v>
      </c>
      <c r="AF129" t="s">
        <v>57</v>
      </c>
      <c r="AG129">
        <v>1</v>
      </c>
      <c r="AH129" t="s">
        <v>57</v>
      </c>
      <c r="AL129" t="s">
        <v>57</v>
      </c>
      <c r="AM129" s="11">
        <v>44791</v>
      </c>
      <c r="AN129" t="s">
        <v>173</v>
      </c>
      <c r="AO129" t="s">
        <v>65</v>
      </c>
      <c r="AP129">
        <v>1204</v>
      </c>
      <c r="AQ129" t="s">
        <v>66</v>
      </c>
      <c r="AR129">
        <v>187381</v>
      </c>
      <c r="AU129" t="s">
        <v>57</v>
      </c>
      <c r="AV129" t="s">
        <v>68</v>
      </c>
      <c r="AX129" t="s">
        <v>57</v>
      </c>
      <c r="AY129">
        <v>631110</v>
      </c>
      <c r="AZ129">
        <v>1204.63111</v>
      </c>
      <c r="BA129" s="23" t="s">
        <v>12</v>
      </c>
    </row>
    <row r="130" spans="1:53" x14ac:dyDescent="0.25">
      <c r="A130" t="s">
        <v>134</v>
      </c>
      <c r="B130" t="s">
        <v>135</v>
      </c>
      <c r="C130">
        <v>22001891</v>
      </c>
      <c r="D130">
        <v>1204</v>
      </c>
      <c r="E130" s="11">
        <v>44792</v>
      </c>
      <c r="F130" t="s">
        <v>174</v>
      </c>
      <c r="G130" s="25">
        <v>1.18</v>
      </c>
      <c r="H130">
        <v>1.18</v>
      </c>
      <c r="I130" t="s">
        <v>56</v>
      </c>
      <c r="O130" t="s">
        <v>57</v>
      </c>
      <c r="Q130" t="s">
        <v>57</v>
      </c>
      <c r="R130" t="s">
        <v>137</v>
      </c>
      <c r="T130" t="s">
        <v>59</v>
      </c>
      <c r="U130" t="s">
        <v>60</v>
      </c>
      <c r="V130" t="s">
        <v>138</v>
      </c>
      <c r="W130" t="s">
        <v>139</v>
      </c>
      <c r="X130">
        <v>1934076</v>
      </c>
      <c r="Y130" s="11">
        <v>44792</v>
      </c>
      <c r="Z130" t="s">
        <v>57</v>
      </c>
      <c r="AA130">
        <v>4</v>
      </c>
      <c r="AB130" t="s">
        <v>57</v>
      </c>
      <c r="AD130" t="s">
        <v>57</v>
      </c>
      <c r="AE130" t="s">
        <v>57</v>
      </c>
      <c r="AF130" t="s">
        <v>57</v>
      </c>
      <c r="AG130">
        <v>1</v>
      </c>
      <c r="AH130" t="s">
        <v>57</v>
      </c>
      <c r="AL130" t="s">
        <v>57</v>
      </c>
      <c r="AM130" s="11">
        <v>44792</v>
      </c>
      <c r="AN130" t="s">
        <v>173</v>
      </c>
      <c r="AO130" t="s">
        <v>65</v>
      </c>
      <c r="AP130">
        <v>1204</v>
      </c>
      <c r="AQ130" t="s">
        <v>66</v>
      </c>
      <c r="AR130">
        <v>217204</v>
      </c>
      <c r="AU130" t="s">
        <v>57</v>
      </c>
      <c r="AV130" t="s">
        <v>68</v>
      </c>
      <c r="AX130" t="s">
        <v>57</v>
      </c>
      <c r="AY130">
        <v>631110</v>
      </c>
      <c r="AZ130">
        <v>1204.63111</v>
      </c>
      <c r="BA130" s="23" t="s">
        <v>12</v>
      </c>
    </row>
    <row r="131" spans="1:53" x14ac:dyDescent="0.25">
      <c r="A131" t="s">
        <v>134</v>
      </c>
      <c r="B131" t="s">
        <v>135</v>
      </c>
      <c r="C131">
        <v>22001808</v>
      </c>
      <c r="D131">
        <v>1204</v>
      </c>
      <c r="E131" s="11">
        <v>44776</v>
      </c>
      <c r="F131" t="s">
        <v>174</v>
      </c>
      <c r="G131" s="25">
        <v>1.21</v>
      </c>
      <c r="H131">
        <v>1.21</v>
      </c>
      <c r="I131" t="s">
        <v>56</v>
      </c>
      <c r="O131" t="s">
        <v>57</v>
      </c>
      <c r="Q131" t="s">
        <v>57</v>
      </c>
      <c r="R131" t="s">
        <v>137</v>
      </c>
      <c r="T131" t="s">
        <v>59</v>
      </c>
      <c r="U131" t="s">
        <v>60</v>
      </c>
      <c r="V131" t="s">
        <v>138</v>
      </c>
      <c r="W131" t="s">
        <v>139</v>
      </c>
      <c r="X131">
        <v>1926830</v>
      </c>
      <c r="Y131" s="11">
        <v>44776</v>
      </c>
      <c r="Z131" t="s">
        <v>57</v>
      </c>
      <c r="AA131">
        <v>32</v>
      </c>
      <c r="AB131" t="s">
        <v>57</v>
      </c>
      <c r="AD131" t="s">
        <v>57</v>
      </c>
      <c r="AE131" t="s">
        <v>57</v>
      </c>
      <c r="AF131" t="s">
        <v>57</v>
      </c>
      <c r="AG131">
        <v>1</v>
      </c>
      <c r="AH131" t="s">
        <v>57</v>
      </c>
      <c r="AL131" t="s">
        <v>57</v>
      </c>
      <c r="AM131" s="11">
        <v>44776</v>
      </c>
      <c r="AN131" t="s">
        <v>173</v>
      </c>
      <c r="AO131" t="s">
        <v>65</v>
      </c>
      <c r="AP131">
        <v>1204</v>
      </c>
      <c r="AQ131" t="s">
        <v>66</v>
      </c>
      <c r="AR131">
        <v>234414</v>
      </c>
      <c r="AU131" t="s">
        <v>57</v>
      </c>
      <c r="AV131" t="s">
        <v>68</v>
      </c>
      <c r="AX131" t="s">
        <v>57</v>
      </c>
      <c r="AY131">
        <v>631110</v>
      </c>
      <c r="AZ131">
        <v>1204.63111</v>
      </c>
      <c r="BA131" s="23" t="s">
        <v>12</v>
      </c>
    </row>
    <row r="132" spans="1:53" x14ac:dyDescent="0.25">
      <c r="A132" t="s">
        <v>134</v>
      </c>
      <c r="B132" t="s">
        <v>135</v>
      </c>
      <c r="C132">
        <v>22001827</v>
      </c>
      <c r="D132">
        <v>1204</v>
      </c>
      <c r="E132" s="11">
        <v>44778</v>
      </c>
      <c r="F132" t="s">
        <v>174</v>
      </c>
      <c r="G132" s="25">
        <v>1.21</v>
      </c>
      <c r="H132">
        <v>1.21</v>
      </c>
      <c r="I132" t="s">
        <v>56</v>
      </c>
      <c r="O132" t="s">
        <v>57</v>
      </c>
      <c r="Q132" t="s">
        <v>57</v>
      </c>
      <c r="R132" t="s">
        <v>137</v>
      </c>
      <c r="T132" t="s">
        <v>59</v>
      </c>
      <c r="U132" t="s">
        <v>60</v>
      </c>
      <c r="V132" t="s">
        <v>138</v>
      </c>
      <c r="W132" t="s">
        <v>139</v>
      </c>
      <c r="X132">
        <v>1928763</v>
      </c>
      <c r="Y132" s="11">
        <v>44778</v>
      </c>
      <c r="Z132" t="s">
        <v>57</v>
      </c>
      <c r="AA132">
        <v>22</v>
      </c>
      <c r="AB132" t="s">
        <v>57</v>
      </c>
      <c r="AD132" t="s">
        <v>57</v>
      </c>
      <c r="AE132" t="s">
        <v>57</v>
      </c>
      <c r="AF132" t="s">
        <v>57</v>
      </c>
      <c r="AG132">
        <v>1</v>
      </c>
      <c r="AH132" t="s">
        <v>57</v>
      </c>
      <c r="AL132" t="s">
        <v>57</v>
      </c>
      <c r="AM132" s="11">
        <v>44778</v>
      </c>
      <c r="AN132" t="s">
        <v>173</v>
      </c>
      <c r="AO132" t="s">
        <v>65</v>
      </c>
      <c r="AP132">
        <v>1204</v>
      </c>
      <c r="AQ132" t="s">
        <v>66</v>
      </c>
      <c r="AR132">
        <v>234414</v>
      </c>
      <c r="AU132" t="s">
        <v>57</v>
      </c>
      <c r="AV132" t="s">
        <v>68</v>
      </c>
      <c r="AX132" t="s">
        <v>57</v>
      </c>
      <c r="AY132">
        <v>631110</v>
      </c>
      <c r="AZ132">
        <v>1204.63111</v>
      </c>
      <c r="BA132" s="23" t="s">
        <v>12</v>
      </c>
    </row>
    <row r="133" spans="1:53" x14ac:dyDescent="0.25">
      <c r="A133" t="s">
        <v>134</v>
      </c>
      <c r="B133" t="s">
        <v>135</v>
      </c>
      <c r="C133">
        <v>22001840</v>
      </c>
      <c r="D133">
        <v>1204</v>
      </c>
      <c r="E133" s="11">
        <v>44782</v>
      </c>
      <c r="F133" t="s">
        <v>175</v>
      </c>
      <c r="G133" s="25">
        <v>1.21</v>
      </c>
      <c r="H133">
        <v>1.21</v>
      </c>
      <c r="I133" t="s">
        <v>56</v>
      </c>
      <c r="O133" t="s">
        <v>57</v>
      </c>
      <c r="Q133" t="s">
        <v>57</v>
      </c>
      <c r="R133" t="s">
        <v>137</v>
      </c>
      <c r="T133" t="s">
        <v>59</v>
      </c>
      <c r="U133" t="s">
        <v>60</v>
      </c>
      <c r="V133" t="s">
        <v>138</v>
      </c>
      <c r="W133" t="s">
        <v>139</v>
      </c>
      <c r="X133">
        <v>1929850</v>
      </c>
      <c r="Y133" s="11">
        <v>44782</v>
      </c>
      <c r="Z133" t="s">
        <v>57</v>
      </c>
      <c r="AA133">
        <v>6</v>
      </c>
      <c r="AB133" t="s">
        <v>57</v>
      </c>
      <c r="AD133" t="s">
        <v>57</v>
      </c>
      <c r="AE133" t="s">
        <v>57</v>
      </c>
      <c r="AF133" t="s">
        <v>57</v>
      </c>
      <c r="AG133">
        <v>11</v>
      </c>
      <c r="AH133" t="s">
        <v>57</v>
      </c>
      <c r="AL133" t="s">
        <v>57</v>
      </c>
      <c r="AM133" s="11">
        <v>44782</v>
      </c>
      <c r="AN133" t="s">
        <v>176</v>
      </c>
      <c r="AO133" t="s">
        <v>65</v>
      </c>
      <c r="AP133">
        <v>1204</v>
      </c>
      <c r="AQ133" t="s">
        <v>66</v>
      </c>
      <c r="AR133">
        <v>90435</v>
      </c>
      <c r="AU133" t="s">
        <v>57</v>
      </c>
      <c r="AV133" t="s">
        <v>68</v>
      </c>
      <c r="AX133" t="s">
        <v>57</v>
      </c>
      <c r="AY133">
        <v>631110</v>
      </c>
      <c r="AZ133">
        <v>1204.63111</v>
      </c>
      <c r="BA133" s="23" t="s">
        <v>12</v>
      </c>
    </row>
    <row r="134" spans="1:53" x14ac:dyDescent="0.25">
      <c r="A134" t="s">
        <v>134</v>
      </c>
      <c r="B134" t="s">
        <v>135</v>
      </c>
      <c r="C134">
        <v>22001877</v>
      </c>
      <c r="D134">
        <v>1204</v>
      </c>
      <c r="E134" s="11">
        <v>44791</v>
      </c>
      <c r="F134" t="s">
        <v>174</v>
      </c>
      <c r="G134" s="25">
        <v>1.21</v>
      </c>
      <c r="H134">
        <v>1.21</v>
      </c>
      <c r="I134" t="s">
        <v>56</v>
      </c>
      <c r="O134" t="s">
        <v>57</v>
      </c>
      <c r="Q134" t="s">
        <v>57</v>
      </c>
      <c r="R134" t="s">
        <v>137</v>
      </c>
      <c r="T134" t="s">
        <v>59</v>
      </c>
      <c r="U134" t="s">
        <v>60</v>
      </c>
      <c r="V134" t="s">
        <v>138</v>
      </c>
      <c r="W134" t="s">
        <v>139</v>
      </c>
      <c r="X134">
        <v>1933535</v>
      </c>
      <c r="Y134" s="11">
        <v>44791</v>
      </c>
      <c r="Z134" t="s">
        <v>57</v>
      </c>
      <c r="AA134">
        <v>14</v>
      </c>
      <c r="AB134" t="s">
        <v>57</v>
      </c>
      <c r="AD134" t="s">
        <v>57</v>
      </c>
      <c r="AE134" t="s">
        <v>57</v>
      </c>
      <c r="AF134" t="s">
        <v>57</v>
      </c>
      <c r="AG134">
        <v>1</v>
      </c>
      <c r="AH134" t="s">
        <v>57</v>
      </c>
      <c r="AL134" t="s">
        <v>57</v>
      </c>
      <c r="AM134" s="11">
        <v>44791</v>
      </c>
      <c r="AN134" t="s">
        <v>173</v>
      </c>
      <c r="AO134" t="s">
        <v>65</v>
      </c>
      <c r="AP134">
        <v>1204</v>
      </c>
      <c r="AQ134" t="s">
        <v>66</v>
      </c>
      <c r="AR134">
        <v>234414</v>
      </c>
      <c r="AU134" t="s">
        <v>57</v>
      </c>
      <c r="AV134" t="s">
        <v>68</v>
      </c>
      <c r="AX134" t="s">
        <v>57</v>
      </c>
      <c r="AY134">
        <v>631110</v>
      </c>
      <c r="AZ134">
        <v>1204.63111</v>
      </c>
      <c r="BA134" s="23" t="s">
        <v>12</v>
      </c>
    </row>
    <row r="135" spans="1:53" x14ac:dyDescent="0.25">
      <c r="A135" t="s">
        <v>134</v>
      </c>
      <c r="B135" t="s">
        <v>135</v>
      </c>
      <c r="C135">
        <v>22001830</v>
      </c>
      <c r="D135">
        <v>1204</v>
      </c>
      <c r="E135" s="11">
        <v>44781</v>
      </c>
      <c r="F135" t="s">
        <v>174</v>
      </c>
      <c r="G135" s="25">
        <v>1.24</v>
      </c>
      <c r="H135">
        <v>1.24</v>
      </c>
      <c r="I135" t="s">
        <v>56</v>
      </c>
      <c r="O135" t="s">
        <v>57</v>
      </c>
      <c r="Q135" t="s">
        <v>57</v>
      </c>
      <c r="R135" t="s">
        <v>137</v>
      </c>
      <c r="T135" t="s">
        <v>59</v>
      </c>
      <c r="U135" t="s">
        <v>60</v>
      </c>
      <c r="V135" t="s">
        <v>138</v>
      </c>
      <c r="W135" t="s">
        <v>139</v>
      </c>
      <c r="X135">
        <v>1928770</v>
      </c>
      <c r="Y135" s="11">
        <v>44781</v>
      </c>
      <c r="Z135" t="s">
        <v>57</v>
      </c>
      <c r="AA135">
        <v>24</v>
      </c>
      <c r="AB135" t="s">
        <v>57</v>
      </c>
      <c r="AD135" t="s">
        <v>57</v>
      </c>
      <c r="AE135" t="s">
        <v>57</v>
      </c>
      <c r="AF135" t="s">
        <v>57</v>
      </c>
      <c r="AG135">
        <v>1</v>
      </c>
      <c r="AH135" t="s">
        <v>57</v>
      </c>
      <c r="AL135" t="s">
        <v>57</v>
      </c>
      <c r="AM135" s="11">
        <v>44781</v>
      </c>
      <c r="AN135" t="s">
        <v>173</v>
      </c>
      <c r="AO135" t="s">
        <v>65</v>
      </c>
      <c r="AP135">
        <v>1204</v>
      </c>
      <c r="AQ135" t="s">
        <v>66</v>
      </c>
      <c r="AR135">
        <v>181880</v>
      </c>
      <c r="AU135" t="s">
        <v>57</v>
      </c>
      <c r="AV135" t="s">
        <v>68</v>
      </c>
      <c r="AX135" t="s">
        <v>57</v>
      </c>
      <c r="AY135">
        <v>631110</v>
      </c>
      <c r="AZ135">
        <v>1204.63111</v>
      </c>
      <c r="BA135" s="23" t="s">
        <v>12</v>
      </c>
    </row>
    <row r="136" spans="1:53" x14ac:dyDescent="0.25">
      <c r="A136" t="s">
        <v>134</v>
      </c>
      <c r="B136" t="s">
        <v>135</v>
      </c>
      <c r="C136">
        <v>22001830</v>
      </c>
      <c r="D136">
        <v>1204</v>
      </c>
      <c r="E136" s="11">
        <v>44781</v>
      </c>
      <c r="F136" t="s">
        <v>174</v>
      </c>
      <c r="G136" s="25">
        <v>1.26</v>
      </c>
      <c r="H136">
        <v>1.26</v>
      </c>
      <c r="I136" t="s">
        <v>56</v>
      </c>
      <c r="O136" t="s">
        <v>57</v>
      </c>
      <c r="Q136" t="s">
        <v>57</v>
      </c>
      <c r="R136" t="s">
        <v>137</v>
      </c>
      <c r="T136" t="s">
        <v>59</v>
      </c>
      <c r="U136" t="s">
        <v>60</v>
      </c>
      <c r="V136" t="s">
        <v>138</v>
      </c>
      <c r="W136" t="s">
        <v>139</v>
      </c>
      <c r="X136">
        <v>1928770</v>
      </c>
      <c r="Y136" s="11">
        <v>44781</v>
      </c>
      <c r="Z136" t="s">
        <v>57</v>
      </c>
      <c r="AA136">
        <v>16</v>
      </c>
      <c r="AB136" t="s">
        <v>57</v>
      </c>
      <c r="AD136" t="s">
        <v>57</v>
      </c>
      <c r="AE136" t="s">
        <v>57</v>
      </c>
      <c r="AF136" t="s">
        <v>57</v>
      </c>
      <c r="AG136">
        <v>2</v>
      </c>
      <c r="AH136" t="s">
        <v>57</v>
      </c>
      <c r="AL136" t="s">
        <v>57</v>
      </c>
      <c r="AM136" s="11">
        <v>44781</v>
      </c>
      <c r="AN136" t="s">
        <v>173</v>
      </c>
      <c r="AO136" t="s">
        <v>65</v>
      </c>
      <c r="AP136">
        <v>1204</v>
      </c>
      <c r="AQ136" t="s">
        <v>66</v>
      </c>
      <c r="AR136">
        <v>220123</v>
      </c>
      <c r="AU136" t="s">
        <v>57</v>
      </c>
      <c r="AV136" t="s">
        <v>68</v>
      </c>
      <c r="AX136" t="s">
        <v>57</v>
      </c>
      <c r="AY136">
        <v>631110</v>
      </c>
      <c r="AZ136">
        <v>1204.63111</v>
      </c>
      <c r="BA136" s="23" t="s">
        <v>12</v>
      </c>
    </row>
    <row r="137" spans="1:53" x14ac:dyDescent="0.25">
      <c r="A137" t="s">
        <v>134</v>
      </c>
      <c r="B137" t="s">
        <v>135</v>
      </c>
      <c r="C137">
        <v>22001842</v>
      </c>
      <c r="D137">
        <v>1204</v>
      </c>
      <c r="E137" s="11">
        <v>44783</v>
      </c>
      <c r="F137" t="s">
        <v>174</v>
      </c>
      <c r="G137" s="25">
        <v>1.26</v>
      </c>
      <c r="H137">
        <v>1.26</v>
      </c>
      <c r="I137" t="s">
        <v>56</v>
      </c>
      <c r="O137" t="s">
        <v>57</v>
      </c>
      <c r="Q137" t="s">
        <v>57</v>
      </c>
      <c r="R137" t="s">
        <v>137</v>
      </c>
      <c r="T137" t="s">
        <v>59</v>
      </c>
      <c r="U137" t="s">
        <v>60</v>
      </c>
      <c r="V137" t="s">
        <v>138</v>
      </c>
      <c r="W137" t="s">
        <v>139</v>
      </c>
      <c r="X137">
        <v>1930268</v>
      </c>
      <c r="Y137" s="11">
        <v>44783</v>
      </c>
      <c r="Z137" t="s">
        <v>57</v>
      </c>
      <c r="AA137">
        <v>12</v>
      </c>
      <c r="AB137" t="s">
        <v>57</v>
      </c>
      <c r="AD137" t="s">
        <v>57</v>
      </c>
      <c r="AE137" t="s">
        <v>57</v>
      </c>
      <c r="AF137" t="s">
        <v>57</v>
      </c>
      <c r="AG137">
        <v>2</v>
      </c>
      <c r="AH137" t="s">
        <v>57</v>
      </c>
      <c r="AL137" t="s">
        <v>57</v>
      </c>
      <c r="AM137" s="11">
        <v>44783</v>
      </c>
      <c r="AN137" t="s">
        <v>173</v>
      </c>
      <c r="AO137" t="s">
        <v>65</v>
      </c>
      <c r="AP137">
        <v>1204</v>
      </c>
      <c r="AQ137" t="s">
        <v>66</v>
      </c>
      <c r="AR137">
        <v>220123</v>
      </c>
      <c r="AU137" t="s">
        <v>57</v>
      </c>
      <c r="AV137" t="s">
        <v>68</v>
      </c>
      <c r="AX137" t="s">
        <v>57</v>
      </c>
      <c r="AY137">
        <v>631110</v>
      </c>
      <c r="AZ137">
        <v>1204.63111</v>
      </c>
      <c r="BA137" s="23" t="s">
        <v>12</v>
      </c>
    </row>
    <row r="138" spans="1:53" x14ac:dyDescent="0.25">
      <c r="A138" t="s">
        <v>134</v>
      </c>
      <c r="B138" t="s">
        <v>135</v>
      </c>
      <c r="C138">
        <v>22001849</v>
      </c>
      <c r="D138">
        <v>1204</v>
      </c>
      <c r="E138" s="11">
        <v>44784</v>
      </c>
      <c r="F138" t="s">
        <v>174</v>
      </c>
      <c r="G138" s="25">
        <v>1.26</v>
      </c>
      <c r="H138">
        <v>1.26</v>
      </c>
      <c r="I138" t="s">
        <v>56</v>
      </c>
      <c r="O138" t="s">
        <v>57</v>
      </c>
      <c r="Q138" t="s">
        <v>57</v>
      </c>
      <c r="R138" t="s">
        <v>137</v>
      </c>
      <c r="T138" t="s">
        <v>59</v>
      </c>
      <c r="U138" t="s">
        <v>60</v>
      </c>
      <c r="V138" t="s">
        <v>138</v>
      </c>
      <c r="W138" t="s">
        <v>139</v>
      </c>
      <c r="X138">
        <v>1930407</v>
      </c>
      <c r="Y138" s="11">
        <v>44784</v>
      </c>
      <c r="Z138" t="s">
        <v>57</v>
      </c>
      <c r="AA138">
        <v>10</v>
      </c>
      <c r="AB138" t="s">
        <v>57</v>
      </c>
      <c r="AD138" t="s">
        <v>57</v>
      </c>
      <c r="AE138" t="s">
        <v>57</v>
      </c>
      <c r="AF138" t="s">
        <v>57</v>
      </c>
      <c r="AG138">
        <v>1</v>
      </c>
      <c r="AH138" t="s">
        <v>57</v>
      </c>
      <c r="AL138" t="s">
        <v>57</v>
      </c>
      <c r="AM138" s="11">
        <v>44784</v>
      </c>
      <c r="AN138" t="s">
        <v>173</v>
      </c>
      <c r="AO138" t="s">
        <v>65</v>
      </c>
      <c r="AP138">
        <v>1204</v>
      </c>
      <c r="AQ138" t="s">
        <v>66</v>
      </c>
      <c r="AR138">
        <v>88783</v>
      </c>
      <c r="AU138" t="s">
        <v>57</v>
      </c>
      <c r="AV138" t="s">
        <v>68</v>
      </c>
      <c r="AX138" t="s">
        <v>57</v>
      </c>
      <c r="AY138">
        <v>631110</v>
      </c>
      <c r="AZ138">
        <v>1204.63111</v>
      </c>
      <c r="BA138" s="23" t="s">
        <v>12</v>
      </c>
    </row>
    <row r="139" spans="1:53" x14ac:dyDescent="0.25">
      <c r="A139" t="s">
        <v>134</v>
      </c>
      <c r="B139" t="s">
        <v>135</v>
      </c>
      <c r="C139">
        <v>22001849</v>
      </c>
      <c r="D139">
        <v>1204</v>
      </c>
      <c r="E139" s="11">
        <v>44784</v>
      </c>
      <c r="F139" t="s">
        <v>174</v>
      </c>
      <c r="G139" s="25">
        <v>1.26</v>
      </c>
      <c r="H139">
        <v>1.26</v>
      </c>
      <c r="I139" t="s">
        <v>56</v>
      </c>
      <c r="O139" t="s">
        <v>57</v>
      </c>
      <c r="Q139" t="s">
        <v>57</v>
      </c>
      <c r="R139" t="s">
        <v>137</v>
      </c>
      <c r="T139" t="s">
        <v>59</v>
      </c>
      <c r="U139" t="s">
        <v>60</v>
      </c>
      <c r="V139" t="s">
        <v>138</v>
      </c>
      <c r="W139" t="s">
        <v>139</v>
      </c>
      <c r="X139">
        <v>1930407</v>
      </c>
      <c r="Y139" s="11">
        <v>44784</v>
      </c>
      <c r="Z139" t="s">
        <v>57</v>
      </c>
      <c r="AA139">
        <v>24</v>
      </c>
      <c r="AB139" t="s">
        <v>57</v>
      </c>
      <c r="AD139" t="s">
        <v>57</v>
      </c>
      <c r="AE139" t="s">
        <v>57</v>
      </c>
      <c r="AF139" t="s">
        <v>57</v>
      </c>
      <c r="AG139">
        <v>1</v>
      </c>
      <c r="AH139" t="s">
        <v>57</v>
      </c>
      <c r="AL139" t="s">
        <v>57</v>
      </c>
      <c r="AM139" s="11">
        <v>44784</v>
      </c>
      <c r="AN139" t="s">
        <v>173</v>
      </c>
      <c r="AO139" t="s">
        <v>65</v>
      </c>
      <c r="AP139">
        <v>1204</v>
      </c>
      <c r="AQ139" t="s">
        <v>66</v>
      </c>
      <c r="AR139">
        <v>88783</v>
      </c>
      <c r="AU139" t="s">
        <v>57</v>
      </c>
      <c r="AV139" t="s">
        <v>68</v>
      </c>
      <c r="AX139" t="s">
        <v>57</v>
      </c>
      <c r="AY139">
        <v>631110</v>
      </c>
      <c r="AZ139">
        <v>1204.63111</v>
      </c>
      <c r="BA139" s="23" t="s">
        <v>12</v>
      </c>
    </row>
    <row r="140" spans="1:53" x14ac:dyDescent="0.25">
      <c r="A140" t="s">
        <v>134</v>
      </c>
      <c r="B140" t="s">
        <v>135</v>
      </c>
      <c r="C140">
        <v>22001867</v>
      </c>
      <c r="D140">
        <v>1204</v>
      </c>
      <c r="E140" s="11">
        <v>44788</v>
      </c>
      <c r="F140" t="s">
        <v>174</v>
      </c>
      <c r="G140" s="25">
        <v>1.26</v>
      </c>
      <c r="H140">
        <v>1.26</v>
      </c>
      <c r="I140" t="s">
        <v>56</v>
      </c>
      <c r="O140" t="s">
        <v>57</v>
      </c>
      <c r="Q140" t="s">
        <v>57</v>
      </c>
      <c r="R140" t="s">
        <v>137</v>
      </c>
      <c r="T140" t="s">
        <v>59</v>
      </c>
      <c r="U140" t="s">
        <v>60</v>
      </c>
      <c r="V140" t="s">
        <v>138</v>
      </c>
      <c r="W140" t="s">
        <v>139</v>
      </c>
      <c r="X140">
        <v>1932108</v>
      </c>
      <c r="Y140" s="11">
        <v>44788</v>
      </c>
      <c r="Z140" t="s">
        <v>57</v>
      </c>
      <c r="AA140">
        <v>10</v>
      </c>
      <c r="AB140" t="s">
        <v>57</v>
      </c>
      <c r="AD140" t="s">
        <v>57</v>
      </c>
      <c r="AE140" t="s">
        <v>57</v>
      </c>
      <c r="AF140" t="s">
        <v>57</v>
      </c>
      <c r="AG140">
        <v>2</v>
      </c>
      <c r="AH140" t="s">
        <v>57</v>
      </c>
      <c r="AL140" t="s">
        <v>57</v>
      </c>
      <c r="AM140" s="11">
        <v>44788</v>
      </c>
      <c r="AN140" t="s">
        <v>173</v>
      </c>
      <c r="AO140" t="s">
        <v>65</v>
      </c>
      <c r="AP140">
        <v>1204</v>
      </c>
      <c r="AQ140" t="s">
        <v>66</v>
      </c>
      <c r="AR140">
        <v>220123</v>
      </c>
      <c r="AU140" t="s">
        <v>57</v>
      </c>
      <c r="AV140" t="s">
        <v>68</v>
      </c>
      <c r="AX140" t="s">
        <v>57</v>
      </c>
      <c r="AY140">
        <v>631110</v>
      </c>
      <c r="AZ140">
        <v>1204.63111</v>
      </c>
      <c r="BA140" s="23" t="s">
        <v>12</v>
      </c>
    </row>
    <row r="141" spans="1:53" x14ac:dyDescent="0.25">
      <c r="A141" t="s">
        <v>134</v>
      </c>
      <c r="B141" t="s">
        <v>135</v>
      </c>
      <c r="C141">
        <v>22001808</v>
      </c>
      <c r="D141">
        <v>1204</v>
      </c>
      <c r="E141" s="11">
        <v>44776</v>
      </c>
      <c r="F141" t="s">
        <v>174</v>
      </c>
      <c r="G141" s="25">
        <v>1.27</v>
      </c>
      <c r="H141">
        <v>1.27</v>
      </c>
      <c r="I141" t="s">
        <v>56</v>
      </c>
      <c r="O141" t="s">
        <v>57</v>
      </c>
      <c r="Q141" t="s">
        <v>57</v>
      </c>
      <c r="R141" t="s">
        <v>137</v>
      </c>
      <c r="T141" t="s">
        <v>59</v>
      </c>
      <c r="U141" t="s">
        <v>60</v>
      </c>
      <c r="V141" t="s">
        <v>138</v>
      </c>
      <c r="W141" t="s">
        <v>139</v>
      </c>
      <c r="X141">
        <v>1926830</v>
      </c>
      <c r="Y141" s="11">
        <v>44776</v>
      </c>
      <c r="Z141" t="s">
        <v>57</v>
      </c>
      <c r="AA141">
        <v>12</v>
      </c>
      <c r="AB141" t="s">
        <v>57</v>
      </c>
      <c r="AD141" t="s">
        <v>57</v>
      </c>
      <c r="AE141" t="s">
        <v>57</v>
      </c>
      <c r="AF141" t="s">
        <v>57</v>
      </c>
      <c r="AG141">
        <v>1</v>
      </c>
      <c r="AH141" t="s">
        <v>57</v>
      </c>
      <c r="AL141" t="s">
        <v>57</v>
      </c>
      <c r="AM141" s="11">
        <v>44776</v>
      </c>
      <c r="AN141" t="s">
        <v>173</v>
      </c>
      <c r="AO141" t="s">
        <v>65</v>
      </c>
      <c r="AP141">
        <v>1204</v>
      </c>
      <c r="AQ141" t="s">
        <v>66</v>
      </c>
      <c r="AR141">
        <v>270711</v>
      </c>
      <c r="AU141" t="s">
        <v>57</v>
      </c>
      <c r="AV141" t="s">
        <v>68</v>
      </c>
      <c r="AX141" t="s">
        <v>57</v>
      </c>
      <c r="AY141">
        <v>631110</v>
      </c>
      <c r="AZ141">
        <v>1204.63111</v>
      </c>
      <c r="BA141" s="23" t="s">
        <v>12</v>
      </c>
    </row>
    <row r="142" spans="1:53" x14ac:dyDescent="0.25">
      <c r="A142" t="s">
        <v>134</v>
      </c>
      <c r="B142" t="s">
        <v>135</v>
      </c>
      <c r="C142">
        <v>22001851</v>
      </c>
      <c r="D142">
        <v>1204</v>
      </c>
      <c r="E142" s="11">
        <v>44784</v>
      </c>
      <c r="F142" t="s">
        <v>174</v>
      </c>
      <c r="G142" s="25">
        <v>1.29</v>
      </c>
      <c r="H142">
        <v>1.29</v>
      </c>
      <c r="I142" t="s">
        <v>56</v>
      </c>
      <c r="O142" t="s">
        <v>57</v>
      </c>
      <c r="Q142" t="s">
        <v>57</v>
      </c>
      <c r="R142" t="s">
        <v>137</v>
      </c>
      <c r="T142" t="s">
        <v>59</v>
      </c>
      <c r="U142" t="s">
        <v>60</v>
      </c>
      <c r="V142" t="s">
        <v>138</v>
      </c>
      <c r="W142" t="s">
        <v>139</v>
      </c>
      <c r="X142">
        <v>1930522</v>
      </c>
      <c r="Y142" s="11">
        <v>44784</v>
      </c>
      <c r="Z142" t="s">
        <v>57</v>
      </c>
      <c r="AA142">
        <v>6</v>
      </c>
      <c r="AB142" t="s">
        <v>57</v>
      </c>
      <c r="AD142" t="s">
        <v>57</v>
      </c>
      <c r="AE142" t="s">
        <v>57</v>
      </c>
      <c r="AF142" t="s">
        <v>57</v>
      </c>
      <c r="AG142">
        <v>2</v>
      </c>
      <c r="AH142" t="s">
        <v>57</v>
      </c>
      <c r="AL142" t="s">
        <v>57</v>
      </c>
      <c r="AM142" s="11">
        <v>44784</v>
      </c>
      <c r="AN142" t="s">
        <v>173</v>
      </c>
      <c r="AO142" t="s">
        <v>65</v>
      </c>
      <c r="AP142">
        <v>1204</v>
      </c>
      <c r="AQ142" t="s">
        <v>66</v>
      </c>
      <c r="AR142">
        <v>270710</v>
      </c>
      <c r="AU142" t="s">
        <v>57</v>
      </c>
      <c r="AV142" t="s">
        <v>68</v>
      </c>
      <c r="AX142" t="s">
        <v>57</v>
      </c>
      <c r="AY142">
        <v>631110</v>
      </c>
      <c r="AZ142">
        <v>1204.63111</v>
      </c>
      <c r="BA142" s="23" t="s">
        <v>12</v>
      </c>
    </row>
    <row r="143" spans="1:53" x14ac:dyDescent="0.25">
      <c r="A143" t="s">
        <v>134</v>
      </c>
      <c r="B143" t="s">
        <v>135</v>
      </c>
      <c r="C143">
        <v>22001810</v>
      </c>
      <c r="D143">
        <v>1204</v>
      </c>
      <c r="E143" s="11">
        <v>44776</v>
      </c>
      <c r="F143" t="s">
        <v>175</v>
      </c>
      <c r="G143" s="25">
        <v>1.32</v>
      </c>
      <c r="H143">
        <v>1.32</v>
      </c>
      <c r="I143" t="s">
        <v>56</v>
      </c>
      <c r="O143" t="s">
        <v>57</v>
      </c>
      <c r="Q143" t="s">
        <v>57</v>
      </c>
      <c r="R143" t="s">
        <v>137</v>
      </c>
      <c r="T143" t="s">
        <v>59</v>
      </c>
      <c r="U143" t="s">
        <v>60</v>
      </c>
      <c r="V143" t="s">
        <v>138</v>
      </c>
      <c r="W143" t="s">
        <v>139</v>
      </c>
      <c r="X143">
        <v>1927035</v>
      </c>
      <c r="Y143" s="11">
        <v>44776</v>
      </c>
      <c r="Z143" t="s">
        <v>57</v>
      </c>
      <c r="AA143">
        <v>4</v>
      </c>
      <c r="AB143" t="s">
        <v>57</v>
      </c>
      <c r="AD143" t="s">
        <v>57</v>
      </c>
      <c r="AE143" t="s">
        <v>57</v>
      </c>
      <c r="AF143" t="s">
        <v>57</v>
      </c>
      <c r="AG143">
        <v>12</v>
      </c>
      <c r="AH143" t="s">
        <v>57</v>
      </c>
      <c r="AL143" t="s">
        <v>57</v>
      </c>
      <c r="AM143" s="11">
        <v>44776</v>
      </c>
      <c r="AN143" t="s">
        <v>176</v>
      </c>
      <c r="AO143" t="s">
        <v>65</v>
      </c>
      <c r="AP143">
        <v>1204</v>
      </c>
      <c r="AQ143" t="s">
        <v>66</v>
      </c>
      <c r="AR143">
        <v>265267</v>
      </c>
      <c r="AU143" t="s">
        <v>57</v>
      </c>
      <c r="AV143" t="s">
        <v>68</v>
      </c>
      <c r="AX143" t="s">
        <v>57</v>
      </c>
      <c r="AY143">
        <v>631110</v>
      </c>
      <c r="AZ143">
        <v>1204.63111</v>
      </c>
      <c r="BA143" s="23" t="s">
        <v>12</v>
      </c>
    </row>
    <row r="144" spans="1:53" x14ac:dyDescent="0.25">
      <c r="A144" t="s">
        <v>134</v>
      </c>
      <c r="B144" t="s">
        <v>135</v>
      </c>
      <c r="C144">
        <v>22001874</v>
      </c>
      <c r="D144">
        <v>1204</v>
      </c>
      <c r="E144" s="11">
        <v>44789</v>
      </c>
      <c r="F144" t="s">
        <v>135</v>
      </c>
      <c r="G144" s="25">
        <v>1.35</v>
      </c>
      <c r="H144">
        <v>1.35</v>
      </c>
      <c r="I144" t="s">
        <v>56</v>
      </c>
      <c r="O144" t="s">
        <v>57</v>
      </c>
      <c r="Q144" t="s">
        <v>57</v>
      </c>
      <c r="R144" t="s">
        <v>137</v>
      </c>
      <c r="T144" t="s">
        <v>59</v>
      </c>
      <c r="U144" t="s">
        <v>60</v>
      </c>
      <c r="V144" t="s">
        <v>138</v>
      </c>
      <c r="W144" t="s">
        <v>139</v>
      </c>
      <c r="X144">
        <v>1933168</v>
      </c>
      <c r="Y144" s="11">
        <v>44789</v>
      </c>
      <c r="Z144" t="s">
        <v>57</v>
      </c>
      <c r="AA144">
        <v>20</v>
      </c>
      <c r="AB144" t="s">
        <v>57</v>
      </c>
      <c r="AD144" t="s">
        <v>57</v>
      </c>
      <c r="AE144" t="s">
        <v>57</v>
      </c>
      <c r="AF144" t="s">
        <v>57</v>
      </c>
      <c r="AG144">
        <v>9</v>
      </c>
      <c r="AH144" t="s">
        <v>57</v>
      </c>
      <c r="AL144" t="s">
        <v>57</v>
      </c>
      <c r="AM144" s="11">
        <v>44789</v>
      </c>
      <c r="AN144" t="s">
        <v>176</v>
      </c>
      <c r="AO144" t="s">
        <v>65</v>
      </c>
      <c r="AP144">
        <v>1204</v>
      </c>
      <c r="AQ144" t="s">
        <v>66</v>
      </c>
      <c r="AR144">
        <v>144854</v>
      </c>
      <c r="AU144" t="s">
        <v>57</v>
      </c>
      <c r="AV144" t="s">
        <v>68</v>
      </c>
      <c r="AX144" t="s">
        <v>57</v>
      </c>
      <c r="AY144">
        <v>631110</v>
      </c>
      <c r="AZ144">
        <v>1204.63111</v>
      </c>
      <c r="BA144" s="23" t="s">
        <v>12</v>
      </c>
    </row>
    <row r="145" spans="1:53" x14ac:dyDescent="0.25">
      <c r="A145" t="s">
        <v>134</v>
      </c>
      <c r="B145" t="s">
        <v>135</v>
      </c>
      <c r="C145">
        <v>22001810</v>
      </c>
      <c r="D145">
        <v>1204</v>
      </c>
      <c r="E145" s="11">
        <v>44776</v>
      </c>
      <c r="F145" t="s">
        <v>175</v>
      </c>
      <c r="G145" s="25">
        <v>1.38</v>
      </c>
      <c r="H145">
        <v>1.38</v>
      </c>
      <c r="I145" t="s">
        <v>56</v>
      </c>
      <c r="O145" t="s">
        <v>57</v>
      </c>
      <c r="Q145" t="s">
        <v>57</v>
      </c>
      <c r="R145" t="s">
        <v>137</v>
      </c>
      <c r="T145" t="s">
        <v>59</v>
      </c>
      <c r="U145" t="s">
        <v>60</v>
      </c>
      <c r="V145" t="s">
        <v>138</v>
      </c>
      <c r="W145" t="s">
        <v>139</v>
      </c>
      <c r="X145">
        <v>1927035</v>
      </c>
      <c r="Y145" s="11">
        <v>44776</v>
      </c>
      <c r="Z145" t="s">
        <v>57</v>
      </c>
      <c r="AA145">
        <v>14</v>
      </c>
      <c r="AB145" t="s">
        <v>57</v>
      </c>
      <c r="AD145" t="s">
        <v>57</v>
      </c>
      <c r="AE145" t="s">
        <v>57</v>
      </c>
      <c r="AF145" t="s">
        <v>57</v>
      </c>
      <c r="AG145">
        <v>9</v>
      </c>
      <c r="AH145" t="s">
        <v>57</v>
      </c>
      <c r="AL145" t="s">
        <v>57</v>
      </c>
      <c r="AM145" s="11">
        <v>44776</v>
      </c>
      <c r="AN145" t="s">
        <v>176</v>
      </c>
      <c r="AO145" t="s">
        <v>65</v>
      </c>
      <c r="AP145">
        <v>1204</v>
      </c>
      <c r="AQ145" t="s">
        <v>66</v>
      </c>
      <c r="AR145">
        <v>144854</v>
      </c>
      <c r="AU145" t="s">
        <v>57</v>
      </c>
      <c r="AV145" t="s">
        <v>68</v>
      </c>
      <c r="AX145" t="s">
        <v>57</v>
      </c>
      <c r="AY145">
        <v>631110</v>
      </c>
      <c r="AZ145">
        <v>1204.63111</v>
      </c>
      <c r="BA145" s="23" t="s">
        <v>12</v>
      </c>
    </row>
    <row r="146" spans="1:53" x14ac:dyDescent="0.25">
      <c r="A146" t="s">
        <v>134</v>
      </c>
      <c r="B146" t="s">
        <v>135</v>
      </c>
      <c r="C146">
        <v>22001852</v>
      </c>
      <c r="D146">
        <v>1204</v>
      </c>
      <c r="E146" s="11">
        <v>44784</v>
      </c>
      <c r="F146" t="s">
        <v>175</v>
      </c>
      <c r="G146" s="25">
        <v>1.41</v>
      </c>
      <c r="H146">
        <v>1.41</v>
      </c>
      <c r="I146" t="s">
        <v>56</v>
      </c>
      <c r="O146" t="s">
        <v>57</v>
      </c>
      <c r="Q146" t="s">
        <v>57</v>
      </c>
      <c r="R146" t="s">
        <v>137</v>
      </c>
      <c r="T146" t="s">
        <v>59</v>
      </c>
      <c r="U146" t="s">
        <v>60</v>
      </c>
      <c r="V146" t="s">
        <v>138</v>
      </c>
      <c r="W146" t="s">
        <v>139</v>
      </c>
      <c r="X146">
        <v>1930523</v>
      </c>
      <c r="Y146" s="11">
        <v>44784</v>
      </c>
      <c r="Z146" t="s">
        <v>57</v>
      </c>
      <c r="AA146">
        <v>10</v>
      </c>
      <c r="AB146" t="s">
        <v>57</v>
      </c>
      <c r="AD146" t="s">
        <v>57</v>
      </c>
      <c r="AE146" t="s">
        <v>57</v>
      </c>
      <c r="AF146" t="s">
        <v>57</v>
      </c>
      <c r="AG146">
        <v>9</v>
      </c>
      <c r="AH146" t="s">
        <v>57</v>
      </c>
      <c r="AL146" t="s">
        <v>57</v>
      </c>
      <c r="AM146" s="11">
        <v>44784</v>
      </c>
      <c r="AN146" t="s">
        <v>176</v>
      </c>
      <c r="AO146" t="s">
        <v>65</v>
      </c>
      <c r="AP146">
        <v>1204</v>
      </c>
      <c r="AQ146" t="s">
        <v>66</v>
      </c>
      <c r="AR146">
        <v>89712</v>
      </c>
      <c r="AU146" t="s">
        <v>57</v>
      </c>
      <c r="AV146" t="s">
        <v>68</v>
      </c>
      <c r="AX146" t="s">
        <v>57</v>
      </c>
      <c r="AY146">
        <v>631110</v>
      </c>
      <c r="AZ146">
        <v>1204.63111</v>
      </c>
      <c r="BA146" s="23" t="s">
        <v>12</v>
      </c>
    </row>
    <row r="147" spans="1:53" x14ac:dyDescent="0.25">
      <c r="A147" t="s">
        <v>134</v>
      </c>
      <c r="B147" t="s">
        <v>135</v>
      </c>
      <c r="C147">
        <v>22001874</v>
      </c>
      <c r="D147">
        <v>1204</v>
      </c>
      <c r="E147" s="11">
        <v>44789</v>
      </c>
      <c r="F147" t="s">
        <v>135</v>
      </c>
      <c r="G147" s="25">
        <v>1.41</v>
      </c>
      <c r="H147">
        <v>1.41</v>
      </c>
      <c r="I147" t="s">
        <v>56</v>
      </c>
      <c r="O147" t="s">
        <v>57</v>
      </c>
      <c r="Q147" t="s">
        <v>57</v>
      </c>
      <c r="R147" t="s">
        <v>137</v>
      </c>
      <c r="T147" t="s">
        <v>59</v>
      </c>
      <c r="U147" t="s">
        <v>60</v>
      </c>
      <c r="V147" t="s">
        <v>138</v>
      </c>
      <c r="W147" t="s">
        <v>139</v>
      </c>
      <c r="X147">
        <v>1933168</v>
      </c>
      <c r="Y147" s="11">
        <v>44789</v>
      </c>
      <c r="Z147" t="s">
        <v>57</v>
      </c>
      <c r="AA147">
        <v>16</v>
      </c>
      <c r="AB147" t="s">
        <v>57</v>
      </c>
      <c r="AD147" t="s">
        <v>57</v>
      </c>
      <c r="AE147" t="s">
        <v>57</v>
      </c>
      <c r="AF147" t="s">
        <v>57</v>
      </c>
      <c r="AG147">
        <v>9</v>
      </c>
      <c r="AH147" t="s">
        <v>57</v>
      </c>
      <c r="AL147" t="s">
        <v>57</v>
      </c>
      <c r="AM147" s="11">
        <v>44789</v>
      </c>
      <c r="AN147" t="s">
        <v>176</v>
      </c>
      <c r="AO147" t="s">
        <v>65</v>
      </c>
      <c r="AP147">
        <v>1204</v>
      </c>
      <c r="AQ147" t="s">
        <v>66</v>
      </c>
      <c r="AR147">
        <v>89712</v>
      </c>
      <c r="AU147" t="s">
        <v>57</v>
      </c>
      <c r="AV147" t="s">
        <v>68</v>
      </c>
      <c r="AX147" t="s">
        <v>57</v>
      </c>
      <c r="AY147">
        <v>631110</v>
      </c>
      <c r="AZ147">
        <v>1204.63111</v>
      </c>
      <c r="BA147" s="23" t="s">
        <v>12</v>
      </c>
    </row>
    <row r="148" spans="1:53" x14ac:dyDescent="0.25">
      <c r="A148" t="s">
        <v>134</v>
      </c>
      <c r="B148" t="s">
        <v>135</v>
      </c>
      <c r="C148">
        <v>22001837</v>
      </c>
      <c r="D148">
        <v>1204</v>
      </c>
      <c r="E148" s="11">
        <v>44782</v>
      </c>
      <c r="F148" t="s">
        <v>174</v>
      </c>
      <c r="G148" s="25">
        <v>1.42</v>
      </c>
      <c r="H148">
        <v>1.42</v>
      </c>
      <c r="I148" t="s">
        <v>56</v>
      </c>
      <c r="O148" t="s">
        <v>57</v>
      </c>
      <c r="Q148" t="s">
        <v>57</v>
      </c>
      <c r="R148" t="s">
        <v>137</v>
      </c>
      <c r="T148" t="s">
        <v>59</v>
      </c>
      <c r="U148" t="s">
        <v>60</v>
      </c>
      <c r="V148" t="s">
        <v>138</v>
      </c>
      <c r="W148" t="s">
        <v>139</v>
      </c>
      <c r="X148">
        <v>1929196</v>
      </c>
      <c r="Y148" s="11">
        <v>44782</v>
      </c>
      <c r="Z148" t="s">
        <v>57</v>
      </c>
      <c r="AA148">
        <v>4</v>
      </c>
      <c r="AB148" t="s">
        <v>57</v>
      </c>
      <c r="AD148" t="s">
        <v>57</v>
      </c>
      <c r="AE148" t="s">
        <v>57</v>
      </c>
      <c r="AF148" t="s">
        <v>57</v>
      </c>
      <c r="AG148">
        <v>2</v>
      </c>
      <c r="AH148" t="s">
        <v>57</v>
      </c>
      <c r="AL148" t="s">
        <v>57</v>
      </c>
      <c r="AM148" s="11">
        <v>44782</v>
      </c>
      <c r="AN148" t="s">
        <v>173</v>
      </c>
      <c r="AO148" t="s">
        <v>65</v>
      </c>
      <c r="AP148">
        <v>1204</v>
      </c>
      <c r="AQ148" t="s">
        <v>66</v>
      </c>
      <c r="AR148">
        <v>89486</v>
      </c>
      <c r="AU148" t="s">
        <v>57</v>
      </c>
      <c r="AV148" t="s">
        <v>68</v>
      </c>
      <c r="AX148" t="s">
        <v>57</v>
      </c>
      <c r="AY148">
        <v>631110</v>
      </c>
      <c r="AZ148">
        <v>1204.63111</v>
      </c>
      <c r="BA148" s="23" t="s">
        <v>12</v>
      </c>
    </row>
    <row r="149" spans="1:53" x14ac:dyDescent="0.25">
      <c r="A149" t="s">
        <v>134</v>
      </c>
      <c r="B149" t="s">
        <v>135</v>
      </c>
      <c r="C149">
        <v>22001827</v>
      </c>
      <c r="D149">
        <v>1204</v>
      </c>
      <c r="E149" s="11">
        <v>44778</v>
      </c>
      <c r="F149" t="s">
        <v>174</v>
      </c>
      <c r="G149" s="25">
        <v>1.46</v>
      </c>
      <c r="H149">
        <v>1.46</v>
      </c>
      <c r="I149" t="s">
        <v>56</v>
      </c>
      <c r="O149" t="s">
        <v>57</v>
      </c>
      <c r="Q149" t="s">
        <v>57</v>
      </c>
      <c r="R149" t="s">
        <v>137</v>
      </c>
      <c r="T149" t="s">
        <v>59</v>
      </c>
      <c r="U149" t="s">
        <v>60</v>
      </c>
      <c r="V149" t="s">
        <v>138</v>
      </c>
      <c r="W149" t="s">
        <v>139</v>
      </c>
      <c r="X149">
        <v>1928763</v>
      </c>
      <c r="Y149" s="11">
        <v>44778</v>
      </c>
      <c r="Z149" t="s">
        <v>57</v>
      </c>
      <c r="AA149">
        <v>8</v>
      </c>
      <c r="AB149" t="s">
        <v>57</v>
      </c>
      <c r="AD149" t="s">
        <v>57</v>
      </c>
      <c r="AE149" t="s">
        <v>57</v>
      </c>
      <c r="AF149" t="s">
        <v>57</v>
      </c>
      <c r="AG149">
        <v>3</v>
      </c>
      <c r="AH149" t="s">
        <v>57</v>
      </c>
      <c r="AL149" t="s">
        <v>57</v>
      </c>
      <c r="AM149" s="11">
        <v>44778</v>
      </c>
      <c r="AN149" t="s">
        <v>173</v>
      </c>
      <c r="AO149" t="s">
        <v>65</v>
      </c>
      <c r="AP149">
        <v>1204</v>
      </c>
      <c r="AQ149" t="s">
        <v>66</v>
      </c>
      <c r="AR149">
        <v>228050</v>
      </c>
      <c r="AU149" t="s">
        <v>57</v>
      </c>
      <c r="AV149" t="s">
        <v>68</v>
      </c>
      <c r="AX149" t="s">
        <v>57</v>
      </c>
      <c r="AY149">
        <v>631110</v>
      </c>
      <c r="AZ149">
        <v>1204.63111</v>
      </c>
      <c r="BA149" s="23" t="s">
        <v>12</v>
      </c>
    </row>
    <row r="150" spans="1:53" x14ac:dyDescent="0.25">
      <c r="A150" t="s">
        <v>134</v>
      </c>
      <c r="B150" t="s">
        <v>135</v>
      </c>
      <c r="C150">
        <v>22001815</v>
      </c>
      <c r="D150">
        <v>1204</v>
      </c>
      <c r="E150" s="11">
        <v>44777</v>
      </c>
      <c r="F150" t="s">
        <v>175</v>
      </c>
      <c r="G150" s="25">
        <v>1.5</v>
      </c>
      <c r="H150">
        <v>1.5</v>
      </c>
      <c r="I150" t="s">
        <v>56</v>
      </c>
      <c r="O150" t="s">
        <v>57</v>
      </c>
      <c r="Q150" t="s">
        <v>57</v>
      </c>
      <c r="R150" t="s">
        <v>137</v>
      </c>
      <c r="T150" t="s">
        <v>59</v>
      </c>
      <c r="U150" t="s">
        <v>60</v>
      </c>
      <c r="V150" t="s">
        <v>138</v>
      </c>
      <c r="W150" t="s">
        <v>139</v>
      </c>
      <c r="X150">
        <v>1927634</v>
      </c>
      <c r="Y150" s="11">
        <v>44777</v>
      </c>
      <c r="Z150" t="s">
        <v>57</v>
      </c>
      <c r="AA150">
        <v>14</v>
      </c>
      <c r="AB150" t="s">
        <v>57</v>
      </c>
      <c r="AD150" t="s">
        <v>57</v>
      </c>
      <c r="AE150" t="s">
        <v>57</v>
      </c>
      <c r="AF150" t="s">
        <v>57</v>
      </c>
      <c r="AG150">
        <v>10</v>
      </c>
      <c r="AH150" t="s">
        <v>57</v>
      </c>
      <c r="AL150" t="s">
        <v>57</v>
      </c>
      <c r="AM150" s="11">
        <v>44777</v>
      </c>
      <c r="AN150" t="s">
        <v>176</v>
      </c>
      <c r="AO150" t="s">
        <v>65</v>
      </c>
      <c r="AP150">
        <v>1204</v>
      </c>
      <c r="AQ150" t="s">
        <v>66</v>
      </c>
      <c r="AR150">
        <v>144854</v>
      </c>
      <c r="AU150" t="s">
        <v>57</v>
      </c>
      <c r="AV150" t="s">
        <v>68</v>
      </c>
      <c r="AX150" t="s">
        <v>57</v>
      </c>
      <c r="AY150">
        <v>631110</v>
      </c>
      <c r="AZ150">
        <v>1204.63111</v>
      </c>
      <c r="BA150" s="23" t="s">
        <v>12</v>
      </c>
    </row>
    <row r="151" spans="1:53" x14ac:dyDescent="0.25">
      <c r="A151" t="s">
        <v>134</v>
      </c>
      <c r="B151" t="s">
        <v>135</v>
      </c>
      <c r="C151">
        <v>22001829</v>
      </c>
      <c r="D151">
        <v>1204</v>
      </c>
      <c r="E151" s="11">
        <v>44778</v>
      </c>
      <c r="F151" t="s">
        <v>175</v>
      </c>
      <c r="G151" s="25">
        <v>1.5</v>
      </c>
      <c r="H151">
        <v>1.5</v>
      </c>
      <c r="I151" t="s">
        <v>56</v>
      </c>
      <c r="O151" t="s">
        <v>57</v>
      </c>
      <c r="Q151" t="s">
        <v>57</v>
      </c>
      <c r="R151" t="s">
        <v>137</v>
      </c>
      <c r="T151" t="s">
        <v>59</v>
      </c>
      <c r="U151" t="s">
        <v>60</v>
      </c>
      <c r="V151" t="s">
        <v>138</v>
      </c>
      <c r="W151" t="s">
        <v>139</v>
      </c>
      <c r="X151">
        <v>1928767</v>
      </c>
      <c r="Y151" s="11">
        <v>44778</v>
      </c>
      <c r="Z151" t="s">
        <v>57</v>
      </c>
      <c r="AA151">
        <v>12</v>
      </c>
      <c r="AB151" t="s">
        <v>57</v>
      </c>
      <c r="AD151" t="s">
        <v>57</v>
      </c>
      <c r="AE151" t="s">
        <v>57</v>
      </c>
      <c r="AF151" t="s">
        <v>57</v>
      </c>
      <c r="AG151">
        <v>10</v>
      </c>
      <c r="AH151" t="s">
        <v>57</v>
      </c>
      <c r="AL151" t="s">
        <v>57</v>
      </c>
      <c r="AM151" s="11">
        <v>44778</v>
      </c>
      <c r="AN151" t="s">
        <v>176</v>
      </c>
      <c r="AO151" t="s">
        <v>65</v>
      </c>
      <c r="AP151">
        <v>1204</v>
      </c>
      <c r="AQ151" t="s">
        <v>66</v>
      </c>
      <c r="AR151">
        <v>144854</v>
      </c>
      <c r="AU151" t="s">
        <v>57</v>
      </c>
      <c r="AV151" t="s">
        <v>68</v>
      </c>
      <c r="AX151" t="s">
        <v>57</v>
      </c>
      <c r="AY151">
        <v>631110</v>
      </c>
      <c r="AZ151">
        <v>1204.63111</v>
      </c>
      <c r="BA151" s="23" t="s">
        <v>12</v>
      </c>
    </row>
    <row r="152" spans="1:53" x14ac:dyDescent="0.25">
      <c r="A152" t="s">
        <v>134</v>
      </c>
      <c r="B152" t="s">
        <v>135</v>
      </c>
      <c r="C152">
        <v>22001815</v>
      </c>
      <c r="D152">
        <v>1204</v>
      </c>
      <c r="E152" s="11">
        <v>44777</v>
      </c>
      <c r="F152" t="s">
        <v>175</v>
      </c>
      <c r="G152" s="25">
        <v>1.54</v>
      </c>
      <c r="H152">
        <v>1.54</v>
      </c>
      <c r="I152" t="s">
        <v>56</v>
      </c>
      <c r="O152" t="s">
        <v>57</v>
      </c>
      <c r="Q152" t="s">
        <v>57</v>
      </c>
      <c r="R152" t="s">
        <v>137</v>
      </c>
      <c r="T152" t="s">
        <v>59</v>
      </c>
      <c r="U152" t="s">
        <v>60</v>
      </c>
      <c r="V152" t="s">
        <v>138</v>
      </c>
      <c r="W152" t="s">
        <v>139</v>
      </c>
      <c r="X152">
        <v>1927634</v>
      </c>
      <c r="Y152" s="11">
        <v>44777</v>
      </c>
      <c r="Z152" t="s">
        <v>57</v>
      </c>
      <c r="AA152">
        <v>10</v>
      </c>
      <c r="AB152" t="s">
        <v>57</v>
      </c>
      <c r="AD152" t="s">
        <v>57</v>
      </c>
      <c r="AE152" t="s">
        <v>57</v>
      </c>
      <c r="AF152" t="s">
        <v>57</v>
      </c>
      <c r="AG152">
        <v>10</v>
      </c>
      <c r="AH152" t="s">
        <v>57</v>
      </c>
      <c r="AL152" t="s">
        <v>57</v>
      </c>
      <c r="AM152" s="11">
        <v>44777</v>
      </c>
      <c r="AN152" t="s">
        <v>176</v>
      </c>
      <c r="AO152" t="s">
        <v>65</v>
      </c>
      <c r="AP152">
        <v>1204</v>
      </c>
      <c r="AQ152" t="s">
        <v>66</v>
      </c>
      <c r="AR152">
        <v>89712</v>
      </c>
      <c r="AU152" t="s">
        <v>57</v>
      </c>
      <c r="AV152" t="s">
        <v>68</v>
      </c>
      <c r="AX152" t="s">
        <v>57</v>
      </c>
      <c r="AY152">
        <v>631110</v>
      </c>
      <c r="AZ152">
        <v>1204.63111</v>
      </c>
      <c r="BA152" s="23" t="s">
        <v>12</v>
      </c>
    </row>
    <row r="153" spans="1:53" x14ac:dyDescent="0.25">
      <c r="A153" t="s">
        <v>134</v>
      </c>
      <c r="B153" t="s">
        <v>135</v>
      </c>
      <c r="C153">
        <v>22001840</v>
      </c>
      <c r="D153">
        <v>1204</v>
      </c>
      <c r="E153" s="11">
        <v>44782</v>
      </c>
      <c r="F153" t="s">
        <v>175</v>
      </c>
      <c r="G153" s="25">
        <v>1.54</v>
      </c>
      <c r="H153">
        <v>1.54</v>
      </c>
      <c r="I153" t="s">
        <v>56</v>
      </c>
      <c r="O153" t="s">
        <v>57</v>
      </c>
      <c r="Q153" t="s">
        <v>57</v>
      </c>
      <c r="R153" t="s">
        <v>137</v>
      </c>
      <c r="T153" t="s">
        <v>59</v>
      </c>
      <c r="U153" t="s">
        <v>60</v>
      </c>
      <c r="V153" t="s">
        <v>138</v>
      </c>
      <c r="W153" t="s">
        <v>139</v>
      </c>
      <c r="X153">
        <v>1929850</v>
      </c>
      <c r="Y153" s="11">
        <v>44782</v>
      </c>
      <c r="Z153" t="s">
        <v>57</v>
      </c>
      <c r="AA153">
        <v>10</v>
      </c>
      <c r="AB153" t="s">
        <v>57</v>
      </c>
      <c r="AD153" t="s">
        <v>57</v>
      </c>
      <c r="AE153" t="s">
        <v>57</v>
      </c>
      <c r="AF153" t="s">
        <v>57</v>
      </c>
      <c r="AG153">
        <v>10</v>
      </c>
      <c r="AH153" t="s">
        <v>57</v>
      </c>
      <c r="AL153" t="s">
        <v>57</v>
      </c>
      <c r="AM153" s="11">
        <v>44782</v>
      </c>
      <c r="AN153" t="s">
        <v>176</v>
      </c>
      <c r="AO153" t="s">
        <v>65</v>
      </c>
      <c r="AP153">
        <v>1204</v>
      </c>
      <c r="AQ153" t="s">
        <v>66</v>
      </c>
      <c r="AR153">
        <v>265523</v>
      </c>
      <c r="AU153" t="s">
        <v>57</v>
      </c>
      <c r="AV153" t="s">
        <v>68</v>
      </c>
      <c r="AX153" t="s">
        <v>57</v>
      </c>
      <c r="AY153">
        <v>631110</v>
      </c>
      <c r="AZ153">
        <v>1204.63111</v>
      </c>
      <c r="BA153" s="23" t="s">
        <v>12</v>
      </c>
    </row>
    <row r="154" spans="1:53" x14ac:dyDescent="0.25">
      <c r="A154" t="s">
        <v>134</v>
      </c>
      <c r="B154" t="s">
        <v>135</v>
      </c>
      <c r="C154">
        <v>22001827</v>
      </c>
      <c r="D154">
        <v>1204</v>
      </c>
      <c r="E154" s="11">
        <v>44778</v>
      </c>
      <c r="F154" t="s">
        <v>174</v>
      </c>
      <c r="G154" s="25">
        <v>1.6</v>
      </c>
      <c r="H154">
        <v>1.6</v>
      </c>
      <c r="I154" t="s">
        <v>56</v>
      </c>
      <c r="O154" t="s">
        <v>57</v>
      </c>
      <c r="Q154" t="s">
        <v>57</v>
      </c>
      <c r="R154" t="s">
        <v>137</v>
      </c>
      <c r="T154" t="s">
        <v>59</v>
      </c>
      <c r="U154" t="s">
        <v>60</v>
      </c>
      <c r="V154" t="s">
        <v>138</v>
      </c>
      <c r="W154" t="s">
        <v>139</v>
      </c>
      <c r="X154">
        <v>1928763</v>
      </c>
      <c r="Y154" s="11">
        <v>44778</v>
      </c>
      <c r="Z154" t="s">
        <v>57</v>
      </c>
      <c r="AA154">
        <v>12</v>
      </c>
      <c r="AB154" t="s">
        <v>57</v>
      </c>
      <c r="AD154" t="s">
        <v>57</v>
      </c>
      <c r="AE154" t="s">
        <v>57</v>
      </c>
      <c r="AF154" t="s">
        <v>57</v>
      </c>
      <c r="AG154">
        <v>2</v>
      </c>
      <c r="AH154" t="s">
        <v>57</v>
      </c>
      <c r="AL154" t="s">
        <v>57</v>
      </c>
      <c r="AM154" s="11">
        <v>44778</v>
      </c>
      <c r="AN154" t="s">
        <v>173</v>
      </c>
      <c r="AO154" t="s">
        <v>65</v>
      </c>
      <c r="AP154">
        <v>1204</v>
      </c>
      <c r="AQ154" t="s">
        <v>66</v>
      </c>
      <c r="AR154">
        <v>220124</v>
      </c>
      <c r="AU154" t="s">
        <v>57</v>
      </c>
      <c r="AV154" t="s">
        <v>68</v>
      </c>
      <c r="AX154" t="s">
        <v>57</v>
      </c>
      <c r="AY154">
        <v>631110</v>
      </c>
      <c r="AZ154">
        <v>1204.63111</v>
      </c>
      <c r="BA154" s="23" t="s">
        <v>12</v>
      </c>
    </row>
    <row r="155" spans="1:53" x14ac:dyDescent="0.25">
      <c r="A155" t="s">
        <v>134</v>
      </c>
      <c r="B155" t="s">
        <v>135</v>
      </c>
      <c r="C155">
        <v>22001849</v>
      </c>
      <c r="D155">
        <v>1204</v>
      </c>
      <c r="E155" s="11">
        <v>44784</v>
      </c>
      <c r="F155" t="s">
        <v>174</v>
      </c>
      <c r="G155" s="25">
        <v>1.64</v>
      </c>
      <c r="H155">
        <v>1.64</v>
      </c>
      <c r="I155" t="s">
        <v>56</v>
      </c>
      <c r="O155" t="s">
        <v>57</v>
      </c>
      <c r="Q155" t="s">
        <v>57</v>
      </c>
      <c r="R155" t="s">
        <v>137</v>
      </c>
      <c r="T155" t="s">
        <v>59</v>
      </c>
      <c r="U155" t="s">
        <v>60</v>
      </c>
      <c r="V155" t="s">
        <v>138</v>
      </c>
      <c r="W155" t="s">
        <v>139</v>
      </c>
      <c r="X155">
        <v>1930407</v>
      </c>
      <c r="Y155" s="11">
        <v>44784</v>
      </c>
      <c r="Z155" t="s">
        <v>57</v>
      </c>
      <c r="AA155">
        <v>26</v>
      </c>
      <c r="AB155" t="s">
        <v>57</v>
      </c>
      <c r="AD155" t="s">
        <v>57</v>
      </c>
      <c r="AE155" t="s">
        <v>57</v>
      </c>
      <c r="AF155" t="s">
        <v>57</v>
      </c>
      <c r="AG155">
        <v>3</v>
      </c>
      <c r="AH155" t="s">
        <v>57</v>
      </c>
      <c r="AL155" t="s">
        <v>57</v>
      </c>
      <c r="AM155" s="11">
        <v>44784</v>
      </c>
      <c r="AN155" t="s">
        <v>173</v>
      </c>
      <c r="AO155" t="s">
        <v>65</v>
      </c>
      <c r="AP155">
        <v>1204</v>
      </c>
      <c r="AQ155" t="s">
        <v>66</v>
      </c>
      <c r="AR155">
        <v>89777</v>
      </c>
      <c r="AU155" t="s">
        <v>57</v>
      </c>
      <c r="AV155" t="s">
        <v>68</v>
      </c>
      <c r="AX155" t="s">
        <v>57</v>
      </c>
      <c r="AY155">
        <v>631110</v>
      </c>
      <c r="AZ155">
        <v>1204.63111</v>
      </c>
      <c r="BA155" s="23" t="s">
        <v>12</v>
      </c>
    </row>
    <row r="156" spans="1:53" x14ac:dyDescent="0.25">
      <c r="A156" t="s">
        <v>134</v>
      </c>
      <c r="B156" t="s">
        <v>135</v>
      </c>
      <c r="C156">
        <v>22001808</v>
      </c>
      <c r="D156">
        <v>1204</v>
      </c>
      <c r="E156" s="11">
        <v>44776</v>
      </c>
      <c r="F156" t="s">
        <v>174</v>
      </c>
      <c r="G156" s="25">
        <v>1.68</v>
      </c>
      <c r="H156">
        <v>1.68</v>
      </c>
      <c r="I156" t="s">
        <v>56</v>
      </c>
      <c r="O156" t="s">
        <v>57</v>
      </c>
      <c r="Q156" t="s">
        <v>57</v>
      </c>
      <c r="R156" t="s">
        <v>137</v>
      </c>
      <c r="T156" t="s">
        <v>59</v>
      </c>
      <c r="U156" t="s">
        <v>60</v>
      </c>
      <c r="V156" t="s">
        <v>138</v>
      </c>
      <c r="W156" t="s">
        <v>139</v>
      </c>
      <c r="X156">
        <v>1926830</v>
      </c>
      <c r="Y156" s="11">
        <v>44776</v>
      </c>
      <c r="Z156" t="s">
        <v>57</v>
      </c>
      <c r="AA156">
        <v>28</v>
      </c>
      <c r="AB156" t="s">
        <v>57</v>
      </c>
      <c r="AD156" t="s">
        <v>57</v>
      </c>
      <c r="AE156" t="s">
        <v>57</v>
      </c>
      <c r="AF156" t="s">
        <v>57</v>
      </c>
      <c r="AG156">
        <v>2</v>
      </c>
      <c r="AH156" t="s">
        <v>57</v>
      </c>
      <c r="AL156" t="s">
        <v>57</v>
      </c>
      <c r="AM156" s="11">
        <v>44776</v>
      </c>
      <c r="AN156" t="s">
        <v>173</v>
      </c>
      <c r="AO156" t="s">
        <v>65</v>
      </c>
      <c r="AP156">
        <v>1204</v>
      </c>
      <c r="AQ156" t="s">
        <v>66</v>
      </c>
      <c r="AR156">
        <v>136940</v>
      </c>
      <c r="AU156" t="s">
        <v>57</v>
      </c>
      <c r="AV156" t="s">
        <v>68</v>
      </c>
      <c r="AX156" t="s">
        <v>57</v>
      </c>
      <c r="AY156">
        <v>631110</v>
      </c>
      <c r="AZ156">
        <v>1204.63111</v>
      </c>
      <c r="BA156" s="23" t="s">
        <v>12</v>
      </c>
    </row>
    <row r="157" spans="1:53" x14ac:dyDescent="0.25">
      <c r="A157" t="s">
        <v>134</v>
      </c>
      <c r="B157" t="s">
        <v>135</v>
      </c>
      <c r="C157">
        <v>22001784</v>
      </c>
      <c r="D157">
        <v>1204</v>
      </c>
      <c r="E157" s="11">
        <v>44774</v>
      </c>
      <c r="F157" t="s">
        <v>159</v>
      </c>
      <c r="G157" s="25">
        <v>1.69</v>
      </c>
      <c r="H157">
        <v>1.69</v>
      </c>
      <c r="I157" t="s">
        <v>56</v>
      </c>
      <c r="O157" t="s">
        <v>57</v>
      </c>
      <c r="Q157" t="s">
        <v>57</v>
      </c>
      <c r="R157" t="s">
        <v>137</v>
      </c>
      <c r="T157" t="s">
        <v>59</v>
      </c>
      <c r="U157" t="s">
        <v>60</v>
      </c>
      <c r="V157" t="s">
        <v>138</v>
      </c>
      <c r="W157" t="s">
        <v>139</v>
      </c>
      <c r="X157">
        <v>1925466</v>
      </c>
      <c r="Y157" s="11">
        <v>44774</v>
      </c>
      <c r="Z157" t="s">
        <v>57</v>
      </c>
      <c r="AA157">
        <v>4</v>
      </c>
      <c r="AB157" t="s">
        <v>57</v>
      </c>
      <c r="AD157" t="s">
        <v>57</v>
      </c>
      <c r="AE157" t="s">
        <v>57</v>
      </c>
      <c r="AF157" t="s">
        <v>57</v>
      </c>
      <c r="AG157">
        <v>2</v>
      </c>
      <c r="AH157" t="s">
        <v>57</v>
      </c>
      <c r="AL157" t="s">
        <v>57</v>
      </c>
      <c r="AM157" s="11">
        <v>44774</v>
      </c>
      <c r="AN157" t="s">
        <v>173</v>
      </c>
      <c r="AO157" t="s">
        <v>65</v>
      </c>
      <c r="AP157">
        <v>1204</v>
      </c>
      <c r="AQ157" t="s">
        <v>66</v>
      </c>
      <c r="AR157">
        <v>114062</v>
      </c>
      <c r="AU157" t="s">
        <v>57</v>
      </c>
      <c r="AV157" t="s">
        <v>68</v>
      </c>
      <c r="AX157" t="s">
        <v>57</v>
      </c>
      <c r="AY157">
        <v>631110</v>
      </c>
      <c r="AZ157">
        <v>1204.63111</v>
      </c>
      <c r="BA157" s="23" t="s">
        <v>12</v>
      </c>
    </row>
    <row r="158" spans="1:53" x14ac:dyDescent="0.25">
      <c r="A158" t="s">
        <v>134</v>
      </c>
      <c r="B158" t="s">
        <v>135</v>
      </c>
      <c r="C158">
        <v>22001810</v>
      </c>
      <c r="D158">
        <v>1204</v>
      </c>
      <c r="E158" s="11">
        <v>44776</v>
      </c>
      <c r="F158" t="s">
        <v>175</v>
      </c>
      <c r="G158" s="25">
        <v>1.69</v>
      </c>
      <c r="H158">
        <v>1.69</v>
      </c>
      <c r="I158" t="s">
        <v>56</v>
      </c>
      <c r="O158" t="s">
        <v>57</v>
      </c>
      <c r="Q158" t="s">
        <v>57</v>
      </c>
      <c r="R158" t="s">
        <v>137</v>
      </c>
      <c r="T158" t="s">
        <v>59</v>
      </c>
      <c r="U158" t="s">
        <v>60</v>
      </c>
      <c r="V158" t="s">
        <v>138</v>
      </c>
      <c r="W158" t="s">
        <v>139</v>
      </c>
      <c r="X158">
        <v>1927035</v>
      </c>
      <c r="Y158" s="11">
        <v>44776</v>
      </c>
      <c r="Z158" t="s">
        <v>57</v>
      </c>
      <c r="AA158">
        <v>10</v>
      </c>
      <c r="AB158" t="s">
        <v>57</v>
      </c>
      <c r="AD158" t="s">
        <v>57</v>
      </c>
      <c r="AE158" t="s">
        <v>57</v>
      </c>
      <c r="AF158" t="s">
        <v>57</v>
      </c>
      <c r="AG158">
        <v>11</v>
      </c>
      <c r="AH158" t="s">
        <v>57</v>
      </c>
      <c r="AL158" t="s">
        <v>57</v>
      </c>
      <c r="AM158" s="11">
        <v>44776</v>
      </c>
      <c r="AN158" t="s">
        <v>176</v>
      </c>
      <c r="AO158" t="s">
        <v>65</v>
      </c>
      <c r="AP158">
        <v>1204</v>
      </c>
      <c r="AQ158" t="s">
        <v>66</v>
      </c>
      <c r="AR158">
        <v>89712</v>
      </c>
      <c r="AU158" t="s">
        <v>57</v>
      </c>
      <c r="AV158" t="s">
        <v>68</v>
      </c>
      <c r="AX158" t="s">
        <v>57</v>
      </c>
      <c r="AY158">
        <v>631110</v>
      </c>
      <c r="AZ158">
        <v>1204.63111</v>
      </c>
      <c r="BA158" s="23" t="s">
        <v>12</v>
      </c>
    </row>
    <row r="159" spans="1:53" x14ac:dyDescent="0.25">
      <c r="A159" t="s">
        <v>134</v>
      </c>
      <c r="B159" t="s">
        <v>135</v>
      </c>
      <c r="C159">
        <v>22001829</v>
      </c>
      <c r="D159">
        <v>1204</v>
      </c>
      <c r="E159" s="11">
        <v>44778</v>
      </c>
      <c r="F159" t="s">
        <v>175</v>
      </c>
      <c r="G159" s="25">
        <v>1.69</v>
      </c>
      <c r="H159">
        <v>1.69</v>
      </c>
      <c r="I159" t="s">
        <v>56</v>
      </c>
      <c r="O159" t="s">
        <v>57</v>
      </c>
      <c r="Q159" t="s">
        <v>57</v>
      </c>
      <c r="R159" t="s">
        <v>137</v>
      </c>
      <c r="T159" t="s">
        <v>59</v>
      </c>
      <c r="U159" t="s">
        <v>60</v>
      </c>
      <c r="V159" t="s">
        <v>138</v>
      </c>
      <c r="W159" t="s">
        <v>139</v>
      </c>
      <c r="X159">
        <v>1928767</v>
      </c>
      <c r="Y159" s="11">
        <v>44778</v>
      </c>
      <c r="Z159" t="s">
        <v>57</v>
      </c>
      <c r="AA159">
        <v>8</v>
      </c>
      <c r="AB159" t="s">
        <v>57</v>
      </c>
      <c r="AD159" t="s">
        <v>57</v>
      </c>
      <c r="AE159" t="s">
        <v>57</v>
      </c>
      <c r="AF159" t="s">
        <v>57</v>
      </c>
      <c r="AG159">
        <v>11</v>
      </c>
      <c r="AH159" t="s">
        <v>57</v>
      </c>
      <c r="AL159" t="s">
        <v>57</v>
      </c>
      <c r="AM159" s="11">
        <v>44778</v>
      </c>
      <c r="AN159" t="s">
        <v>176</v>
      </c>
      <c r="AO159" t="s">
        <v>65</v>
      </c>
      <c r="AP159">
        <v>1204</v>
      </c>
      <c r="AQ159" t="s">
        <v>66</v>
      </c>
      <c r="AR159">
        <v>89712</v>
      </c>
      <c r="AU159" t="s">
        <v>57</v>
      </c>
      <c r="AV159" t="s">
        <v>68</v>
      </c>
      <c r="AX159" t="s">
        <v>57</v>
      </c>
      <c r="AY159">
        <v>631110</v>
      </c>
      <c r="AZ159">
        <v>1204.63111</v>
      </c>
      <c r="BA159" s="23" t="s">
        <v>12</v>
      </c>
    </row>
    <row r="160" spans="1:53" x14ac:dyDescent="0.25">
      <c r="A160" t="s">
        <v>134</v>
      </c>
      <c r="B160" t="s">
        <v>135</v>
      </c>
      <c r="C160">
        <v>22001867</v>
      </c>
      <c r="D160">
        <v>1204</v>
      </c>
      <c r="E160" s="11">
        <v>44788</v>
      </c>
      <c r="F160" t="s">
        <v>174</v>
      </c>
      <c r="G160" s="25">
        <v>1.69</v>
      </c>
      <c r="H160">
        <v>1.69</v>
      </c>
      <c r="I160" t="s">
        <v>56</v>
      </c>
      <c r="O160" t="s">
        <v>57</v>
      </c>
      <c r="Q160" t="s">
        <v>57</v>
      </c>
      <c r="R160" t="s">
        <v>137</v>
      </c>
      <c r="T160" t="s">
        <v>59</v>
      </c>
      <c r="U160" t="s">
        <v>60</v>
      </c>
      <c r="V160" t="s">
        <v>138</v>
      </c>
      <c r="W160" t="s">
        <v>139</v>
      </c>
      <c r="X160">
        <v>1932108</v>
      </c>
      <c r="Y160" s="11">
        <v>44788</v>
      </c>
      <c r="Z160" t="s">
        <v>57</v>
      </c>
      <c r="AA160">
        <v>22</v>
      </c>
      <c r="AB160" t="s">
        <v>57</v>
      </c>
      <c r="AD160" t="s">
        <v>57</v>
      </c>
      <c r="AE160" t="s">
        <v>57</v>
      </c>
      <c r="AF160" t="s">
        <v>57</v>
      </c>
      <c r="AG160">
        <v>2</v>
      </c>
      <c r="AH160" t="s">
        <v>57</v>
      </c>
      <c r="AL160" t="s">
        <v>57</v>
      </c>
      <c r="AM160" s="11">
        <v>44788</v>
      </c>
      <c r="AN160" t="s">
        <v>173</v>
      </c>
      <c r="AO160" t="s">
        <v>65</v>
      </c>
      <c r="AP160">
        <v>1204</v>
      </c>
      <c r="AQ160" t="s">
        <v>66</v>
      </c>
      <c r="AR160">
        <v>88702</v>
      </c>
      <c r="AU160" t="s">
        <v>57</v>
      </c>
      <c r="AV160" t="s">
        <v>68</v>
      </c>
      <c r="AX160" t="s">
        <v>57</v>
      </c>
      <c r="AY160">
        <v>631110</v>
      </c>
      <c r="AZ160">
        <v>1204.63111</v>
      </c>
      <c r="BA160" s="23" t="s">
        <v>12</v>
      </c>
    </row>
    <row r="161" spans="1:53" x14ac:dyDescent="0.25">
      <c r="A161" t="s">
        <v>134</v>
      </c>
      <c r="B161" t="s">
        <v>135</v>
      </c>
      <c r="C161">
        <v>22001802</v>
      </c>
      <c r="D161">
        <v>1204</v>
      </c>
      <c r="E161" s="11">
        <v>44775</v>
      </c>
      <c r="F161" t="s">
        <v>159</v>
      </c>
      <c r="G161" s="25">
        <v>1.71</v>
      </c>
      <c r="H161">
        <v>1.71</v>
      </c>
      <c r="I161" t="s">
        <v>56</v>
      </c>
      <c r="O161" t="s">
        <v>57</v>
      </c>
      <c r="Q161" t="s">
        <v>57</v>
      </c>
      <c r="R161" t="s">
        <v>137</v>
      </c>
      <c r="T161" t="s">
        <v>59</v>
      </c>
      <c r="U161" t="s">
        <v>60</v>
      </c>
      <c r="V161" t="s">
        <v>138</v>
      </c>
      <c r="W161" t="s">
        <v>139</v>
      </c>
      <c r="X161">
        <v>1926653</v>
      </c>
      <c r="Y161" s="11">
        <v>44775</v>
      </c>
      <c r="Z161" t="s">
        <v>57</v>
      </c>
      <c r="AA161">
        <v>4</v>
      </c>
      <c r="AB161" t="s">
        <v>57</v>
      </c>
      <c r="AD161" t="s">
        <v>57</v>
      </c>
      <c r="AE161" t="s">
        <v>57</v>
      </c>
      <c r="AF161" t="s">
        <v>57</v>
      </c>
      <c r="AG161">
        <v>2</v>
      </c>
      <c r="AH161" t="s">
        <v>57</v>
      </c>
      <c r="AL161" t="s">
        <v>57</v>
      </c>
      <c r="AM161" s="11">
        <v>44775</v>
      </c>
      <c r="AN161" t="s">
        <v>173</v>
      </c>
      <c r="AO161" t="s">
        <v>65</v>
      </c>
      <c r="AP161">
        <v>1204</v>
      </c>
      <c r="AQ161" t="s">
        <v>66</v>
      </c>
      <c r="AR161">
        <v>114062</v>
      </c>
      <c r="AU161" t="s">
        <v>57</v>
      </c>
      <c r="AV161" t="s">
        <v>68</v>
      </c>
      <c r="AX161" t="s">
        <v>57</v>
      </c>
      <c r="AY161">
        <v>631110</v>
      </c>
      <c r="AZ161">
        <v>1204.63111</v>
      </c>
      <c r="BA161" s="23" t="s">
        <v>12</v>
      </c>
    </row>
    <row r="162" spans="1:53" x14ac:dyDescent="0.25">
      <c r="A162" t="s">
        <v>134</v>
      </c>
      <c r="B162" t="s">
        <v>135</v>
      </c>
      <c r="C162">
        <v>22001865</v>
      </c>
      <c r="D162">
        <v>1204</v>
      </c>
      <c r="E162" s="11">
        <v>44785</v>
      </c>
      <c r="F162" t="s">
        <v>175</v>
      </c>
      <c r="G162" s="25">
        <v>1.72</v>
      </c>
      <c r="H162">
        <v>1.72</v>
      </c>
      <c r="I162" t="s">
        <v>56</v>
      </c>
      <c r="O162" t="s">
        <v>57</v>
      </c>
      <c r="Q162" t="s">
        <v>57</v>
      </c>
      <c r="R162" t="s">
        <v>137</v>
      </c>
      <c r="T162" t="s">
        <v>59</v>
      </c>
      <c r="U162" t="s">
        <v>60</v>
      </c>
      <c r="V162" t="s">
        <v>138</v>
      </c>
      <c r="W162" t="s">
        <v>139</v>
      </c>
      <c r="X162">
        <v>1930744</v>
      </c>
      <c r="Y162" s="11">
        <v>44785</v>
      </c>
      <c r="Z162" t="s">
        <v>57</v>
      </c>
      <c r="AA162">
        <v>8</v>
      </c>
      <c r="AB162" t="s">
        <v>57</v>
      </c>
      <c r="AD162" t="s">
        <v>57</v>
      </c>
      <c r="AE162" t="s">
        <v>57</v>
      </c>
      <c r="AF162" t="s">
        <v>57</v>
      </c>
      <c r="AG162">
        <v>11</v>
      </c>
      <c r="AH162" t="s">
        <v>57</v>
      </c>
      <c r="AL162" t="s">
        <v>57</v>
      </c>
      <c r="AM162" s="11">
        <v>44785</v>
      </c>
      <c r="AN162" t="s">
        <v>176</v>
      </c>
      <c r="AO162" t="s">
        <v>65</v>
      </c>
      <c r="AP162">
        <v>1204</v>
      </c>
      <c r="AQ162" t="s">
        <v>66</v>
      </c>
      <c r="AR162">
        <v>89712</v>
      </c>
      <c r="AU162" t="s">
        <v>57</v>
      </c>
      <c r="AV162" t="s">
        <v>68</v>
      </c>
      <c r="AX162" t="s">
        <v>57</v>
      </c>
      <c r="AY162">
        <v>631110</v>
      </c>
      <c r="AZ162">
        <v>1204.63111</v>
      </c>
      <c r="BA162" s="23" t="s">
        <v>12</v>
      </c>
    </row>
    <row r="163" spans="1:53" x14ac:dyDescent="0.25">
      <c r="A163" t="s">
        <v>134</v>
      </c>
      <c r="B163" t="s">
        <v>135</v>
      </c>
      <c r="C163">
        <v>22001827</v>
      </c>
      <c r="D163">
        <v>1204</v>
      </c>
      <c r="E163" s="11">
        <v>44778</v>
      </c>
      <c r="F163" t="s">
        <v>174</v>
      </c>
      <c r="G163" s="25">
        <v>1.89</v>
      </c>
      <c r="H163">
        <v>1.89</v>
      </c>
      <c r="I163" t="s">
        <v>56</v>
      </c>
      <c r="O163" t="s">
        <v>57</v>
      </c>
      <c r="Q163" t="s">
        <v>57</v>
      </c>
      <c r="R163" t="s">
        <v>137</v>
      </c>
      <c r="T163" t="s">
        <v>59</v>
      </c>
      <c r="U163" t="s">
        <v>60</v>
      </c>
      <c r="V163" t="s">
        <v>138</v>
      </c>
      <c r="W163" t="s">
        <v>139</v>
      </c>
      <c r="X163">
        <v>1928763</v>
      </c>
      <c r="Y163" s="11">
        <v>44778</v>
      </c>
      <c r="Z163" t="s">
        <v>57</v>
      </c>
      <c r="AA163">
        <v>6</v>
      </c>
      <c r="AB163" t="s">
        <v>57</v>
      </c>
      <c r="AD163" t="s">
        <v>57</v>
      </c>
      <c r="AE163" t="s">
        <v>57</v>
      </c>
      <c r="AF163" t="s">
        <v>57</v>
      </c>
      <c r="AG163">
        <v>3</v>
      </c>
      <c r="AH163" t="s">
        <v>57</v>
      </c>
      <c r="AL163" t="s">
        <v>57</v>
      </c>
      <c r="AM163" s="11">
        <v>44778</v>
      </c>
      <c r="AN163" t="s">
        <v>173</v>
      </c>
      <c r="AO163" t="s">
        <v>65</v>
      </c>
      <c r="AP163">
        <v>1204</v>
      </c>
      <c r="AQ163" t="s">
        <v>66</v>
      </c>
      <c r="AR163">
        <v>220123</v>
      </c>
      <c r="AU163" t="s">
        <v>57</v>
      </c>
      <c r="AV163" t="s">
        <v>68</v>
      </c>
      <c r="AX163" t="s">
        <v>57</v>
      </c>
      <c r="AY163">
        <v>631110</v>
      </c>
      <c r="AZ163">
        <v>1204.63111</v>
      </c>
      <c r="BA163" s="23" t="s">
        <v>12</v>
      </c>
    </row>
    <row r="164" spans="1:53" x14ac:dyDescent="0.25">
      <c r="A164" t="s">
        <v>134</v>
      </c>
      <c r="B164" t="s">
        <v>135</v>
      </c>
      <c r="C164">
        <v>22001801</v>
      </c>
      <c r="D164">
        <v>1204</v>
      </c>
      <c r="E164" s="11">
        <v>44775</v>
      </c>
      <c r="F164" t="s">
        <v>174</v>
      </c>
      <c r="G164" s="25">
        <v>2.02</v>
      </c>
      <c r="H164">
        <v>2.02</v>
      </c>
      <c r="I164" t="s">
        <v>56</v>
      </c>
      <c r="O164" t="s">
        <v>57</v>
      </c>
      <c r="Q164" t="s">
        <v>57</v>
      </c>
      <c r="R164" t="s">
        <v>137</v>
      </c>
      <c r="T164" t="s">
        <v>59</v>
      </c>
      <c r="U164" t="s">
        <v>60</v>
      </c>
      <c r="V164" t="s">
        <v>138</v>
      </c>
      <c r="W164" t="s">
        <v>139</v>
      </c>
      <c r="X164">
        <v>1926653</v>
      </c>
      <c r="Y164" s="11">
        <v>44775</v>
      </c>
      <c r="Z164" t="s">
        <v>57</v>
      </c>
      <c r="AA164">
        <v>14</v>
      </c>
      <c r="AB164" t="s">
        <v>57</v>
      </c>
      <c r="AD164" t="s">
        <v>57</v>
      </c>
      <c r="AE164" t="s">
        <v>57</v>
      </c>
      <c r="AF164" t="s">
        <v>57</v>
      </c>
      <c r="AG164">
        <v>1</v>
      </c>
      <c r="AH164" t="s">
        <v>57</v>
      </c>
      <c r="AL164" t="s">
        <v>57</v>
      </c>
      <c r="AM164" s="11">
        <v>44775</v>
      </c>
      <c r="AN164" t="s">
        <v>173</v>
      </c>
      <c r="AO164" t="s">
        <v>65</v>
      </c>
      <c r="AP164">
        <v>1204</v>
      </c>
      <c r="AQ164" t="s">
        <v>66</v>
      </c>
      <c r="AR164">
        <v>223161</v>
      </c>
      <c r="AU164" t="s">
        <v>57</v>
      </c>
      <c r="AV164" t="s">
        <v>68</v>
      </c>
      <c r="AX164" t="s">
        <v>57</v>
      </c>
      <c r="AY164">
        <v>631110</v>
      </c>
      <c r="AZ164">
        <v>1204.63111</v>
      </c>
      <c r="BA164" s="23" t="s">
        <v>12</v>
      </c>
    </row>
    <row r="165" spans="1:53" x14ac:dyDescent="0.25">
      <c r="A165" t="s">
        <v>134</v>
      </c>
      <c r="B165" t="s">
        <v>135</v>
      </c>
      <c r="C165">
        <v>22001813</v>
      </c>
      <c r="D165">
        <v>1204</v>
      </c>
      <c r="E165" s="11">
        <v>44777</v>
      </c>
      <c r="F165" t="s">
        <v>174</v>
      </c>
      <c r="G165" s="25">
        <v>2.13</v>
      </c>
      <c r="H165">
        <v>2.13</v>
      </c>
      <c r="I165" t="s">
        <v>56</v>
      </c>
      <c r="O165" t="s">
        <v>57</v>
      </c>
      <c r="Q165" t="s">
        <v>57</v>
      </c>
      <c r="R165" t="s">
        <v>137</v>
      </c>
      <c r="T165" t="s">
        <v>59</v>
      </c>
      <c r="U165" t="s">
        <v>60</v>
      </c>
      <c r="V165" t="s">
        <v>138</v>
      </c>
      <c r="W165" t="s">
        <v>139</v>
      </c>
      <c r="X165">
        <v>1927630</v>
      </c>
      <c r="Y165" s="11">
        <v>44777</v>
      </c>
      <c r="Z165" t="s">
        <v>57</v>
      </c>
      <c r="AA165">
        <v>10</v>
      </c>
      <c r="AB165" t="s">
        <v>57</v>
      </c>
      <c r="AD165" t="s">
        <v>57</v>
      </c>
      <c r="AE165" t="s">
        <v>57</v>
      </c>
      <c r="AF165" t="s">
        <v>57</v>
      </c>
      <c r="AG165">
        <v>2</v>
      </c>
      <c r="AH165" t="s">
        <v>57</v>
      </c>
      <c r="AL165" t="s">
        <v>57</v>
      </c>
      <c r="AM165" s="11">
        <v>44777</v>
      </c>
      <c r="AN165" t="s">
        <v>173</v>
      </c>
      <c r="AO165" t="s">
        <v>65</v>
      </c>
      <c r="AP165">
        <v>1204</v>
      </c>
      <c r="AQ165" t="s">
        <v>66</v>
      </c>
      <c r="AR165">
        <v>142793</v>
      </c>
      <c r="AU165" t="s">
        <v>57</v>
      </c>
      <c r="AV165" t="s">
        <v>68</v>
      </c>
      <c r="AX165" t="s">
        <v>57</v>
      </c>
      <c r="AY165">
        <v>631110</v>
      </c>
      <c r="AZ165">
        <v>1204.63111</v>
      </c>
      <c r="BA165" s="23" t="s">
        <v>12</v>
      </c>
    </row>
    <row r="166" spans="1:53" x14ac:dyDescent="0.25">
      <c r="A166" t="s">
        <v>134</v>
      </c>
      <c r="B166" t="s">
        <v>135</v>
      </c>
      <c r="C166">
        <v>22001855</v>
      </c>
      <c r="D166">
        <v>1204</v>
      </c>
      <c r="E166" s="11">
        <v>44785</v>
      </c>
      <c r="F166" t="s">
        <v>174</v>
      </c>
      <c r="G166" s="25">
        <v>2.13</v>
      </c>
      <c r="H166">
        <v>2.13</v>
      </c>
      <c r="I166" t="s">
        <v>56</v>
      </c>
      <c r="O166" t="s">
        <v>57</v>
      </c>
      <c r="Q166" t="s">
        <v>57</v>
      </c>
      <c r="R166" t="s">
        <v>137</v>
      </c>
      <c r="T166" t="s">
        <v>59</v>
      </c>
      <c r="U166" t="s">
        <v>60</v>
      </c>
      <c r="V166" t="s">
        <v>138</v>
      </c>
      <c r="W166" t="s">
        <v>139</v>
      </c>
      <c r="X166">
        <v>1930576</v>
      </c>
      <c r="Y166" s="11">
        <v>44785</v>
      </c>
      <c r="Z166" t="s">
        <v>57</v>
      </c>
      <c r="AA166">
        <v>8</v>
      </c>
      <c r="AB166" t="s">
        <v>57</v>
      </c>
      <c r="AD166" t="s">
        <v>57</v>
      </c>
      <c r="AE166" t="s">
        <v>57</v>
      </c>
      <c r="AF166" t="s">
        <v>57</v>
      </c>
      <c r="AG166">
        <v>1</v>
      </c>
      <c r="AH166" t="s">
        <v>57</v>
      </c>
      <c r="AL166" t="s">
        <v>57</v>
      </c>
      <c r="AM166" s="11">
        <v>44785</v>
      </c>
      <c r="AN166" t="s">
        <v>173</v>
      </c>
      <c r="AO166" t="s">
        <v>65</v>
      </c>
      <c r="AP166">
        <v>1204</v>
      </c>
      <c r="AQ166" t="s">
        <v>66</v>
      </c>
      <c r="AR166">
        <v>256582</v>
      </c>
      <c r="AU166" t="s">
        <v>57</v>
      </c>
      <c r="AV166" t="s">
        <v>68</v>
      </c>
      <c r="AX166" t="s">
        <v>57</v>
      </c>
      <c r="AY166">
        <v>631110</v>
      </c>
      <c r="AZ166">
        <v>1204.63111</v>
      </c>
      <c r="BA166" s="23" t="s">
        <v>12</v>
      </c>
    </row>
    <row r="167" spans="1:53" x14ac:dyDescent="0.25">
      <c r="A167" t="s">
        <v>134</v>
      </c>
      <c r="B167" t="s">
        <v>135</v>
      </c>
      <c r="C167">
        <v>22001804</v>
      </c>
      <c r="D167">
        <v>1204</v>
      </c>
      <c r="E167" s="11">
        <v>44775</v>
      </c>
      <c r="F167" t="s">
        <v>175</v>
      </c>
      <c r="G167" s="25">
        <v>2.2000000000000002</v>
      </c>
      <c r="H167">
        <v>2.2000000000000002</v>
      </c>
      <c r="I167" t="s">
        <v>56</v>
      </c>
      <c r="O167" t="s">
        <v>57</v>
      </c>
      <c r="Q167" t="s">
        <v>57</v>
      </c>
      <c r="R167" t="s">
        <v>137</v>
      </c>
      <c r="T167" t="s">
        <v>59</v>
      </c>
      <c r="U167" t="s">
        <v>60</v>
      </c>
      <c r="V167" t="s">
        <v>138</v>
      </c>
      <c r="W167" t="s">
        <v>139</v>
      </c>
      <c r="X167">
        <v>1926656</v>
      </c>
      <c r="Y167" s="11">
        <v>44775</v>
      </c>
      <c r="Z167" t="s">
        <v>57</v>
      </c>
      <c r="AA167">
        <v>2</v>
      </c>
      <c r="AB167" t="s">
        <v>57</v>
      </c>
      <c r="AD167" t="s">
        <v>57</v>
      </c>
      <c r="AE167" t="s">
        <v>57</v>
      </c>
      <c r="AF167" t="s">
        <v>57</v>
      </c>
      <c r="AG167">
        <v>20</v>
      </c>
      <c r="AH167" t="s">
        <v>57</v>
      </c>
      <c r="AL167" t="s">
        <v>57</v>
      </c>
      <c r="AM167" s="11">
        <v>44775</v>
      </c>
      <c r="AN167" t="s">
        <v>176</v>
      </c>
      <c r="AO167" t="s">
        <v>65</v>
      </c>
      <c r="AP167">
        <v>1204</v>
      </c>
      <c r="AQ167" t="s">
        <v>66</v>
      </c>
      <c r="AR167">
        <v>265267</v>
      </c>
      <c r="AU167" t="s">
        <v>57</v>
      </c>
      <c r="AV167" t="s">
        <v>68</v>
      </c>
      <c r="AX167" t="s">
        <v>57</v>
      </c>
      <c r="AY167">
        <v>631110</v>
      </c>
      <c r="AZ167">
        <v>1204.63111</v>
      </c>
      <c r="BA167" s="23" t="s">
        <v>12</v>
      </c>
    </row>
    <row r="168" spans="1:53" x14ac:dyDescent="0.25">
      <c r="A168" t="s">
        <v>134</v>
      </c>
      <c r="B168" t="s">
        <v>135</v>
      </c>
      <c r="C168">
        <v>22001852</v>
      </c>
      <c r="D168">
        <v>1204</v>
      </c>
      <c r="E168" s="11">
        <v>44784</v>
      </c>
      <c r="F168" t="s">
        <v>175</v>
      </c>
      <c r="G168" s="25">
        <v>2.23</v>
      </c>
      <c r="H168">
        <v>2.23</v>
      </c>
      <c r="I168" t="s">
        <v>56</v>
      </c>
      <c r="O168" t="s">
        <v>57</v>
      </c>
      <c r="Q168" t="s">
        <v>57</v>
      </c>
      <c r="R168" t="s">
        <v>137</v>
      </c>
      <c r="T168" t="s">
        <v>59</v>
      </c>
      <c r="U168" t="s">
        <v>60</v>
      </c>
      <c r="V168" t="s">
        <v>138</v>
      </c>
      <c r="W168" t="s">
        <v>139</v>
      </c>
      <c r="X168">
        <v>1930523</v>
      </c>
      <c r="Y168" s="11">
        <v>44784</v>
      </c>
      <c r="Z168" t="s">
        <v>57</v>
      </c>
      <c r="AA168">
        <v>4</v>
      </c>
      <c r="AB168" t="s">
        <v>57</v>
      </c>
      <c r="AD168" t="s">
        <v>57</v>
      </c>
      <c r="AE168" t="s">
        <v>57</v>
      </c>
      <c r="AF168" t="s">
        <v>57</v>
      </c>
      <c r="AG168">
        <v>20</v>
      </c>
      <c r="AH168" t="s">
        <v>57</v>
      </c>
      <c r="AL168" t="s">
        <v>57</v>
      </c>
      <c r="AM168" s="11">
        <v>44784</v>
      </c>
      <c r="AN168" t="s">
        <v>176</v>
      </c>
      <c r="AO168" t="s">
        <v>65</v>
      </c>
      <c r="AP168">
        <v>1204</v>
      </c>
      <c r="AQ168" t="s">
        <v>66</v>
      </c>
      <c r="AR168">
        <v>265267</v>
      </c>
      <c r="AU168" t="s">
        <v>57</v>
      </c>
      <c r="AV168" t="s">
        <v>68</v>
      </c>
      <c r="AX168" t="s">
        <v>57</v>
      </c>
      <c r="AY168">
        <v>631110</v>
      </c>
      <c r="AZ168">
        <v>1204.63111</v>
      </c>
      <c r="BA168" s="23" t="s">
        <v>12</v>
      </c>
    </row>
    <row r="169" spans="1:53" x14ac:dyDescent="0.25">
      <c r="A169" t="s">
        <v>134</v>
      </c>
      <c r="B169" t="s">
        <v>135</v>
      </c>
      <c r="C169">
        <v>22001813</v>
      </c>
      <c r="D169">
        <v>1204</v>
      </c>
      <c r="E169" s="11">
        <v>44777</v>
      </c>
      <c r="F169" t="s">
        <v>174</v>
      </c>
      <c r="G169" s="25">
        <v>2.37</v>
      </c>
      <c r="H169">
        <v>2.37</v>
      </c>
      <c r="I169" t="s">
        <v>56</v>
      </c>
      <c r="O169" t="s">
        <v>57</v>
      </c>
      <c r="Q169" t="s">
        <v>57</v>
      </c>
      <c r="R169" t="s">
        <v>137</v>
      </c>
      <c r="T169" t="s">
        <v>59</v>
      </c>
      <c r="U169" t="s">
        <v>60</v>
      </c>
      <c r="V169" t="s">
        <v>138</v>
      </c>
      <c r="W169" t="s">
        <v>139</v>
      </c>
      <c r="X169">
        <v>1927630</v>
      </c>
      <c r="Y169" s="11">
        <v>44777</v>
      </c>
      <c r="Z169" t="s">
        <v>57</v>
      </c>
      <c r="AA169">
        <v>4</v>
      </c>
      <c r="AB169" t="s">
        <v>57</v>
      </c>
      <c r="AD169" t="s">
        <v>57</v>
      </c>
      <c r="AE169" t="s">
        <v>57</v>
      </c>
      <c r="AF169" t="s">
        <v>57</v>
      </c>
      <c r="AG169">
        <v>1</v>
      </c>
      <c r="AH169" t="s">
        <v>57</v>
      </c>
      <c r="AL169" t="s">
        <v>57</v>
      </c>
      <c r="AM169" s="11">
        <v>44777</v>
      </c>
      <c r="AN169" t="s">
        <v>173</v>
      </c>
      <c r="AO169" t="s">
        <v>65</v>
      </c>
      <c r="AP169">
        <v>1204</v>
      </c>
      <c r="AQ169" t="s">
        <v>66</v>
      </c>
      <c r="AR169">
        <v>214874</v>
      </c>
      <c r="AU169" t="s">
        <v>57</v>
      </c>
      <c r="AV169" t="s">
        <v>68</v>
      </c>
      <c r="AX169" t="s">
        <v>57</v>
      </c>
      <c r="AY169">
        <v>631110</v>
      </c>
      <c r="AZ169">
        <v>1204.63111</v>
      </c>
      <c r="BA169" s="23" t="s">
        <v>12</v>
      </c>
    </row>
    <row r="170" spans="1:53" x14ac:dyDescent="0.25">
      <c r="A170" t="s">
        <v>134</v>
      </c>
      <c r="B170" t="s">
        <v>135</v>
      </c>
      <c r="C170">
        <v>22001813</v>
      </c>
      <c r="D170">
        <v>1204</v>
      </c>
      <c r="E170" s="11">
        <v>44777</v>
      </c>
      <c r="F170" t="s">
        <v>174</v>
      </c>
      <c r="G170" s="25">
        <v>2.46</v>
      </c>
      <c r="H170">
        <v>2.46</v>
      </c>
      <c r="I170" t="s">
        <v>56</v>
      </c>
      <c r="O170" t="s">
        <v>57</v>
      </c>
      <c r="Q170" t="s">
        <v>57</v>
      </c>
      <c r="R170" t="s">
        <v>137</v>
      </c>
      <c r="T170" t="s">
        <v>59</v>
      </c>
      <c r="U170" t="s">
        <v>60</v>
      </c>
      <c r="V170" t="s">
        <v>138</v>
      </c>
      <c r="W170" t="s">
        <v>139</v>
      </c>
      <c r="X170">
        <v>1927630</v>
      </c>
      <c r="Y170" s="11">
        <v>44777</v>
      </c>
      <c r="Z170" t="s">
        <v>57</v>
      </c>
      <c r="AA170">
        <v>14</v>
      </c>
      <c r="AB170" t="s">
        <v>57</v>
      </c>
      <c r="AD170" t="s">
        <v>57</v>
      </c>
      <c r="AE170" t="s">
        <v>57</v>
      </c>
      <c r="AF170" t="s">
        <v>57</v>
      </c>
      <c r="AG170">
        <v>1</v>
      </c>
      <c r="AH170" t="s">
        <v>57</v>
      </c>
      <c r="AL170" t="s">
        <v>57</v>
      </c>
      <c r="AM170" s="11">
        <v>44777</v>
      </c>
      <c r="AN170" t="s">
        <v>173</v>
      </c>
      <c r="AO170" t="s">
        <v>65</v>
      </c>
      <c r="AP170">
        <v>1204</v>
      </c>
      <c r="AQ170" t="s">
        <v>66</v>
      </c>
      <c r="AR170">
        <v>88723</v>
      </c>
      <c r="AU170" t="s">
        <v>57</v>
      </c>
      <c r="AV170" t="s">
        <v>68</v>
      </c>
      <c r="AX170" t="s">
        <v>57</v>
      </c>
      <c r="AY170">
        <v>631110</v>
      </c>
      <c r="AZ170">
        <v>1204.63111</v>
      </c>
      <c r="BA170" s="23" t="s">
        <v>12</v>
      </c>
    </row>
    <row r="171" spans="1:53" x14ac:dyDescent="0.25">
      <c r="A171" t="s">
        <v>134</v>
      </c>
      <c r="B171" t="s">
        <v>135</v>
      </c>
      <c r="C171">
        <v>22001874</v>
      </c>
      <c r="D171">
        <v>1204</v>
      </c>
      <c r="E171" s="11">
        <v>44789</v>
      </c>
      <c r="F171" t="s">
        <v>135</v>
      </c>
      <c r="G171" s="25">
        <v>2.46</v>
      </c>
      <c r="H171">
        <v>2.46</v>
      </c>
      <c r="I171" t="s">
        <v>56</v>
      </c>
      <c r="O171" t="s">
        <v>57</v>
      </c>
      <c r="Q171" t="s">
        <v>57</v>
      </c>
      <c r="R171" t="s">
        <v>137</v>
      </c>
      <c r="T171" t="s">
        <v>59</v>
      </c>
      <c r="U171" t="s">
        <v>60</v>
      </c>
      <c r="V171" t="s">
        <v>138</v>
      </c>
      <c r="W171" t="s">
        <v>139</v>
      </c>
      <c r="X171">
        <v>1933168</v>
      </c>
      <c r="Y171" s="11">
        <v>44789</v>
      </c>
      <c r="Z171" t="s">
        <v>57</v>
      </c>
      <c r="AA171">
        <v>4</v>
      </c>
      <c r="AB171" t="s">
        <v>57</v>
      </c>
      <c r="AD171" t="s">
        <v>57</v>
      </c>
      <c r="AE171" t="s">
        <v>57</v>
      </c>
      <c r="AF171" t="s">
        <v>57</v>
      </c>
      <c r="AG171">
        <v>22</v>
      </c>
      <c r="AH171" t="s">
        <v>57</v>
      </c>
      <c r="AL171" t="s">
        <v>57</v>
      </c>
      <c r="AM171" s="11">
        <v>44789</v>
      </c>
      <c r="AN171" t="s">
        <v>176</v>
      </c>
      <c r="AO171" t="s">
        <v>65</v>
      </c>
      <c r="AP171">
        <v>1204</v>
      </c>
      <c r="AQ171" t="s">
        <v>66</v>
      </c>
      <c r="AR171">
        <v>265267</v>
      </c>
      <c r="AU171" t="s">
        <v>57</v>
      </c>
      <c r="AV171" t="s">
        <v>68</v>
      </c>
      <c r="AX171" t="s">
        <v>57</v>
      </c>
      <c r="AY171">
        <v>631110</v>
      </c>
      <c r="AZ171">
        <v>1204.63111</v>
      </c>
      <c r="BA171" s="23" t="s">
        <v>12</v>
      </c>
    </row>
    <row r="172" spans="1:53" x14ac:dyDescent="0.25">
      <c r="A172" t="s">
        <v>134</v>
      </c>
      <c r="B172" t="s">
        <v>135</v>
      </c>
      <c r="C172">
        <v>22001834</v>
      </c>
      <c r="D172">
        <v>1204</v>
      </c>
      <c r="E172" s="11">
        <v>44781</v>
      </c>
      <c r="F172" t="s">
        <v>174</v>
      </c>
      <c r="G172" s="25">
        <v>2.4700000000000002</v>
      </c>
      <c r="H172">
        <v>2.4700000000000002</v>
      </c>
      <c r="I172" t="s">
        <v>56</v>
      </c>
      <c r="O172" t="s">
        <v>57</v>
      </c>
      <c r="Q172" t="s">
        <v>57</v>
      </c>
      <c r="R172" t="s">
        <v>137</v>
      </c>
      <c r="T172" t="s">
        <v>59</v>
      </c>
      <c r="U172" t="s">
        <v>60</v>
      </c>
      <c r="V172" t="s">
        <v>138</v>
      </c>
      <c r="W172" t="s">
        <v>139</v>
      </c>
      <c r="X172">
        <v>1928971</v>
      </c>
      <c r="Y172" s="11">
        <v>44781</v>
      </c>
      <c r="Z172" t="s">
        <v>57</v>
      </c>
      <c r="AA172">
        <v>6</v>
      </c>
      <c r="AB172" t="s">
        <v>57</v>
      </c>
      <c r="AD172" t="s">
        <v>57</v>
      </c>
      <c r="AE172" t="s">
        <v>57</v>
      </c>
      <c r="AF172" t="s">
        <v>57</v>
      </c>
      <c r="AG172">
        <v>5</v>
      </c>
      <c r="AH172" t="s">
        <v>57</v>
      </c>
      <c r="AL172" t="s">
        <v>57</v>
      </c>
      <c r="AM172" s="11">
        <v>44781</v>
      </c>
      <c r="AN172" t="s">
        <v>173</v>
      </c>
      <c r="AO172" t="s">
        <v>65</v>
      </c>
      <c r="AP172">
        <v>1204</v>
      </c>
      <c r="AQ172" t="s">
        <v>66</v>
      </c>
      <c r="AR172">
        <v>121863</v>
      </c>
      <c r="AU172" t="s">
        <v>57</v>
      </c>
      <c r="AV172" t="s">
        <v>68</v>
      </c>
      <c r="AX172" t="s">
        <v>57</v>
      </c>
      <c r="AY172">
        <v>631110</v>
      </c>
      <c r="AZ172">
        <v>1204.63111</v>
      </c>
      <c r="BA172" s="23" t="s">
        <v>12</v>
      </c>
    </row>
    <row r="173" spans="1:53" x14ac:dyDescent="0.25">
      <c r="A173" t="s">
        <v>134</v>
      </c>
      <c r="B173" t="s">
        <v>135</v>
      </c>
      <c r="C173">
        <v>22001891</v>
      </c>
      <c r="D173">
        <v>1204</v>
      </c>
      <c r="E173" s="11">
        <v>44792</v>
      </c>
      <c r="F173" t="s">
        <v>174</v>
      </c>
      <c r="G173" s="25">
        <v>2.4700000000000002</v>
      </c>
      <c r="H173">
        <v>2.4700000000000002</v>
      </c>
      <c r="I173" t="s">
        <v>56</v>
      </c>
      <c r="O173" t="s">
        <v>57</v>
      </c>
      <c r="Q173" t="s">
        <v>57</v>
      </c>
      <c r="R173" t="s">
        <v>137</v>
      </c>
      <c r="T173" t="s">
        <v>59</v>
      </c>
      <c r="U173" t="s">
        <v>60</v>
      </c>
      <c r="V173" t="s">
        <v>138</v>
      </c>
      <c r="W173" t="s">
        <v>139</v>
      </c>
      <c r="X173">
        <v>1934076</v>
      </c>
      <c r="Y173" s="11">
        <v>44792</v>
      </c>
      <c r="Z173" t="s">
        <v>57</v>
      </c>
      <c r="AA173">
        <v>2</v>
      </c>
      <c r="AB173" t="s">
        <v>57</v>
      </c>
      <c r="AD173" t="s">
        <v>57</v>
      </c>
      <c r="AE173" t="s">
        <v>57</v>
      </c>
      <c r="AF173" t="s">
        <v>57</v>
      </c>
      <c r="AG173">
        <v>1</v>
      </c>
      <c r="AH173" t="s">
        <v>57</v>
      </c>
      <c r="AL173" t="s">
        <v>57</v>
      </c>
      <c r="AM173" s="11">
        <v>44792</v>
      </c>
      <c r="AN173" t="s">
        <v>173</v>
      </c>
      <c r="AO173" t="s">
        <v>65</v>
      </c>
      <c r="AP173">
        <v>1204</v>
      </c>
      <c r="AQ173" t="s">
        <v>66</v>
      </c>
      <c r="AR173">
        <v>152910</v>
      </c>
      <c r="AU173" t="s">
        <v>57</v>
      </c>
      <c r="AV173" t="s">
        <v>68</v>
      </c>
      <c r="AX173" t="s">
        <v>57</v>
      </c>
      <c r="AY173">
        <v>631110</v>
      </c>
      <c r="AZ173">
        <v>1204.63111</v>
      </c>
      <c r="BA173" s="23" t="s">
        <v>12</v>
      </c>
    </row>
    <row r="174" spans="1:53" x14ac:dyDescent="0.25">
      <c r="A174" t="s">
        <v>134</v>
      </c>
      <c r="B174" t="s">
        <v>135</v>
      </c>
      <c r="C174">
        <v>22001891</v>
      </c>
      <c r="D174">
        <v>1204</v>
      </c>
      <c r="E174" s="11">
        <v>44792</v>
      </c>
      <c r="F174" t="s">
        <v>174</v>
      </c>
      <c r="G174" s="25">
        <v>2.4700000000000002</v>
      </c>
      <c r="H174">
        <v>2.4700000000000002</v>
      </c>
      <c r="I174" t="s">
        <v>56</v>
      </c>
      <c r="O174" t="s">
        <v>57</v>
      </c>
      <c r="Q174" t="s">
        <v>57</v>
      </c>
      <c r="R174" t="s">
        <v>137</v>
      </c>
      <c r="T174" t="s">
        <v>59</v>
      </c>
      <c r="U174" t="s">
        <v>60</v>
      </c>
      <c r="V174" t="s">
        <v>138</v>
      </c>
      <c r="W174" t="s">
        <v>139</v>
      </c>
      <c r="X174">
        <v>1934076</v>
      </c>
      <c r="Y174" s="11">
        <v>44792</v>
      </c>
      <c r="Z174" t="s">
        <v>57</v>
      </c>
      <c r="AA174">
        <v>8</v>
      </c>
      <c r="AB174" t="s">
        <v>57</v>
      </c>
      <c r="AD174" t="s">
        <v>57</v>
      </c>
      <c r="AE174" t="s">
        <v>57</v>
      </c>
      <c r="AF174" t="s">
        <v>57</v>
      </c>
      <c r="AG174">
        <v>5</v>
      </c>
      <c r="AH174" t="s">
        <v>57</v>
      </c>
      <c r="AL174" t="s">
        <v>57</v>
      </c>
      <c r="AM174" s="11">
        <v>44792</v>
      </c>
      <c r="AN174" t="s">
        <v>173</v>
      </c>
      <c r="AO174" t="s">
        <v>65</v>
      </c>
      <c r="AP174">
        <v>1204</v>
      </c>
      <c r="AQ174" t="s">
        <v>66</v>
      </c>
      <c r="AR174">
        <v>121863</v>
      </c>
      <c r="AU174" t="s">
        <v>57</v>
      </c>
      <c r="AV174" t="s">
        <v>68</v>
      </c>
      <c r="AX174" t="s">
        <v>57</v>
      </c>
      <c r="AY174">
        <v>631110</v>
      </c>
      <c r="AZ174">
        <v>1204.63111</v>
      </c>
      <c r="BA174" s="23" t="s">
        <v>12</v>
      </c>
    </row>
    <row r="175" spans="1:53" x14ac:dyDescent="0.25">
      <c r="A175" t="s">
        <v>134</v>
      </c>
      <c r="B175" t="s">
        <v>135</v>
      </c>
      <c r="C175">
        <v>22001785</v>
      </c>
      <c r="D175">
        <v>1204</v>
      </c>
      <c r="E175" s="11">
        <v>44774</v>
      </c>
      <c r="F175" t="s">
        <v>174</v>
      </c>
      <c r="G175" s="25">
        <v>2.5099999999999998</v>
      </c>
      <c r="H175">
        <v>2.5099999999999998</v>
      </c>
      <c r="I175" t="s">
        <v>56</v>
      </c>
      <c r="O175" t="s">
        <v>57</v>
      </c>
      <c r="Q175" t="s">
        <v>57</v>
      </c>
      <c r="R175" t="s">
        <v>137</v>
      </c>
      <c r="T175" t="s">
        <v>59</v>
      </c>
      <c r="U175" t="s">
        <v>60</v>
      </c>
      <c r="V175" t="s">
        <v>138</v>
      </c>
      <c r="W175" t="s">
        <v>139</v>
      </c>
      <c r="X175">
        <v>1925466</v>
      </c>
      <c r="Y175" s="11">
        <v>44774</v>
      </c>
      <c r="Z175" t="s">
        <v>57</v>
      </c>
      <c r="AA175">
        <v>18</v>
      </c>
      <c r="AB175" t="s">
        <v>57</v>
      </c>
      <c r="AD175" t="s">
        <v>57</v>
      </c>
      <c r="AE175" t="s">
        <v>57</v>
      </c>
      <c r="AF175" t="s">
        <v>57</v>
      </c>
      <c r="AG175">
        <v>1</v>
      </c>
      <c r="AH175" t="s">
        <v>57</v>
      </c>
      <c r="AL175" t="s">
        <v>57</v>
      </c>
      <c r="AM175" s="11">
        <v>44774</v>
      </c>
      <c r="AN175" t="s">
        <v>173</v>
      </c>
      <c r="AO175" t="s">
        <v>65</v>
      </c>
      <c r="AP175">
        <v>1204</v>
      </c>
      <c r="AQ175" t="s">
        <v>66</v>
      </c>
      <c r="AR175">
        <v>152910</v>
      </c>
      <c r="AU175" t="s">
        <v>57</v>
      </c>
      <c r="AV175" t="s">
        <v>68</v>
      </c>
      <c r="AX175" t="s">
        <v>57</v>
      </c>
      <c r="AY175">
        <v>631110</v>
      </c>
      <c r="AZ175">
        <v>1204.63111</v>
      </c>
      <c r="BA175" s="23" t="s">
        <v>12</v>
      </c>
    </row>
    <row r="176" spans="1:53" x14ac:dyDescent="0.25">
      <c r="A176" t="s">
        <v>134</v>
      </c>
      <c r="B176" t="s">
        <v>135</v>
      </c>
      <c r="C176">
        <v>22001837</v>
      </c>
      <c r="D176">
        <v>1204</v>
      </c>
      <c r="E176" s="11">
        <v>44782</v>
      </c>
      <c r="F176" t="s">
        <v>174</v>
      </c>
      <c r="G176" s="25">
        <v>2.5099999999999998</v>
      </c>
      <c r="H176">
        <v>2.5099999999999998</v>
      </c>
      <c r="I176" t="s">
        <v>56</v>
      </c>
      <c r="O176" t="s">
        <v>57</v>
      </c>
      <c r="Q176" t="s">
        <v>57</v>
      </c>
      <c r="R176" t="s">
        <v>137</v>
      </c>
      <c r="T176" t="s">
        <v>59</v>
      </c>
      <c r="U176" t="s">
        <v>60</v>
      </c>
      <c r="V176" t="s">
        <v>138</v>
      </c>
      <c r="W176" t="s">
        <v>139</v>
      </c>
      <c r="X176">
        <v>1929196</v>
      </c>
      <c r="Y176" s="11">
        <v>44782</v>
      </c>
      <c r="Z176" t="s">
        <v>57</v>
      </c>
      <c r="AA176">
        <v>6</v>
      </c>
      <c r="AB176" t="s">
        <v>57</v>
      </c>
      <c r="AD176" t="s">
        <v>57</v>
      </c>
      <c r="AE176" t="s">
        <v>57</v>
      </c>
      <c r="AF176" t="s">
        <v>57</v>
      </c>
      <c r="AG176">
        <v>1</v>
      </c>
      <c r="AH176" t="s">
        <v>57</v>
      </c>
      <c r="AL176" t="s">
        <v>57</v>
      </c>
      <c r="AM176" s="11">
        <v>44782</v>
      </c>
      <c r="AN176" t="s">
        <v>173</v>
      </c>
      <c r="AO176" t="s">
        <v>65</v>
      </c>
      <c r="AP176">
        <v>1204</v>
      </c>
      <c r="AQ176" t="s">
        <v>66</v>
      </c>
      <c r="AR176">
        <v>152910</v>
      </c>
      <c r="AU176" t="s">
        <v>57</v>
      </c>
      <c r="AV176" t="s">
        <v>68</v>
      </c>
      <c r="AX176" t="s">
        <v>57</v>
      </c>
      <c r="AY176">
        <v>631110</v>
      </c>
      <c r="AZ176">
        <v>1204.63111</v>
      </c>
      <c r="BA176" s="23" t="s">
        <v>12</v>
      </c>
    </row>
    <row r="177" spans="1:53" x14ac:dyDescent="0.25">
      <c r="A177" t="s">
        <v>134</v>
      </c>
      <c r="B177" t="s">
        <v>135</v>
      </c>
      <c r="C177">
        <v>22001842</v>
      </c>
      <c r="D177">
        <v>1204</v>
      </c>
      <c r="E177" s="11">
        <v>44783</v>
      </c>
      <c r="F177" t="s">
        <v>174</v>
      </c>
      <c r="G177" s="25">
        <v>2.54</v>
      </c>
      <c r="H177">
        <v>2.54</v>
      </c>
      <c r="I177" t="s">
        <v>56</v>
      </c>
      <c r="O177" t="s">
        <v>57</v>
      </c>
      <c r="Q177" t="s">
        <v>57</v>
      </c>
      <c r="R177" t="s">
        <v>137</v>
      </c>
      <c r="T177" t="s">
        <v>59</v>
      </c>
      <c r="U177" t="s">
        <v>60</v>
      </c>
      <c r="V177" t="s">
        <v>138</v>
      </c>
      <c r="W177" t="s">
        <v>139</v>
      </c>
      <c r="X177">
        <v>1930268</v>
      </c>
      <c r="Y177" s="11">
        <v>44783</v>
      </c>
      <c r="Z177" t="s">
        <v>57</v>
      </c>
      <c r="AA177">
        <v>24</v>
      </c>
      <c r="AB177" t="s">
        <v>57</v>
      </c>
      <c r="AD177" t="s">
        <v>57</v>
      </c>
      <c r="AE177" t="s">
        <v>57</v>
      </c>
      <c r="AF177" t="s">
        <v>57</v>
      </c>
      <c r="AG177">
        <v>1</v>
      </c>
      <c r="AH177" t="s">
        <v>57</v>
      </c>
      <c r="AL177" t="s">
        <v>57</v>
      </c>
      <c r="AM177" s="11">
        <v>44783</v>
      </c>
      <c r="AN177" t="s">
        <v>173</v>
      </c>
      <c r="AO177" t="s">
        <v>65</v>
      </c>
      <c r="AP177">
        <v>1204</v>
      </c>
      <c r="AQ177" t="s">
        <v>66</v>
      </c>
      <c r="AR177">
        <v>218965</v>
      </c>
      <c r="AU177" t="s">
        <v>57</v>
      </c>
      <c r="AV177" t="s">
        <v>68</v>
      </c>
      <c r="AX177" t="s">
        <v>57</v>
      </c>
      <c r="AY177">
        <v>631110</v>
      </c>
      <c r="AZ177">
        <v>1204.63111</v>
      </c>
      <c r="BA177" s="23" t="s">
        <v>12</v>
      </c>
    </row>
    <row r="178" spans="1:53" x14ac:dyDescent="0.25">
      <c r="A178" t="s">
        <v>134</v>
      </c>
      <c r="B178" t="s">
        <v>135</v>
      </c>
      <c r="C178">
        <v>22001852</v>
      </c>
      <c r="D178">
        <v>1204</v>
      </c>
      <c r="E178" s="11">
        <v>44784</v>
      </c>
      <c r="F178" t="s">
        <v>175</v>
      </c>
      <c r="G178" s="25">
        <v>2.5499999999999998</v>
      </c>
      <c r="H178">
        <v>2.5499999999999998</v>
      </c>
      <c r="I178" t="s">
        <v>56</v>
      </c>
      <c r="O178" t="s">
        <v>57</v>
      </c>
      <c r="Q178" t="s">
        <v>57</v>
      </c>
      <c r="R178" t="s">
        <v>137</v>
      </c>
      <c r="T178" t="s">
        <v>59</v>
      </c>
      <c r="U178" t="s">
        <v>60</v>
      </c>
      <c r="V178" t="s">
        <v>138</v>
      </c>
      <c r="W178" t="s">
        <v>139</v>
      </c>
      <c r="X178">
        <v>1930523</v>
      </c>
      <c r="Y178" s="11">
        <v>44784</v>
      </c>
      <c r="Z178" t="s">
        <v>57</v>
      </c>
      <c r="AA178">
        <v>12</v>
      </c>
      <c r="AB178" t="s">
        <v>57</v>
      </c>
      <c r="AD178" t="s">
        <v>57</v>
      </c>
      <c r="AE178" t="s">
        <v>57</v>
      </c>
      <c r="AF178" t="s">
        <v>57</v>
      </c>
      <c r="AG178">
        <v>7</v>
      </c>
      <c r="AH178" t="s">
        <v>57</v>
      </c>
      <c r="AL178" t="s">
        <v>57</v>
      </c>
      <c r="AM178" s="11">
        <v>44784</v>
      </c>
      <c r="AN178" t="s">
        <v>176</v>
      </c>
      <c r="AO178" t="s">
        <v>65</v>
      </c>
      <c r="AP178">
        <v>1204</v>
      </c>
      <c r="AQ178" t="s">
        <v>66</v>
      </c>
      <c r="AR178">
        <v>91011</v>
      </c>
      <c r="AU178" t="s">
        <v>57</v>
      </c>
      <c r="AV178" t="s">
        <v>68</v>
      </c>
      <c r="AX178" t="s">
        <v>57</v>
      </c>
      <c r="AY178">
        <v>631110</v>
      </c>
      <c r="AZ178">
        <v>1204.63111</v>
      </c>
      <c r="BA178" s="23" t="s">
        <v>12</v>
      </c>
    </row>
    <row r="179" spans="1:53" x14ac:dyDescent="0.25">
      <c r="A179" t="s">
        <v>134</v>
      </c>
      <c r="B179" t="s">
        <v>135</v>
      </c>
      <c r="C179">
        <v>22001813</v>
      </c>
      <c r="D179">
        <v>1204</v>
      </c>
      <c r="E179" s="11">
        <v>44777</v>
      </c>
      <c r="F179" t="s">
        <v>174</v>
      </c>
      <c r="G179" s="25">
        <v>2.58</v>
      </c>
      <c r="H179">
        <v>2.58</v>
      </c>
      <c r="I179" t="s">
        <v>56</v>
      </c>
      <c r="O179" t="s">
        <v>57</v>
      </c>
      <c r="Q179" t="s">
        <v>57</v>
      </c>
      <c r="R179" t="s">
        <v>137</v>
      </c>
      <c r="T179" t="s">
        <v>59</v>
      </c>
      <c r="U179" t="s">
        <v>60</v>
      </c>
      <c r="V179" t="s">
        <v>138</v>
      </c>
      <c r="W179" t="s">
        <v>139</v>
      </c>
      <c r="X179">
        <v>1927630</v>
      </c>
      <c r="Y179" s="11">
        <v>44777</v>
      </c>
      <c r="Z179" t="s">
        <v>57</v>
      </c>
      <c r="AA179">
        <v>6</v>
      </c>
      <c r="AB179" t="s">
        <v>57</v>
      </c>
      <c r="AD179" t="s">
        <v>57</v>
      </c>
      <c r="AE179" t="s">
        <v>57</v>
      </c>
      <c r="AF179" t="s">
        <v>57</v>
      </c>
      <c r="AG179">
        <v>1</v>
      </c>
      <c r="AH179" t="s">
        <v>57</v>
      </c>
      <c r="AL179" t="s">
        <v>57</v>
      </c>
      <c r="AM179" s="11">
        <v>44777</v>
      </c>
      <c r="AN179" t="s">
        <v>173</v>
      </c>
      <c r="AO179" t="s">
        <v>65</v>
      </c>
      <c r="AP179">
        <v>1204</v>
      </c>
      <c r="AQ179" t="s">
        <v>66</v>
      </c>
      <c r="AR179">
        <v>177903</v>
      </c>
      <c r="AU179" t="s">
        <v>57</v>
      </c>
      <c r="AV179" t="s">
        <v>68</v>
      </c>
      <c r="AX179" t="s">
        <v>57</v>
      </c>
      <c r="AY179">
        <v>631110</v>
      </c>
      <c r="AZ179">
        <v>1204.63111</v>
      </c>
      <c r="BA179" s="23" t="s">
        <v>12</v>
      </c>
    </row>
    <row r="180" spans="1:53" x14ac:dyDescent="0.25">
      <c r="A180" t="s">
        <v>134</v>
      </c>
      <c r="B180" t="s">
        <v>135</v>
      </c>
      <c r="C180">
        <v>22001801</v>
      </c>
      <c r="D180">
        <v>1204</v>
      </c>
      <c r="E180" s="11">
        <v>44775</v>
      </c>
      <c r="F180" t="s">
        <v>174</v>
      </c>
      <c r="G180" s="25">
        <v>2.59</v>
      </c>
      <c r="H180">
        <v>2.59</v>
      </c>
      <c r="I180" t="s">
        <v>56</v>
      </c>
      <c r="O180" t="s">
        <v>57</v>
      </c>
      <c r="Q180" t="s">
        <v>57</v>
      </c>
      <c r="R180" t="s">
        <v>137</v>
      </c>
      <c r="T180" t="s">
        <v>59</v>
      </c>
      <c r="U180" t="s">
        <v>60</v>
      </c>
      <c r="V180" t="s">
        <v>138</v>
      </c>
      <c r="W180" t="s">
        <v>139</v>
      </c>
      <c r="X180">
        <v>1926653</v>
      </c>
      <c r="Y180" s="11">
        <v>44775</v>
      </c>
      <c r="Z180" t="s">
        <v>57</v>
      </c>
      <c r="AA180">
        <v>10</v>
      </c>
      <c r="AB180" t="s">
        <v>57</v>
      </c>
      <c r="AD180" t="s">
        <v>57</v>
      </c>
      <c r="AE180" t="s">
        <v>57</v>
      </c>
      <c r="AF180" t="s">
        <v>57</v>
      </c>
      <c r="AG180">
        <v>1</v>
      </c>
      <c r="AH180" t="s">
        <v>57</v>
      </c>
      <c r="AL180" t="s">
        <v>57</v>
      </c>
      <c r="AM180" s="11">
        <v>44775</v>
      </c>
      <c r="AN180" t="s">
        <v>173</v>
      </c>
      <c r="AO180" t="s">
        <v>65</v>
      </c>
      <c r="AP180">
        <v>1204</v>
      </c>
      <c r="AQ180" t="s">
        <v>66</v>
      </c>
      <c r="AR180">
        <v>212679</v>
      </c>
      <c r="AU180" t="s">
        <v>57</v>
      </c>
      <c r="AV180" t="s">
        <v>68</v>
      </c>
      <c r="AX180" t="s">
        <v>57</v>
      </c>
      <c r="AY180">
        <v>631110</v>
      </c>
      <c r="AZ180">
        <v>1204.63111</v>
      </c>
      <c r="BA180" s="23" t="s">
        <v>12</v>
      </c>
    </row>
    <row r="181" spans="1:53" x14ac:dyDescent="0.25">
      <c r="A181" t="s">
        <v>134</v>
      </c>
      <c r="B181" t="s">
        <v>135</v>
      </c>
      <c r="C181">
        <v>22001808</v>
      </c>
      <c r="D181">
        <v>1204</v>
      </c>
      <c r="E181" s="11">
        <v>44776</v>
      </c>
      <c r="F181" t="s">
        <v>174</v>
      </c>
      <c r="G181" s="25">
        <v>2.59</v>
      </c>
      <c r="H181">
        <v>2.59</v>
      </c>
      <c r="I181" t="s">
        <v>56</v>
      </c>
      <c r="O181" t="s">
        <v>57</v>
      </c>
      <c r="Q181" t="s">
        <v>57</v>
      </c>
      <c r="R181" t="s">
        <v>137</v>
      </c>
      <c r="T181" t="s">
        <v>59</v>
      </c>
      <c r="U181" t="s">
        <v>60</v>
      </c>
      <c r="V181" t="s">
        <v>138</v>
      </c>
      <c r="W181" t="s">
        <v>139</v>
      </c>
      <c r="X181">
        <v>1926830</v>
      </c>
      <c r="Y181" s="11">
        <v>44776</v>
      </c>
      <c r="Z181" t="s">
        <v>57</v>
      </c>
      <c r="AA181">
        <v>16</v>
      </c>
      <c r="AB181" t="s">
        <v>57</v>
      </c>
      <c r="AD181" t="s">
        <v>57</v>
      </c>
      <c r="AE181" t="s">
        <v>57</v>
      </c>
      <c r="AF181" t="s">
        <v>57</v>
      </c>
      <c r="AG181">
        <v>1</v>
      </c>
      <c r="AH181" t="s">
        <v>57</v>
      </c>
      <c r="AL181" t="s">
        <v>57</v>
      </c>
      <c r="AM181" s="11">
        <v>44776</v>
      </c>
      <c r="AN181" t="s">
        <v>173</v>
      </c>
      <c r="AO181" t="s">
        <v>65</v>
      </c>
      <c r="AP181">
        <v>1204</v>
      </c>
      <c r="AQ181" t="s">
        <v>66</v>
      </c>
      <c r="AR181">
        <v>212679</v>
      </c>
      <c r="AU181" t="s">
        <v>57</v>
      </c>
      <c r="AV181" t="s">
        <v>68</v>
      </c>
      <c r="AX181" t="s">
        <v>57</v>
      </c>
      <c r="AY181">
        <v>631110</v>
      </c>
      <c r="AZ181">
        <v>1204.63111</v>
      </c>
      <c r="BA181" s="23" t="s">
        <v>12</v>
      </c>
    </row>
    <row r="182" spans="1:53" x14ac:dyDescent="0.25">
      <c r="A182" t="s">
        <v>134</v>
      </c>
      <c r="B182" t="s">
        <v>135</v>
      </c>
      <c r="C182">
        <v>22001840</v>
      </c>
      <c r="D182">
        <v>1204</v>
      </c>
      <c r="E182" s="11">
        <v>44782</v>
      </c>
      <c r="F182" t="s">
        <v>175</v>
      </c>
      <c r="G182" s="25">
        <v>2.61</v>
      </c>
      <c r="H182">
        <v>2.61</v>
      </c>
      <c r="I182" t="s">
        <v>56</v>
      </c>
      <c r="O182" t="s">
        <v>57</v>
      </c>
      <c r="Q182" t="s">
        <v>57</v>
      </c>
      <c r="R182" t="s">
        <v>137</v>
      </c>
      <c r="T182" t="s">
        <v>59</v>
      </c>
      <c r="U182" t="s">
        <v>60</v>
      </c>
      <c r="V182" t="s">
        <v>138</v>
      </c>
      <c r="W182" t="s">
        <v>139</v>
      </c>
      <c r="X182">
        <v>1929850</v>
      </c>
      <c r="Y182" s="11">
        <v>44782</v>
      </c>
      <c r="Z182" t="s">
        <v>57</v>
      </c>
      <c r="AA182">
        <v>12</v>
      </c>
      <c r="AB182" t="s">
        <v>57</v>
      </c>
      <c r="AD182" t="s">
        <v>57</v>
      </c>
      <c r="AE182" t="s">
        <v>57</v>
      </c>
      <c r="AF182" t="s">
        <v>57</v>
      </c>
      <c r="AG182">
        <v>17</v>
      </c>
      <c r="AH182" t="s">
        <v>57</v>
      </c>
      <c r="AL182" t="s">
        <v>57</v>
      </c>
      <c r="AM182" s="11">
        <v>44782</v>
      </c>
      <c r="AN182" t="s">
        <v>176</v>
      </c>
      <c r="AO182" t="s">
        <v>65</v>
      </c>
      <c r="AP182">
        <v>1204</v>
      </c>
      <c r="AQ182" t="s">
        <v>66</v>
      </c>
      <c r="AR182">
        <v>89712</v>
      </c>
      <c r="AU182" t="s">
        <v>57</v>
      </c>
      <c r="AV182" t="s">
        <v>68</v>
      </c>
      <c r="AX182" t="s">
        <v>57</v>
      </c>
      <c r="AY182">
        <v>631110</v>
      </c>
      <c r="AZ182">
        <v>1204.63111</v>
      </c>
      <c r="BA182" s="23" t="s">
        <v>12</v>
      </c>
    </row>
    <row r="183" spans="1:53" x14ac:dyDescent="0.25">
      <c r="A183" t="s">
        <v>134</v>
      </c>
      <c r="B183" t="s">
        <v>135</v>
      </c>
      <c r="C183">
        <v>22001851</v>
      </c>
      <c r="D183">
        <v>1204</v>
      </c>
      <c r="E183" s="11">
        <v>44784</v>
      </c>
      <c r="F183" t="s">
        <v>174</v>
      </c>
      <c r="G183" s="25">
        <v>2.76</v>
      </c>
      <c r="H183">
        <v>2.76</v>
      </c>
      <c r="I183" t="s">
        <v>56</v>
      </c>
      <c r="O183" t="s">
        <v>57</v>
      </c>
      <c r="Q183" t="s">
        <v>57</v>
      </c>
      <c r="R183" t="s">
        <v>137</v>
      </c>
      <c r="T183" t="s">
        <v>59</v>
      </c>
      <c r="U183" t="s">
        <v>60</v>
      </c>
      <c r="V183" t="s">
        <v>138</v>
      </c>
      <c r="W183" t="s">
        <v>139</v>
      </c>
      <c r="X183">
        <v>1930522</v>
      </c>
      <c r="Y183" s="11">
        <v>44784</v>
      </c>
      <c r="Z183" t="s">
        <v>57</v>
      </c>
      <c r="AA183">
        <v>2</v>
      </c>
      <c r="AB183" t="s">
        <v>57</v>
      </c>
      <c r="AD183" t="s">
        <v>57</v>
      </c>
      <c r="AE183" t="s">
        <v>57</v>
      </c>
      <c r="AF183" t="s">
        <v>57</v>
      </c>
      <c r="AG183">
        <v>1</v>
      </c>
      <c r="AH183" t="s">
        <v>57</v>
      </c>
      <c r="AL183" t="s">
        <v>57</v>
      </c>
      <c r="AM183" s="11">
        <v>44784</v>
      </c>
      <c r="AN183" t="s">
        <v>173</v>
      </c>
      <c r="AO183" t="s">
        <v>65</v>
      </c>
      <c r="AP183">
        <v>1204</v>
      </c>
      <c r="AQ183" t="s">
        <v>66</v>
      </c>
      <c r="AR183">
        <v>94430</v>
      </c>
      <c r="AU183" t="s">
        <v>57</v>
      </c>
      <c r="AV183" t="s">
        <v>68</v>
      </c>
      <c r="AX183" t="s">
        <v>57</v>
      </c>
      <c r="AY183">
        <v>631110</v>
      </c>
      <c r="AZ183">
        <v>1204.63111</v>
      </c>
      <c r="BA183" s="23" t="s">
        <v>12</v>
      </c>
    </row>
    <row r="184" spans="1:53" x14ac:dyDescent="0.25">
      <c r="A184" t="s">
        <v>134</v>
      </c>
      <c r="B184" t="s">
        <v>135</v>
      </c>
      <c r="C184">
        <v>22001832</v>
      </c>
      <c r="D184">
        <v>1204</v>
      </c>
      <c r="E184" s="11">
        <v>44781</v>
      </c>
      <c r="F184" t="s">
        <v>159</v>
      </c>
      <c r="G184" s="25">
        <v>2.77</v>
      </c>
      <c r="H184">
        <v>2.77</v>
      </c>
      <c r="I184" t="s">
        <v>56</v>
      </c>
      <c r="O184" t="s">
        <v>57</v>
      </c>
      <c r="Q184" t="s">
        <v>57</v>
      </c>
      <c r="R184" t="s">
        <v>137</v>
      </c>
      <c r="T184" t="s">
        <v>59</v>
      </c>
      <c r="U184" t="s">
        <v>60</v>
      </c>
      <c r="V184" t="s">
        <v>138</v>
      </c>
      <c r="W184" t="s">
        <v>139</v>
      </c>
      <c r="X184">
        <v>1928857</v>
      </c>
      <c r="Y184" s="11">
        <v>44781</v>
      </c>
      <c r="Z184" t="s">
        <v>57</v>
      </c>
      <c r="AA184">
        <v>6</v>
      </c>
      <c r="AB184" t="s">
        <v>57</v>
      </c>
      <c r="AD184" t="s">
        <v>57</v>
      </c>
      <c r="AE184" t="s">
        <v>57</v>
      </c>
      <c r="AF184" t="s">
        <v>57</v>
      </c>
      <c r="AG184">
        <v>1</v>
      </c>
      <c r="AH184" t="s">
        <v>57</v>
      </c>
      <c r="AL184" t="s">
        <v>57</v>
      </c>
      <c r="AM184" s="11">
        <v>44781</v>
      </c>
      <c r="AN184" t="s">
        <v>173</v>
      </c>
      <c r="AO184" t="s">
        <v>65</v>
      </c>
      <c r="AP184">
        <v>1204</v>
      </c>
      <c r="AQ184" t="s">
        <v>66</v>
      </c>
      <c r="AR184">
        <v>114063</v>
      </c>
      <c r="AU184" t="s">
        <v>57</v>
      </c>
      <c r="AV184" t="s">
        <v>68</v>
      </c>
      <c r="AX184" t="s">
        <v>57</v>
      </c>
      <c r="AY184">
        <v>631110</v>
      </c>
      <c r="AZ184">
        <v>1204.63111</v>
      </c>
      <c r="BA184" s="23" t="s">
        <v>12</v>
      </c>
    </row>
    <row r="185" spans="1:53" x14ac:dyDescent="0.25">
      <c r="A185" t="s">
        <v>134</v>
      </c>
      <c r="B185" t="s">
        <v>135</v>
      </c>
      <c r="C185">
        <v>22001835</v>
      </c>
      <c r="D185">
        <v>1204</v>
      </c>
      <c r="E185" s="11">
        <v>44781</v>
      </c>
      <c r="F185" t="s">
        <v>175</v>
      </c>
      <c r="G185" s="25">
        <v>2.92</v>
      </c>
      <c r="H185">
        <v>2.92</v>
      </c>
      <c r="I185" t="s">
        <v>56</v>
      </c>
      <c r="O185" t="s">
        <v>57</v>
      </c>
      <c r="Q185" t="s">
        <v>57</v>
      </c>
      <c r="R185" t="s">
        <v>137</v>
      </c>
      <c r="T185" t="s">
        <v>59</v>
      </c>
      <c r="U185" t="s">
        <v>60</v>
      </c>
      <c r="V185" t="s">
        <v>138</v>
      </c>
      <c r="W185" t="s">
        <v>139</v>
      </c>
      <c r="X185">
        <v>1928976</v>
      </c>
      <c r="Y185" s="11">
        <v>44781</v>
      </c>
      <c r="Z185" t="s">
        <v>57</v>
      </c>
      <c r="AA185">
        <v>10</v>
      </c>
      <c r="AB185" t="s">
        <v>57</v>
      </c>
      <c r="AD185" t="s">
        <v>57</v>
      </c>
      <c r="AE185" t="s">
        <v>57</v>
      </c>
      <c r="AF185" t="s">
        <v>57</v>
      </c>
      <c r="AG185">
        <v>19</v>
      </c>
      <c r="AH185" t="s">
        <v>57</v>
      </c>
      <c r="AL185" t="s">
        <v>57</v>
      </c>
      <c r="AM185" s="11">
        <v>44781</v>
      </c>
      <c r="AN185" t="s">
        <v>176</v>
      </c>
      <c r="AO185" t="s">
        <v>65</v>
      </c>
      <c r="AP185">
        <v>1204</v>
      </c>
      <c r="AQ185" t="s">
        <v>66</v>
      </c>
      <c r="AR185">
        <v>89712</v>
      </c>
      <c r="AU185" t="s">
        <v>57</v>
      </c>
      <c r="AV185" t="s">
        <v>68</v>
      </c>
      <c r="AX185" t="s">
        <v>57</v>
      </c>
      <c r="AY185">
        <v>631110</v>
      </c>
      <c r="AZ185">
        <v>1204.63111</v>
      </c>
      <c r="BA185" s="23" t="s">
        <v>12</v>
      </c>
    </row>
    <row r="186" spans="1:53" x14ac:dyDescent="0.25">
      <c r="A186" t="s">
        <v>134</v>
      </c>
      <c r="B186" t="s">
        <v>135</v>
      </c>
      <c r="C186">
        <v>22001837</v>
      </c>
      <c r="D186">
        <v>1204</v>
      </c>
      <c r="E186" s="11">
        <v>44782</v>
      </c>
      <c r="F186" t="s">
        <v>174</v>
      </c>
      <c r="G186" s="25">
        <v>2.97</v>
      </c>
      <c r="H186">
        <v>2.97</v>
      </c>
      <c r="I186" t="s">
        <v>56</v>
      </c>
      <c r="O186" t="s">
        <v>57</v>
      </c>
      <c r="Q186" t="s">
        <v>57</v>
      </c>
      <c r="R186" t="s">
        <v>137</v>
      </c>
      <c r="T186" t="s">
        <v>59</v>
      </c>
      <c r="U186" t="s">
        <v>60</v>
      </c>
      <c r="V186" t="s">
        <v>138</v>
      </c>
      <c r="W186" t="s">
        <v>139</v>
      </c>
      <c r="X186">
        <v>1929196</v>
      </c>
      <c r="Y186" s="11">
        <v>44782</v>
      </c>
      <c r="Z186" t="s">
        <v>57</v>
      </c>
      <c r="AA186">
        <v>10</v>
      </c>
      <c r="AB186" t="s">
        <v>57</v>
      </c>
      <c r="AD186" t="s">
        <v>57</v>
      </c>
      <c r="AE186" t="s">
        <v>57</v>
      </c>
      <c r="AF186" t="s">
        <v>57</v>
      </c>
      <c r="AG186">
        <v>1</v>
      </c>
      <c r="AH186" t="s">
        <v>57</v>
      </c>
      <c r="AL186" t="s">
        <v>57</v>
      </c>
      <c r="AM186" s="11">
        <v>44782</v>
      </c>
      <c r="AN186" t="s">
        <v>173</v>
      </c>
      <c r="AO186" t="s">
        <v>65</v>
      </c>
      <c r="AP186">
        <v>1204</v>
      </c>
      <c r="AQ186" t="s">
        <v>66</v>
      </c>
      <c r="AR186">
        <v>214849</v>
      </c>
      <c r="AU186" t="s">
        <v>57</v>
      </c>
      <c r="AV186" t="s">
        <v>68</v>
      </c>
      <c r="AX186" t="s">
        <v>57</v>
      </c>
      <c r="AY186">
        <v>631110</v>
      </c>
      <c r="AZ186">
        <v>1204.63111</v>
      </c>
      <c r="BA186" s="23" t="s">
        <v>12</v>
      </c>
    </row>
    <row r="187" spans="1:53" x14ac:dyDescent="0.25">
      <c r="A187" t="s">
        <v>134</v>
      </c>
      <c r="B187" t="s">
        <v>135</v>
      </c>
      <c r="C187">
        <v>22001867</v>
      </c>
      <c r="D187">
        <v>1204</v>
      </c>
      <c r="E187" s="11">
        <v>44788</v>
      </c>
      <c r="F187" t="s">
        <v>174</v>
      </c>
      <c r="G187" s="25">
        <v>2.99</v>
      </c>
      <c r="H187">
        <v>2.99</v>
      </c>
      <c r="I187" t="s">
        <v>56</v>
      </c>
      <c r="O187" t="s">
        <v>57</v>
      </c>
      <c r="Q187" t="s">
        <v>57</v>
      </c>
      <c r="R187" t="s">
        <v>137</v>
      </c>
      <c r="T187" t="s">
        <v>59</v>
      </c>
      <c r="U187" t="s">
        <v>60</v>
      </c>
      <c r="V187" t="s">
        <v>138</v>
      </c>
      <c r="W187" t="s">
        <v>139</v>
      </c>
      <c r="X187">
        <v>1932108</v>
      </c>
      <c r="Y187" s="11">
        <v>44788</v>
      </c>
      <c r="Z187" t="s">
        <v>57</v>
      </c>
      <c r="AA187">
        <v>34</v>
      </c>
      <c r="AB187" t="s">
        <v>57</v>
      </c>
      <c r="AD187" t="s">
        <v>57</v>
      </c>
      <c r="AE187" t="s">
        <v>57</v>
      </c>
      <c r="AF187" t="s">
        <v>57</v>
      </c>
      <c r="AG187">
        <v>1</v>
      </c>
      <c r="AH187" t="s">
        <v>57</v>
      </c>
      <c r="AL187" t="s">
        <v>57</v>
      </c>
      <c r="AM187" s="11">
        <v>44788</v>
      </c>
      <c r="AN187" t="s">
        <v>173</v>
      </c>
      <c r="AO187" t="s">
        <v>65</v>
      </c>
      <c r="AP187">
        <v>1204</v>
      </c>
      <c r="AQ187" t="s">
        <v>66</v>
      </c>
      <c r="AR187">
        <v>219292</v>
      </c>
      <c r="AU187" t="s">
        <v>57</v>
      </c>
      <c r="AV187" t="s">
        <v>68</v>
      </c>
      <c r="AX187" t="s">
        <v>57</v>
      </c>
      <c r="AY187">
        <v>631110</v>
      </c>
      <c r="AZ187">
        <v>1204.63111</v>
      </c>
      <c r="BA187" s="23" t="s">
        <v>12</v>
      </c>
    </row>
    <row r="188" spans="1:53" x14ac:dyDescent="0.25">
      <c r="A188" t="s">
        <v>134</v>
      </c>
      <c r="B188" t="s">
        <v>135</v>
      </c>
      <c r="C188">
        <v>22001798</v>
      </c>
      <c r="D188">
        <v>1204</v>
      </c>
      <c r="E188" s="11">
        <v>44774</v>
      </c>
      <c r="F188" t="s">
        <v>175</v>
      </c>
      <c r="G188" s="25">
        <v>3.06</v>
      </c>
      <c r="H188">
        <v>3.06</v>
      </c>
      <c r="I188" t="s">
        <v>56</v>
      </c>
      <c r="O188" t="s">
        <v>57</v>
      </c>
      <c r="Q188" t="s">
        <v>57</v>
      </c>
      <c r="R188" t="s">
        <v>137</v>
      </c>
      <c r="T188" t="s">
        <v>59</v>
      </c>
      <c r="U188" t="s">
        <v>60</v>
      </c>
      <c r="V188" t="s">
        <v>138</v>
      </c>
      <c r="W188" t="s">
        <v>139</v>
      </c>
      <c r="X188">
        <v>1925598</v>
      </c>
      <c r="Y188" s="11">
        <v>44774</v>
      </c>
      <c r="Z188" t="s">
        <v>57</v>
      </c>
      <c r="AA188">
        <v>18</v>
      </c>
      <c r="AB188" t="s">
        <v>57</v>
      </c>
      <c r="AD188" t="s">
        <v>57</v>
      </c>
      <c r="AE188" t="s">
        <v>57</v>
      </c>
      <c r="AF188" t="s">
        <v>57</v>
      </c>
      <c r="AG188">
        <v>20</v>
      </c>
      <c r="AH188" t="s">
        <v>57</v>
      </c>
      <c r="AL188" t="s">
        <v>57</v>
      </c>
      <c r="AM188" s="11">
        <v>44774</v>
      </c>
      <c r="AN188" t="s">
        <v>176</v>
      </c>
      <c r="AO188" t="s">
        <v>65</v>
      </c>
      <c r="AP188">
        <v>1204</v>
      </c>
      <c r="AQ188" t="s">
        <v>66</v>
      </c>
      <c r="AR188">
        <v>144854</v>
      </c>
      <c r="AU188" t="s">
        <v>57</v>
      </c>
      <c r="AV188" t="s">
        <v>68</v>
      </c>
      <c r="AX188" t="s">
        <v>57</v>
      </c>
      <c r="AY188">
        <v>631110</v>
      </c>
      <c r="AZ188">
        <v>1204.63111</v>
      </c>
      <c r="BA188" s="23" t="s">
        <v>12</v>
      </c>
    </row>
    <row r="189" spans="1:53" x14ac:dyDescent="0.25">
      <c r="A189" t="s">
        <v>134</v>
      </c>
      <c r="B189" t="s">
        <v>135</v>
      </c>
      <c r="C189">
        <v>22001880</v>
      </c>
      <c r="D189">
        <v>1204</v>
      </c>
      <c r="E189" s="11">
        <v>44791</v>
      </c>
      <c r="F189" t="s">
        <v>135</v>
      </c>
      <c r="G189" s="25">
        <v>3.08</v>
      </c>
      <c r="H189">
        <v>3.08</v>
      </c>
      <c r="I189" t="s">
        <v>56</v>
      </c>
      <c r="O189" t="s">
        <v>57</v>
      </c>
      <c r="Q189" t="s">
        <v>57</v>
      </c>
      <c r="R189" t="s">
        <v>137</v>
      </c>
      <c r="T189" t="s">
        <v>59</v>
      </c>
      <c r="U189" t="s">
        <v>60</v>
      </c>
      <c r="V189" t="s">
        <v>138</v>
      </c>
      <c r="W189" t="s">
        <v>139</v>
      </c>
      <c r="X189">
        <v>1933542</v>
      </c>
      <c r="Y189" s="11">
        <v>44791</v>
      </c>
      <c r="Z189" t="s">
        <v>57</v>
      </c>
      <c r="AA189">
        <v>8</v>
      </c>
      <c r="AB189" t="s">
        <v>57</v>
      </c>
      <c r="AD189" t="s">
        <v>57</v>
      </c>
      <c r="AE189" t="s">
        <v>57</v>
      </c>
      <c r="AF189" t="s">
        <v>57</v>
      </c>
      <c r="AG189">
        <v>20</v>
      </c>
      <c r="AH189" t="s">
        <v>57</v>
      </c>
      <c r="AL189" t="s">
        <v>57</v>
      </c>
      <c r="AM189" s="11">
        <v>44791</v>
      </c>
      <c r="AN189" t="s">
        <v>176</v>
      </c>
      <c r="AO189" t="s">
        <v>65</v>
      </c>
      <c r="AP189">
        <v>1204</v>
      </c>
      <c r="AQ189" t="s">
        <v>66</v>
      </c>
      <c r="AR189">
        <v>147840</v>
      </c>
      <c r="AU189" t="s">
        <v>57</v>
      </c>
      <c r="AV189" t="s">
        <v>68</v>
      </c>
      <c r="AX189" t="s">
        <v>57</v>
      </c>
      <c r="AY189">
        <v>631110</v>
      </c>
      <c r="AZ189">
        <v>1204.63111</v>
      </c>
      <c r="BA189" s="23" t="s">
        <v>12</v>
      </c>
    </row>
    <row r="190" spans="1:53" x14ac:dyDescent="0.25">
      <c r="A190" t="s">
        <v>134</v>
      </c>
      <c r="B190" t="s">
        <v>135</v>
      </c>
      <c r="C190">
        <v>22001843</v>
      </c>
      <c r="D190">
        <v>1204</v>
      </c>
      <c r="E190" s="11">
        <v>44783</v>
      </c>
      <c r="F190" t="s">
        <v>159</v>
      </c>
      <c r="G190" s="25">
        <v>3.2</v>
      </c>
      <c r="H190">
        <v>3.2</v>
      </c>
      <c r="I190" t="s">
        <v>56</v>
      </c>
      <c r="O190" t="s">
        <v>57</v>
      </c>
      <c r="Q190" t="s">
        <v>57</v>
      </c>
      <c r="R190" t="s">
        <v>137</v>
      </c>
      <c r="T190" t="s">
        <v>59</v>
      </c>
      <c r="U190" t="s">
        <v>60</v>
      </c>
      <c r="V190" t="s">
        <v>138</v>
      </c>
      <c r="W190" t="s">
        <v>139</v>
      </c>
      <c r="X190">
        <v>1930269</v>
      </c>
      <c r="Y190" s="11">
        <v>44783</v>
      </c>
      <c r="Z190" t="s">
        <v>57</v>
      </c>
      <c r="AA190">
        <v>4</v>
      </c>
      <c r="AB190" t="s">
        <v>57</v>
      </c>
      <c r="AD190" t="s">
        <v>57</v>
      </c>
      <c r="AE190" t="s">
        <v>57</v>
      </c>
      <c r="AF190" t="s">
        <v>57</v>
      </c>
      <c r="AG190">
        <v>1</v>
      </c>
      <c r="AH190" t="s">
        <v>57</v>
      </c>
      <c r="AL190" t="s">
        <v>57</v>
      </c>
      <c r="AM190" s="11">
        <v>44783</v>
      </c>
      <c r="AN190" t="s">
        <v>173</v>
      </c>
      <c r="AO190" t="s">
        <v>65</v>
      </c>
      <c r="AP190">
        <v>1204</v>
      </c>
      <c r="AQ190" t="s">
        <v>66</v>
      </c>
      <c r="AR190">
        <v>89967</v>
      </c>
      <c r="AU190" t="s">
        <v>57</v>
      </c>
      <c r="AV190" t="s">
        <v>68</v>
      </c>
      <c r="AX190" t="s">
        <v>57</v>
      </c>
      <c r="AY190">
        <v>631110</v>
      </c>
      <c r="AZ190">
        <v>1204.63111</v>
      </c>
      <c r="BA190" s="23" t="s">
        <v>12</v>
      </c>
    </row>
    <row r="191" spans="1:53" x14ac:dyDescent="0.25">
      <c r="A191" t="s">
        <v>134</v>
      </c>
      <c r="B191" t="s">
        <v>135</v>
      </c>
      <c r="C191">
        <v>22001880</v>
      </c>
      <c r="D191">
        <v>1204</v>
      </c>
      <c r="E191" s="11">
        <v>44791</v>
      </c>
      <c r="F191" t="s">
        <v>135</v>
      </c>
      <c r="G191" s="25">
        <v>3.24</v>
      </c>
      <c r="H191">
        <v>3.24</v>
      </c>
      <c r="I191" t="s">
        <v>56</v>
      </c>
      <c r="O191" t="s">
        <v>57</v>
      </c>
      <c r="Q191" t="s">
        <v>57</v>
      </c>
      <c r="R191" t="s">
        <v>137</v>
      </c>
      <c r="T191" t="s">
        <v>59</v>
      </c>
      <c r="U191" t="s">
        <v>60</v>
      </c>
      <c r="V191" t="s">
        <v>138</v>
      </c>
      <c r="W191" t="s">
        <v>139</v>
      </c>
      <c r="X191">
        <v>1933542</v>
      </c>
      <c r="Y191" s="11">
        <v>44791</v>
      </c>
      <c r="Z191" t="s">
        <v>57</v>
      </c>
      <c r="AA191">
        <v>4</v>
      </c>
      <c r="AB191" t="s">
        <v>57</v>
      </c>
      <c r="AD191" t="s">
        <v>57</v>
      </c>
      <c r="AE191" t="s">
        <v>57</v>
      </c>
      <c r="AF191" t="s">
        <v>57</v>
      </c>
      <c r="AG191">
        <v>30</v>
      </c>
      <c r="AH191" t="s">
        <v>57</v>
      </c>
      <c r="AL191" t="s">
        <v>57</v>
      </c>
      <c r="AM191" s="11">
        <v>44791</v>
      </c>
      <c r="AN191" t="s">
        <v>176</v>
      </c>
      <c r="AO191" t="s">
        <v>65</v>
      </c>
      <c r="AP191">
        <v>1204</v>
      </c>
      <c r="AQ191" t="s">
        <v>66</v>
      </c>
      <c r="AR191">
        <v>265267</v>
      </c>
      <c r="AU191" t="s">
        <v>57</v>
      </c>
      <c r="AV191" t="s">
        <v>68</v>
      </c>
      <c r="AX191" t="s">
        <v>57</v>
      </c>
      <c r="AY191">
        <v>631110</v>
      </c>
      <c r="AZ191">
        <v>1204.63111</v>
      </c>
      <c r="BA191" s="23" t="s">
        <v>12</v>
      </c>
    </row>
    <row r="192" spans="1:53" x14ac:dyDescent="0.25">
      <c r="A192" t="s">
        <v>134</v>
      </c>
      <c r="B192" t="s">
        <v>135</v>
      </c>
      <c r="C192">
        <v>22001830</v>
      </c>
      <c r="D192">
        <v>1204</v>
      </c>
      <c r="E192" s="11">
        <v>44781</v>
      </c>
      <c r="F192" t="s">
        <v>174</v>
      </c>
      <c r="G192" s="25">
        <v>3.28</v>
      </c>
      <c r="H192">
        <v>3.28</v>
      </c>
      <c r="I192" t="s">
        <v>56</v>
      </c>
      <c r="O192" t="s">
        <v>57</v>
      </c>
      <c r="Q192" t="s">
        <v>57</v>
      </c>
      <c r="R192" t="s">
        <v>137</v>
      </c>
      <c r="T192" t="s">
        <v>59</v>
      </c>
      <c r="U192" t="s">
        <v>60</v>
      </c>
      <c r="V192" t="s">
        <v>138</v>
      </c>
      <c r="W192" t="s">
        <v>139</v>
      </c>
      <c r="X192">
        <v>1928770</v>
      </c>
      <c r="Y192" s="11">
        <v>44781</v>
      </c>
      <c r="Z192" t="s">
        <v>57</v>
      </c>
      <c r="AA192">
        <v>22</v>
      </c>
      <c r="AB192" t="s">
        <v>57</v>
      </c>
      <c r="AD192" t="s">
        <v>57</v>
      </c>
      <c r="AE192" t="s">
        <v>57</v>
      </c>
      <c r="AF192" t="s">
        <v>57</v>
      </c>
      <c r="AG192">
        <v>1</v>
      </c>
      <c r="AH192" t="s">
        <v>57</v>
      </c>
      <c r="AL192" t="s">
        <v>57</v>
      </c>
      <c r="AM192" s="11">
        <v>44781</v>
      </c>
      <c r="AN192" t="s">
        <v>173</v>
      </c>
      <c r="AO192" t="s">
        <v>65</v>
      </c>
      <c r="AP192">
        <v>1204</v>
      </c>
      <c r="AQ192" t="s">
        <v>66</v>
      </c>
      <c r="AR192">
        <v>268280</v>
      </c>
      <c r="AU192" t="s">
        <v>57</v>
      </c>
      <c r="AV192" t="s">
        <v>68</v>
      </c>
      <c r="AX192" t="s">
        <v>57</v>
      </c>
      <c r="AY192">
        <v>631110</v>
      </c>
      <c r="AZ192">
        <v>1204.63111</v>
      </c>
      <c r="BA192" s="23" t="s">
        <v>12</v>
      </c>
    </row>
    <row r="193" spans="1:53" x14ac:dyDescent="0.25">
      <c r="A193" t="s">
        <v>134</v>
      </c>
      <c r="B193" t="s">
        <v>135</v>
      </c>
      <c r="C193">
        <v>22001813</v>
      </c>
      <c r="D193">
        <v>1204</v>
      </c>
      <c r="E193" s="11">
        <v>44777</v>
      </c>
      <c r="F193" t="s">
        <v>174</v>
      </c>
      <c r="G193" s="25">
        <v>3.43</v>
      </c>
      <c r="H193">
        <v>3.43</v>
      </c>
      <c r="I193" t="s">
        <v>56</v>
      </c>
      <c r="O193" t="s">
        <v>57</v>
      </c>
      <c r="Q193" t="s">
        <v>57</v>
      </c>
      <c r="R193" t="s">
        <v>137</v>
      </c>
      <c r="T193" t="s">
        <v>59</v>
      </c>
      <c r="U193" t="s">
        <v>60</v>
      </c>
      <c r="V193" t="s">
        <v>138</v>
      </c>
      <c r="W193" t="s">
        <v>139</v>
      </c>
      <c r="X193">
        <v>1927630</v>
      </c>
      <c r="Y193" s="11">
        <v>44777</v>
      </c>
      <c r="Z193" t="s">
        <v>57</v>
      </c>
      <c r="AA193">
        <v>22</v>
      </c>
      <c r="AB193" t="s">
        <v>57</v>
      </c>
      <c r="AD193" t="s">
        <v>57</v>
      </c>
      <c r="AE193" t="s">
        <v>57</v>
      </c>
      <c r="AF193" t="s">
        <v>57</v>
      </c>
      <c r="AG193">
        <v>1</v>
      </c>
      <c r="AH193" t="s">
        <v>57</v>
      </c>
      <c r="AL193" t="s">
        <v>57</v>
      </c>
      <c r="AM193" s="11">
        <v>44777</v>
      </c>
      <c r="AN193" t="s">
        <v>173</v>
      </c>
      <c r="AO193" t="s">
        <v>65</v>
      </c>
      <c r="AP193">
        <v>1204</v>
      </c>
      <c r="AQ193" t="s">
        <v>66</v>
      </c>
      <c r="AR193">
        <v>206793</v>
      </c>
      <c r="AU193" t="s">
        <v>57</v>
      </c>
      <c r="AV193" t="s">
        <v>68</v>
      </c>
      <c r="AX193" t="s">
        <v>57</v>
      </c>
      <c r="AY193">
        <v>631110</v>
      </c>
      <c r="AZ193">
        <v>1204.63111</v>
      </c>
      <c r="BA193" s="23" t="s">
        <v>12</v>
      </c>
    </row>
    <row r="194" spans="1:53" x14ac:dyDescent="0.25">
      <c r="A194" t="s">
        <v>134</v>
      </c>
      <c r="B194" t="s">
        <v>135</v>
      </c>
      <c r="C194">
        <v>22001871</v>
      </c>
      <c r="D194">
        <v>1204</v>
      </c>
      <c r="E194" s="11">
        <v>44789</v>
      </c>
      <c r="F194" t="s">
        <v>174</v>
      </c>
      <c r="G194" s="25">
        <v>3.43</v>
      </c>
      <c r="H194">
        <v>3.43</v>
      </c>
      <c r="I194" t="s">
        <v>56</v>
      </c>
      <c r="O194" t="s">
        <v>57</v>
      </c>
      <c r="Q194" t="s">
        <v>57</v>
      </c>
      <c r="R194" t="s">
        <v>137</v>
      </c>
      <c r="T194" t="s">
        <v>59</v>
      </c>
      <c r="U194" t="s">
        <v>60</v>
      </c>
      <c r="V194" t="s">
        <v>138</v>
      </c>
      <c r="W194" t="s">
        <v>139</v>
      </c>
      <c r="X194">
        <v>1933046</v>
      </c>
      <c r="Y194" s="11">
        <v>44789</v>
      </c>
      <c r="Z194" t="s">
        <v>57</v>
      </c>
      <c r="AA194">
        <v>10</v>
      </c>
      <c r="AB194" t="s">
        <v>57</v>
      </c>
      <c r="AD194" t="s">
        <v>57</v>
      </c>
      <c r="AE194" t="s">
        <v>57</v>
      </c>
      <c r="AF194" t="s">
        <v>57</v>
      </c>
      <c r="AG194">
        <v>1</v>
      </c>
      <c r="AH194" t="s">
        <v>57</v>
      </c>
      <c r="AL194" t="s">
        <v>57</v>
      </c>
      <c r="AM194" s="11">
        <v>44789</v>
      </c>
      <c r="AN194" t="s">
        <v>173</v>
      </c>
      <c r="AO194" t="s">
        <v>65</v>
      </c>
      <c r="AP194">
        <v>1204</v>
      </c>
      <c r="AQ194" t="s">
        <v>66</v>
      </c>
      <c r="AR194">
        <v>206793</v>
      </c>
      <c r="AU194" t="s">
        <v>57</v>
      </c>
      <c r="AV194" t="s">
        <v>68</v>
      </c>
      <c r="AX194" t="s">
        <v>57</v>
      </c>
      <c r="AY194">
        <v>631110</v>
      </c>
      <c r="AZ194">
        <v>1204.63111</v>
      </c>
      <c r="BA194" s="23" t="s">
        <v>12</v>
      </c>
    </row>
    <row r="195" spans="1:53" x14ac:dyDescent="0.25">
      <c r="A195" t="s">
        <v>134</v>
      </c>
      <c r="B195" t="s">
        <v>135</v>
      </c>
      <c r="C195">
        <v>22001845</v>
      </c>
      <c r="D195">
        <v>1204</v>
      </c>
      <c r="E195" s="11">
        <v>44783</v>
      </c>
      <c r="F195" t="s">
        <v>175</v>
      </c>
      <c r="G195" s="25">
        <v>3.53</v>
      </c>
      <c r="H195">
        <v>3.53</v>
      </c>
      <c r="I195" t="s">
        <v>56</v>
      </c>
      <c r="O195" t="s">
        <v>57</v>
      </c>
      <c r="Q195" t="s">
        <v>57</v>
      </c>
      <c r="R195" t="s">
        <v>137</v>
      </c>
      <c r="T195" t="s">
        <v>59</v>
      </c>
      <c r="U195" t="s">
        <v>60</v>
      </c>
      <c r="V195" t="s">
        <v>138</v>
      </c>
      <c r="W195" t="s">
        <v>139</v>
      </c>
      <c r="X195">
        <v>1930355</v>
      </c>
      <c r="Y195" s="11">
        <v>44783</v>
      </c>
      <c r="Z195" t="s">
        <v>57</v>
      </c>
      <c r="AA195">
        <v>10</v>
      </c>
      <c r="AB195" t="s">
        <v>57</v>
      </c>
      <c r="AD195" t="s">
        <v>57</v>
      </c>
      <c r="AE195" t="s">
        <v>57</v>
      </c>
      <c r="AF195" t="s">
        <v>57</v>
      </c>
      <c r="AG195">
        <v>23</v>
      </c>
      <c r="AH195" t="s">
        <v>57</v>
      </c>
      <c r="AL195" t="s">
        <v>57</v>
      </c>
      <c r="AM195" s="11">
        <v>44783</v>
      </c>
      <c r="AN195" t="s">
        <v>176</v>
      </c>
      <c r="AO195" t="s">
        <v>65</v>
      </c>
      <c r="AP195">
        <v>1204</v>
      </c>
      <c r="AQ195" t="s">
        <v>66</v>
      </c>
      <c r="AR195">
        <v>89712</v>
      </c>
      <c r="AU195" t="s">
        <v>57</v>
      </c>
      <c r="AV195" t="s">
        <v>68</v>
      </c>
      <c r="AX195" t="s">
        <v>57</v>
      </c>
      <c r="AY195">
        <v>631110</v>
      </c>
      <c r="AZ195">
        <v>1204.63111</v>
      </c>
      <c r="BA195" s="23" t="s">
        <v>12</v>
      </c>
    </row>
    <row r="196" spans="1:53" x14ac:dyDescent="0.25">
      <c r="A196" t="s">
        <v>134</v>
      </c>
      <c r="B196" t="s">
        <v>135</v>
      </c>
      <c r="C196">
        <v>22001867</v>
      </c>
      <c r="D196">
        <v>1204</v>
      </c>
      <c r="E196" s="11">
        <v>44788</v>
      </c>
      <c r="F196" t="s">
        <v>174</v>
      </c>
      <c r="G196" s="25">
        <v>3.53</v>
      </c>
      <c r="H196">
        <v>3.53</v>
      </c>
      <c r="I196" t="s">
        <v>56</v>
      </c>
      <c r="O196" t="s">
        <v>57</v>
      </c>
      <c r="Q196" t="s">
        <v>57</v>
      </c>
      <c r="R196" t="s">
        <v>137</v>
      </c>
      <c r="T196" t="s">
        <v>59</v>
      </c>
      <c r="U196" t="s">
        <v>60</v>
      </c>
      <c r="V196" t="s">
        <v>138</v>
      </c>
      <c r="W196" t="s">
        <v>139</v>
      </c>
      <c r="X196">
        <v>1932108</v>
      </c>
      <c r="Y196" s="11">
        <v>44788</v>
      </c>
      <c r="Z196" t="s">
        <v>57</v>
      </c>
      <c r="AA196">
        <v>36</v>
      </c>
      <c r="AB196" t="s">
        <v>57</v>
      </c>
      <c r="AD196" t="s">
        <v>57</v>
      </c>
      <c r="AE196" t="s">
        <v>57</v>
      </c>
      <c r="AF196" t="s">
        <v>57</v>
      </c>
      <c r="AG196">
        <v>1</v>
      </c>
      <c r="AH196" t="s">
        <v>57</v>
      </c>
      <c r="AL196" t="s">
        <v>57</v>
      </c>
      <c r="AM196" s="11">
        <v>44788</v>
      </c>
      <c r="AN196" t="s">
        <v>173</v>
      </c>
      <c r="AO196" t="s">
        <v>65</v>
      </c>
      <c r="AP196">
        <v>1204</v>
      </c>
      <c r="AQ196" t="s">
        <v>66</v>
      </c>
      <c r="AR196">
        <v>230640</v>
      </c>
      <c r="AU196" t="s">
        <v>57</v>
      </c>
      <c r="AV196" t="s">
        <v>68</v>
      </c>
      <c r="AX196" t="s">
        <v>57</v>
      </c>
      <c r="AY196">
        <v>631110</v>
      </c>
      <c r="AZ196">
        <v>1204.63111</v>
      </c>
      <c r="BA196" s="23" t="s">
        <v>12</v>
      </c>
    </row>
    <row r="197" spans="1:53" x14ac:dyDescent="0.25">
      <c r="A197" t="s">
        <v>134</v>
      </c>
      <c r="B197" t="s">
        <v>135</v>
      </c>
      <c r="C197">
        <v>22001801</v>
      </c>
      <c r="D197">
        <v>1204</v>
      </c>
      <c r="E197" s="11">
        <v>44775</v>
      </c>
      <c r="F197" t="s">
        <v>174</v>
      </c>
      <c r="G197" s="25">
        <v>3.71</v>
      </c>
      <c r="H197">
        <v>3.71</v>
      </c>
      <c r="I197" t="s">
        <v>56</v>
      </c>
      <c r="O197" t="s">
        <v>57</v>
      </c>
      <c r="Q197" t="s">
        <v>57</v>
      </c>
      <c r="R197" t="s">
        <v>137</v>
      </c>
      <c r="T197" t="s">
        <v>59</v>
      </c>
      <c r="U197" t="s">
        <v>60</v>
      </c>
      <c r="V197" t="s">
        <v>138</v>
      </c>
      <c r="W197" t="s">
        <v>139</v>
      </c>
      <c r="X197">
        <v>1926653</v>
      </c>
      <c r="Y197" s="11">
        <v>44775</v>
      </c>
      <c r="Z197" t="s">
        <v>57</v>
      </c>
      <c r="AA197">
        <v>6</v>
      </c>
      <c r="AB197" t="s">
        <v>57</v>
      </c>
      <c r="AD197" t="s">
        <v>57</v>
      </c>
      <c r="AE197" t="s">
        <v>57</v>
      </c>
      <c r="AF197" t="s">
        <v>57</v>
      </c>
      <c r="AG197">
        <v>3</v>
      </c>
      <c r="AH197" t="s">
        <v>57</v>
      </c>
      <c r="AL197" t="s">
        <v>57</v>
      </c>
      <c r="AM197" s="11">
        <v>44775</v>
      </c>
      <c r="AN197" t="s">
        <v>173</v>
      </c>
      <c r="AO197" t="s">
        <v>65</v>
      </c>
      <c r="AP197">
        <v>1204</v>
      </c>
      <c r="AQ197" t="s">
        <v>66</v>
      </c>
      <c r="AR197">
        <v>190204</v>
      </c>
      <c r="AU197" t="s">
        <v>57</v>
      </c>
      <c r="AV197" t="s">
        <v>68</v>
      </c>
      <c r="AX197" t="s">
        <v>57</v>
      </c>
      <c r="AY197">
        <v>631110</v>
      </c>
      <c r="AZ197">
        <v>1204.63111</v>
      </c>
      <c r="BA197" s="23" t="s">
        <v>12</v>
      </c>
    </row>
    <row r="198" spans="1:53" x14ac:dyDescent="0.25">
      <c r="A198" t="s">
        <v>134</v>
      </c>
      <c r="B198" t="s">
        <v>135</v>
      </c>
      <c r="C198">
        <v>22001867</v>
      </c>
      <c r="D198">
        <v>1204</v>
      </c>
      <c r="E198" s="11">
        <v>44788</v>
      </c>
      <c r="F198" t="s">
        <v>174</v>
      </c>
      <c r="G198" s="25">
        <v>3.71</v>
      </c>
      <c r="H198">
        <v>3.71</v>
      </c>
      <c r="I198" t="s">
        <v>56</v>
      </c>
      <c r="O198" t="s">
        <v>57</v>
      </c>
      <c r="Q198" t="s">
        <v>57</v>
      </c>
      <c r="R198" t="s">
        <v>137</v>
      </c>
      <c r="T198" t="s">
        <v>59</v>
      </c>
      <c r="U198" t="s">
        <v>60</v>
      </c>
      <c r="V198" t="s">
        <v>138</v>
      </c>
      <c r="W198" t="s">
        <v>139</v>
      </c>
      <c r="X198">
        <v>1932108</v>
      </c>
      <c r="Y198" s="11">
        <v>44788</v>
      </c>
      <c r="Z198" t="s">
        <v>57</v>
      </c>
      <c r="AA198">
        <v>4</v>
      </c>
      <c r="AB198" t="s">
        <v>57</v>
      </c>
      <c r="AD198" t="s">
        <v>57</v>
      </c>
      <c r="AE198" t="s">
        <v>57</v>
      </c>
      <c r="AF198" t="s">
        <v>57</v>
      </c>
      <c r="AG198">
        <v>1</v>
      </c>
      <c r="AH198" t="s">
        <v>57</v>
      </c>
      <c r="AL198" t="s">
        <v>57</v>
      </c>
      <c r="AM198" s="11">
        <v>44788</v>
      </c>
      <c r="AN198" t="s">
        <v>173</v>
      </c>
      <c r="AO198" t="s">
        <v>65</v>
      </c>
      <c r="AP198">
        <v>1204</v>
      </c>
      <c r="AQ198" t="s">
        <v>66</v>
      </c>
      <c r="AR198">
        <v>166051</v>
      </c>
      <c r="AU198" t="s">
        <v>57</v>
      </c>
      <c r="AV198" t="s">
        <v>68</v>
      </c>
      <c r="AX198" t="s">
        <v>57</v>
      </c>
      <c r="AY198">
        <v>631110</v>
      </c>
      <c r="AZ198">
        <v>1204.63111</v>
      </c>
      <c r="BA198" s="23" t="s">
        <v>12</v>
      </c>
    </row>
    <row r="199" spans="1:53" x14ac:dyDescent="0.25">
      <c r="A199" t="s">
        <v>134</v>
      </c>
      <c r="B199" t="s">
        <v>135</v>
      </c>
      <c r="C199">
        <v>22001855</v>
      </c>
      <c r="D199">
        <v>1204</v>
      </c>
      <c r="E199" s="11">
        <v>44785</v>
      </c>
      <c r="F199" t="s">
        <v>174</v>
      </c>
      <c r="G199" s="25">
        <v>3.76</v>
      </c>
      <c r="H199">
        <v>3.76</v>
      </c>
      <c r="I199" t="s">
        <v>56</v>
      </c>
      <c r="O199" t="s">
        <v>57</v>
      </c>
      <c r="Q199" t="s">
        <v>57</v>
      </c>
      <c r="R199" t="s">
        <v>137</v>
      </c>
      <c r="T199" t="s">
        <v>59</v>
      </c>
      <c r="U199" t="s">
        <v>60</v>
      </c>
      <c r="V199" t="s">
        <v>138</v>
      </c>
      <c r="W199" t="s">
        <v>139</v>
      </c>
      <c r="X199">
        <v>1930576</v>
      </c>
      <c r="Y199" s="11">
        <v>44785</v>
      </c>
      <c r="Z199" t="s">
        <v>57</v>
      </c>
      <c r="AA199">
        <v>12</v>
      </c>
      <c r="AB199" t="s">
        <v>57</v>
      </c>
      <c r="AD199" t="s">
        <v>57</v>
      </c>
      <c r="AE199" t="s">
        <v>57</v>
      </c>
      <c r="AF199" t="s">
        <v>57</v>
      </c>
      <c r="AG199">
        <v>1</v>
      </c>
      <c r="AH199" t="s">
        <v>57</v>
      </c>
      <c r="AL199" t="s">
        <v>57</v>
      </c>
      <c r="AM199" s="11">
        <v>44785</v>
      </c>
      <c r="AN199" t="s">
        <v>173</v>
      </c>
      <c r="AO199" t="s">
        <v>65</v>
      </c>
      <c r="AP199">
        <v>1204</v>
      </c>
      <c r="AQ199" t="s">
        <v>66</v>
      </c>
      <c r="AR199">
        <v>209528</v>
      </c>
      <c r="AU199" t="s">
        <v>57</v>
      </c>
      <c r="AV199" t="s">
        <v>68</v>
      </c>
      <c r="AX199" t="s">
        <v>57</v>
      </c>
      <c r="AY199">
        <v>631110</v>
      </c>
      <c r="AZ199">
        <v>1204.63111</v>
      </c>
      <c r="BA199" s="23" t="s">
        <v>12</v>
      </c>
    </row>
    <row r="200" spans="1:53" x14ac:dyDescent="0.25">
      <c r="A200" t="s">
        <v>134</v>
      </c>
      <c r="B200" t="s">
        <v>135</v>
      </c>
      <c r="C200">
        <v>22001826</v>
      </c>
      <c r="D200">
        <v>1204</v>
      </c>
      <c r="E200" s="11">
        <v>44778</v>
      </c>
      <c r="F200" t="s">
        <v>159</v>
      </c>
      <c r="G200" s="25">
        <v>3.83</v>
      </c>
      <c r="H200">
        <v>3.83</v>
      </c>
      <c r="I200" t="s">
        <v>56</v>
      </c>
      <c r="O200" t="s">
        <v>57</v>
      </c>
      <c r="Q200" t="s">
        <v>57</v>
      </c>
      <c r="R200" t="s">
        <v>137</v>
      </c>
      <c r="T200" t="s">
        <v>59</v>
      </c>
      <c r="U200" t="s">
        <v>60</v>
      </c>
      <c r="V200" t="s">
        <v>138</v>
      </c>
      <c r="W200" t="s">
        <v>139</v>
      </c>
      <c r="X200">
        <v>1928763</v>
      </c>
      <c r="Y200" s="11">
        <v>44778</v>
      </c>
      <c r="Z200" t="s">
        <v>57</v>
      </c>
      <c r="AA200">
        <v>2</v>
      </c>
      <c r="AB200" t="s">
        <v>57</v>
      </c>
      <c r="AD200" t="s">
        <v>57</v>
      </c>
      <c r="AE200" t="s">
        <v>57</v>
      </c>
      <c r="AF200" t="s">
        <v>57</v>
      </c>
      <c r="AG200">
        <v>1</v>
      </c>
      <c r="AH200" t="s">
        <v>57</v>
      </c>
      <c r="AL200" t="s">
        <v>57</v>
      </c>
      <c r="AM200" s="11">
        <v>44778</v>
      </c>
      <c r="AN200" t="s">
        <v>173</v>
      </c>
      <c r="AO200" t="s">
        <v>65</v>
      </c>
      <c r="AP200">
        <v>1204</v>
      </c>
      <c r="AQ200" t="s">
        <v>66</v>
      </c>
      <c r="AR200">
        <v>88685</v>
      </c>
      <c r="AU200" t="s">
        <v>57</v>
      </c>
      <c r="AV200" t="s">
        <v>68</v>
      </c>
      <c r="AX200" t="s">
        <v>57</v>
      </c>
      <c r="AY200">
        <v>631110</v>
      </c>
      <c r="AZ200">
        <v>1204.63111</v>
      </c>
      <c r="BA200" s="23" t="s">
        <v>12</v>
      </c>
    </row>
    <row r="201" spans="1:53" x14ac:dyDescent="0.25">
      <c r="A201" t="s">
        <v>134</v>
      </c>
      <c r="B201" t="s">
        <v>135</v>
      </c>
      <c r="C201">
        <v>22001869</v>
      </c>
      <c r="D201">
        <v>1204</v>
      </c>
      <c r="E201" s="11">
        <v>44788</v>
      </c>
      <c r="F201" t="s">
        <v>159</v>
      </c>
      <c r="G201" s="25">
        <v>3.83</v>
      </c>
      <c r="H201">
        <v>3.83</v>
      </c>
      <c r="I201" t="s">
        <v>56</v>
      </c>
      <c r="O201" t="s">
        <v>57</v>
      </c>
      <c r="Q201" t="s">
        <v>57</v>
      </c>
      <c r="R201" t="s">
        <v>137</v>
      </c>
      <c r="T201" t="s">
        <v>59</v>
      </c>
      <c r="U201" t="s">
        <v>60</v>
      </c>
      <c r="V201" t="s">
        <v>138</v>
      </c>
      <c r="W201" t="s">
        <v>139</v>
      </c>
      <c r="X201">
        <v>1932302</v>
      </c>
      <c r="Y201" s="11">
        <v>44788</v>
      </c>
      <c r="Z201" t="s">
        <v>57</v>
      </c>
      <c r="AA201">
        <v>4</v>
      </c>
      <c r="AB201" t="s">
        <v>57</v>
      </c>
      <c r="AD201" t="s">
        <v>57</v>
      </c>
      <c r="AE201" t="s">
        <v>57</v>
      </c>
      <c r="AF201" t="s">
        <v>57</v>
      </c>
      <c r="AG201">
        <v>1</v>
      </c>
      <c r="AH201" t="s">
        <v>57</v>
      </c>
      <c r="AL201" t="s">
        <v>57</v>
      </c>
      <c r="AM201" s="11">
        <v>44788</v>
      </c>
      <c r="AN201" t="s">
        <v>173</v>
      </c>
      <c r="AO201" t="s">
        <v>65</v>
      </c>
      <c r="AP201">
        <v>1204</v>
      </c>
      <c r="AQ201" t="s">
        <v>66</v>
      </c>
      <c r="AR201">
        <v>88685</v>
      </c>
      <c r="AU201" t="s">
        <v>57</v>
      </c>
      <c r="AV201" t="s">
        <v>68</v>
      </c>
      <c r="AX201" t="s">
        <v>57</v>
      </c>
      <c r="AY201">
        <v>631110</v>
      </c>
      <c r="AZ201">
        <v>1204.63111</v>
      </c>
      <c r="BA201" s="23" t="s">
        <v>12</v>
      </c>
    </row>
    <row r="202" spans="1:53" x14ac:dyDescent="0.25">
      <c r="A202" t="s">
        <v>134</v>
      </c>
      <c r="B202" t="s">
        <v>135</v>
      </c>
      <c r="C202">
        <v>22001830</v>
      </c>
      <c r="D202">
        <v>1204</v>
      </c>
      <c r="E202" s="11">
        <v>44781</v>
      </c>
      <c r="F202" t="s">
        <v>174</v>
      </c>
      <c r="G202" s="25">
        <v>3.91</v>
      </c>
      <c r="H202">
        <v>3.91</v>
      </c>
      <c r="I202" t="s">
        <v>56</v>
      </c>
      <c r="O202" t="s">
        <v>57</v>
      </c>
      <c r="Q202" t="s">
        <v>57</v>
      </c>
      <c r="R202" t="s">
        <v>137</v>
      </c>
      <c r="T202" t="s">
        <v>59</v>
      </c>
      <c r="U202" t="s">
        <v>60</v>
      </c>
      <c r="V202" t="s">
        <v>138</v>
      </c>
      <c r="W202" t="s">
        <v>139</v>
      </c>
      <c r="X202">
        <v>1928770</v>
      </c>
      <c r="Y202" s="11">
        <v>44781</v>
      </c>
      <c r="Z202" t="s">
        <v>57</v>
      </c>
      <c r="AA202">
        <v>32</v>
      </c>
      <c r="AB202" t="s">
        <v>57</v>
      </c>
      <c r="AD202" t="s">
        <v>57</v>
      </c>
      <c r="AE202" t="s">
        <v>57</v>
      </c>
      <c r="AF202" t="s">
        <v>57</v>
      </c>
      <c r="AG202">
        <v>1</v>
      </c>
      <c r="AH202" t="s">
        <v>57</v>
      </c>
      <c r="AL202" t="s">
        <v>57</v>
      </c>
      <c r="AM202" s="11">
        <v>44781</v>
      </c>
      <c r="AN202" t="s">
        <v>173</v>
      </c>
      <c r="AO202" t="s">
        <v>65</v>
      </c>
      <c r="AP202">
        <v>1204</v>
      </c>
      <c r="AQ202" t="s">
        <v>66</v>
      </c>
      <c r="AR202">
        <v>219292</v>
      </c>
      <c r="AU202" t="s">
        <v>57</v>
      </c>
      <c r="AV202" t="s">
        <v>68</v>
      </c>
      <c r="AX202" t="s">
        <v>57</v>
      </c>
      <c r="AY202">
        <v>631110</v>
      </c>
      <c r="AZ202">
        <v>1204.63111</v>
      </c>
      <c r="BA202" s="23" t="s">
        <v>12</v>
      </c>
    </row>
    <row r="203" spans="1:53" x14ac:dyDescent="0.25">
      <c r="A203" t="s">
        <v>134</v>
      </c>
      <c r="B203" t="s">
        <v>135</v>
      </c>
      <c r="C203">
        <v>22001785</v>
      </c>
      <c r="D203">
        <v>1204</v>
      </c>
      <c r="E203" s="11">
        <v>44774</v>
      </c>
      <c r="F203" t="s">
        <v>174</v>
      </c>
      <c r="G203" s="25">
        <v>3.93</v>
      </c>
      <c r="H203">
        <v>3.93</v>
      </c>
      <c r="I203" t="s">
        <v>56</v>
      </c>
      <c r="O203" t="s">
        <v>57</v>
      </c>
      <c r="Q203" t="s">
        <v>57</v>
      </c>
      <c r="R203" t="s">
        <v>137</v>
      </c>
      <c r="T203" t="s">
        <v>59</v>
      </c>
      <c r="U203" t="s">
        <v>60</v>
      </c>
      <c r="V203" t="s">
        <v>138</v>
      </c>
      <c r="W203" t="s">
        <v>139</v>
      </c>
      <c r="X203">
        <v>1925466</v>
      </c>
      <c r="Y203" s="11">
        <v>44774</v>
      </c>
      <c r="Z203" t="s">
        <v>57</v>
      </c>
      <c r="AA203">
        <v>22</v>
      </c>
      <c r="AB203" t="s">
        <v>57</v>
      </c>
      <c r="AD203" t="s">
        <v>57</v>
      </c>
      <c r="AE203" t="s">
        <v>57</v>
      </c>
      <c r="AF203" t="s">
        <v>57</v>
      </c>
      <c r="AG203">
        <v>1</v>
      </c>
      <c r="AH203" t="s">
        <v>57</v>
      </c>
      <c r="AL203" t="s">
        <v>57</v>
      </c>
      <c r="AM203" s="11">
        <v>44774</v>
      </c>
      <c r="AN203" t="s">
        <v>173</v>
      </c>
      <c r="AO203" t="s">
        <v>65</v>
      </c>
      <c r="AP203">
        <v>1204</v>
      </c>
      <c r="AQ203" t="s">
        <v>66</v>
      </c>
      <c r="AR203">
        <v>220122</v>
      </c>
      <c r="AU203" t="s">
        <v>57</v>
      </c>
      <c r="AV203" t="s">
        <v>68</v>
      </c>
      <c r="AX203" t="s">
        <v>57</v>
      </c>
      <c r="AY203">
        <v>631110</v>
      </c>
      <c r="AZ203">
        <v>1204.63111</v>
      </c>
      <c r="BA203" s="23" t="s">
        <v>12</v>
      </c>
    </row>
    <row r="204" spans="1:53" x14ac:dyDescent="0.25">
      <c r="A204" t="s">
        <v>134</v>
      </c>
      <c r="B204" t="s">
        <v>135</v>
      </c>
      <c r="C204">
        <v>22001785</v>
      </c>
      <c r="D204">
        <v>1204</v>
      </c>
      <c r="E204" s="11">
        <v>44774</v>
      </c>
      <c r="F204" t="s">
        <v>174</v>
      </c>
      <c r="G204" s="25">
        <v>3.93</v>
      </c>
      <c r="H204">
        <v>3.93</v>
      </c>
      <c r="I204" t="s">
        <v>56</v>
      </c>
      <c r="O204" t="s">
        <v>57</v>
      </c>
      <c r="Q204" t="s">
        <v>57</v>
      </c>
      <c r="R204" t="s">
        <v>137</v>
      </c>
      <c r="T204" t="s">
        <v>59</v>
      </c>
      <c r="U204" t="s">
        <v>60</v>
      </c>
      <c r="V204" t="s">
        <v>138</v>
      </c>
      <c r="W204" t="s">
        <v>139</v>
      </c>
      <c r="X204">
        <v>1925466</v>
      </c>
      <c r="Y204" s="11">
        <v>44774</v>
      </c>
      <c r="Z204" t="s">
        <v>57</v>
      </c>
      <c r="AA204">
        <v>2</v>
      </c>
      <c r="AB204" t="s">
        <v>57</v>
      </c>
      <c r="AD204" t="s">
        <v>57</v>
      </c>
      <c r="AE204" t="s">
        <v>57</v>
      </c>
      <c r="AF204" t="s">
        <v>57</v>
      </c>
      <c r="AG204">
        <v>1</v>
      </c>
      <c r="AH204" t="s">
        <v>57</v>
      </c>
      <c r="AL204" t="s">
        <v>57</v>
      </c>
      <c r="AM204" s="11">
        <v>44774</v>
      </c>
      <c r="AN204" t="s">
        <v>173</v>
      </c>
      <c r="AO204" t="s">
        <v>65</v>
      </c>
      <c r="AP204">
        <v>1204</v>
      </c>
      <c r="AQ204" t="s">
        <v>66</v>
      </c>
      <c r="AR204">
        <v>220122</v>
      </c>
      <c r="AU204" t="s">
        <v>57</v>
      </c>
      <c r="AV204" t="s">
        <v>68</v>
      </c>
      <c r="AX204" t="s">
        <v>57</v>
      </c>
      <c r="AY204">
        <v>631110</v>
      </c>
      <c r="AZ204">
        <v>1204.63111</v>
      </c>
      <c r="BA204" s="23" t="s">
        <v>12</v>
      </c>
    </row>
    <row r="205" spans="1:53" x14ac:dyDescent="0.25">
      <c r="A205" t="s">
        <v>134</v>
      </c>
      <c r="B205" t="s">
        <v>135</v>
      </c>
      <c r="C205">
        <v>22001842</v>
      </c>
      <c r="D205">
        <v>1204</v>
      </c>
      <c r="E205" s="11">
        <v>44783</v>
      </c>
      <c r="F205" t="s">
        <v>174</v>
      </c>
      <c r="G205" s="25">
        <v>3.96</v>
      </c>
      <c r="H205">
        <v>3.96</v>
      </c>
      <c r="I205" t="s">
        <v>56</v>
      </c>
      <c r="O205" t="s">
        <v>57</v>
      </c>
      <c r="Q205" t="s">
        <v>57</v>
      </c>
      <c r="R205" t="s">
        <v>137</v>
      </c>
      <c r="T205" t="s">
        <v>59</v>
      </c>
      <c r="U205" t="s">
        <v>60</v>
      </c>
      <c r="V205" t="s">
        <v>138</v>
      </c>
      <c r="W205" t="s">
        <v>139</v>
      </c>
      <c r="X205">
        <v>1930268</v>
      </c>
      <c r="Y205" s="11">
        <v>44783</v>
      </c>
      <c r="Z205" t="s">
        <v>57</v>
      </c>
      <c r="AA205">
        <v>22</v>
      </c>
      <c r="AB205" t="s">
        <v>57</v>
      </c>
      <c r="AD205" t="s">
        <v>57</v>
      </c>
      <c r="AE205" t="s">
        <v>57</v>
      </c>
      <c r="AF205" t="s">
        <v>57</v>
      </c>
      <c r="AG205">
        <v>1</v>
      </c>
      <c r="AH205" t="s">
        <v>57</v>
      </c>
      <c r="AL205" t="s">
        <v>57</v>
      </c>
      <c r="AM205" s="11">
        <v>44783</v>
      </c>
      <c r="AN205" t="s">
        <v>173</v>
      </c>
      <c r="AO205" t="s">
        <v>65</v>
      </c>
      <c r="AP205">
        <v>1204</v>
      </c>
      <c r="AQ205" t="s">
        <v>66</v>
      </c>
      <c r="AR205">
        <v>142788</v>
      </c>
      <c r="AU205" t="s">
        <v>57</v>
      </c>
      <c r="AV205" t="s">
        <v>68</v>
      </c>
      <c r="AX205" t="s">
        <v>57</v>
      </c>
      <c r="AY205">
        <v>631110</v>
      </c>
      <c r="AZ205">
        <v>1204.63111</v>
      </c>
      <c r="BA205" s="23" t="s">
        <v>12</v>
      </c>
    </row>
    <row r="206" spans="1:53" x14ac:dyDescent="0.25">
      <c r="A206" t="s">
        <v>134</v>
      </c>
      <c r="B206" t="s">
        <v>135</v>
      </c>
      <c r="C206">
        <v>22001808</v>
      </c>
      <c r="D206">
        <v>1204</v>
      </c>
      <c r="E206" s="11">
        <v>44776</v>
      </c>
      <c r="F206" t="s">
        <v>174</v>
      </c>
      <c r="G206" s="25">
        <v>4.2699999999999996</v>
      </c>
      <c r="H206">
        <v>4.2699999999999996</v>
      </c>
      <c r="I206" t="s">
        <v>56</v>
      </c>
      <c r="O206" t="s">
        <v>57</v>
      </c>
      <c r="Q206" t="s">
        <v>57</v>
      </c>
      <c r="R206" t="s">
        <v>137</v>
      </c>
      <c r="T206" t="s">
        <v>59</v>
      </c>
      <c r="U206" t="s">
        <v>60</v>
      </c>
      <c r="V206" t="s">
        <v>138</v>
      </c>
      <c r="W206" t="s">
        <v>139</v>
      </c>
      <c r="X206">
        <v>1926830</v>
      </c>
      <c r="Y206" s="11">
        <v>44776</v>
      </c>
      <c r="Z206" t="s">
        <v>57</v>
      </c>
      <c r="AA206">
        <v>8</v>
      </c>
      <c r="AB206" t="s">
        <v>57</v>
      </c>
      <c r="AD206" t="s">
        <v>57</v>
      </c>
      <c r="AE206" t="s">
        <v>57</v>
      </c>
      <c r="AF206" t="s">
        <v>57</v>
      </c>
      <c r="AG206">
        <v>1</v>
      </c>
      <c r="AH206" t="s">
        <v>57</v>
      </c>
      <c r="AL206" t="s">
        <v>57</v>
      </c>
      <c r="AM206" s="11">
        <v>44776</v>
      </c>
      <c r="AN206" t="s">
        <v>173</v>
      </c>
      <c r="AO206" t="s">
        <v>65</v>
      </c>
      <c r="AP206">
        <v>1204</v>
      </c>
      <c r="AQ206" t="s">
        <v>66</v>
      </c>
      <c r="AR206">
        <v>210193</v>
      </c>
      <c r="AU206" t="s">
        <v>57</v>
      </c>
      <c r="AV206" t="s">
        <v>68</v>
      </c>
      <c r="AX206" t="s">
        <v>57</v>
      </c>
      <c r="AY206">
        <v>631110</v>
      </c>
      <c r="AZ206">
        <v>1204.63111</v>
      </c>
      <c r="BA206" s="23" t="s">
        <v>12</v>
      </c>
    </row>
    <row r="207" spans="1:53" x14ac:dyDescent="0.25">
      <c r="A207" t="s">
        <v>134</v>
      </c>
      <c r="B207" t="s">
        <v>135</v>
      </c>
      <c r="C207">
        <v>22001830</v>
      </c>
      <c r="D207">
        <v>1204</v>
      </c>
      <c r="E207" s="11">
        <v>44781</v>
      </c>
      <c r="F207" t="s">
        <v>174</v>
      </c>
      <c r="G207" s="25">
        <v>4.3899999999999997</v>
      </c>
      <c r="H207">
        <v>4.3899999999999997</v>
      </c>
      <c r="I207" t="s">
        <v>56</v>
      </c>
      <c r="O207" t="s">
        <v>57</v>
      </c>
      <c r="Q207" t="s">
        <v>57</v>
      </c>
      <c r="R207" t="s">
        <v>137</v>
      </c>
      <c r="T207" t="s">
        <v>59</v>
      </c>
      <c r="U207" t="s">
        <v>60</v>
      </c>
      <c r="V207" t="s">
        <v>138</v>
      </c>
      <c r="W207" t="s">
        <v>139</v>
      </c>
      <c r="X207">
        <v>1928770</v>
      </c>
      <c r="Y207" s="11">
        <v>44781</v>
      </c>
      <c r="Z207" t="s">
        <v>57</v>
      </c>
      <c r="AA207">
        <v>8</v>
      </c>
      <c r="AB207" t="s">
        <v>57</v>
      </c>
      <c r="AD207" t="s">
        <v>57</v>
      </c>
      <c r="AE207" t="s">
        <v>57</v>
      </c>
      <c r="AF207" t="s">
        <v>57</v>
      </c>
      <c r="AG207">
        <v>1</v>
      </c>
      <c r="AH207" t="s">
        <v>57</v>
      </c>
      <c r="AL207" t="s">
        <v>57</v>
      </c>
      <c r="AM207" s="11">
        <v>44781</v>
      </c>
      <c r="AN207" t="s">
        <v>173</v>
      </c>
      <c r="AO207" t="s">
        <v>65</v>
      </c>
      <c r="AP207">
        <v>1204</v>
      </c>
      <c r="AQ207" t="s">
        <v>66</v>
      </c>
      <c r="AR207">
        <v>257290</v>
      </c>
      <c r="AU207" t="s">
        <v>57</v>
      </c>
      <c r="AV207" t="s">
        <v>68</v>
      </c>
      <c r="AX207" t="s">
        <v>57</v>
      </c>
      <c r="AY207">
        <v>631110</v>
      </c>
      <c r="AZ207">
        <v>1204.63111</v>
      </c>
      <c r="BA207" s="23" t="s">
        <v>12</v>
      </c>
    </row>
    <row r="208" spans="1:53" x14ac:dyDescent="0.25">
      <c r="A208" t="s">
        <v>134</v>
      </c>
      <c r="B208" t="s">
        <v>135</v>
      </c>
      <c r="C208">
        <v>22001804</v>
      </c>
      <c r="D208">
        <v>1204</v>
      </c>
      <c r="E208" s="11">
        <v>44775</v>
      </c>
      <c r="F208" t="s">
        <v>175</v>
      </c>
      <c r="G208" s="25">
        <v>4.45</v>
      </c>
      <c r="H208">
        <v>4.45</v>
      </c>
      <c r="I208" t="s">
        <v>56</v>
      </c>
      <c r="O208" t="s">
        <v>57</v>
      </c>
      <c r="Q208" t="s">
        <v>57</v>
      </c>
      <c r="R208" t="s">
        <v>137</v>
      </c>
      <c r="T208" t="s">
        <v>59</v>
      </c>
      <c r="U208" t="s">
        <v>60</v>
      </c>
      <c r="V208" t="s">
        <v>138</v>
      </c>
      <c r="W208" t="s">
        <v>139</v>
      </c>
      <c r="X208">
        <v>1926656</v>
      </c>
      <c r="Y208" s="11">
        <v>44775</v>
      </c>
      <c r="Z208" t="s">
        <v>57</v>
      </c>
      <c r="AA208">
        <v>8</v>
      </c>
      <c r="AB208" t="s">
        <v>57</v>
      </c>
      <c r="AD208" t="s">
        <v>57</v>
      </c>
      <c r="AE208" t="s">
        <v>57</v>
      </c>
      <c r="AF208" t="s">
        <v>57</v>
      </c>
      <c r="AG208">
        <v>29</v>
      </c>
      <c r="AH208" t="s">
        <v>57</v>
      </c>
      <c r="AL208" t="s">
        <v>57</v>
      </c>
      <c r="AM208" s="11">
        <v>44775</v>
      </c>
      <c r="AN208" t="s">
        <v>176</v>
      </c>
      <c r="AO208" t="s">
        <v>65</v>
      </c>
      <c r="AP208">
        <v>1204</v>
      </c>
      <c r="AQ208" t="s">
        <v>66</v>
      </c>
      <c r="AR208">
        <v>89712</v>
      </c>
      <c r="AU208" t="s">
        <v>57</v>
      </c>
      <c r="AV208" t="s">
        <v>68</v>
      </c>
      <c r="AX208" t="s">
        <v>57</v>
      </c>
      <c r="AY208">
        <v>631110</v>
      </c>
      <c r="AZ208">
        <v>1204.63111</v>
      </c>
      <c r="BA208" s="23" t="s">
        <v>12</v>
      </c>
    </row>
    <row r="209" spans="1:53" x14ac:dyDescent="0.25">
      <c r="A209" t="s">
        <v>134</v>
      </c>
      <c r="B209" t="s">
        <v>135</v>
      </c>
      <c r="C209">
        <v>22001834</v>
      </c>
      <c r="D209">
        <v>1204</v>
      </c>
      <c r="E209" s="11">
        <v>44781</v>
      </c>
      <c r="F209" t="s">
        <v>174</v>
      </c>
      <c r="G209" s="25">
        <v>4.5199999999999996</v>
      </c>
      <c r="H209">
        <v>4.5199999999999996</v>
      </c>
      <c r="I209" t="s">
        <v>56</v>
      </c>
      <c r="O209" t="s">
        <v>57</v>
      </c>
      <c r="Q209" t="s">
        <v>57</v>
      </c>
      <c r="R209" t="s">
        <v>137</v>
      </c>
      <c r="T209" t="s">
        <v>59</v>
      </c>
      <c r="U209" t="s">
        <v>60</v>
      </c>
      <c r="V209" t="s">
        <v>138</v>
      </c>
      <c r="W209" t="s">
        <v>139</v>
      </c>
      <c r="X209">
        <v>1928971</v>
      </c>
      <c r="Y209" s="11">
        <v>44781</v>
      </c>
      <c r="Z209" t="s">
        <v>57</v>
      </c>
      <c r="AA209">
        <v>4</v>
      </c>
      <c r="AB209" t="s">
        <v>57</v>
      </c>
      <c r="AD209" t="s">
        <v>57</v>
      </c>
      <c r="AE209" t="s">
        <v>57</v>
      </c>
      <c r="AF209" t="s">
        <v>57</v>
      </c>
      <c r="AG209">
        <v>1</v>
      </c>
      <c r="AH209" t="s">
        <v>57</v>
      </c>
      <c r="AL209" t="s">
        <v>57</v>
      </c>
      <c r="AM209" s="11">
        <v>44781</v>
      </c>
      <c r="AN209" t="s">
        <v>173</v>
      </c>
      <c r="AO209" t="s">
        <v>65</v>
      </c>
      <c r="AP209">
        <v>1204</v>
      </c>
      <c r="AQ209" t="s">
        <v>66</v>
      </c>
      <c r="AR209">
        <v>279692</v>
      </c>
      <c r="AU209" t="s">
        <v>57</v>
      </c>
      <c r="AV209" t="s">
        <v>68</v>
      </c>
      <c r="AX209" t="s">
        <v>57</v>
      </c>
      <c r="AY209">
        <v>631110</v>
      </c>
      <c r="AZ209">
        <v>1204.63111</v>
      </c>
      <c r="BA209" s="23" t="s">
        <v>12</v>
      </c>
    </row>
    <row r="210" spans="1:53" x14ac:dyDescent="0.25">
      <c r="A210" t="s">
        <v>134</v>
      </c>
      <c r="B210" t="s">
        <v>135</v>
      </c>
      <c r="C210">
        <v>22001855</v>
      </c>
      <c r="D210">
        <v>1204</v>
      </c>
      <c r="E210" s="11">
        <v>44785</v>
      </c>
      <c r="F210" t="s">
        <v>174</v>
      </c>
      <c r="G210" s="25">
        <v>4.5199999999999996</v>
      </c>
      <c r="H210">
        <v>4.5199999999999996</v>
      </c>
      <c r="I210" t="s">
        <v>56</v>
      </c>
      <c r="O210" t="s">
        <v>57</v>
      </c>
      <c r="Q210" t="s">
        <v>57</v>
      </c>
      <c r="R210" t="s">
        <v>137</v>
      </c>
      <c r="T210" t="s">
        <v>59</v>
      </c>
      <c r="U210" t="s">
        <v>60</v>
      </c>
      <c r="V210" t="s">
        <v>138</v>
      </c>
      <c r="W210" t="s">
        <v>139</v>
      </c>
      <c r="X210">
        <v>1930576</v>
      </c>
      <c r="Y210" s="11">
        <v>44785</v>
      </c>
      <c r="Z210" t="s">
        <v>57</v>
      </c>
      <c r="AA210">
        <v>4</v>
      </c>
      <c r="AB210" t="s">
        <v>57</v>
      </c>
      <c r="AD210" t="s">
        <v>57</v>
      </c>
      <c r="AE210" t="s">
        <v>57</v>
      </c>
      <c r="AF210" t="s">
        <v>57</v>
      </c>
      <c r="AG210">
        <v>1</v>
      </c>
      <c r="AH210" t="s">
        <v>57</v>
      </c>
      <c r="AL210" t="s">
        <v>57</v>
      </c>
      <c r="AM210" s="11">
        <v>44785</v>
      </c>
      <c r="AN210" t="s">
        <v>173</v>
      </c>
      <c r="AO210" t="s">
        <v>65</v>
      </c>
      <c r="AP210">
        <v>1204</v>
      </c>
      <c r="AQ210" t="s">
        <v>66</v>
      </c>
      <c r="AR210">
        <v>279692</v>
      </c>
      <c r="AU210" t="s">
        <v>57</v>
      </c>
      <c r="AV210" t="s">
        <v>68</v>
      </c>
      <c r="AX210" t="s">
        <v>57</v>
      </c>
      <c r="AY210">
        <v>631110</v>
      </c>
      <c r="AZ210">
        <v>1204.63111</v>
      </c>
      <c r="BA210" s="23" t="s">
        <v>12</v>
      </c>
    </row>
    <row r="211" spans="1:53" x14ac:dyDescent="0.25">
      <c r="A211" t="s">
        <v>134</v>
      </c>
      <c r="B211" t="s">
        <v>135</v>
      </c>
      <c r="C211">
        <v>22001867</v>
      </c>
      <c r="D211">
        <v>1204</v>
      </c>
      <c r="E211" s="11">
        <v>44788</v>
      </c>
      <c r="F211" t="s">
        <v>174</v>
      </c>
      <c r="G211" s="25">
        <v>4.5199999999999996</v>
      </c>
      <c r="H211">
        <v>4.5199999999999996</v>
      </c>
      <c r="I211" t="s">
        <v>56</v>
      </c>
      <c r="O211" t="s">
        <v>57</v>
      </c>
      <c r="Q211" t="s">
        <v>57</v>
      </c>
      <c r="R211" t="s">
        <v>137</v>
      </c>
      <c r="T211" t="s">
        <v>59</v>
      </c>
      <c r="U211" t="s">
        <v>60</v>
      </c>
      <c r="V211" t="s">
        <v>138</v>
      </c>
      <c r="W211" t="s">
        <v>139</v>
      </c>
      <c r="X211">
        <v>1932108</v>
      </c>
      <c r="Y211" s="11">
        <v>44788</v>
      </c>
      <c r="Z211" t="s">
        <v>57</v>
      </c>
      <c r="AA211">
        <v>16</v>
      </c>
      <c r="AB211" t="s">
        <v>57</v>
      </c>
      <c r="AD211" t="s">
        <v>57</v>
      </c>
      <c r="AE211" t="s">
        <v>57</v>
      </c>
      <c r="AF211" t="s">
        <v>57</v>
      </c>
      <c r="AG211">
        <v>1</v>
      </c>
      <c r="AH211" t="s">
        <v>57</v>
      </c>
      <c r="AL211" t="s">
        <v>57</v>
      </c>
      <c r="AM211" s="11">
        <v>44788</v>
      </c>
      <c r="AN211" t="s">
        <v>173</v>
      </c>
      <c r="AO211" t="s">
        <v>65</v>
      </c>
      <c r="AP211">
        <v>1204</v>
      </c>
      <c r="AQ211" t="s">
        <v>66</v>
      </c>
      <c r="AR211">
        <v>279692</v>
      </c>
      <c r="AU211" t="s">
        <v>57</v>
      </c>
      <c r="AV211" t="s">
        <v>68</v>
      </c>
      <c r="AX211" t="s">
        <v>57</v>
      </c>
      <c r="AY211">
        <v>631110</v>
      </c>
      <c r="AZ211">
        <v>1204.63111</v>
      </c>
      <c r="BA211" s="23" t="s">
        <v>12</v>
      </c>
    </row>
    <row r="212" spans="1:53" x14ac:dyDescent="0.25">
      <c r="A212" t="s">
        <v>134</v>
      </c>
      <c r="B212" t="s">
        <v>135</v>
      </c>
      <c r="C212">
        <v>22001830</v>
      </c>
      <c r="D212">
        <v>1204</v>
      </c>
      <c r="E212" s="11">
        <v>44781</v>
      </c>
      <c r="F212" t="s">
        <v>174</v>
      </c>
      <c r="G212" s="25">
        <v>4.53</v>
      </c>
      <c r="H212">
        <v>4.53</v>
      </c>
      <c r="I212" t="s">
        <v>56</v>
      </c>
      <c r="O212" t="s">
        <v>57</v>
      </c>
      <c r="Q212" t="s">
        <v>57</v>
      </c>
      <c r="R212" t="s">
        <v>137</v>
      </c>
      <c r="T212" t="s">
        <v>59</v>
      </c>
      <c r="U212" t="s">
        <v>60</v>
      </c>
      <c r="V212" t="s">
        <v>138</v>
      </c>
      <c r="W212" t="s">
        <v>139</v>
      </c>
      <c r="X212">
        <v>1928770</v>
      </c>
      <c r="Y212" s="11">
        <v>44781</v>
      </c>
      <c r="Z212" t="s">
        <v>57</v>
      </c>
      <c r="AA212">
        <v>10</v>
      </c>
      <c r="AB212" t="s">
        <v>57</v>
      </c>
      <c r="AD212" t="s">
        <v>57</v>
      </c>
      <c r="AE212" t="s">
        <v>57</v>
      </c>
      <c r="AF212" t="s">
        <v>57</v>
      </c>
      <c r="AG212">
        <v>1</v>
      </c>
      <c r="AH212" t="s">
        <v>57</v>
      </c>
      <c r="AL212" t="s">
        <v>57</v>
      </c>
      <c r="AM212" s="11">
        <v>44781</v>
      </c>
      <c r="AN212" t="s">
        <v>173</v>
      </c>
      <c r="AO212" t="s">
        <v>65</v>
      </c>
      <c r="AP212">
        <v>1204</v>
      </c>
      <c r="AQ212" t="s">
        <v>66</v>
      </c>
      <c r="AR212">
        <v>206435</v>
      </c>
      <c r="AU212" t="s">
        <v>57</v>
      </c>
      <c r="AV212" t="s">
        <v>68</v>
      </c>
      <c r="AX212" t="s">
        <v>57</v>
      </c>
      <c r="AY212">
        <v>631110</v>
      </c>
      <c r="AZ212">
        <v>1204.63111</v>
      </c>
      <c r="BA212" s="23" t="s">
        <v>12</v>
      </c>
    </row>
    <row r="213" spans="1:53" x14ac:dyDescent="0.25">
      <c r="A213" t="s">
        <v>134</v>
      </c>
      <c r="B213" t="s">
        <v>135</v>
      </c>
      <c r="C213">
        <v>22001893</v>
      </c>
      <c r="D213">
        <v>1204</v>
      </c>
      <c r="E213" s="11">
        <v>44792</v>
      </c>
      <c r="F213" t="s">
        <v>175</v>
      </c>
      <c r="G213" s="25">
        <v>4.62</v>
      </c>
      <c r="H213">
        <v>4.62</v>
      </c>
      <c r="I213" t="s">
        <v>56</v>
      </c>
      <c r="O213" t="s">
        <v>57</v>
      </c>
      <c r="Q213" t="s">
        <v>57</v>
      </c>
      <c r="R213" t="s">
        <v>137</v>
      </c>
      <c r="T213" t="s">
        <v>59</v>
      </c>
      <c r="U213" t="s">
        <v>60</v>
      </c>
      <c r="V213" t="s">
        <v>138</v>
      </c>
      <c r="W213" t="s">
        <v>139</v>
      </c>
      <c r="X213">
        <v>1934081</v>
      </c>
      <c r="Y213" s="11">
        <v>44792</v>
      </c>
      <c r="Z213" t="s">
        <v>57</v>
      </c>
      <c r="AA213">
        <v>10</v>
      </c>
      <c r="AB213" t="s">
        <v>57</v>
      </c>
      <c r="AD213" t="s">
        <v>57</v>
      </c>
      <c r="AE213" t="s">
        <v>57</v>
      </c>
      <c r="AF213" t="s">
        <v>57</v>
      </c>
      <c r="AG213">
        <v>30</v>
      </c>
      <c r="AH213" t="s">
        <v>57</v>
      </c>
      <c r="AL213" t="s">
        <v>57</v>
      </c>
      <c r="AM213" s="11">
        <v>44792</v>
      </c>
      <c r="AN213" t="s">
        <v>176</v>
      </c>
      <c r="AO213" t="s">
        <v>65</v>
      </c>
      <c r="AP213">
        <v>1204</v>
      </c>
      <c r="AQ213" t="s">
        <v>66</v>
      </c>
      <c r="AR213">
        <v>147840</v>
      </c>
      <c r="AU213" t="s">
        <v>57</v>
      </c>
      <c r="AV213" t="s">
        <v>68</v>
      </c>
      <c r="AX213" t="s">
        <v>57</v>
      </c>
      <c r="AY213">
        <v>631110</v>
      </c>
      <c r="AZ213">
        <v>1204.63111</v>
      </c>
      <c r="BA213" s="23" t="s">
        <v>12</v>
      </c>
    </row>
    <row r="214" spans="1:53" x14ac:dyDescent="0.25">
      <c r="A214" t="s">
        <v>134</v>
      </c>
      <c r="B214" t="s">
        <v>135</v>
      </c>
      <c r="C214">
        <v>22001799</v>
      </c>
      <c r="D214">
        <v>1204</v>
      </c>
      <c r="E214" s="11">
        <v>44774</v>
      </c>
      <c r="F214" t="s">
        <v>177</v>
      </c>
      <c r="G214" s="25">
        <v>4.63</v>
      </c>
      <c r="H214">
        <v>4.63</v>
      </c>
      <c r="I214" t="s">
        <v>56</v>
      </c>
      <c r="O214" t="s">
        <v>57</v>
      </c>
      <c r="Q214" t="s">
        <v>57</v>
      </c>
      <c r="R214" t="s">
        <v>137</v>
      </c>
      <c r="T214" t="s">
        <v>59</v>
      </c>
      <c r="U214" t="s">
        <v>60</v>
      </c>
      <c r="V214" t="s">
        <v>138</v>
      </c>
      <c r="W214" t="s">
        <v>139</v>
      </c>
      <c r="X214">
        <v>1925599</v>
      </c>
      <c r="Y214" s="11">
        <v>44774</v>
      </c>
      <c r="Z214" t="s">
        <v>57</v>
      </c>
      <c r="AA214">
        <v>2</v>
      </c>
      <c r="AB214" t="s">
        <v>57</v>
      </c>
      <c r="AD214" t="s">
        <v>57</v>
      </c>
      <c r="AE214" t="s">
        <v>57</v>
      </c>
      <c r="AF214" t="s">
        <v>57</v>
      </c>
      <c r="AG214">
        <v>9</v>
      </c>
      <c r="AH214" t="s">
        <v>57</v>
      </c>
      <c r="AL214" t="s">
        <v>57</v>
      </c>
      <c r="AM214" s="11">
        <v>44774</v>
      </c>
      <c r="AN214" t="s">
        <v>176</v>
      </c>
      <c r="AO214" t="s">
        <v>65</v>
      </c>
      <c r="AP214">
        <v>1204</v>
      </c>
      <c r="AQ214" t="s">
        <v>66</v>
      </c>
      <c r="AR214">
        <v>265226</v>
      </c>
      <c r="AU214" t="s">
        <v>57</v>
      </c>
      <c r="AV214" t="s">
        <v>68</v>
      </c>
      <c r="AX214" t="s">
        <v>57</v>
      </c>
      <c r="AY214">
        <v>631110</v>
      </c>
      <c r="AZ214">
        <v>1204.63111</v>
      </c>
      <c r="BA214" s="23" t="s">
        <v>12</v>
      </c>
    </row>
    <row r="215" spans="1:53" x14ac:dyDescent="0.25">
      <c r="A215" t="s">
        <v>134</v>
      </c>
      <c r="B215" t="s">
        <v>135</v>
      </c>
      <c r="C215">
        <v>22001845</v>
      </c>
      <c r="D215">
        <v>1204</v>
      </c>
      <c r="E215" s="11">
        <v>44783</v>
      </c>
      <c r="F215" t="s">
        <v>175</v>
      </c>
      <c r="G215" s="25">
        <v>4.74</v>
      </c>
      <c r="H215">
        <v>4.74</v>
      </c>
      <c r="I215" t="s">
        <v>56</v>
      </c>
      <c r="O215" t="s">
        <v>57</v>
      </c>
      <c r="Q215" t="s">
        <v>57</v>
      </c>
      <c r="R215" t="s">
        <v>137</v>
      </c>
      <c r="T215" t="s">
        <v>59</v>
      </c>
      <c r="U215" t="s">
        <v>60</v>
      </c>
      <c r="V215" t="s">
        <v>138</v>
      </c>
      <c r="W215" t="s">
        <v>139</v>
      </c>
      <c r="X215">
        <v>1930355</v>
      </c>
      <c r="Y215" s="11">
        <v>44783</v>
      </c>
      <c r="Z215" t="s">
        <v>57</v>
      </c>
      <c r="AA215">
        <v>12</v>
      </c>
      <c r="AB215" t="s">
        <v>57</v>
      </c>
      <c r="AD215" t="s">
        <v>57</v>
      </c>
      <c r="AE215" t="s">
        <v>57</v>
      </c>
      <c r="AF215" t="s">
        <v>57</v>
      </c>
      <c r="AG215">
        <v>13</v>
      </c>
      <c r="AH215" t="s">
        <v>57</v>
      </c>
      <c r="AL215" t="s">
        <v>57</v>
      </c>
      <c r="AM215" s="11">
        <v>44783</v>
      </c>
      <c r="AN215" t="s">
        <v>176</v>
      </c>
      <c r="AO215" t="s">
        <v>65</v>
      </c>
      <c r="AP215">
        <v>1204</v>
      </c>
      <c r="AQ215" t="s">
        <v>66</v>
      </c>
      <c r="AR215">
        <v>91011</v>
      </c>
      <c r="AU215" t="s">
        <v>57</v>
      </c>
      <c r="AV215" t="s">
        <v>68</v>
      </c>
      <c r="AX215" t="s">
        <v>57</v>
      </c>
      <c r="AY215">
        <v>631110</v>
      </c>
      <c r="AZ215">
        <v>1204.63111</v>
      </c>
      <c r="BA215" s="23" t="s">
        <v>12</v>
      </c>
    </row>
    <row r="216" spans="1:53" x14ac:dyDescent="0.25">
      <c r="A216" t="s">
        <v>134</v>
      </c>
      <c r="B216" t="s">
        <v>135</v>
      </c>
      <c r="C216">
        <v>22001801</v>
      </c>
      <c r="D216">
        <v>1204</v>
      </c>
      <c r="E216" s="11">
        <v>44775</v>
      </c>
      <c r="F216" t="s">
        <v>174</v>
      </c>
      <c r="G216" s="25">
        <v>4.9400000000000004</v>
      </c>
      <c r="H216">
        <v>4.9400000000000004</v>
      </c>
      <c r="I216" t="s">
        <v>56</v>
      </c>
      <c r="O216" t="s">
        <v>57</v>
      </c>
      <c r="Q216" t="s">
        <v>57</v>
      </c>
      <c r="R216" t="s">
        <v>137</v>
      </c>
      <c r="T216" t="s">
        <v>59</v>
      </c>
      <c r="U216" t="s">
        <v>60</v>
      </c>
      <c r="V216" t="s">
        <v>138</v>
      </c>
      <c r="W216" t="s">
        <v>139</v>
      </c>
      <c r="X216">
        <v>1926653</v>
      </c>
      <c r="Y216" s="11">
        <v>44775</v>
      </c>
      <c r="Z216" t="s">
        <v>57</v>
      </c>
      <c r="AA216">
        <v>8</v>
      </c>
      <c r="AB216" t="s">
        <v>57</v>
      </c>
      <c r="AD216" t="s">
        <v>57</v>
      </c>
      <c r="AE216" t="s">
        <v>57</v>
      </c>
      <c r="AF216" t="s">
        <v>57</v>
      </c>
      <c r="AG216">
        <v>10</v>
      </c>
      <c r="AH216" t="s">
        <v>57</v>
      </c>
      <c r="AL216" t="s">
        <v>57</v>
      </c>
      <c r="AM216" s="11">
        <v>44775</v>
      </c>
      <c r="AN216" t="s">
        <v>173</v>
      </c>
      <c r="AO216" t="s">
        <v>65</v>
      </c>
      <c r="AP216">
        <v>1204</v>
      </c>
      <c r="AQ216" t="s">
        <v>66</v>
      </c>
      <c r="AR216">
        <v>121863</v>
      </c>
      <c r="AU216" t="s">
        <v>57</v>
      </c>
      <c r="AV216" t="s">
        <v>68</v>
      </c>
      <c r="AX216" t="s">
        <v>57</v>
      </c>
      <c r="AY216">
        <v>631110</v>
      </c>
      <c r="AZ216">
        <v>1204.63111</v>
      </c>
      <c r="BA216" s="23" t="s">
        <v>12</v>
      </c>
    </row>
    <row r="217" spans="1:53" x14ac:dyDescent="0.25">
      <c r="A217" t="s">
        <v>134</v>
      </c>
      <c r="B217" t="s">
        <v>135</v>
      </c>
      <c r="C217">
        <v>22001808</v>
      </c>
      <c r="D217">
        <v>1204</v>
      </c>
      <c r="E217" s="11">
        <v>44776</v>
      </c>
      <c r="F217" t="s">
        <v>174</v>
      </c>
      <c r="G217" s="25">
        <v>4.9400000000000004</v>
      </c>
      <c r="H217">
        <v>4.9400000000000004</v>
      </c>
      <c r="I217" t="s">
        <v>56</v>
      </c>
      <c r="O217" t="s">
        <v>57</v>
      </c>
      <c r="Q217" t="s">
        <v>57</v>
      </c>
      <c r="R217" t="s">
        <v>137</v>
      </c>
      <c r="T217" t="s">
        <v>59</v>
      </c>
      <c r="U217" t="s">
        <v>60</v>
      </c>
      <c r="V217" t="s">
        <v>138</v>
      </c>
      <c r="W217" t="s">
        <v>139</v>
      </c>
      <c r="X217">
        <v>1926830</v>
      </c>
      <c r="Y217" s="11">
        <v>44776</v>
      </c>
      <c r="Z217" t="s">
        <v>57</v>
      </c>
      <c r="AA217">
        <v>30</v>
      </c>
      <c r="AB217" t="s">
        <v>57</v>
      </c>
      <c r="AD217" t="s">
        <v>57</v>
      </c>
      <c r="AE217" t="s">
        <v>57</v>
      </c>
      <c r="AF217" t="s">
        <v>57</v>
      </c>
      <c r="AG217">
        <v>10</v>
      </c>
      <c r="AH217" t="s">
        <v>57</v>
      </c>
      <c r="AL217" t="s">
        <v>57</v>
      </c>
      <c r="AM217" s="11">
        <v>44776</v>
      </c>
      <c r="AN217" t="s">
        <v>173</v>
      </c>
      <c r="AO217" t="s">
        <v>65</v>
      </c>
      <c r="AP217">
        <v>1204</v>
      </c>
      <c r="AQ217" t="s">
        <v>66</v>
      </c>
      <c r="AR217">
        <v>121863</v>
      </c>
      <c r="AU217" t="s">
        <v>57</v>
      </c>
      <c r="AV217" t="s">
        <v>68</v>
      </c>
      <c r="AX217" t="s">
        <v>57</v>
      </c>
      <c r="AY217">
        <v>631110</v>
      </c>
      <c r="AZ217">
        <v>1204.63111</v>
      </c>
      <c r="BA217" s="23" t="s">
        <v>12</v>
      </c>
    </row>
    <row r="218" spans="1:53" x14ac:dyDescent="0.25">
      <c r="A218" t="s">
        <v>134</v>
      </c>
      <c r="B218" t="s">
        <v>135</v>
      </c>
      <c r="C218">
        <v>22001830</v>
      </c>
      <c r="D218">
        <v>1204</v>
      </c>
      <c r="E218" s="11">
        <v>44781</v>
      </c>
      <c r="F218" t="s">
        <v>174</v>
      </c>
      <c r="G218" s="25">
        <v>4.9400000000000004</v>
      </c>
      <c r="H218">
        <v>4.9400000000000004</v>
      </c>
      <c r="I218" t="s">
        <v>56</v>
      </c>
      <c r="O218" t="s">
        <v>57</v>
      </c>
      <c r="Q218" t="s">
        <v>57</v>
      </c>
      <c r="R218" t="s">
        <v>137</v>
      </c>
      <c r="T218" t="s">
        <v>59</v>
      </c>
      <c r="U218" t="s">
        <v>60</v>
      </c>
      <c r="V218" t="s">
        <v>138</v>
      </c>
      <c r="W218" t="s">
        <v>139</v>
      </c>
      <c r="X218">
        <v>1928770</v>
      </c>
      <c r="Y218" s="11">
        <v>44781</v>
      </c>
      <c r="Z218" t="s">
        <v>57</v>
      </c>
      <c r="AA218">
        <v>2</v>
      </c>
      <c r="AB218" t="s">
        <v>57</v>
      </c>
      <c r="AD218" t="s">
        <v>57</v>
      </c>
      <c r="AE218" t="s">
        <v>57</v>
      </c>
      <c r="AF218" t="s">
        <v>57</v>
      </c>
      <c r="AG218">
        <v>10</v>
      </c>
      <c r="AH218" t="s">
        <v>57</v>
      </c>
      <c r="AL218" t="s">
        <v>57</v>
      </c>
      <c r="AM218" s="11">
        <v>44781</v>
      </c>
      <c r="AN218" t="s">
        <v>173</v>
      </c>
      <c r="AO218" t="s">
        <v>65</v>
      </c>
      <c r="AP218">
        <v>1204</v>
      </c>
      <c r="AQ218" t="s">
        <v>66</v>
      </c>
      <c r="AR218">
        <v>121863</v>
      </c>
      <c r="AU218" t="s">
        <v>57</v>
      </c>
      <c r="AV218" t="s">
        <v>68</v>
      </c>
      <c r="AX218" t="s">
        <v>57</v>
      </c>
      <c r="AY218">
        <v>631110</v>
      </c>
      <c r="AZ218">
        <v>1204.63111</v>
      </c>
      <c r="BA218" s="23" t="s">
        <v>12</v>
      </c>
    </row>
    <row r="219" spans="1:53" x14ac:dyDescent="0.25">
      <c r="A219" t="s">
        <v>134</v>
      </c>
      <c r="B219" t="s">
        <v>135</v>
      </c>
      <c r="C219">
        <v>22001842</v>
      </c>
      <c r="D219">
        <v>1204</v>
      </c>
      <c r="E219" s="11">
        <v>44783</v>
      </c>
      <c r="F219" t="s">
        <v>174</v>
      </c>
      <c r="G219" s="25">
        <v>4.9400000000000004</v>
      </c>
      <c r="H219">
        <v>4.9400000000000004</v>
      </c>
      <c r="I219" t="s">
        <v>56</v>
      </c>
      <c r="O219" t="s">
        <v>57</v>
      </c>
      <c r="Q219" t="s">
        <v>57</v>
      </c>
      <c r="R219" t="s">
        <v>137</v>
      </c>
      <c r="T219" t="s">
        <v>59</v>
      </c>
      <c r="U219" t="s">
        <v>60</v>
      </c>
      <c r="V219" t="s">
        <v>138</v>
      </c>
      <c r="W219" t="s">
        <v>139</v>
      </c>
      <c r="X219">
        <v>1930268</v>
      </c>
      <c r="Y219" s="11">
        <v>44783</v>
      </c>
      <c r="Z219" t="s">
        <v>57</v>
      </c>
      <c r="AA219">
        <v>18</v>
      </c>
      <c r="AB219" t="s">
        <v>57</v>
      </c>
      <c r="AD219" t="s">
        <v>57</v>
      </c>
      <c r="AE219" t="s">
        <v>57</v>
      </c>
      <c r="AF219" t="s">
        <v>57</v>
      </c>
      <c r="AG219">
        <v>10</v>
      </c>
      <c r="AH219" t="s">
        <v>57</v>
      </c>
      <c r="AL219" t="s">
        <v>57</v>
      </c>
      <c r="AM219" s="11">
        <v>44783</v>
      </c>
      <c r="AN219" t="s">
        <v>173</v>
      </c>
      <c r="AO219" t="s">
        <v>65</v>
      </c>
      <c r="AP219">
        <v>1204</v>
      </c>
      <c r="AQ219" t="s">
        <v>66</v>
      </c>
      <c r="AR219">
        <v>121863</v>
      </c>
      <c r="AU219" t="s">
        <v>57</v>
      </c>
      <c r="AV219" t="s">
        <v>68</v>
      </c>
      <c r="AX219" t="s">
        <v>57</v>
      </c>
      <c r="AY219">
        <v>631110</v>
      </c>
      <c r="AZ219">
        <v>1204.63111</v>
      </c>
      <c r="BA219" s="23" t="s">
        <v>12</v>
      </c>
    </row>
    <row r="220" spans="1:53" x14ac:dyDescent="0.25">
      <c r="A220" t="s">
        <v>134</v>
      </c>
      <c r="B220" t="s">
        <v>135</v>
      </c>
      <c r="C220">
        <v>22001813</v>
      </c>
      <c r="D220">
        <v>1204</v>
      </c>
      <c r="E220" s="11">
        <v>44777</v>
      </c>
      <c r="F220" t="s">
        <v>174</v>
      </c>
      <c r="G220" s="25">
        <v>4.97</v>
      </c>
      <c r="H220">
        <v>4.97</v>
      </c>
      <c r="I220" t="s">
        <v>56</v>
      </c>
      <c r="O220" t="s">
        <v>57</v>
      </c>
      <c r="Q220" t="s">
        <v>57</v>
      </c>
      <c r="R220" t="s">
        <v>137</v>
      </c>
      <c r="T220" t="s">
        <v>59</v>
      </c>
      <c r="U220" t="s">
        <v>60</v>
      </c>
      <c r="V220" t="s">
        <v>138</v>
      </c>
      <c r="W220" t="s">
        <v>139</v>
      </c>
      <c r="X220">
        <v>1927630</v>
      </c>
      <c r="Y220" s="11">
        <v>44777</v>
      </c>
      <c r="Z220" t="s">
        <v>57</v>
      </c>
      <c r="AA220">
        <v>8</v>
      </c>
      <c r="AB220" t="s">
        <v>57</v>
      </c>
      <c r="AD220" t="s">
        <v>57</v>
      </c>
      <c r="AE220" t="s">
        <v>57</v>
      </c>
      <c r="AF220" t="s">
        <v>57</v>
      </c>
      <c r="AG220">
        <v>1</v>
      </c>
      <c r="AH220" t="s">
        <v>57</v>
      </c>
      <c r="AL220" t="s">
        <v>57</v>
      </c>
      <c r="AM220" s="11">
        <v>44777</v>
      </c>
      <c r="AN220" t="s">
        <v>173</v>
      </c>
      <c r="AO220" t="s">
        <v>65</v>
      </c>
      <c r="AP220">
        <v>1204</v>
      </c>
      <c r="AQ220" t="s">
        <v>66</v>
      </c>
      <c r="AR220">
        <v>142792</v>
      </c>
      <c r="AU220" t="s">
        <v>57</v>
      </c>
      <c r="AV220" t="s">
        <v>68</v>
      </c>
      <c r="AX220" t="s">
        <v>57</v>
      </c>
      <c r="AY220">
        <v>631110</v>
      </c>
      <c r="AZ220">
        <v>1204.63111</v>
      </c>
      <c r="BA220" s="23" t="s">
        <v>12</v>
      </c>
    </row>
    <row r="221" spans="1:53" x14ac:dyDescent="0.25">
      <c r="A221" t="s">
        <v>134</v>
      </c>
      <c r="B221" t="s">
        <v>135</v>
      </c>
      <c r="C221">
        <v>22001832</v>
      </c>
      <c r="D221">
        <v>1204</v>
      </c>
      <c r="E221" s="11">
        <v>44781</v>
      </c>
      <c r="F221" t="s">
        <v>159</v>
      </c>
      <c r="G221" s="25">
        <v>5.04</v>
      </c>
      <c r="H221">
        <v>5.04</v>
      </c>
      <c r="I221" t="s">
        <v>56</v>
      </c>
      <c r="O221" t="s">
        <v>57</v>
      </c>
      <c r="Q221" t="s">
        <v>57</v>
      </c>
      <c r="R221" t="s">
        <v>137</v>
      </c>
      <c r="T221" t="s">
        <v>59</v>
      </c>
      <c r="U221" t="s">
        <v>60</v>
      </c>
      <c r="V221" t="s">
        <v>138</v>
      </c>
      <c r="W221" t="s">
        <v>139</v>
      </c>
      <c r="X221">
        <v>1928857</v>
      </c>
      <c r="Y221" s="11">
        <v>44781</v>
      </c>
      <c r="Z221" t="s">
        <v>57</v>
      </c>
      <c r="AA221">
        <v>4</v>
      </c>
      <c r="AB221" t="s">
        <v>57</v>
      </c>
      <c r="AD221" t="s">
        <v>57</v>
      </c>
      <c r="AE221" t="s">
        <v>57</v>
      </c>
      <c r="AF221" t="s">
        <v>57</v>
      </c>
      <c r="AG221">
        <v>6</v>
      </c>
      <c r="AH221" t="s">
        <v>57</v>
      </c>
      <c r="AL221" t="s">
        <v>57</v>
      </c>
      <c r="AM221" s="11">
        <v>44781</v>
      </c>
      <c r="AN221" t="s">
        <v>173</v>
      </c>
      <c r="AO221" t="s">
        <v>65</v>
      </c>
      <c r="AP221">
        <v>1204</v>
      </c>
      <c r="AQ221" t="s">
        <v>66</v>
      </c>
      <c r="AR221">
        <v>136940</v>
      </c>
      <c r="AU221" t="s">
        <v>57</v>
      </c>
      <c r="AV221" t="s">
        <v>68</v>
      </c>
      <c r="AX221" t="s">
        <v>57</v>
      </c>
      <c r="AY221">
        <v>631110</v>
      </c>
      <c r="AZ221">
        <v>1204.63111</v>
      </c>
      <c r="BA221" s="23" t="s">
        <v>12</v>
      </c>
    </row>
    <row r="222" spans="1:53" x14ac:dyDescent="0.25">
      <c r="A222" t="s">
        <v>134</v>
      </c>
      <c r="B222" t="s">
        <v>135</v>
      </c>
      <c r="C222">
        <v>22001880</v>
      </c>
      <c r="D222">
        <v>1204</v>
      </c>
      <c r="E222" s="11">
        <v>44791</v>
      </c>
      <c r="F222" t="s">
        <v>135</v>
      </c>
      <c r="G222" s="25">
        <v>5.1100000000000003</v>
      </c>
      <c r="H222">
        <v>5.1100000000000003</v>
      </c>
      <c r="I222" t="s">
        <v>56</v>
      </c>
      <c r="O222" t="s">
        <v>57</v>
      </c>
      <c r="Q222" t="s">
        <v>57</v>
      </c>
      <c r="R222" t="s">
        <v>137</v>
      </c>
      <c r="T222" t="s">
        <v>59</v>
      </c>
      <c r="U222" t="s">
        <v>60</v>
      </c>
      <c r="V222" t="s">
        <v>138</v>
      </c>
      <c r="W222" t="s">
        <v>139</v>
      </c>
      <c r="X222">
        <v>1933542</v>
      </c>
      <c r="Y222" s="11">
        <v>44791</v>
      </c>
      <c r="Z222" t="s">
        <v>57</v>
      </c>
      <c r="AA222">
        <v>12</v>
      </c>
      <c r="AB222" t="s">
        <v>57</v>
      </c>
      <c r="AD222" t="s">
        <v>57</v>
      </c>
      <c r="AE222" t="s">
        <v>57</v>
      </c>
      <c r="AF222" t="s">
        <v>57</v>
      </c>
      <c r="AG222">
        <v>14</v>
      </c>
      <c r="AH222" t="s">
        <v>57</v>
      </c>
      <c r="AL222" t="s">
        <v>57</v>
      </c>
      <c r="AM222" s="11">
        <v>44791</v>
      </c>
      <c r="AN222" t="s">
        <v>176</v>
      </c>
      <c r="AO222" t="s">
        <v>65</v>
      </c>
      <c r="AP222">
        <v>1204</v>
      </c>
      <c r="AQ222" t="s">
        <v>66</v>
      </c>
      <c r="AR222">
        <v>91011</v>
      </c>
      <c r="AU222" t="s">
        <v>57</v>
      </c>
      <c r="AV222" t="s">
        <v>68</v>
      </c>
      <c r="AX222" t="s">
        <v>57</v>
      </c>
      <c r="AY222">
        <v>631110</v>
      </c>
      <c r="AZ222">
        <v>1204.63111</v>
      </c>
      <c r="BA222" s="23" t="s">
        <v>12</v>
      </c>
    </row>
    <row r="223" spans="1:53" x14ac:dyDescent="0.25">
      <c r="A223" t="s">
        <v>134</v>
      </c>
      <c r="B223" t="s">
        <v>135</v>
      </c>
      <c r="C223">
        <v>22001785</v>
      </c>
      <c r="D223">
        <v>1204</v>
      </c>
      <c r="E223" s="11">
        <v>44774</v>
      </c>
      <c r="F223" t="s">
        <v>174</v>
      </c>
      <c r="G223" s="25">
        <v>5.37</v>
      </c>
      <c r="H223">
        <v>5.37</v>
      </c>
      <c r="I223" t="s">
        <v>56</v>
      </c>
      <c r="O223" t="s">
        <v>57</v>
      </c>
      <c r="Q223" t="s">
        <v>57</v>
      </c>
      <c r="R223" t="s">
        <v>137</v>
      </c>
      <c r="T223" t="s">
        <v>59</v>
      </c>
      <c r="U223" t="s">
        <v>60</v>
      </c>
      <c r="V223" t="s">
        <v>138</v>
      </c>
      <c r="W223" t="s">
        <v>139</v>
      </c>
      <c r="X223">
        <v>1925466</v>
      </c>
      <c r="Y223" s="11">
        <v>44774</v>
      </c>
      <c r="Z223" t="s">
        <v>57</v>
      </c>
      <c r="AA223">
        <v>10</v>
      </c>
      <c r="AB223" t="s">
        <v>57</v>
      </c>
      <c r="AD223" t="s">
        <v>57</v>
      </c>
      <c r="AE223" t="s">
        <v>57</v>
      </c>
      <c r="AF223" t="s">
        <v>57</v>
      </c>
      <c r="AG223">
        <v>1</v>
      </c>
      <c r="AH223" t="s">
        <v>57</v>
      </c>
      <c r="AL223" t="s">
        <v>57</v>
      </c>
      <c r="AM223" s="11">
        <v>44774</v>
      </c>
      <c r="AN223" t="s">
        <v>173</v>
      </c>
      <c r="AO223" t="s">
        <v>65</v>
      </c>
      <c r="AP223">
        <v>1204</v>
      </c>
      <c r="AQ223" t="s">
        <v>66</v>
      </c>
      <c r="AR223">
        <v>221862</v>
      </c>
      <c r="AU223" t="s">
        <v>57</v>
      </c>
      <c r="AV223" t="s">
        <v>68</v>
      </c>
      <c r="AX223" t="s">
        <v>57</v>
      </c>
      <c r="AY223">
        <v>631110</v>
      </c>
      <c r="AZ223">
        <v>1204.63111</v>
      </c>
      <c r="BA223" s="23" t="s">
        <v>12</v>
      </c>
    </row>
    <row r="224" spans="1:53" x14ac:dyDescent="0.25">
      <c r="A224" t="s">
        <v>134</v>
      </c>
      <c r="B224" t="s">
        <v>135</v>
      </c>
      <c r="C224">
        <v>22001801</v>
      </c>
      <c r="D224">
        <v>1204</v>
      </c>
      <c r="E224" s="11">
        <v>44775</v>
      </c>
      <c r="F224" t="s">
        <v>174</v>
      </c>
      <c r="G224" s="25">
        <v>5.37</v>
      </c>
      <c r="H224">
        <v>5.37</v>
      </c>
      <c r="I224" t="s">
        <v>56</v>
      </c>
      <c r="O224" t="s">
        <v>57</v>
      </c>
      <c r="Q224" t="s">
        <v>57</v>
      </c>
      <c r="R224" t="s">
        <v>137</v>
      </c>
      <c r="T224" t="s">
        <v>59</v>
      </c>
      <c r="U224" t="s">
        <v>60</v>
      </c>
      <c r="V224" t="s">
        <v>138</v>
      </c>
      <c r="W224" t="s">
        <v>139</v>
      </c>
      <c r="X224">
        <v>1926653</v>
      </c>
      <c r="Y224" s="11">
        <v>44775</v>
      </c>
      <c r="Z224" t="s">
        <v>57</v>
      </c>
      <c r="AA224">
        <v>4</v>
      </c>
      <c r="AB224" t="s">
        <v>57</v>
      </c>
      <c r="AD224" t="s">
        <v>57</v>
      </c>
      <c r="AE224" t="s">
        <v>57</v>
      </c>
      <c r="AF224" t="s">
        <v>57</v>
      </c>
      <c r="AG224">
        <v>1</v>
      </c>
      <c r="AH224" t="s">
        <v>57</v>
      </c>
      <c r="AL224" t="s">
        <v>57</v>
      </c>
      <c r="AM224" s="11">
        <v>44775</v>
      </c>
      <c r="AN224" t="s">
        <v>173</v>
      </c>
      <c r="AO224" t="s">
        <v>65</v>
      </c>
      <c r="AP224">
        <v>1204</v>
      </c>
      <c r="AQ224" t="s">
        <v>66</v>
      </c>
      <c r="AR224">
        <v>221862</v>
      </c>
      <c r="AU224" t="s">
        <v>57</v>
      </c>
      <c r="AV224" t="s">
        <v>68</v>
      </c>
      <c r="AX224" t="s">
        <v>57</v>
      </c>
      <c r="AY224">
        <v>631110</v>
      </c>
      <c r="AZ224">
        <v>1204.63111</v>
      </c>
      <c r="BA224" s="23" t="s">
        <v>12</v>
      </c>
    </row>
    <row r="225" spans="1:53" x14ac:dyDescent="0.25">
      <c r="A225" t="s">
        <v>134</v>
      </c>
      <c r="B225" t="s">
        <v>135</v>
      </c>
      <c r="C225">
        <v>22001827</v>
      </c>
      <c r="D225">
        <v>1204</v>
      </c>
      <c r="E225" s="11">
        <v>44778</v>
      </c>
      <c r="F225" t="s">
        <v>174</v>
      </c>
      <c r="G225" s="25">
        <v>5.37</v>
      </c>
      <c r="H225">
        <v>5.37</v>
      </c>
      <c r="I225" t="s">
        <v>56</v>
      </c>
      <c r="O225" t="s">
        <v>57</v>
      </c>
      <c r="Q225" t="s">
        <v>57</v>
      </c>
      <c r="R225" t="s">
        <v>137</v>
      </c>
      <c r="T225" t="s">
        <v>59</v>
      </c>
      <c r="U225" t="s">
        <v>60</v>
      </c>
      <c r="V225" t="s">
        <v>138</v>
      </c>
      <c r="W225" t="s">
        <v>139</v>
      </c>
      <c r="X225">
        <v>1928763</v>
      </c>
      <c r="Y225" s="11">
        <v>44778</v>
      </c>
      <c r="Z225" t="s">
        <v>57</v>
      </c>
      <c r="AA225">
        <v>24</v>
      </c>
      <c r="AB225" t="s">
        <v>57</v>
      </c>
      <c r="AD225" t="s">
        <v>57</v>
      </c>
      <c r="AE225" t="s">
        <v>57</v>
      </c>
      <c r="AF225" t="s">
        <v>57</v>
      </c>
      <c r="AG225">
        <v>1</v>
      </c>
      <c r="AH225" t="s">
        <v>57</v>
      </c>
      <c r="AL225" t="s">
        <v>57</v>
      </c>
      <c r="AM225" s="11">
        <v>44778</v>
      </c>
      <c r="AN225" t="s">
        <v>173</v>
      </c>
      <c r="AO225" t="s">
        <v>65</v>
      </c>
      <c r="AP225">
        <v>1204</v>
      </c>
      <c r="AQ225" t="s">
        <v>66</v>
      </c>
      <c r="AR225">
        <v>221862</v>
      </c>
      <c r="AU225" t="s">
        <v>57</v>
      </c>
      <c r="AV225" t="s">
        <v>68</v>
      </c>
      <c r="AX225" t="s">
        <v>57</v>
      </c>
      <c r="AY225">
        <v>631110</v>
      </c>
      <c r="AZ225">
        <v>1204.63111</v>
      </c>
      <c r="BA225" s="23" t="s">
        <v>12</v>
      </c>
    </row>
    <row r="226" spans="1:53" x14ac:dyDescent="0.25">
      <c r="A226" t="s">
        <v>134</v>
      </c>
      <c r="B226" t="s">
        <v>135</v>
      </c>
      <c r="C226">
        <v>22001846</v>
      </c>
      <c r="D226">
        <v>1204</v>
      </c>
      <c r="E226" s="11">
        <v>44783</v>
      </c>
      <c r="F226" t="s">
        <v>177</v>
      </c>
      <c r="G226" s="25">
        <v>5.72</v>
      </c>
      <c r="H226">
        <v>5.72</v>
      </c>
      <c r="I226" t="s">
        <v>56</v>
      </c>
      <c r="O226" t="s">
        <v>57</v>
      </c>
      <c r="Q226" t="s">
        <v>57</v>
      </c>
      <c r="R226" t="s">
        <v>137</v>
      </c>
      <c r="T226" t="s">
        <v>59</v>
      </c>
      <c r="U226" t="s">
        <v>60</v>
      </c>
      <c r="V226" t="s">
        <v>138</v>
      </c>
      <c r="W226" t="s">
        <v>139</v>
      </c>
      <c r="X226">
        <v>1930355</v>
      </c>
      <c r="Y226" s="11">
        <v>44783</v>
      </c>
      <c r="Z226" t="s">
        <v>57</v>
      </c>
      <c r="AA226">
        <v>2</v>
      </c>
      <c r="AB226" t="s">
        <v>57</v>
      </c>
      <c r="AD226" t="s">
        <v>57</v>
      </c>
      <c r="AE226" t="s">
        <v>57</v>
      </c>
      <c r="AF226" t="s">
        <v>57</v>
      </c>
      <c r="AG226">
        <v>10</v>
      </c>
      <c r="AH226" t="s">
        <v>57</v>
      </c>
      <c r="AL226" t="s">
        <v>57</v>
      </c>
      <c r="AM226" s="11">
        <v>44783</v>
      </c>
      <c r="AN226" t="s">
        <v>176</v>
      </c>
      <c r="AO226" t="s">
        <v>65</v>
      </c>
      <c r="AP226">
        <v>1204</v>
      </c>
      <c r="AQ226" t="s">
        <v>66</v>
      </c>
      <c r="AR226">
        <v>265226</v>
      </c>
      <c r="AU226" t="s">
        <v>57</v>
      </c>
      <c r="AV226" t="s">
        <v>68</v>
      </c>
      <c r="AX226" t="s">
        <v>57</v>
      </c>
      <c r="AY226">
        <v>631110</v>
      </c>
      <c r="AZ226">
        <v>1204.63111</v>
      </c>
      <c r="BA226" s="23" t="s">
        <v>12</v>
      </c>
    </row>
    <row r="227" spans="1:53" x14ac:dyDescent="0.25">
      <c r="A227" t="s">
        <v>134</v>
      </c>
      <c r="B227" t="s">
        <v>135</v>
      </c>
      <c r="C227">
        <v>22001840</v>
      </c>
      <c r="D227">
        <v>1204</v>
      </c>
      <c r="E227" s="11">
        <v>44782</v>
      </c>
      <c r="F227" t="s">
        <v>175</v>
      </c>
      <c r="G227" s="25">
        <v>5.84</v>
      </c>
      <c r="H227">
        <v>5.84</v>
      </c>
      <c r="I227" t="s">
        <v>56</v>
      </c>
      <c r="O227" t="s">
        <v>57</v>
      </c>
      <c r="Q227" t="s">
        <v>57</v>
      </c>
      <c r="R227" t="s">
        <v>137</v>
      </c>
      <c r="T227" t="s">
        <v>59</v>
      </c>
      <c r="U227" t="s">
        <v>60</v>
      </c>
      <c r="V227" t="s">
        <v>138</v>
      </c>
      <c r="W227" t="s">
        <v>139</v>
      </c>
      <c r="X227">
        <v>1929850</v>
      </c>
      <c r="Y227" s="11">
        <v>44782</v>
      </c>
      <c r="Z227" t="s">
        <v>57</v>
      </c>
      <c r="AA227">
        <v>14</v>
      </c>
      <c r="AB227" t="s">
        <v>57</v>
      </c>
      <c r="AD227" t="s">
        <v>57</v>
      </c>
      <c r="AE227" t="s">
        <v>57</v>
      </c>
      <c r="AF227" t="s">
        <v>57</v>
      </c>
      <c r="AG227">
        <v>16</v>
      </c>
      <c r="AH227" t="s">
        <v>57</v>
      </c>
      <c r="AL227" t="s">
        <v>57</v>
      </c>
      <c r="AM227" s="11">
        <v>44782</v>
      </c>
      <c r="AN227" t="s">
        <v>176</v>
      </c>
      <c r="AO227" t="s">
        <v>65</v>
      </c>
      <c r="AP227">
        <v>1204</v>
      </c>
      <c r="AQ227" t="s">
        <v>66</v>
      </c>
      <c r="AR227">
        <v>91011</v>
      </c>
      <c r="AU227" t="s">
        <v>57</v>
      </c>
      <c r="AV227" t="s">
        <v>68</v>
      </c>
      <c r="AX227" t="s">
        <v>57</v>
      </c>
      <c r="AY227">
        <v>631110</v>
      </c>
      <c r="AZ227">
        <v>1204.63111</v>
      </c>
      <c r="BA227" s="23" t="s">
        <v>12</v>
      </c>
    </row>
    <row r="228" spans="1:53" x14ac:dyDescent="0.25">
      <c r="A228" t="s">
        <v>134</v>
      </c>
      <c r="B228" t="s">
        <v>135</v>
      </c>
      <c r="C228">
        <v>22001808</v>
      </c>
      <c r="D228">
        <v>1204</v>
      </c>
      <c r="E228" s="11">
        <v>44776</v>
      </c>
      <c r="F228" t="s">
        <v>174</v>
      </c>
      <c r="G228" s="25">
        <v>5.91</v>
      </c>
      <c r="H228">
        <v>5.91</v>
      </c>
      <c r="I228" t="s">
        <v>56</v>
      </c>
      <c r="O228" t="s">
        <v>57</v>
      </c>
      <c r="Q228" t="s">
        <v>57</v>
      </c>
      <c r="R228" t="s">
        <v>137</v>
      </c>
      <c r="T228" t="s">
        <v>59</v>
      </c>
      <c r="U228" t="s">
        <v>60</v>
      </c>
      <c r="V228" t="s">
        <v>138</v>
      </c>
      <c r="W228" t="s">
        <v>139</v>
      </c>
      <c r="X228">
        <v>1926830</v>
      </c>
      <c r="Y228" s="11">
        <v>44776</v>
      </c>
      <c r="Z228" t="s">
        <v>57</v>
      </c>
      <c r="AA228">
        <v>22</v>
      </c>
      <c r="AB228" t="s">
        <v>57</v>
      </c>
      <c r="AD228" t="s">
        <v>57</v>
      </c>
      <c r="AE228" t="s">
        <v>57</v>
      </c>
      <c r="AF228" t="s">
        <v>57</v>
      </c>
      <c r="AG228">
        <v>1</v>
      </c>
      <c r="AH228" t="s">
        <v>57</v>
      </c>
      <c r="AL228" t="s">
        <v>57</v>
      </c>
      <c r="AM228" s="11">
        <v>44776</v>
      </c>
      <c r="AN228" t="s">
        <v>173</v>
      </c>
      <c r="AO228" t="s">
        <v>65</v>
      </c>
      <c r="AP228">
        <v>1204</v>
      </c>
      <c r="AQ228" t="s">
        <v>66</v>
      </c>
      <c r="AR228">
        <v>88713</v>
      </c>
      <c r="AU228" t="s">
        <v>57</v>
      </c>
      <c r="AV228" t="s">
        <v>68</v>
      </c>
      <c r="AX228" t="s">
        <v>57</v>
      </c>
      <c r="AY228">
        <v>631110</v>
      </c>
      <c r="AZ228">
        <v>1204.63111</v>
      </c>
      <c r="BA228" s="23" t="s">
        <v>12</v>
      </c>
    </row>
    <row r="229" spans="1:53" x14ac:dyDescent="0.25">
      <c r="A229" t="s">
        <v>134</v>
      </c>
      <c r="B229" t="s">
        <v>135</v>
      </c>
      <c r="C229">
        <v>22001849</v>
      </c>
      <c r="D229">
        <v>1204</v>
      </c>
      <c r="E229" s="11">
        <v>44784</v>
      </c>
      <c r="F229" t="s">
        <v>174</v>
      </c>
      <c r="G229" s="25">
        <v>5.91</v>
      </c>
      <c r="H229">
        <v>5.91</v>
      </c>
      <c r="I229" t="s">
        <v>56</v>
      </c>
      <c r="O229" t="s">
        <v>57</v>
      </c>
      <c r="Q229" t="s">
        <v>57</v>
      </c>
      <c r="R229" t="s">
        <v>137</v>
      </c>
      <c r="T229" t="s">
        <v>59</v>
      </c>
      <c r="U229" t="s">
        <v>60</v>
      </c>
      <c r="V229" t="s">
        <v>138</v>
      </c>
      <c r="W229" t="s">
        <v>139</v>
      </c>
      <c r="X229">
        <v>1930407</v>
      </c>
      <c r="Y229" s="11">
        <v>44784</v>
      </c>
      <c r="Z229" t="s">
        <v>57</v>
      </c>
      <c r="AA229">
        <v>12</v>
      </c>
      <c r="AB229" t="s">
        <v>57</v>
      </c>
      <c r="AD229" t="s">
        <v>57</v>
      </c>
      <c r="AE229" t="s">
        <v>57</v>
      </c>
      <c r="AF229" t="s">
        <v>57</v>
      </c>
      <c r="AG229">
        <v>1</v>
      </c>
      <c r="AH229" t="s">
        <v>57</v>
      </c>
      <c r="AL229" t="s">
        <v>57</v>
      </c>
      <c r="AM229" s="11">
        <v>44784</v>
      </c>
      <c r="AN229" t="s">
        <v>173</v>
      </c>
      <c r="AO229" t="s">
        <v>65</v>
      </c>
      <c r="AP229">
        <v>1204</v>
      </c>
      <c r="AQ229" t="s">
        <v>66</v>
      </c>
      <c r="AR229">
        <v>88713</v>
      </c>
      <c r="AU229" t="s">
        <v>57</v>
      </c>
      <c r="AV229" t="s">
        <v>68</v>
      </c>
      <c r="AX229" t="s">
        <v>57</v>
      </c>
      <c r="AY229">
        <v>631110</v>
      </c>
      <c r="AZ229">
        <v>1204.63111</v>
      </c>
      <c r="BA229" s="23" t="s">
        <v>12</v>
      </c>
    </row>
    <row r="230" spans="1:53" x14ac:dyDescent="0.25">
      <c r="A230" t="s">
        <v>134</v>
      </c>
      <c r="B230" t="s">
        <v>135</v>
      </c>
      <c r="C230">
        <v>22001827</v>
      </c>
      <c r="D230">
        <v>1204</v>
      </c>
      <c r="E230" s="11">
        <v>44778</v>
      </c>
      <c r="F230" t="s">
        <v>174</v>
      </c>
      <c r="G230" s="25">
        <v>5.93</v>
      </c>
      <c r="H230">
        <v>5.93</v>
      </c>
      <c r="I230" t="s">
        <v>56</v>
      </c>
      <c r="O230" t="s">
        <v>57</v>
      </c>
      <c r="Q230" t="s">
        <v>57</v>
      </c>
      <c r="R230" t="s">
        <v>137</v>
      </c>
      <c r="T230" t="s">
        <v>59</v>
      </c>
      <c r="U230" t="s">
        <v>60</v>
      </c>
      <c r="V230" t="s">
        <v>138</v>
      </c>
      <c r="W230" t="s">
        <v>139</v>
      </c>
      <c r="X230">
        <v>1928763</v>
      </c>
      <c r="Y230" s="11">
        <v>44778</v>
      </c>
      <c r="Z230" t="s">
        <v>57</v>
      </c>
      <c r="AA230">
        <v>10</v>
      </c>
      <c r="AB230" t="s">
        <v>57</v>
      </c>
      <c r="AD230" t="s">
        <v>57</v>
      </c>
      <c r="AE230" t="s">
        <v>57</v>
      </c>
      <c r="AF230" t="s">
        <v>57</v>
      </c>
      <c r="AG230">
        <v>12</v>
      </c>
      <c r="AH230" t="s">
        <v>57</v>
      </c>
      <c r="AL230" t="s">
        <v>57</v>
      </c>
      <c r="AM230" s="11">
        <v>44778</v>
      </c>
      <c r="AN230" t="s">
        <v>173</v>
      </c>
      <c r="AO230" t="s">
        <v>65</v>
      </c>
      <c r="AP230">
        <v>1204</v>
      </c>
      <c r="AQ230" t="s">
        <v>66</v>
      </c>
      <c r="AR230">
        <v>121863</v>
      </c>
      <c r="AU230" t="s">
        <v>57</v>
      </c>
      <c r="AV230" t="s">
        <v>68</v>
      </c>
      <c r="AX230" t="s">
        <v>57</v>
      </c>
      <c r="AY230">
        <v>631110</v>
      </c>
      <c r="AZ230">
        <v>1204.63111</v>
      </c>
      <c r="BA230" s="23" t="s">
        <v>12</v>
      </c>
    </row>
    <row r="231" spans="1:53" x14ac:dyDescent="0.25">
      <c r="A231" t="s">
        <v>134</v>
      </c>
      <c r="B231" t="s">
        <v>135</v>
      </c>
      <c r="C231">
        <v>22001867</v>
      </c>
      <c r="D231">
        <v>1204</v>
      </c>
      <c r="E231" s="11">
        <v>44788</v>
      </c>
      <c r="F231" t="s">
        <v>174</v>
      </c>
      <c r="G231" s="25">
        <v>5.93</v>
      </c>
      <c r="H231">
        <v>5.93</v>
      </c>
      <c r="I231" t="s">
        <v>56</v>
      </c>
      <c r="O231" t="s">
        <v>57</v>
      </c>
      <c r="Q231" t="s">
        <v>57</v>
      </c>
      <c r="R231" t="s">
        <v>137</v>
      </c>
      <c r="T231" t="s">
        <v>59</v>
      </c>
      <c r="U231" t="s">
        <v>60</v>
      </c>
      <c r="V231" t="s">
        <v>138</v>
      </c>
      <c r="W231" t="s">
        <v>139</v>
      </c>
      <c r="X231">
        <v>1932108</v>
      </c>
      <c r="Y231" s="11">
        <v>44788</v>
      </c>
      <c r="Z231" t="s">
        <v>57</v>
      </c>
      <c r="AA231">
        <v>12</v>
      </c>
      <c r="AB231" t="s">
        <v>57</v>
      </c>
      <c r="AD231" t="s">
        <v>57</v>
      </c>
      <c r="AE231" t="s">
        <v>57</v>
      </c>
      <c r="AF231" t="s">
        <v>57</v>
      </c>
      <c r="AG231">
        <v>12</v>
      </c>
      <c r="AH231" t="s">
        <v>57</v>
      </c>
      <c r="AL231" t="s">
        <v>57</v>
      </c>
      <c r="AM231" s="11">
        <v>44788</v>
      </c>
      <c r="AN231" t="s">
        <v>173</v>
      </c>
      <c r="AO231" t="s">
        <v>65</v>
      </c>
      <c r="AP231">
        <v>1204</v>
      </c>
      <c r="AQ231" t="s">
        <v>66</v>
      </c>
      <c r="AR231">
        <v>121863</v>
      </c>
      <c r="AU231" t="s">
        <v>57</v>
      </c>
      <c r="AV231" t="s">
        <v>68</v>
      </c>
      <c r="AX231" t="s">
        <v>57</v>
      </c>
      <c r="AY231">
        <v>631110</v>
      </c>
      <c r="AZ231">
        <v>1204.63111</v>
      </c>
      <c r="BA231" s="23" t="s">
        <v>12</v>
      </c>
    </row>
    <row r="232" spans="1:53" x14ac:dyDescent="0.25">
      <c r="A232" t="s">
        <v>134</v>
      </c>
      <c r="B232" t="s">
        <v>135</v>
      </c>
      <c r="C232">
        <v>22001878</v>
      </c>
      <c r="D232">
        <v>1204</v>
      </c>
      <c r="E232" s="11">
        <v>44791</v>
      </c>
      <c r="F232" t="s">
        <v>159</v>
      </c>
      <c r="G232" s="25">
        <v>6.11</v>
      </c>
      <c r="H232">
        <v>6.11</v>
      </c>
      <c r="I232" t="s">
        <v>56</v>
      </c>
      <c r="O232" t="s">
        <v>57</v>
      </c>
      <c r="Q232" t="s">
        <v>57</v>
      </c>
      <c r="R232" t="s">
        <v>137</v>
      </c>
      <c r="T232" t="s">
        <v>59</v>
      </c>
      <c r="U232" t="s">
        <v>60</v>
      </c>
      <c r="V232" t="s">
        <v>138</v>
      </c>
      <c r="W232" t="s">
        <v>139</v>
      </c>
      <c r="X232">
        <v>1933535</v>
      </c>
      <c r="Y232" s="11">
        <v>44791</v>
      </c>
      <c r="Z232" t="s">
        <v>57</v>
      </c>
      <c r="AA232">
        <v>2</v>
      </c>
      <c r="AB232" t="s">
        <v>57</v>
      </c>
      <c r="AD232" t="s">
        <v>57</v>
      </c>
      <c r="AE232" t="s">
        <v>57</v>
      </c>
      <c r="AF232" t="s">
        <v>57</v>
      </c>
      <c r="AG232">
        <v>1</v>
      </c>
      <c r="AH232" t="s">
        <v>57</v>
      </c>
      <c r="AL232" t="s">
        <v>57</v>
      </c>
      <c r="AM232" s="11">
        <v>44791</v>
      </c>
      <c r="AN232" t="s">
        <v>173</v>
      </c>
      <c r="AO232" t="s">
        <v>65</v>
      </c>
      <c r="AP232">
        <v>1204</v>
      </c>
      <c r="AQ232" t="s">
        <v>66</v>
      </c>
      <c r="AR232">
        <v>90051</v>
      </c>
      <c r="AU232" t="s">
        <v>57</v>
      </c>
      <c r="AV232" t="s">
        <v>68</v>
      </c>
      <c r="AX232" t="s">
        <v>57</v>
      </c>
      <c r="AY232">
        <v>631110</v>
      </c>
      <c r="AZ232">
        <v>1204.63111</v>
      </c>
      <c r="BA232" s="23" t="s">
        <v>12</v>
      </c>
    </row>
    <row r="233" spans="1:53" x14ac:dyDescent="0.25">
      <c r="A233" t="s">
        <v>134</v>
      </c>
      <c r="B233" t="s">
        <v>135</v>
      </c>
      <c r="C233">
        <v>22001805</v>
      </c>
      <c r="D233">
        <v>1204</v>
      </c>
      <c r="E233" s="11">
        <v>44775</v>
      </c>
      <c r="F233" t="s">
        <v>175</v>
      </c>
      <c r="G233" s="25">
        <v>6.17</v>
      </c>
      <c r="H233">
        <v>6.17</v>
      </c>
      <c r="I233" t="s">
        <v>56</v>
      </c>
      <c r="O233" t="s">
        <v>57</v>
      </c>
      <c r="Q233" t="s">
        <v>57</v>
      </c>
      <c r="R233" t="s">
        <v>137</v>
      </c>
      <c r="T233" t="s">
        <v>59</v>
      </c>
      <c r="U233" t="s">
        <v>60</v>
      </c>
      <c r="V233" t="s">
        <v>138</v>
      </c>
      <c r="W233" t="s">
        <v>139</v>
      </c>
      <c r="X233">
        <v>1926657</v>
      </c>
      <c r="Y233" s="11">
        <v>44775</v>
      </c>
      <c r="Z233" t="s">
        <v>57</v>
      </c>
      <c r="AA233">
        <v>2</v>
      </c>
      <c r="AB233" t="s">
        <v>57</v>
      </c>
      <c r="AD233" t="s">
        <v>57</v>
      </c>
      <c r="AE233" t="s">
        <v>57</v>
      </c>
      <c r="AF233" t="s">
        <v>57</v>
      </c>
      <c r="AG233">
        <v>12</v>
      </c>
      <c r="AH233" t="s">
        <v>57</v>
      </c>
      <c r="AL233" t="s">
        <v>57</v>
      </c>
      <c r="AM233" s="11">
        <v>44775</v>
      </c>
      <c r="AN233" t="s">
        <v>176</v>
      </c>
      <c r="AO233" t="s">
        <v>65</v>
      </c>
      <c r="AP233">
        <v>1204</v>
      </c>
      <c r="AQ233" t="s">
        <v>66</v>
      </c>
      <c r="AR233">
        <v>265226</v>
      </c>
      <c r="AU233" t="s">
        <v>57</v>
      </c>
      <c r="AV233" t="s">
        <v>68</v>
      </c>
      <c r="AX233" t="s">
        <v>57</v>
      </c>
      <c r="AY233">
        <v>631110</v>
      </c>
      <c r="AZ233">
        <v>1204.63111</v>
      </c>
      <c r="BA233" s="23" t="s">
        <v>12</v>
      </c>
    </row>
    <row r="234" spans="1:53" x14ac:dyDescent="0.25">
      <c r="A234" t="s">
        <v>134</v>
      </c>
      <c r="B234" t="s">
        <v>135</v>
      </c>
      <c r="C234">
        <v>22001834</v>
      </c>
      <c r="D234">
        <v>1204</v>
      </c>
      <c r="E234" s="11">
        <v>44781</v>
      </c>
      <c r="F234" t="s">
        <v>174</v>
      </c>
      <c r="G234" s="25">
        <v>6.18</v>
      </c>
      <c r="H234">
        <v>6.18</v>
      </c>
      <c r="I234" t="s">
        <v>56</v>
      </c>
      <c r="O234" t="s">
        <v>57</v>
      </c>
      <c r="Q234" t="s">
        <v>57</v>
      </c>
      <c r="R234" t="s">
        <v>137</v>
      </c>
      <c r="T234" t="s">
        <v>59</v>
      </c>
      <c r="U234" t="s">
        <v>60</v>
      </c>
      <c r="V234" t="s">
        <v>138</v>
      </c>
      <c r="W234" t="s">
        <v>139</v>
      </c>
      <c r="X234">
        <v>1928971</v>
      </c>
      <c r="Y234" s="11">
        <v>44781</v>
      </c>
      <c r="Z234" t="s">
        <v>57</v>
      </c>
      <c r="AA234">
        <v>8</v>
      </c>
      <c r="AB234" t="s">
        <v>57</v>
      </c>
      <c r="AD234" t="s">
        <v>57</v>
      </c>
      <c r="AE234" t="s">
        <v>57</v>
      </c>
      <c r="AF234" t="s">
        <v>57</v>
      </c>
      <c r="AG234">
        <v>5</v>
      </c>
      <c r="AH234" t="s">
        <v>57</v>
      </c>
      <c r="AL234" t="s">
        <v>57</v>
      </c>
      <c r="AM234" s="11">
        <v>44781</v>
      </c>
      <c r="AN234" t="s">
        <v>173</v>
      </c>
      <c r="AO234" t="s">
        <v>65</v>
      </c>
      <c r="AP234">
        <v>1204</v>
      </c>
      <c r="AQ234" t="s">
        <v>66</v>
      </c>
      <c r="AR234">
        <v>190204</v>
      </c>
      <c r="AU234" t="s">
        <v>57</v>
      </c>
      <c r="AV234" t="s">
        <v>68</v>
      </c>
      <c r="AX234" t="s">
        <v>57</v>
      </c>
      <c r="AY234">
        <v>631110</v>
      </c>
      <c r="AZ234">
        <v>1204.63111</v>
      </c>
      <c r="BA234" s="23" t="s">
        <v>12</v>
      </c>
    </row>
    <row r="235" spans="1:53" x14ac:dyDescent="0.25">
      <c r="A235" t="s">
        <v>134</v>
      </c>
      <c r="B235" t="s">
        <v>135</v>
      </c>
      <c r="C235">
        <v>22001849</v>
      </c>
      <c r="D235">
        <v>1204</v>
      </c>
      <c r="E235" s="11">
        <v>44784</v>
      </c>
      <c r="F235" t="s">
        <v>174</v>
      </c>
      <c r="G235" s="25">
        <v>6.18</v>
      </c>
      <c r="H235">
        <v>6.18</v>
      </c>
      <c r="I235" t="s">
        <v>56</v>
      </c>
      <c r="O235" t="s">
        <v>57</v>
      </c>
      <c r="Q235" t="s">
        <v>57</v>
      </c>
      <c r="R235" t="s">
        <v>137</v>
      </c>
      <c r="T235" t="s">
        <v>59</v>
      </c>
      <c r="U235" t="s">
        <v>60</v>
      </c>
      <c r="V235" t="s">
        <v>138</v>
      </c>
      <c r="W235" t="s">
        <v>139</v>
      </c>
      <c r="X235">
        <v>1930407</v>
      </c>
      <c r="Y235" s="11">
        <v>44784</v>
      </c>
      <c r="Z235" t="s">
        <v>57</v>
      </c>
      <c r="AA235">
        <v>28</v>
      </c>
      <c r="AB235" t="s">
        <v>57</v>
      </c>
      <c r="AD235" t="s">
        <v>57</v>
      </c>
      <c r="AE235" t="s">
        <v>57</v>
      </c>
      <c r="AF235" t="s">
        <v>57</v>
      </c>
      <c r="AG235">
        <v>5</v>
      </c>
      <c r="AH235" t="s">
        <v>57</v>
      </c>
      <c r="AL235" t="s">
        <v>57</v>
      </c>
      <c r="AM235" s="11">
        <v>44784</v>
      </c>
      <c r="AN235" t="s">
        <v>173</v>
      </c>
      <c r="AO235" t="s">
        <v>65</v>
      </c>
      <c r="AP235">
        <v>1204</v>
      </c>
      <c r="AQ235" t="s">
        <v>66</v>
      </c>
      <c r="AR235">
        <v>190204</v>
      </c>
      <c r="AU235" t="s">
        <v>57</v>
      </c>
      <c r="AV235" t="s">
        <v>68</v>
      </c>
      <c r="AX235" t="s">
        <v>57</v>
      </c>
      <c r="AY235">
        <v>631110</v>
      </c>
      <c r="AZ235">
        <v>1204.63111</v>
      </c>
      <c r="BA235" s="23" t="s">
        <v>12</v>
      </c>
    </row>
    <row r="236" spans="1:53" x14ac:dyDescent="0.25">
      <c r="A236" t="s">
        <v>134</v>
      </c>
      <c r="B236" t="s">
        <v>135</v>
      </c>
      <c r="C236">
        <v>22001874</v>
      </c>
      <c r="D236">
        <v>1204</v>
      </c>
      <c r="E236" s="11">
        <v>44789</v>
      </c>
      <c r="F236" t="s">
        <v>135</v>
      </c>
      <c r="G236" s="25">
        <v>6.26</v>
      </c>
      <c r="H236">
        <v>6.26</v>
      </c>
      <c r="I236" t="s">
        <v>56</v>
      </c>
      <c r="O236" t="s">
        <v>57</v>
      </c>
      <c r="Q236" t="s">
        <v>57</v>
      </c>
      <c r="R236" t="s">
        <v>137</v>
      </c>
      <c r="T236" t="s">
        <v>59</v>
      </c>
      <c r="U236" t="s">
        <v>60</v>
      </c>
      <c r="V236" t="s">
        <v>138</v>
      </c>
      <c r="W236" t="s">
        <v>139</v>
      </c>
      <c r="X236">
        <v>1933168</v>
      </c>
      <c r="Y236" s="11">
        <v>44789</v>
      </c>
      <c r="Z236" t="s">
        <v>57</v>
      </c>
      <c r="AA236">
        <v>6</v>
      </c>
      <c r="AB236" t="s">
        <v>57</v>
      </c>
      <c r="AD236" t="s">
        <v>57</v>
      </c>
      <c r="AE236" t="s">
        <v>57</v>
      </c>
      <c r="AF236" t="s">
        <v>57</v>
      </c>
      <c r="AG236">
        <v>58</v>
      </c>
      <c r="AH236" t="s">
        <v>57</v>
      </c>
      <c r="AL236" t="s">
        <v>57</v>
      </c>
      <c r="AM236" s="11">
        <v>44789</v>
      </c>
      <c r="AN236" t="s">
        <v>176</v>
      </c>
      <c r="AO236" t="s">
        <v>65</v>
      </c>
      <c r="AP236">
        <v>1204</v>
      </c>
      <c r="AQ236" t="s">
        <v>66</v>
      </c>
      <c r="AR236">
        <v>265267</v>
      </c>
      <c r="AU236" t="s">
        <v>57</v>
      </c>
      <c r="AV236" t="s">
        <v>68</v>
      </c>
      <c r="AX236" t="s">
        <v>57</v>
      </c>
      <c r="AY236">
        <v>631110</v>
      </c>
      <c r="AZ236">
        <v>1204.63111</v>
      </c>
      <c r="BA236" s="23" t="s">
        <v>12</v>
      </c>
    </row>
    <row r="237" spans="1:53" x14ac:dyDescent="0.25">
      <c r="A237" t="s">
        <v>134</v>
      </c>
      <c r="B237" t="s">
        <v>135</v>
      </c>
      <c r="C237">
        <v>22001814</v>
      </c>
      <c r="D237">
        <v>1204</v>
      </c>
      <c r="E237" s="11">
        <v>44777</v>
      </c>
      <c r="F237" t="s">
        <v>159</v>
      </c>
      <c r="G237" s="25">
        <v>6.38</v>
      </c>
      <c r="H237">
        <v>6.38</v>
      </c>
      <c r="I237" t="s">
        <v>56</v>
      </c>
      <c r="O237" t="s">
        <v>57</v>
      </c>
      <c r="Q237" t="s">
        <v>57</v>
      </c>
      <c r="R237" t="s">
        <v>137</v>
      </c>
      <c r="T237" t="s">
        <v>59</v>
      </c>
      <c r="U237" t="s">
        <v>60</v>
      </c>
      <c r="V237" t="s">
        <v>138</v>
      </c>
      <c r="W237" t="s">
        <v>139</v>
      </c>
      <c r="X237">
        <v>1927631</v>
      </c>
      <c r="Y237" s="11">
        <v>44777</v>
      </c>
      <c r="Z237" t="s">
        <v>57</v>
      </c>
      <c r="AA237">
        <v>2</v>
      </c>
      <c r="AB237" t="s">
        <v>57</v>
      </c>
      <c r="AD237" t="s">
        <v>57</v>
      </c>
      <c r="AE237" t="s">
        <v>57</v>
      </c>
      <c r="AF237" t="s">
        <v>57</v>
      </c>
      <c r="AG237">
        <v>1</v>
      </c>
      <c r="AH237" t="s">
        <v>57</v>
      </c>
      <c r="AL237" t="s">
        <v>57</v>
      </c>
      <c r="AM237" s="11">
        <v>44777</v>
      </c>
      <c r="AN237" t="s">
        <v>173</v>
      </c>
      <c r="AO237" t="s">
        <v>65</v>
      </c>
      <c r="AP237">
        <v>1204</v>
      </c>
      <c r="AQ237" t="s">
        <v>66</v>
      </c>
      <c r="AR237">
        <v>122416</v>
      </c>
      <c r="AU237" t="s">
        <v>57</v>
      </c>
      <c r="AV237" t="s">
        <v>68</v>
      </c>
      <c r="AX237" t="s">
        <v>57</v>
      </c>
      <c r="AY237">
        <v>631110</v>
      </c>
      <c r="AZ237">
        <v>1204.63111</v>
      </c>
      <c r="BA237" s="23" t="s">
        <v>12</v>
      </c>
    </row>
    <row r="238" spans="1:53" x14ac:dyDescent="0.25">
      <c r="A238" t="s">
        <v>134</v>
      </c>
      <c r="B238" t="s">
        <v>135</v>
      </c>
      <c r="C238">
        <v>22001807</v>
      </c>
      <c r="D238">
        <v>1204</v>
      </c>
      <c r="E238" s="11">
        <v>44776</v>
      </c>
      <c r="F238" t="s">
        <v>159</v>
      </c>
      <c r="G238" s="25">
        <v>6.41</v>
      </c>
      <c r="H238">
        <v>6.41</v>
      </c>
      <c r="I238" t="s">
        <v>56</v>
      </c>
      <c r="O238" t="s">
        <v>57</v>
      </c>
      <c r="Q238" t="s">
        <v>57</v>
      </c>
      <c r="R238" t="s">
        <v>137</v>
      </c>
      <c r="T238" t="s">
        <v>59</v>
      </c>
      <c r="U238" t="s">
        <v>60</v>
      </c>
      <c r="V238" t="s">
        <v>138</v>
      </c>
      <c r="W238" t="s">
        <v>139</v>
      </c>
      <c r="X238">
        <v>1926830</v>
      </c>
      <c r="Y238" s="11">
        <v>44776</v>
      </c>
      <c r="Z238" t="s">
        <v>57</v>
      </c>
      <c r="AA238">
        <v>2</v>
      </c>
      <c r="AB238" t="s">
        <v>57</v>
      </c>
      <c r="AD238" t="s">
        <v>57</v>
      </c>
      <c r="AE238" t="s">
        <v>57</v>
      </c>
      <c r="AF238" t="s">
        <v>57</v>
      </c>
      <c r="AG238">
        <v>1</v>
      </c>
      <c r="AH238" t="s">
        <v>57</v>
      </c>
      <c r="AL238" t="s">
        <v>57</v>
      </c>
      <c r="AM238" s="11">
        <v>44776</v>
      </c>
      <c r="AN238" t="s">
        <v>173</v>
      </c>
      <c r="AO238" t="s">
        <v>65</v>
      </c>
      <c r="AP238">
        <v>1204</v>
      </c>
      <c r="AQ238" t="s">
        <v>66</v>
      </c>
      <c r="AR238">
        <v>112855</v>
      </c>
      <c r="AU238" t="s">
        <v>57</v>
      </c>
      <c r="AV238" t="s">
        <v>68</v>
      </c>
      <c r="AX238" t="s">
        <v>57</v>
      </c>
      <c r="AY238">
        <v>631110</v>
      </c>
      <c r="AZ238">
        <v>1204.63111</v>
      </c>
      <c r="BA238" s="23" t="s">
        <v>12</v>
      </c>
    </row>
    <row r="239" spans="1:53" x14ac:dyDescent="0.25">
      <c r="A239" t="s">
        <v>134</v>
      </c>
      <c r="B239" t="s">
        <v>135</v>
      </c>
      <c r="C239">
        <v>22001843</v>
      </c>
      <c r="D239">
        <v>1204</v>
      </c>
      <c r="E239" s="11">
        <v>44783</v>
      </c>
      <c r="F239" t="s">
        <v>159</v>
      </c>
      <c r="G239" s="25">
        <v>6.41</v>
      </c>
      <c r="H239">
        <v>6.41</v>
      </c>
      <c r="I239" t="s">
        <v>56</v>
      </c>
      <c r="O239" t="s">
        <v>57</v>
      </c>
      <c r="Q239" t="s">
        <v>57</v>
      </c>
      <c r="R239" t="s">
        <v>137</v>
      </c>
      <c r="T239" t="s">
        <v>59</v>
      </c>
      <c r="U239" t="s">
        <v>60</v>
      </c>
      <c r="V239" t="s">
        <v>138</v>
      </c>
      <c r="W239" t="s">
        <v>139</v>
      </c>
      <c r="X239">
        <v>1930269</v>
      </c>
      <c r="Y239" s="11">
        <v>44783</v>
      </c>
      <c r="Z239" t="s">
        <v>57</v>
      </c>
      <c r="AA239">
        <v>2</v>
      </c>
      <c r="AB239" t="s">
        <v>57</v>
      </c>
      <c r="AD239" t="s">
        <v>57</v>
      </c>
      <c r="AE239" t="s">
        <v>57</v>
      </c>
      <c r="AF239" t="s">
        <v>57</v>
      </c>
      <c r="AG239">
        <v>1</v>
      </c>
      <c r="AH239" t="s">
        <v>57</v>
      </c>
      <c r="AL239" t="s">
        <v>57</v>
      </c>
      <c r="AM239" s="11">
        <v>44783</v>
      </c>
      <c r="AN239" t="s">
        <v>173</v>
      </c>
      <c r="AO239" t="s">
        <v>65</v>
      </c>
      <c r="AP239">
        <v>1204</v>
      </c>
      <c r="AQ239" t="s">
        <v>66</v>
      </c>
      <c r="AR239">
        <v>112855</v>
      </c>
      <c r="AU239" t="s">
        <v>57</v>
      </c>
      <c r="AV239" t="s">
        <v>68</v>
      </c>
      <c r="AX239" t="s">
        <v>57</v>
      </c>
      <c r="AY239">
        <v>631110</v>
      </c>
      <c r="AZ239">
        <v>1204.63111</v>
      </c>
      <c r="BA239" s="23" t="s">
        <v>12</v>
      </c>
    </row>
    <row r="240" spans="1:53" x14ac:dyDescent="0.25">
      <c r="A240" t="s">
        <v>134</v>
      </c>
      <c r="B240" t="s">
        <v>135</v>
      </c>
      <c r="C240">
        <v>22001893</v>
      </c>
      <c r="D240">
        <v>1204</v>
      </c>
      <c r="E240" s="11">
        <v>44792</v>
      </c>
      <c r="F240" t="s">
        <v>175</v>
      </c>
      <c r="G240" s="25">
        <v>6.47</v>
      </c>
      <c r="H240">
        <v>6.47</v>
      </c>
      <c r="I240" t="s">
        <v>56</v>
      </c>
      <c r="O240" t="s">
        <v>57</v>
      </c>
      <c r="Q240" t="s">
        <v>57</v>
      </c>
      <c r="R240" t="s">
        <v>137</v>
      </c>
      <c r="T240" t="s">
        <v>59</v>
      </c>
      <c r="U240" t="s">
        <v>60</v>
      </c>
      <c r="V240" t="s">
        <v>138</v>
      </c>
      <c r="W240" t="s">
        <v>139</v>
      </c>
      <c r="X240">
        <v>1934081</v>
      </c>
      <c r="Y240" s="11">
        <v>44792</v>
      </c>
      <c r="Z240" t="s">
        <v>57</v>
      </c>
      <c r="AA240">
        <v>6</v>
      </c>
      <c r="AB240" t="s">
        <v>57</v>
      </c>
      <c r="AD240" t="s">
        <v>57</v>
      </c>
      <c r="AE240" t="s">
        <v>57</v>
      </c>
      <c r="AF240" t="s">
        <v>57</v>
      </c>
      <c r="AG240">
        <v>60</v>
      </c>
      <c r="AH240" t="s">
        <v>57</v>
      </c>
      <c r="AL240" t="s">
        <v>57</v>
      </c>
      <c r="AM240" s="11">
        <v>44792</v>
      </c>
      <c r="AN240" t="s">
        <v>176</v>
      </c>
      <c r="AO240" t="s">
        <v>65</v>
      </c>
      <c r="AP240">
        <v>1204</v>
      </c>
      <c r="AQ240" t="s">
        <v>66</v>
      </c>
      <c r="AR240">
        <v>265267</v>
      </c>
      <c r="AU240" t="s">
        <v>57</v>
      </c>
      <c r="AV240" t="s">
        <v>68</v>
      </c>
      <c r="AX240" t="s">
        <v>57</v>
      </c>
      <c r="AY240">
        <v>631110</v>
      </c>
      <c r="AZ240">
        <v>1204.63111</v>
      </c>
      <c r="BA240" s="23" t="s">
        <v>12</v>
      </c>
    </row>
    <row r="241" spans="1:53" x14ac:dyDescent="0.25">
      <c r="A241" t="s">
        <v>134</v>
      </c>
      <c r="B241" t="s">
        <v>135</v>
      </c>
      <c r="C241">
        <v>22001827</v>
      </c>
      <c r="D241">
        <v>1204</v>
      </c>
      <c r="E241" s="11">
        <v>44778</v>
      </c>
      <c r="F241" t="s">
        <v>174</v>
      </c>
      <c r="G241" s="25">
        <v>6.85</v>
      </c>
      <c r="H241">
        <v>6.85</v>
      </c>
      <c r="I241" t="s">
        <v>56</v>
      </c>
      <c r="O241" t="s">
        <v>57</v>
      </c>
      <c r="Q241" t="s">
        <v>57</v>
      </c>
      <c r="R241" t="s">
        <v>137</v>
      </c>
      <c r="T241" t="s">
        <v>59</v>
      </c>
      <c r="U241" t="s">
        <v>60</v>
      </c>
      <c r="V241" t="s">
        <v>138</v>
      </c>
      <c r="W241" t="s">
        <v>139</v>
      </c>
      <c r="X241">
        <v>1928763</v>
      </c>
      <c r="Y241" s="11">
        <v>44778</v>
      </c>
      <c r="Z241" t="s">
        <v>57</v>
      </c>
      <c r="AA241">
        <v>2</v>
      </c>
      <c r="AB241" t="s">
        <v>57</v>
      </c>
      <c r="AD241" t="s">
        <v>57</v>
      </c>
      <c r="AE241" t="s">
        <v>57</v>
      </c>
      <c r="AF241" t="s">
        <v>57</v>
      </c>
      <c r="AG241">
        <v>2</v>
      </c>
      <c r="AH241" t="s">
        <v>57</v>
      </c>
      <c r="AL241" t="s">
        <v>57</v>
      </c>
      <c r="AM241" s="11">
        <v>44778</v>
      </c>
      <c r="AN241" t="s">
        <v>173</v>
      </c>
      <c r="AO241" t="s">
        <v>65</v>
      </c>
      <c r="AP241">
        <v>1204</v>
      </c>
      <c r="AQ241" t="s">
        <v>66</v>
      </c>
      <c r="AR241">
        <v>206793</v>
      </c>
      <c r="AU241" t="s">
        <v>57</v>
      </c>
      <c r="AV241" t="s">
        <v>68</v>
      </c>
      <c r="AX241" t="s">
        <v>57</v>
      </c>
      <c r="AY241">
        <v>631110</v>
      </c>
      <c r="AZ241">
        <v>1204.63111</v>
      </c>
      <c r="BA241" s="23" t="s">
        <v>12</v>
      </c>
    </row>
    <row r="242" spans="1:53" x14ac:dyDescent="0.25">
      <c r="A242" t="s">
        <v>134</v>
      </c>
      <c r="B242" t="s">
        <v>135</v>
      </c>
      <c r="C242">
        <v>22001871</v>
      </c>
      <c r="D242">
        <v>1204</v>
      </c>
      <c r="E242" s="11">
        <v>44789</v>
      </c>
      <c r="F242" t="s">
        <v>174</v>
      </c>
      <c r="G242" s="25">
        <v>7.06</v>
      </c>
      <c r="H242">
        <v>7.06</v>
      </c>
      <c r="I242" t="s">
        <v>56</v>
      </c>
      <c r="O242" t="s">
        <v>57</v>
      </c>
      <c r="Q242" t="s">
        <v>57</v>
      </c>
      <c r="R242" t="s">
        <v>137</v>
      </c>
      <c r="T242" t="s">
        <v>59</v>
      </c>
      <c r="U242" t="s">
        <v>60</v>
      </c>
      <c r="V242" t="s">
        <v>138</v>
      </c>
      <c r="W242" t="s">
        <v>139</v>
      </c>
      <c r="X242">
        <v>1933046</v>
      </c>
      <c r="Y242" s="11">
        <v>44789</v>
      </c>
      <c r="Z242" t="s">
        <v>57</v>
      </c>
      <c r="AA242">
        <v>4</v>
      </c>
      <c r="AB242" t="s">
        <v>57</v>
      </c>
      <c r="AD242" t="s">
        <v>57</v>
      </c>
      <c r="AE242" t="s">
        <v>57</v>
      </c>
      <c r="AF242" t="s">
        <v>57</v>
      </c>
      <c r="AG242">
        <v>2</v>
      </c>
      <c r="AH242" t="s">
        <v>57</v>
      </c>
      <c r="AL242" t="s">
        <v>57</v>
      </c>
      <c r="AM242" s="11">
        <v>44789</v>
      </c>
      <c r="AN242" t="s">
        <v>173</v>
      </c>
      <c r="AO242" t="s">
        <v>65</v>
      </c>
      <c r="AP242">
        <v>1204</v>
      </c>
      <c r="AQ242" t="s">
        <v>66</v>
      </c>
      <c r="AR242">
        <v>230640</v>
      </c>
      <c r="AU242" t="s">
        <v>57</v>
      </c>
      <c r="AV242" t="s">
        <v>68</v>
      </c>
      <c r="AX242" t="s">
        <v>57</v>
      </c>
      <c r="AY242">
        <v>631110</v>
      </c>
      <c r="AZ242">
        <v>1204.63111</v>
      </c>
      <c r="BA242" s="23" t="s">
        <v>12</v>
      </c>
    </row>
    <row r="243" spans="1:53" x14ac:dyDescent="0.25">
      <c r="A243" t="s">
        <v>134</v>
      </c>
      <c r="B243" t="s">
        <v>135</v>
      </c>
      <c r="C243">
        <v>22001832</v>
      </c>
      <c r="D243">
        <v>1204</v>
      </c>
      <c r="E243" s="11">
        <v>44781</v>
      </c>
      <c r="F243" t="s">
        <v>159</v>
      </c>
      <c r="G243" s="25">
        <v>7.31</v>
      </c>
      <c r="H243">
        <v>7.31</v>
      </c>
      <c r="I243" t="s">
        <v>56</v>
      </c>
      <c r="O243" t="s">
        <v>57</v>
      </c>
      <c r="Q243" t="s">
        <v>57</v>
      </c>
      <c r="R243" t="s">
        <v>137</v>
      </c>
      <c r="T243" t="s">
        <v>59</v>
      </c>
      <c r="U243" t="s">
        <v>60</v>
      </c>
      <c r="V243" t="s">
        <v>138</v>
      </c>
      <c r="W243" t="s">
        <v>139</v>
      </c>
      <c r="X243">
        <v>1928857</v>
      </c>
      <c r="Y243" s="11">
        <v>44781</v>
      </c>
      <c r="Z243" t="s">
        <v>57</v>
      </c>
      <c r="AA243">
        <v>8</v>
      </c>
      <c r="AB243" t="s">
        <v>57</v>
      </c>
      <c r="AD243" t="s">
        <v>57</v>
      </c>
      <c r="AE243" t="s">
        <v>57</v>
      </c>
      <c r="AF243" t="s">
        <v>57</v>
      </c>
      <c r="AG243">
        <v>1</v>
      </c>
      <c r="AH243" t="s">
        <v>57</v>
      </c>
      <c r="AL243" t="s">
        <v>57</v>
      </c>
      <c r="AM243" s="11">
        <v>44781</v>
      </c>
      <c r="AN243" t="s">
        <v>173</v>
      </c>
      <c r="AO243" t="s">
        <v>65</v>
      </c>
      <c r="AP243">
        <v>1204</v>
      </c>
      <c r="AQ243" t="s">
        <v>66</v>
      </c>
      <c r="AR243">
        <v>212621</v>
      </c>
      <c r="AU243" t="s">
        <v>57</v>
      </c>
      <c r="AV243" t="s">
        <v>68</v>
      </c>
      <c r="AX243" t="s">
        <v>57</v>
      </c>
      <c r="AY243">
        <v>631110</v>
      </c>
      <c r="AZ243">
        <v>1204.63111</v>
      </c>
      <c r="BA243" s="23" t="s">
        <v>12</v>
      </c>
    </row>
    <row r="244" spans="1:53" x14ac:dyDescent="0.25">
      <c r="A244" t="s">
        <v>134</v>
      </c>
      <c r="B244" t="s">
        <v>135</v>
      </c>
      <c r="C244">
        <v>22001843</v>
      </c>
      <c r="D244">
        <v>1204</v>
      </c>
      <c r="E244" s="11">
        <v>44783</v>
      </c>
      <c r="F244" t="s">
        <v>159</v>
      </c>
      <c r="G244" s="25">
        <v>7.31</v>
      </c>
      <c r="H244">
        <v>7.31</v>
      </c>
      <c r="I244" t="s">
        <v>56</v>
      </c>
      <c r="O244" t="s">
        <v>57</v>
      </c>
      <c r="Q244" t="s">
        <v>57</v>
      </c>
      <c r="R244" t="s">
        <v>137</v>
      </c>
      <c r="T244" t="s">
        <v>59</v>
      </c>
      <c r="U244" t="s">
        <v>60</v>
      </c>
      <c r="V244" t="s">
        <v>138</v>
      </c>
      <c r="W244" t="s">
        <v>139</v>
      </c>
      <c r="X244">
        <v>1930269</v>
      </c>
      <c r="Y244" s="11">
        <v>44783</v>
      </c>
      <c r="Z244" t="s">
        <v>57</v>
      </c>
      <c r="AA244">
        <v>6</v>
      </c>
      <c r="AB244" t="s">
        <v>57</v>
      </c>
      <c r="AD244" t="s">
        <v>57</v>
      </c>
      <c r="AE244" t="s">
        <v>57</v>
      </c>
      <c r="AF244" t="s">
        <v>57</v>
      </c>
      <c r="AG244">
        <v>1</v>
      </c>
      <c r="AH244" t="s">
        <v>57</v>
      </c>
      <c r="AL244" t="s">
        <v>57</v>
      </c>
      <c r="AM244" s="11">
        <v>44783</v>
      </c>
      <c r="AN244" t="s">
        <v>173</v>
      </c>
      <c r="AO244" t="s">
        <v>65</v>
      </c>
      <c r="AP244">
        <v>1204</v>
      </c>
      <c r="AQ244" t="s">
        <v>66</v>
      </c>
      <c r="AR244">
        <v>212621</v>
      </c>
      <c r="AU244" t="s">
        <v>57</v>
      </c>
      <c r="AV244" t="s">
        <v>68</v>
      </c>
      <c r="AX244" t="s">
        <v>57</v>
      </c>
      <c r="AY244">
        <v>631110</v>
      </c>
      <c r="AZ244">
        <v>1204.63111</v>
      </c>
      <c r="BA244" s="23" t="s">
        <v>12</v>
      </c>
    </row>
    <row r="245" spans="1:53" x14ac:dyDescent="0.25">
      <c r="A245" t="s">
        <v>134</v>
      </c>
      <c r="B245" t="s">
        <v>135</v>
      </c>
      <c r="C245">
        <v>22001877</v>
      </c>
      <c r="D245">
        <v>1204</v>
      </c>
      <c r="E245" s="11">
        <v>44791</v>
      </c>
      <c r="F245" t="s">
        <v>174</v>
      </c>
      <c r="G245" s="25">
        <v>7.31</v>
      </c>
      <c r="H245">
        <v>7.31</v>
      </c>
      <c r="I245" t="s">
        <v>56</v>
      </c>
      <c r="O245" t="s">
        <v>57</v>
      </c>
      <c r="Q245" t="s">
        <v>57</v>
      </c>
      <c r="R245" t="s">
        <v>137</v>
      </c>
      <c r="T245" t="s">
        <v>59</v>
      </c>
      <c r="U245" t="s">
        <v>60</v>
      </c>
      <c r="V245" t="s">
        <v>138</v>
      </c>
      <c r="W245" t="s">
        <v>139</v>
      </c>
      <c r="X245">
        <v>1933535</v>
      </c>
      <c r="Y245" s="11">
        <v>44791</v>
      </c>
      <c r="Z245" t="s">
        <v>57</v>
      </c>
      <c r="AA245">
        <v>12</v>
      </c>
      <c r="AB245" t="s">
        <v>57</v>
      </c>
      <c r="AD245" t="s">
        <v>57</v>
      </c>
      <c r="AE245" t="s">
        <v>57</v>
      </c>
      <c r="AF245" t="s">
        <v>57</v>
      </c>
      <c r="AG245">
        <v>1</v>
      </c>
      <c r="AH245" t="s">
        <v>57</v>
      </c>
      <c r="AL245" t="s">
        <v>57</v>
      </c>
      <c r="AM245" s="11">
        <v>44791</v>
      </c>
      <c r="AN245" t="s">
        <v>173</v>
      </c>
      <c r="AO245" t="s">
        <v>65</v>
      </c>
      <c r="AP245">
        <v>1204</v>
      </c>
      <c r="AQ245" t="s">
        <v>66</v>
      </c>
      <c r="AR245">
        <v>212621</v>
      </c>
      <c r="AU245" t="s">
        <v>57</v>
      </c>
      <c r="AV245" t="s">
        <v>68</v>
      </c>
      <c r="AX245" t="s">
        <v>57</v>
      </c>
      <c r="AY245">
        <v>631110</v>
      </c>
      <c r="AZ245">
        <v>1204.63111</v>
      </c>
      <c r="BA245" s="23" t="s">
        <v>12</v>
      </c>
    </row>
    <row r="246" spans="1:53" x14ac:dyDescent="0.25">
      <c r="A246" t="s">
        <v>134</v>
      </c>
      <c r="B246" t="s">
        <v>135</v>
      </c>
      <c r="C246">
        <v>22001804</v>
      </c>
      <c r="D246">
        <v>1204</v>
      </c>
      <c r="E246" s="11">
        <v>44775</v>
      </c>
      <c r="F246" t="s">
        <v>175</v>
      </c>
      <c r="G246" s="25">
        <v>7.66</v>
      </c>
      <c r="H246">
        <v>7.66</v>
      </c>
      <c r="I246" t="s">
        <v>56</v>
      </c>
      <c r="O246" t="s">
        <v>57</v>
      </c>
      <c r="Q246" t="s">
        <v>57</v>
      </c>
      <c r="R246" t="s">
        <v>137</v>
      </c>
      <c r="T246" t="s">
        <v>59</v>
      </c>
      <c r="U246" t="s">
        <v>60</v>
      </c>
      <c r="V246" t="s">
        <v>138</v>
      </c>
      <c r="W246" t="s">
        <v>139</v>
      </c>
      <c r="X246">
        <v>1926656</v>
      </c>
      <c r="Y246" s="11">
        <v>44775</v>
      </c>
      <c r="Z246" t="s">
        <v>57</v>
      </c>
      <c r="AA246">
        <v>10</v>
      </c>
      <c r="AB246" t="s">
        <v>57</v>
      </c>
      <c r="AD246" t="s">
        <v>57</v>
      </c>
      <c r="AE246" t="s">
        <v>57</v>
      </c>
      <c r="AF246" t="s">
        <v>57</v>
      </c>
      <c r="AG246">
        <v>21</v>
      </c>
      <c r="AH246" t="s">
        <v>57</v>
      </c>
      <c r="AL246" t="s">
        <v>57</v>
      </c>
      <c r="AM246" s="11">
        <v>44775</v>
      </c>
      <c r="AN246" t="s">
        <v>176</v>
      </c>
      <c r="AO246" t="s">
        <v>65</v>
      </c>
      <c r="AP246">
        <v>1204</v>
      </c>
      <c r="AQ246" t="s">
        <v>66</v>
      </c>
      <c r="AR246">
        <v>91011</v>
      </c>
      <c r="AU246" t="s">
        <v>57</v>
      </c>
      <c r="AV246" t="s">
        <v>68</v>
      </c>
      <c r="AX246" t="s">
        <v>57</v>
      </c>
      <c r="AY246">
        <v>631110</v>
      </c>
      <c r="AZ246">
        <v>1204.63111</v>
      </c>
      <c r="BA246" s="23" t="s">
        <v>12</v>
      </c>
    </row>
    <row r="247" spans="1:53" x14ac:dyDescent="0.25">
      <c r="A247" t="s">
        <v>134</v>
      </c>
      <c r="B247" t="s">
        <v>135</v>
      </c>
      <c r="C247">
        <v>22001835</v>
      </c>
      <c r="D247">
        <v>1204</v>
      </c>
      <c r="E247" s="11">
        <v>44781</v>
      </c>
      <c r="F247" t="s">
        <v>175</v>
      </c>
      <c r="G247" s="25">
        <v>7.66</v>
      </c>
      <c r="H247">
        <v>7.66</v>
      </c>
      <c r="I247" t="s">
        <v>56</v>
      </c>
      <c r="O247" t="s">
        <v>57</v>
      </c>
      <c r="Q247" t="s">
        <v>57</v>
      </c>
      <c r="R247" t="s">
        <v>137</v>
      </c>
      <c r="T247" t="s">
        <v>59</v>
      </c>
      <c r="U247" t="s">
        <v>60</v>
      </c>
      <c r="V247" t="s">
        <v>138</v>
      </c>
      <c r="W247" t="s">
        <v>139</v>
      </c>
      <c r="X247">
        <v>1928976</v>
      </c>
      <c r="Y247" s="11">
        <v>44781</v>
      </c>
      <c r="Z247" t="s">
        <v>57</v>
      </c>
      <c r="AA247">
        <v>12</v>
      </c>
      <c r="AB247" t="s">
        <v>57</v>
      </c>
      <c r="AD247" t="s">
        <v>57</v>
      </c>
      <c r="AE247" t="s">
        <v>57</v>
      </c>
      <c r="AF247" t="s">
        <v>57</v>
      </c>
      <c r="AG247">
        <v>21</v>
      </c>
      <c r="AH247" t="s">
        <v>57</v>
      </c>
      <c r="AL247" t="s">
        <v>57</v>
      </c>
      <c r="AM247" s="11">
        <v>44781</v>
      </c>
      <c r="AN247" t="s">
        <v>176</v>
      </c>
      <c r="AO247" t="s">
        <v>65</v>
      </c>
      <c r="AP247">
        <v>1204</v>
      </c>
      <c r="AQ247" t="s">
        <v>66</v>
      </c>
      <c r="AR247">
        <v>91011</v>
      </c>
      <c r="AU247" t="s">
        <v>57</v>
      </c>
      <c r="AV247" t="s">
        <v>68</v>
      </c>
      <c r="AX247" t="s">
        <v>57</v>
      </c>
      <c r="AY247">
        <v>631110</v>
      </c>
      <c r="AZ247">
        <v>1204.63111</v>
      </c>
      <c r="BA247" s="23" t="s">
        <v>12</v>
      </c>
    </row>
    <row r="248" spans="1:53" x14ac:dyDescent="0.25">
      <c r="A248" t="s">
        <v>134</v>
      </c>
      <c r="B248" t="s">
        <v>135</v>
      </c>
      <c r="C248">
        <v>22001865</v>
      </c>
      <c r="D248">
        <v>1204</v>
      </c>
      <c r="E248" s="11">
        <v>44785</v>
      </c>
      <c r="F248" t="s">
        <v>175</v>
      </c>
      <c r="G248" s="25">
        <v>7.66</v>
      </c>
      <c r="H248">
        <v>7.66</v>
      </c>
      <c r="I248" t="s">
        <v>56</v>
      </c>
      <c r="O248" t="s">
        <v>57</v>
      </c>
      <c r="Q248" t="s">
        <v>57</v>
      </c>
      <c r="R248" t="s">
        <v>137</v>
      </c>
      <c r="T248" t="s">
        <v>59</v>
      </c>
      <c r="U248" t="s">
        <v>60</v>
      </c>
      <c r="V248" t="s">
        <v>138</v>
      </c>
      <c r="W248" t="s">
        <v>139</v>
      </c>
      <c r="X248">
        <v>1930744</v>
      </c>
      <c r="Y248" s="11">
        <v>44785</v>
      </c>
      <c r="Z248" t="s">
        <v>57</v>
      </c>
      <c r="AA248">
        <v>10</v>
      </c>
      <c r="AB248" t="s">
        <v>57</v>
      </c>
      <c r="AD248" t="s">
        <v>57</v>
      </c>
      <c r="AE248" t="s">
        <v>57</v>
      </c>
      <c r="AF248" t="s">
        <v>57</v>
      </c>
      <c r="AG248">
        <v>21</v>
      </c>
      <c r="AH248" t="s">
        <v>57</v>
      </c>
      <c r="AL248" t="s">
        <v>57</v>
      </c>
      <c r="AM248" s="11">
        <v>44785</v>
      </c>
      <c r="AN248" t="s">
        <v>176</v>
      </c>
      <c r="AO248" t="s">
        <v>65</v>
      </c>
      <c r="AP248">
        <v>1204</v>
      </c>
      <c r="AQ248" t="s">
        <v>66</v>
      </c>
      <c r="AR248">
        <v>91011</v>
      </c>
      <c r="AU248" t="s">
        <v>57</v>
      </c>
      <c r="AV248" t="s">
        <v>68</v>
      </c>
      <c r="AX248" t="s">
        <v>57</v>
      </c>
      <c r="AY248">
        <v>631110</v>
      </c>
      <c r="AZ248">
        <v>1204.63111</v>
      </c>
      <c r="BA248" s="23" t="s">
        <v>12</v>
      </c>
    </row>
    <row r="249" spans="1:53" x14ac:dyDescent="0.25">
      <c r="A249" t="s">
        <v>134</v>
      </c>
      <c r="B249" t="s">
        <v>135</v>
      </c>
      <c r="C249">
        <v>22001891</v>
      </c>
      <c r="D249">
        <v>1204</v>
      </c>
      <c r="E249" s="11">
        <v>44792</v>
      </c>
      <c r="F249" t="s">
        <v>174</v>
      </c>
      <c r="G249" s="25">
        <v>7.66</v>
      </c>
      <c r="H249">
        <v>7.66</v>
      </c>
      <c r="I249" t="s">
        <v>56</v>
      </c>
      <c r="O249" t="s">
        <v>57</v>
      </c>
      <c r="Q249" t="s">
        <v>57</v>
      </c>
      <c r="R249" t="s">
        <v>137</v>
      </c>
      <c r="T249" t="s">
        <v>59</v>
      </c>
      <c r="U249" t="s">
        <v>60</v>
      </c>
      <c r="V249" t="s">
        <v>138</v>
      </c>
      <c r="W249" t="s">
        <v>139</v>
      </c>
      <c r="X249">
        <v>1934076</v>
      </c>
      <c r="Y249" s="11">
        <v>44792</v>
      </c>
      <c r="Z249" t="s">
        <v>57</v>
      </c>
      <c r="AA249">
        <v>6</v>
      </c>
      <c r="AB249" t="s">
        <v>57</v>
      </c>
      <c r="AD249" t="s">
        <v>57</v>
      </c>
      <c r="AE249" t="s">
        <v>57</v>
      </c>
      <c r="AF249" t="s">
        <v>57</v>
      </c>
      <c r="AG249">
        <v>2</v>
      </c>
      <c r="AH249" t="s">
        <v>57</v>
      </c>
      <c r="AL249" t="s">
        <v>57</v>
      </c>
      <c r="AM249" s="11">
        <v>44792</v>
      </c>
      <c r="AN249" t="s">
        <v>173</v>
      </c>
      <c r="AO249" t="s">
        <v>65</v>
      </c>
      <c r="AP249">
        <v>1204</v>
      </c>
      <c r="AQ249" t="s">
        <v>66</v>
      </c>
      <c r="AR249">
        <v>267401</v>
      </c>
      <c r="AU249" t="s">
        <v>57</v>
      </c>
      <c r="AV249" t="s">
        <v>68</v>
      </c>
      <c r="AX249" t="s">
        <v>57</v>
      </c>
      <c r="AY249">
        <v>631110</v>
      </c>
      <c r="AZ249">
        <v>1204.63111</v>
      </c>
      <c r="BA249" s="23" t="s">
        <v>12</v>
      </c>
    </row>
    <row r="250" spans="1:53" x14ac:dyDescent="0.25">
      <c r="A250" t="s">
        <v>134</v>
      </c>
      <c r="B250" t="s">
        <v>135</v>
      </c>
      <c r="C250">
        <v>22001842</v>
      </c>
      <c r="D250">
        <v>1204</v>
      </c>
      <c r="E250" s="11">
        <v>44783</v>
      </c>
      <c r="F250" t="s">
        <v>174</v>
      </c>
      <c r="G250" s="25">
        <v>7.86</v>
      </c>
      <c r="H250">
        <v>7.86</v>
      </c>
      <c r="I250" t="s">
        <v>56</v>
      </c>
      <c r="O250" t="s">
        <v>57</v>
      </c>
      <c r="Q250" t="s">
        <v>57</v>
      </c>
      <c r="R250" t="s">
        <v>137</v>
      </c>
      <c r="T250" t="s">
        <v>59</v>
      </c>
      <c r="U250" t="s">
        <v>60</v>
      </c>
      <c r="V250" t="s">
        <v>138</v>
      </c>
      <c r="W250" t="s">
        <v>139</v>
      </c>
      <c r="X250">
        <v>1930268</v>
      </c>
      <c r="Y250" s="11">
        <v>44783</v>
      </c>
      <c r="Z250" t="s">
        <v>57</v>
      </c>
      <c r="AA250">
        <v>10</v>
      </c>
      <c r="AB250" t="s">
        <v>57</v>
      </c>
      <c r="AD250" t="s">
        <v>57</v>
      </c>
      <c r="AE250" t="s">
        <v>57</v>
      </c>
      <c r="AF250" t="s">
        <v>57</v>
      </c>
      <c r="AG250">
        <v>2</v>
      </c>
      <c r="AH250" t="s">
        <v>57</v>
      </c>
      <c r="AL250" t="s">
        <v>57</v>
      </c>
      <c r="AM250" s="11">
        <v>44783</v>
      </c>
      <c r="AN250" t="s">
        <v>173</v>
      </c>
      <c r="AO250" t="s">
        <v>65</v>
      </c>
      <c r="AP250">
        <v>1204</v>
      </c>
      <c r="AQ250" t="s">
        <v>66</v>
      </c>
      <c r="AR250">
        <v>220122</v>
      </c>
      <c r="AU250" t="s">
        <v>57</v>
      </c>
      <c r="AV250" t="s">
        <v>68</v>
      </c>
      <c r="AX250" t="s">
        <v>57</v>
      </c>
      <c r="AY250">
        <v>631110</v>
      </c>
      <c r="AZ250">
        <v>1204.63111</v>
      </c>
      <c r="BA250" s="23" t="s">
        <v>12</v>
      </c>
    </row>
    <row r="251" spans="1:53" x14ac:dyDescent="0.25">
      <c r="A251" t="s">
        <v>134</v>
      </c>
      <c r="B251" t="s">
        <v>135</v>
      </c>
      <c r="C251">
        <v>22001867</v>
      </c>
      <c r="D251">
        <v>1204</v>
      </c>
      <c r="E251" s="11">
        <v>44788</v>
      </c>
      <c r="F251" t="s">
        <v>174</v>
      </c>
      <c r="G251" s="25">
        <v>7.86</v>
      </c>
      <c r="H251">
        <v>7.86</v>
      </c>
      <c r="I251" t="s">
        <v>56</v>
      </c>
      <c r="O251" t="s">
        <v>57</v>
      </c>
      <c r="Q251" t="s">
        <v>57</v>
      </c>
      <c r="R251" t="s">
        <v>137</v>
      </c>
      <c r="T251" t="s">
        <v>59</v>
      </c>
      <c r="U251" t="s">
        <v>60</v>
      </c>
      <c r="V251" t="s">
        <v>138</v>
      </c>
      <c r="W251" t="s">
        <v>139</v>
      </c>
      <c r="X251">
        <v>1932108</v>
      </c>
      <c r="Y251" s="11">
        <v>44788</v>
      </c>
      <c r="Z251" t="s">
        <v>57</v>
      </c>
      <c r="AA251">
        <v>8</v>
      </c>
      <c r="AB251" t="s">
        <v>57</v>
      </c>
      <c r="AD251" t="s">
        <v>57</v>
      </c>
      <c r="AE251" t="s">
        <v>57</v>
      </c>
      <c r="AF251" t="s">
        <v>57</v>
      </c>
      <c r="AG251">
        <v>2</v>
      </c>
      <c r="AH251" t="s">
        <v>57</v>
      </c>
      <c r="AL251" t="s">
        <v>57</v>
      </c>
      <c r="AM251" s="11">
        <v>44788</v>
      </c>
      <c r="AN251" t="s">
        <v>173</v>
      </c>
      <c r="AO251" t="s">
        <v>65</v>
      </c>
      <c r="AP251">
        <v>1204</v>
      </c>
      <c r="AQ251" t="s">
        <v>66</v>
      </c>
      <c r="AR251">
        <v>220122</v>
      </c>
      <c r="AU251" t="s">
        <v>57</v>
      </c>
      <c r="AV251" t="s">
        <v>68</v>
      </c>
      <c r="AX251" t="s">
        <v>57</v>
      </c>
      <c r="AY251">
        <v>631110</v>
      </c>
      <c r="AZ251">
        <v>1204.63111</v>
      </c>
      <c r="BA251" s="23" t="s">
        <v>12</v>
      </c>
    </row>
    <row r="252" spans="1:53" x14ac:dyDescent="0.25">
      <c r="A252" t="s">
        <v>134</v>
      </c>
      <c r="B252" t="s">
        <v>135</v>
      </c>
      <c r="C252">
        <v>22001783</v>
      </c>
      <c r="D252">
        <v>1204</v>
      </c>
      <c r="E252" s="11">
        <v>44774</v>
      </c>
      <c r="F252" t="s">
        <v>172</v>
      </c>
      <c r="G252" s="25">
        <v>7.88</v>
      </c>
      <c r="H252">
        <v>7.88</v>
      </c>
      <c r="I252" t="s">
        <v>56</v>
      </c>
      <c r="O252" t="s">
        <v>57</v>
      </c>
      <c r="Q252" t="s">
        <v>57</v>
      </c>
      <c r="R252" t="s">
        <v>137</v>
      </c>
      <c r="T252" t="s">
        <v>59</v>
      </c>
      <c r="U252" t="s">
        <v>60</v>
      </c>
      <c r="V252" t="s">
        <v>138</v>
      </c>
      <c r="W252" t="s">
        <v>139</v>
      </c>
      <c r="X252">
        <v>1925466</v>
      </c>
      <c r="Y252" s="11">
        <v>44774</v>
      </c>
      <c r="Z252" t="s">
        <v>57</v>
      </c>
      <c r="AA252">
        <v>4</v>
      </c>
      <c r="AB252" t="s">
        <v>57</v>
      </c>
      <c r="AD252" t="s">
        <v>57</v>
      </c>
      <c r="AE252" t="s">
        <v>57</v>
      </c>
      <c r="AF252" t="s">
        <v>57</v>
      </c>
      <c r="AG252">
        <v>1</v>
      </c>
      <c r="AH252" t="s">
        <v>57</v>
      </c>
      <c r="AL252" t="s">
        <v>57</v>
      </c>
      <c r="AM252" s="11">
        <v>44774</v>
      </c>
      <c r="AN252" t="s">
        <v>173</v>
      </c>
      <c r="AO252" t="s">
        <v>65</v>
      </c>
      <c r="AP252">
        <v>1204</v>
      </c>
      <c r="AQ252" t="s">
        <v>66</v>
      </c>
      <c r="AR252">
        <v>227112</v>
      </c>
      <c r="AU252" t="s">
        <v>57</v>
      </c>
      <c r="AV252" t="s">
        <v>68</v>
      </c>
      <c r="AX252" t="s">
        <v>57</v>
      </c>
      <c r="AY252">
        <v>631110</v>
      </c>
      <c r="AZ252">
        <v>1204.63111</v>
      </c>
      <c r="BA252" s="23" t="s">
        <v>12</v>
      </c>
    </row>
    <row r="253" spans="1:53" x14ac:dyDescent="0.25">
      <c r="A253" t="s">
        <v>134</v>
      </c>
      <c r="B253" t="s">
        <v>135</v>
      </c>
      <c r="C253">
        <v>22001783</v>
      </c>
      <c r="D253">
        <v>1204</v>
      </c>
      <c r="E253" s="11">
        <v>44774</v>
      </c>
      <c r="F253" t="s">
        <v>172</v>
      </c>
      <c r="G253" s="25">
        <v>7.88</v>
      </c>
      <c r="H253">
        <v>7.88</v>
      </c>
      <c r="I253" t="s">
        <v>56</v>
      </c>
      <c r="O253" t="s">
        <v>57</v>
      </c>
      <c r="Q253" t="s">
        <v>57</v>
      </c>
      <c r="R253" t="s">
        <v>137</v>
      </c>
      <c r="T253" t="s">
        <v>59</v>
      </c>
      <c r="U253" t="s">
        <v>60</v>
      </c>
      <c r="V253" t="s">
        <v>138</v>
      </c>
      <c r="W253" t="s">
        <v>139</v>
      </c>
      <c r="X253">
        <v>1925466</v>
      </c>
      <c r="Y253" s="11">
        <v>44774</v>
      </c>
      <c r="Z253" t="s">
        <v>57</v>
      </c>
      <c r="AA253">
        <v>8</v>
      </c>
      <c r="AB253" t="s">
        <v>57</v>
      </c>
      <c r="AD253" t="s">
        <v>57</v>
      </c>
      <c r="AE253" t="s">
        <v>57</v>
      </c>
      <c r="AF253" t="s">
        <v>57</v>
      </c>
      <c r="AG253">
        <v>1</v>
      </c>
      <c r="AH253" t="s">
        <v>57</v>
      </c>
      <c r="AL253" t="s">
        <v>57</v>
      </c>
      <c r="AM253" s="11">
        <v>44774</v>
      </c>
      <c r="AN253" t="s">
        <v>173</v>
      </c>
      <c r="AO253" t="s">
        <v>65</v>
      </c>
      <c r="AP253">
        <v>1204</v>
      </c>
      <c r="AQ253" t="s">
        <v>66</v>
      </c>
      <c r="AR253">
        <v>227112</v>
      </c>
      <c r="AU253" t="s">
        <v>57</v>
      </c>
      <c r="AV253" t="s">
        <v>68</v>
      </c>
      <c r="AX253" t="s">
        <v>57</v>
      </c>
      <c r="AY253">
        <v>631110</v>
      </c>
      <c r="AZ253">
        <v>1204.63111</v>
      </c>
      <c r="BA253" s="23" t="s">
        <v>12</v>
      </c>
    </row>
    <row r="254" spans="1:53" x14ac:dyDescent="0.25">
      <c r="A254" t="s">
        <v>134</v>
      </c>
      <c r="B254" t="s">
        <v>135</v>
      </c>
      <c r="C254">
        <v>22001812</v>
      </c>
      <c r="D254">
        <v>1204</v>
      </c>
      <c r="E254" s="11">
        <v>44777</v>
      </c>
      <c r="F254" t="s">
        <v>172</v>
      </c>
      <c r="G254" s="25">
        <v>7.88</v>
      </c>
      <c r="H254">
        <v>7.88</v>
      </c>
      <c r="I254" t="s">
        <v>56</v>
      </c>
      <c r="O254" t="s">
        <v>57</v>
      </c>
      <c r="Q254" t="s">
        <v>57</v>
      </c>
      <c r="R254" t="s">
        <v>137</v>
      </c>
      <c r="T254" t="s">
        <v>59</v>
      </c>
      <c r="U254" t="s">
        <v>60</v>
      </c>
      <c r="V254" t="s">
        <v>138</v>
      </c>
      <c r="W254" t="s">
        <v>139</v>
      </c>
      <c r="X254">
        <v>1927629</v>
      </c>
      <c r="Y254" s="11">
        <v>44777</v>
      </c>
      <c r="Z254" t="s">
        <v>57</v>
      </c>
      <c r="AA254">
        <v>6</v>
      </c>
      <c r="AB254" t="s">
        <v>57</v>
      </c>
      <c r="AD254" t="s">
        <v>57</v>
      </c>
      <c r="AE254" t="s">
        <v>57</v>
      </c>
      <c r="AF254" t="s">
        <v>57</v>
      </c>
      <c r="AG254">
        <v>1</v>
      </c>
      <c r="AH254" t="s">
        <v>57</v>
      </c>
      <c r="AL254" t="s">
        <v>57</v>
      </c>
      <c r="AM254" s="11">
        <v>44777</v>
      </c>
      <c r="AN254" t="s">
        <v>173</v>
      </c>
      <c r="AO254" t="s">
        <v>65</v>
      </c>
      <c r="AP254">
        <v>1204</v>
      </c>
      <c r="AQ254" t="s">
        <v>66</v>
      </c>
      <c r="AR254">
        <v>227112</v>
      </c>
      <c r="AU254" t="s">
        <v>57</v>
      </c>
      <c r="AV254" t="s">
        <v>68</v>
      </c>
      <c r="AX254" t="s">
        <v>57</v>
      </c>
      <c r="AY254">
        <v>631110</v>
      </c>
      <c r="AZ254">
        <v>1204.63111</v>
      </c>
      <c r="BA254" s="23" t="s">
        <v>12</v>
      </c>
    </row>
    <row r="255" spans="1:53" x14ac:dyDescent="0.25">
      <c r="A255" t="s">
        <v>134</v>
      </c>
      <c r="B255" t="s">
        <v>135</v>
      </c>
      <c r="C255">
        <v>22001828</v>
      </c>
      <c r="D255">
        <v>1204</v>
      </c>
      <c r="E255" s="11">
        <v>44778</v>
      </c>
      <c r="F255" t="s">
        <v>172</v>
      </c>
      <c r="G255" s="25">
        <v>7.88</v>
      </c>
      <c r="H255">
        <v>7.88</v>
      </c>
      <c r="I255" t="s">
        <v>56</v>
      </c>
      <c r="O255" t="s">
        <v>57</v>
      </c>
      <c r="Q255" t="s">
        <v>57</v>
      </c>
      <c r="R255" t="s">
        <v>137</v>
      </c>
      <c r="T255" t="s">
        <v>59</v>
      </c>
      <c r="U255" t="s">
        <v>60</v>
      </c>
      <c r="V255" t="s">
        <v>138</v>
      </c>
      <c r="W255" t="s">
        <v>139</v>
      </c>
      <c r="X255">
        <v>1928763</v>
      </c>
      <c r="Y255" s="11">
        <v>44778</v>
      </c>
      <c r="Z255" t="s">
        <v>57</v>
      </c>
      <c r="AA255">
        <v>4</v>
      </c>
      <c r="AB255" t="s">
        <v>57</v>
      </c>
      <c r="AD255" t="s">
        <v>57</v>
      </c>
      <c r="AE255" t="s">
        <v>57</v>
      </c>
      <c r="AF255" t="s">
        <v>57</v>
      </c>
      <c r="AG255">
        <v>1</v>
      </c>
      <c r="AH255" t="s">
        <v>57</v>
      </c>
      <c r="AL255" t="s">
        <v>57</v>
      </c>
      <c r="AM255" s="11">
        <v>44778</v>
      </c>
      <c r="AN255" t="s">
        <v>173</v>
      </c>
      <c r="AO255" t="s">
        <v>65</v>
      </c>
      <c r="AP255">
        <v>1204</v>
      </c>
      <c r="AQ255" t="s">
        <v>66</v>
      </c>
      <c r="AR255">
        <v>227112</v>
      </c>
      <c r="AU255" t="s">
        <v>57</v>
      </c>
      <c r="AV255" t="s">
        <v>68</v>
      </c>
      <c r="AX255" t="s">
        <v>57</v>
      </c>
      <c r="AY255">
        <v>631110</v>
      </c>
      <c r="AZ255">
        <v>1204.63111</v>
      </c>
      <c r="BA255" s="23" t="s">
        <v>12</v>
      </c>
    </row>
    <row r="256" spans="1:53" x14ac:dyDescent="0.25">
      <c r="A256" t="s">
        <v>134</v>
      </c>
      <c r="B256" t="s">
        <v>135</v>
      </c>
      <c r="C256">
        <v>22001848</v>
      </c>
      <c r="D256">
        <v>1204</v>
      </c>
      <c r="E256" s="11">
        <v>44784</v>
      </c>
      <c r="F256" t="s">
        <v>172</v>
      </c>
      <c r="G256" s="25">
        <v>7.88</v>
      </c>
      <c r="H256">
        <v>7.88</v>
      </c>
      <c r="I256" t="s">
        <v>56</v>
      </c>
      <c r="O256" t="s">
        <v>57</v>
      </c>
      <c r="Q256" t="s">
        <v>57</v>
      </c>
      <c r="R256" t="s">
        <v>137</v>
      </c>
      <c r="T256" t="s">
        <v>59</v>
      </c>
      <c r="U256" t="s">
        <v>60</v>
      </c>
      <c r="V256" t="s">
        <v>138</v>
      </c>
      <c r="W256" t="s">
        <v>139</v>
      </c>
      <c r="X256">
        <v>1930405</v>
      </c>
      <c r="Y256" s="11">
        <v>44784</v>
      </c>
      <c r="Z256" t="s">
        <v>57</v>
      </c>
      <c r="AA256">
        <v>4</v>
      </c>
      <c r="AB256" t="s">
        <v>57</v>
      </c>
      <c r="AD256" t="s">
        <v>57</v>
      </c>
      <c r="AE256" t="s">
        <v>57</v>
      </c>
      <c r="AF256" t="s">
        <v>57</v>
      </c>
      <c r="AG256">
        <v>1</v>
      </c>
      <c r="AH256" t="s">
        <v>57</v>
      </c>
      <c r="AL256" t="s">
        <v>57</v>
      </c>
      <c r="AM256" s="11">
        <v>44784</v>
      </c>
      <c r="AN256" t="s">
        <v>173</v>
      </c>
      <c r="AO256" t="s">
        <v>65</v>
      </c>
      <c r="AP256">
        <v>1204</v>
      </c>
      <c r="AQ256" t="s">
        <v>66</v>
      </c>
      <c r="AR256">
        <v>227112</v>
      </c>
      <c r="AU256" t="s">
        <v>57</v>
      </c>
      <c r="AV256" t="s">
        <v>68</v>
      </c>
      <c r="AX256" t="s">
        <v>57</v>
      </c>
      <c r="AY256">
        <v>631110</v>
      </c>
      <c r="AZ256">
        <v>1204.63111</v>
      </c>
      <c r="BA256" s="23" t="s">
        <v>12</v>
      </c>
    </row>
    <row r="257" spans="1:53" x14ac:dyDescent="0.25">
      <c r="A257" t="s">
        <v>134</v>
      </c>
      <c r="B257" t="s">
        <v>135</v>
      </c>
      <c r="C257">
        <v>22001868</v>
      </c>
      <c r="D257">
        <v>1204</v>
      </c>
      <c r="E257" s="11">
        <v>44788</v>
      </c>
      <c r="F257" t="s">
        <v>172</v>
      </c>
      <c r="G257" s="25">
        <v>7.88</v>
      </c>
      <c r="H257">
        <v>7.88</v>
      </c>
      <c r="I257" t="s">
        <v>56</v>
      </c>
      <c r="O257" t="s">
        <v>57</v>
      </c>
      <c r="Q257" t="s">
        <v>57</v>
      </c>
      <c r="R257" t="s">
        <v>137</v>
      </c>
      <c r="T257" t="s">
        <v>59</v>
      </c>
      <c r="U257" t="s">
        <v>60</v>
      </c>
      <c r="V257" t="s">
        <v>138</v>
      </c>
      <c r="W257" t="s">
        <v>139</v>
      </c>
      <c r="X257">
        <v>1932300</v>
      </c>
      <c r="Y257" s="11">
        <v>44788</v>
      </c>
      <c r="Z257" t="s">
        <v>57</v>
      </c>
      <c r="AA257">
        <v>2</v>
      </c>
      <c r="AB257" t="s">
        <v>57</v>
      </c>
      <c r="AD257" t="s">
        <v>57</v>
      </c>
      <c r="AE257" t="s">
        <v>57</v>
      </c>
      <c r="AF257" t="s">
        <v>57</v>
      </c>
      <c r="AG257">
        <v>1</v>
      </c>
      <c r="AH257" t="s">
        <v>57</v>
      </c>
      <c r="AL257" t="s">
        <v>57</v>
      </c>
      <c r="AM257" s="11">
        <v>44788</v>
      </c>
      <c r="AN257" t="s">
        <v>173</v>
      </c>
      <c r="AO257" t="s">
        <v>65</v>
      </c>
      <c r="AP257">
        <v>1204</v>
      </c>
      <c r="AQ257" t="s">
        <v>66</v>
      </c>
      <c r="AR257">
        <v>227112</v>
      </c>
      <c r="AU257" t="s">
        <v>57</v>
      </c>
      <c r="AV257" t="s">
        <v>68</v>
      </c>
      <c r="AX257" t="s">
        <v>57</v>
      </c>
      <c r="AY257">
        <v>631110</v>
      </c>
      <c r="AZ257">
        <v>1204.63111</v>
      </c>
      <c r="BA257" s="23" t="s">
        <v>12</v>
      </c>
    </row>
    <row r="258" spans="1:53" x14ac:dyDescent="0.25">
      <c r="A258" t="s">
        <v>134</v>
      </c>
      <c r="B258" t="s">
        <v>135</v>
      </c>
      <c r="C258">
        <v>22001798</v>
      </c>
      <c r="D258">
        <v>1204</v>
      </c>
      <c r="E258" s="11">
        <v>44774</v>
      </c>
      <c r="F258" t="s">
        <v>175</v>
      </c>
      <c r="G258" s="25">
        <v>7.99</v>
      </c>
      <c r="H258">
        <v>7.99</v>
      </c>
      <c r="I258" t="s">
        <v>56</v>
      </c>
      <c r="O258" t="s">
        <v>57</v>
      </c>
      <c r="Q258" t="s">
        <v>57</v>
      </c>
      <c r="R258" t="s">
        <v>137</v>
      </c>
      <c r="T258" t="s">
        <v>59</v>
      </c>
      <c r="U258" t="s">
        <v>60</v>
      </c>
      <c r="V258" t="s">
        <v>138</v>
      </c>
      <c r="W258" t="s">
        <v>139</v>
      </c>
      <c r="X258">
        <v>1925598</v>
      </c>
      <c r="Y258" s="11">
        <v>44774</v>
      </c>
      <c r="Z258" t="s">
        <v>57</v>
      </c>
      <c r="AA258">
        <v>12</v>
      </c>
      <c r="AB258" t="s">
        <v>57</v>
      </c>
      <c r="AD258" t="s">
        <v>57</v>
      </c>
      <c r="AE258" t="s">
        <v>57</v>
      </c>
      <c r="AF258" t="s">
        <v>57</v>
      </c>
      <c r="AG258">
        <v>52</v>
      </c>
      <c r="AH258" t="s">
        <v>57</v>
      </c>
      <c r="AL258" t="s">
        <v>57</v>
      </c>
      <c r="AM258" s="11">
        <v>44774</v>
      </c>
      <c r="AN258" t="s">
        <v>176</v>
      </c>
      <c r="AO258" t="s">
        <v>65</v>
      </c>
      <c r="AP258">
        <v>1204</v>
      </c>
      <c r="AQ258" t="s">
        <v>66</v>
      </c>
      <c r="AR258">
        <v>89712</v>
      </c>
      <c r="AU258" t="s">
        <v>57</v>
      </c>
      <c r="AV258" t="s">
        <v>68</v>
      </c>
      <c r="AX258" t="s">
        <v>57</v>
      </c>
      <c r="AY258">
        <v>631110</v>
      </c>
      <c r="AZ258">
        <v>1204.63111</v>
      </c>
      <c r="BA258" s="23" t="s">
        <v>12</v>
      </c>
    </row>
    <row r="259" spans="1:53" x14ac:dyDescent="0.25">
      <c r="A259" t="s">
        <v>134</v>
      </c>
      <c r="B259" t="s">
        <v>135</v>
      </c>
      <c r="C259">
        <v>22001812</v>
      </c>
      <c r="D259">
        <v>1204</v>
      </c>
      <c r="E259" s="11">
        <v>44777</v>
      </c>
      <c r="F259" t="s">
        <v>172</v>
      </c>
      <c r="G259" s="25">
        <v>8.06</v>
      </c>
      <c r="H259">
        <v>8.06</v>
      </c>
      <c r="I259" t="s">
        <v>56</v>
      </c>
      <c r="O259" t="s">
        <v>57</v>
      </c>
      <c r="Q259" t="s">
        <v>57</v>
      </c>
      <c r="R259" t="s">
        <v>137</v>
      </c>
      <c r="T259" t="s">
        <v>59</v>
      </c>
      <c r="U259" t="s">
        <v>60</v>
      </c>
      <c r="V259" t="s">
        <v>138</v>
      </c>
      <c r="W259" t="s">
        <v>139</v>
      </c>
      <c r="X259">
        <v>1927629</v>
      </c>
      <c r="Y259" s="11">
        <v>44777</v>
      </c>
      <c r="Z259" t="s">
        <v>57</v>
      </c>
      <c r="AA259">
        <v>4</v>
      </c>
      <c r="AB259" t="s">
        <v>57</v>
      </c>
      <c r="AD259" t="s">
        <v>57</v>
      </c>
      <c r="AE259" t="s">
        <v>57</v>
      </c>
      <c r="AF259" t="s">
        <v>57</v>
      </c>
      <c r="AG259">
        <v>1</v>
      </c>
      <c r="AH259" t="s">
        <v>57</v>
      </c>
      <c r="AL259" t="s">
        <v>57</v>
      </c>
      <c r="AM259" s="11">
        <v>44777</v>
      </c>
      <c r="AN259" t="s">
        <v>173</v>
      </c>
      <c r="AO259" t="s">
        <v>65</v>
      </c>
      <c r="AP259">
        <v>1204</v>
      </c>
      <c r="AQ259" t="s">
        <v>66</v>
      </c>
      <c r="AR259">
        <v>279991</v>
      </c>
      <c r="AU259" t="s">
        <v>57</v>
      </c>
      <c r="AV259" t="s">
        <v>68</v>
      </c>
      <c r="AX259" t="s">
        <v>57</v>
      </c>
      <c r="AY259">
        <v>631110</v>
      </c>
      <c r="AZ259">
        <v>1204.63111</v>
      </c>
      <c r="BA259" s="23" t="s">
        <v>12</v>
      </c>
    </row>
    <row r="260" spans="1:53" x14ac:dyDescent="0.25">
      <c r="A260" t="s">
        <v>134</v>
      </c>
      <c r="B260" t="s">
        <v>135</v>
      </c>
      <c r="C260">
        <v>22001828</v>
      </c>
      <c r="D260">
        <v>1204</v>
      </c>
      <c r="E260" s="11">
        <v>44778</v>
      </c>
      <c r="F260" t="s">
        <v>172</v>
      </c>
      <c r="G260" s="25">
        <v>8.06</v>
      </c>
      <c r="H260">
        <v>8.06</v>
      </c>
      <c r="I260" t="s">
        <v>56</v>
      </c>
      <c r="O260" t="s">
        <v>57</v>
      </c>
      <c r="Q260" t="s">
        <v>57</v>
      </c>
      <c r="R260" t="s">
        <v>137</v>
      </c>
      <c r="T260" t="s">
        <v>59</v>
      </c>
      <c r="U260" t="s">
        <v>60</v>
      </c>
      <c r="V260" t="s">
        <v>138</v>
      </c>
      <c r="W260" t="s">
        <v>139</v>
      </c>
      <c r="X260">
        <v>1928763</v>
      </c>
      <c r="Y260" s="11">
        <v>44778</v>
      </c>
      <c r="Z260" t="s">
        <v>57</v>
      </c>
      <c r="AA260">
        <v>6</v>
      </c>
      <c r="AB260" t="s">
        <v>57</v>
      </c>
      <c r="AD260" t="s">
        <v>57</v>
      </c>
      <c r="AE260" t="s">
        <v>57</v>
      </c>
      <c r="AF260" t="s">
        <v>57</v>
      </c>
      <c r="AG260">
        <v>1</v>
      </c>
      <c r="AH260" t="s">
        <v>57</v>
      </c>
      <c r="AL260" t="s">
        <v>57</v>
      </c>
      <c r="AM260" s="11">
        <v>44778</v>
      </c>
      <c r="AN260" t="s">
        <v>173</v>
      </c>
      <c r="AO260" t="s">
        <v>65</v>
      </c>
      <c r="AP260">
        <v>1204</v>
      </c>
      <c r="AQ260" t="s">
        <v>66</v>
      </c>
      <c r="AR260">
        <v>279991</v>
      </c>
      <c r="AU260" t="s">
        <v>57</v>
      </c>
      <c r="AV260" t="s">
        <v>68</v>
      </c>
      <c r="AX260" t="s">
        <v>57</v>
      </c>
      <c r="AY260">
        <v>631110</v>
      </c>
      <c r="AZ260">
        <v>1204.63111</v>
      </c>
      <c r="BA260" s="23" t="s">
        <v>12</v>
      </c>
    </row>
    <row r="261" spans="1:53" x14ac:dyDescent="0.25">
      <c r="A261" t="s">
        <v>134</v>
      </c>
      <c r="B261" t="s">
        <v>135</v>
      </c>
      <c r="C261">
        <v>22001831</v>
      </c>
      <c r="D261">
        <v>1204</v>
      </c>
      <c r="E261" s="11">
        <v>44781</v>
      </c>
      <c r="F261" t="s">
        <v>172</v>
      </c>
      <c r="G261" s="25">
        <v>8.06</v>
      </c>
      <c r="H261">
        <v>8.06</v>
      </c>
      <c r="I261" t="s">
        <v>56</v>
      </c>
      <c r="O261" t="s">
        <v>57</v>
      </c>
      <c r="Q261" t="s">
        <v>57</v>
      </c>
      <c r="R261" t="s">
        <v>137</v>
      </c>
      <c r="T261" t="s">
        <v>59</v>
      </c>
      <c r="U261" t="s">
        <v>60</v>
      </c>
      <c r="V261" t="s">
        <v>138</v>
      </c>
      <c r="W261" t="s">
        <v>139</v>
      </c>
      <c r="X261">
        <v>1928857</v>
      </c>
      <c r="Y261" s="11">
        <v>44781</v>
      </c>
      <c r="Z261" t="s">
        <v>57</v>
      </c>
      <c r="AA261">
        <v>4</v>
      </c>
      <c r="AB261" t="s">
        <v>57</v>
      </c>
      <c r="AD261" t="s">
        <v>57</v>
      </c>
      <c r="AE261" t="s">
        <v>57</v>
      </c>
      <c r="AF261" t="s">
        <v>57</v>
      </c>
      <c r="AG261">
        <v>1</v>
      </c>
      <c r="AH261" t="s">
        <v>57</v>
      </c>
      <c r="AL261" t="s">
        <v>57</v>
      </c>
      <c r="AM261" s="11">
        <v>44781</v>
      </c>
      <c r="AN261" t="s">
        <v>173</v>
      </c>
      <c r="AO261" t="s">
        <v>65</v>
      </c>
      <c r="AP261">
        <v>1204</v>
      </c>
      <c r="AQ261" t="s">
        <v>66</v>
      </c>
      <c r="AR261">
        <v>279991</v>
      </c>
      <c r="AU261" t="s">
        <v>57</v>
      </c>
      <c r="AV261" t="s">
        <v>68</v>
      </c>
      <c r="AX261" t="s">
        <v>57</v>
      </c>
      <c r="AY261">
        <v>631110</v>
      </c>
      <c r="AZ261">
        <v>1204.63111</v>
      </c>
      <c r="BA261" s="23" t="s">
        <v>12</v>
      </c>
    </row>
    <row r="262" spans="1:53" x14ac:dyDescent="0.25">
      <c r="A262" t="s">
        <v>134</v>
      </c>
      <c r="B262" t="s">
        <v>135</v>
      </c>
      <c r="C262">
        <v>22001831</v>
      </c>
      <c r="D262">
        <v>1204</v>
      </c>
      <c r="E262" s="11">
        <v>44781</v>
      </c>
      <c r="F262" t="s">
        <v>172</v>
      </c>
      <c r="G262" s="25">
        <v>8.06</v>
      </c>
      <c r="H262">
        <v>8.06</v>
      </c>
      <c r="I262" t="s">
        <v>56</v>
      </c>
      <c r="O262" t="s">
        <v>57</v>
      </c>
      <c r="Q262" t="s">
        <v>57</v>
      </c>
      <c r="R262" t="s">
        <v>137</v>
      </c>
      <c r="T262" t="s">
        <v>59</v>
      </c>
      <c r="U262" t="s">
        <v>60</v>
      </c>
      <c r="V262" t="s">
        <v>138</v>
      </c>
      <c r="W262" t="s">
        <v>139</v>
      </c>
      <c r="X262">
        <v>1928857</v>
      </c>
      <c r="Y262" s="11">
        <v>44781</v>
      </c>
      <c r="Z262" t="s">
        <v>57</v>
      </c>
      <c r="AA262">
        <v>2</v>
      </c>
      <c r="AB262" t="s">
        <v>57</v>
      </c>
      <c r="AD262" t="s">
        <v>57</v>
      </c>
      <c r="AE262" t="s">
        <v>57</v>
      </c>
      <c r="AF262" t="s">
        <v>57</v>
      </c>
      <c r="AG262">
        <v>1</v>
      </c>
      <c r="AH262" t="s">
        <v>57</v>
      </c>
      <c r="AL262" t="s">
        <v>57</v>
      </c>
      <c r="AM262" s="11">
        <v>44781</v>
      </c>
      <c r="AN262" t="s">
        <v>173</v>
      </c>
      <c r="AO262" t="s">
        <v>65</v>
      </c>
      <c r="AP262">
        <v>1204</v>
      </c>
      <c r="AQ262" t="s">
        <v>66</v>
      </c>
      <c r="AR262">
        <v>279991</v>
      </c>
      <c r="AU262" t="s">
        <v>57</v>
      </c>
      <c r="AV262" t="s">
        <v>68</v>
      </c>
      <c r="AX262" t="s">
        <v>57</v>
      </c>
      <c r="AY262">
        <v>631110</v>
      </c>
      <c r="AZ262">
        <v>1204.63111</v>
      </c>
      <c r="BA262" s="23" t="s">
        <v>12</v>
      </c>
    </row>
    <row r="263" spans="1:53" x14ac:dyDescent="0.25">
      <c r="A263" t="s">
        <v>134</v>
      </c>
      <c r="B263" t="s">
        <v>135</v>
      </c>
      <c r="C263">
        <v>22001838</v>
      </c>
      <c r="D263">
        <v>1204</v>
      </c>
      <c r="E263" s="11">
        <v>44782</v>
      </c>
      <c r="F263" t="s">
        <v>172</v>
      </c>
      <c r="G263" s="25">
        <v>8.06</v>
      </c>
      <c r="H263">
        <v>8.06</v>
      </c>
      <c r="I263" t="s">
        <v>56</v>
      </c>
      <c r="O263" t="s">
        <v>57</v>
      </c>
      <c r="Q263" t="s">
        <v>57</v>
      </c>
      <c r="R263" t="s">
        <v>137</v>
      </c>
      <c r="T263" t="s">
        <v>59</v>
      </c>
      <c r="U263" t="s">
        <v>60</v>
      </c>
      <c r="V263" t="s">
        <v>138</v>
      </c>
      <c r="W263" t="s">
        <v>139</v>
      </c>
      <c r="X263">
        <v>1929239</v>
      </c>
      <c r="Y263" s="11">
        <v>44782</v>
      </c>
      <c r="Z263" t="s">
        <v>57</v>
      </c>
      <c r="AA263">
        <v>2</v>
      </c>
      <c r="AB263" t="s">
        <v>57</v>
      </c>
      <c r="AD263" t="s">
        <v>57</v>
      </c>
      <c r="AE263" t="s">
        <v>57</v>
      </c>
      <c r="AF263" t="s">
        <v>57</v>
      </c>
      <c r="AG263">
        <v>1</v>
      </c>
      <c r="AH263" t="s">
        <v>57</v>
      </c>
      <c r="AL263" t="s">
        <v>57</v>
      </c>
      <c r="AM263" s="11">
        <v>44782</v>
      </c>
      <c r="AN263" t="s">
        <v>173</v>
      </c>
      <c r="AO263" t="s">
        <v>65</v>
      </c>
      <c r="AP263">
        <v>1204</v>
      </c>
      <c r="AQ263" t="s">
        <v>66</v>
      </c>
      <c r="AR263">
        <v>279991</v>
      </c>
      <c r="AU263" t="s">
        <v>57</v>
      </c>
      <c r="AV263" t="s">
        <v>68</v>
      </c>
      <c r="AX263" t="s">
        <v>57</v>
      </c>
      <c r="AY263">
        <v>631110</v>
      </c>
      <c r="AZ263">
        <v>1204.63111</v>
      </c>
      <c r="BA263" s="23" t="s">
        <v>12</v>
      </c>
    </row>
    <row r="264" spans="1:53" x14ac:dyDescent="0.25">
      <c r="A264" t="s">
        <v>134</v>
      </c>
      <c r="B264" t="s">
        <v>135</v>
      </c>
      <c r="C264">
        <v>22001841</v>
      </c>
      <c r="D264">
        <v>1204</v>
      </c>
      <c r="E264" s="11">
        <v>44783</v>
      </c>
      <c r="F264" t="s">
        <v>172</v>
      </c>
      <c r="G264" s="25">
        <v>8.06</v>
      </c>
      <c r="H264">
        <v>8.06</v>
      </c>
      <c r="I264" t="s">
        <v>56</v>
      </c>
      <c r="O264" t="s">
        <v>57</v>
      </c>
      <c r="Q264" t="s">
        <v>57</v>
      </c>
      <c r="R264" t="s">
        <v>137</v>
      </c>
      <c r="T264" t="s">
        <v>59</v>
      </c>
      <c r="U264" t="s">
        <v>60</v>
      </c>
      <c r="V264" t="s">
        <v>138</v>
      </c>
      <c r="W264" t="s">
        <v>139</v>
      </c>
      <c r="X264">
        <v>1930268</v>
      </c>
      <c r="Y264" s="11">
        <v>44783</v>
      </c>
      <c r="Z264" t="s">
        <v>57</v>
      </c>
      <c r="AA264">
        <v>2</v>
      </c>
      <c r="AB264" t="s">
        <v>57</v>
      </c>
      <c r="AD264" t="s">
        <v>57</v>
      </c>
      <c r="AE264" t="s">
        <v>57</v>
      </c>
      <c r="AF264" t="s">
        <v>57</v>
      </c>
      <c r="AG264">
        <v>1</v>
      </c>
      <c r="AH264" t="s">
        <v>57</v>
      </c>
      <c r="AL264" t="s">
        <v>57</v>
      </c>
      <c r="AM264" s="11">
        <v>44783</v>
      </c>
      <c r="AN264" t="s">
        <v>173</v>
      </c>
      <c r="AO264" t="s">
        <v>65</v>
      </c>
      <c r="AP264">
        <v>1204</v>
      </c>
      <c r="AQ264" t="s">
        <v>66</v>
      </c>
      <c r="AR264">
        <v>279991</v>
      </c>
      <c r="AU264" t="s">
        <v>57</v>
      </c>
      <c r="AV264" t="s">
        <v>68</v>
      </c>
      <c r="AX264" t="s">
        <v>57</v>
      </c>
      <c r="AY264">
        <v>631110</v>
      </c>
      <c r="AZ264">
        <v>1204.63111</v>
      </c>
      <c r="BA264" s="23" t="s">
        <v>12</v>
      </c>
    </row>
    <row r="265" spans="1:53" x14ac:dyDescent="0.25">
      <c r="A265" t="s">
        <v>134</v>
      </c>
      <c r="B265" t="s">
        <v>135</v>
      </c>
      <c r="C265">
        <v>22001841</v>
      </c>
      <c r="D265">
        <v>1204</v>
      </c>
      <c r="E265" s="11">
        <v>44783</v>
      </c>
      <c r="F265" t="s">
        <v>172</v>
      </c>
      <c r="G265" s="25">
        <v>8.06</v>
      </c>
      <c r="H265">
        <v>8.06</v>
      </c>
      <c r="I265" t="s">
        <v>56</v>
      </c>
      <c r="O265" t="s">
        <v>57</v>
      </c>
      <c r="Q265" t="s">
        <v>57</v>
      </c>
      <c r="R265" t="s">
        <v>137</v>
      </c>
      <c r="T265" t="s">
        <v>59</v>
      </c>
      <c r="U265" t="s">
        <v>60</v>
      </c>
      <c r="V265" t="s">
        <v>138</v>
      </c>
      <c r="W265" t="s">
        <v>139</v>
      </c>
      <c r="X265">
        <v>1930268</v>
      </c>
      <c r="Y265" s="11">
        <v>44783</v>
      </c>
      <c r="Z265" t="s">
        <v>57</v>
      </c>
      <c r="AA265">
        <v>4</v>
      </c>
      <c r="AB265" t="s">
        <v>57</v>
      </c>
      <c r="AD265" t="s">
        <v>57</v>
      </c>
      <c r="AE265" t="s">
        <v>57</v>
      </c>
      <c r="AF265" t="s">
        <v>57</v>
      </c>
      <c r="AG265">
        <v>1</v>
      </c>
      <c r="AH265" t="s">
        <v>57</v>
      </c>
      <c r="AL265" t="s">
        <v>57</v>
      </c>
      <c r="AM265" s="11">
        <v>44783</v>
      </c>
      <c r="AN265" t="s">
        <v>173</v>
      </c>
      <c r="AO265" t="s">
        <v>65</v>
      </c>
      <c r="AP265">
        <v>1204</v>
      </c>
      <c r="AQ265" t="s">
        <v>66</v>
      </c>
      <c r="AR265">
        <v>279991</v>
      </c>
      <c r="AU265" t="s">
        <v>57</v>
      </c>
      <c r="AV265" t="s">
        <v>68</v>
      </c>
      <c r="AX265" t="s">
        <v>57</v>
      </c>
      <c r="AY265">
        <v>631110</v>
      </c>
      <c r="AZ265">
        <v>1204.63111</v>
      </c>
      <c r="BA265" s="23" t="s">
        <v>12</v>
      </c>
    </row>
    <row r="266" spans="1:53" x14ac:dyDescent="0.25">
      <c r="A266" t="s">
        <v>134</v>
      </c>
      <c r="B266" t="s">
        <v>135</v>
      </c>
      <c r="C266">
        <v>22001848</v>
      </c>
      <c r="D266">
        <v>1204</v>
      </c>
      <c r="E266" s="11">
        <v>44784</v>
      </c>
      <c r="F266" t="s">
        <v>172</v>
      </c>
      <c r="G266" s="25">
        <v>8.06</v>
      </c>
      <c r="H266">
        <v>8.06</v>
      </c>
      <c r="I266" t="s">
        <v>56</v>
      </c>
      <c r="O266" t="s">
        <v>57</v>
      </c>
      <c r="Q266" t="s">
        <v>57</v>
      </c>
      <c r="R266" t="s">
        <v>137</v>
      </c>
      <c r="T266" t="s">
        <v>59</v>
      </c>
      <c r="U266" t="s">
        <v>60</v>
      </c>
      <c r="V266" t="s">
        <v>138</v>
      </c>
      <c r="W266" t="s">
        <v>139</v>
      </c>
      <c r="X266">
        <v>1930405</v>
      </c>
      <c r="Y266" s="11">
        <v>44784</v>
      </c>
      <c r="Z266" t="s">
        <v>57</v>
      </c>
      <c r="AA266">
        <v>2</v>
      </c>
      <c r="AB266" t="s">
        <v>57</v>
      </c>
      <c r="AD266" t="s">
        <v>57</v>
      </c>
      <c r="AE266" t="s">
        <v>57</v>
      </c>
      <c r="AF266" t="s">
        <v>57</v>
      </c>
      <c r="AG266">
        <v>1</v>
      </c>
      <c r="AH266" t="s">
        <v>57</v>
      </c>
      <c r="AL266" t="s">
        <v>57</v>
      </c>
      <c r="AM266" s="11">
        <v>44784</v>
      </c>
      <c r="AN266" t="s">
        <v>173</v>
      </c>
      <c r="AO266" t="s">
        <v>65</v>
      </c>
      <c r="AP266">
        <v>1204</v>
      </c>
      <c r="AQ266" t="s">
        <v>66</v>
      </c>
      <c r="AR266">
        <v>279991</v>
      </c>
      <c r="AU266" t="s">
        <v>57</v>
      </c>
      <c r="AV266" t="s">
        <v>68</v>
      </c>
      <c r="AX266" t="s">
        <v>57</v>
      </c>
      <c r="AY266">
        <v>631110</v>
      </c>
      <c r="AZ266">
        <v>1204.63111</v>
      </c>
      <c r="BA266" s="23" t="s">
        <v>12</v>
      </c>
    </row>
    <row r="267" spans="1:53" x14ac:dyDescent="0.25">
      <c r="A267" t="s">
        <v>134</v>
      </c>
      <c r="B267" t="s">
        <v>135</v>
      </c>
      <c r="C267">
        <v>22001853</v>
      </c>
      <c r="D267">
        <v>1204</v>
      </c>
      <c r="E267" s="11">
        <v>44785</v>
      </c>
      <c r="F267" t="s">
        <v>172</v>
      </c>
      <c r="G267" s="25">
        <v>8.06</v>
      </c>
      <c r="H267">
        <v>8.06</v>
      </c>
      <c r="I267" t="s">
        <v>56</v>
      </c>
      <c r="O267" t="s">
        <v>57</v>
      </c>
      <c r="Q267" t="s">
        <v>57</v>
      </c>
      <c r="R267" t="s">
        <v>137</v>
      </c>
      <c r="T267" t="s">
        <v>59</v>
      </c>
      <c r="U267" t="s">
        <v>60</v>
      </c>
      <c r="V267" t="s">
        <v>138</v>
      </c>
      <c r="W267" t="s">
        <v>139</v>
      </c>
      <c r="X267">
        <v>1930576</v>
      </c>
      <c r="Y267" s="11">
        <v>44785</v>
      </c>
      <c r="Z267" t="s">
        <v>57</v>
      </c>
      <c r="AA267">
        <v>4</v>
      </c>
      <c r="AB267" t="s">
        <v>57</v>
      </c>
      <c r="AD267" t="s">
        <v>57</v>
      </c>
      <c r="AE267" t="s">
        <v>57</v>
      </c>
      <c r="AF267" t="s">
        <v>57</v>
      </c>
      <c r="AG267">
        <v>1</v>
      </c>
      <c r="AH267" t="s">
        <v>57</v>
      </c>
      <c r="AL267" t="s">
        <v>57</v>
      </c>
      <c r="AM267" s="11">
        <v>44785</v>
      </c>
      <c r="AN267" t="s">
        <v>173</v>
      </c>
      <c r="AO267" t="s">
        <v>65</v>
      </c>
      <c r="AP267">
        <v>1204</v>
      </c>
      <c r="AQ267" t="s">
        <v>66</v>
      </c>
      <c r="AR267">
        <v>279991</v>
      </c>
      <c r="AU267" t="s">
        <v>57</v>
      </c>
      <c r="AV267" t="s">
        <v>68</v>
      </c>
      <c r="AX267" t="s">
        <v>57</v>
      </c>
      <c r="AY267">
        <v>631110</v>
      </c>
      <c r="AZ267">
        <v>1204.63111</v>
      </c>
      <c r="BA267" s="23" t="s">
        <v>12</v>
      </c>
    </row>
    <row r="268" spans="1:53" x14ac:dyDescent="0.25">
      <c r="A268" t="s">
        <v>134</v>
      </c>
      <c r="B268" t="s">
        <v>135</v>
      </c>
      <c r="C268">
        <v>22001853</v>
      </c>
      <c r="D268">
        <v>1204</v>
      </c>
      <c r="E268" s="11">
        <v>44785</v>
      </c>
      <c r="F268" t="s">
        <v>172</v>
      </c>
      <c r="G268" s="25">
        <v>8.06</v>
      </c>
      <c r="H268">
        <v>8.06</v>
      </c>
      <c r="I268" t="s">
        <v>56</v>
      </c>
      <c r="O268" t="s">
        <v>57</v>
      </c>
      <c r="Q268" t="s">
        <v>57</v>
      </c>
      <c r="R268" t="s">
        <v>137</v>
      </c>
      <c r="T268" t="s">
        <v>59</v>
      </c>
      <c r="U268" t="s">
        <v>60</v>
      </c>
      <c r="V268" t="s">
        <v>138</v>
      </c>
      <c r="W268" t="s">
        <v>139</v>
      </c>
      <c r="X268">
        <v>1930576</v>
      </c>
      <c r="Y268" s="11">
        <v>44785</v>
      </c>
      <c r="Z268" t="s">
        <v>57</v>
      </c>
      <c r="AA268">
        <v>2</v>
      </c>
      <c r="AB268" t="s">
        <v>57</v>
      </c>
      <c r="AD268" t="s">
        <v>57</v>
      </c>
      <c r="AE268" t="s">
        <v>57</v>
      </c>
      <c r="AF268" t="s">
        <v>57</v>
      </c>
      <c r="AG268">
        <v>1</v>
      </c>
      <c r="AH268" t="s">
        <v>57</v>
      </c>
      <c r="AL268" t="s">
        <v>57</v>
      </c>
      <c r="AM268" s="11">
        <v>44785</v>
      </c>
      <c r="AN268" t="s">
        <v>173</v>
      </c>
      <c r="AO268" t="s">
        <v>65</v>
      </c>
      <c r="AP268">
        <v>1204</v>
      </c>
      <c r="AQ268" t="s">
        <v>66</v>
      </c>
      <c r="AR268">
        <v>279991</v>
      </c>
      <c r="AU268" t="s">
        <v>57</v>
      </c>
      <c r="AV268" t="s">
        <v>68</v>
      </c>
      <c r="AX268" t="s">
        <v>57</v>
      </c>
      <c r="AY268">
        <v>631110</v>
      </c>
      <c r="AZ268">
        <v>1204.63111</v>
      </c>
      <c r="BA268" s="23" t="s">
        <v>12</v>
      </c>
    </row>
    <row r="269" spans="1:53" x14ac:dyDescent="0.25">
      <c r="A269" t="s">
        <v>134</v>
      </c>
      <c r="B269" t="s">
        <v>135</v>
      </c>
      <c r="C269">
        <v>22001873</v>
      </c>
      <c r="D269">
        <v>1204</v>
      </c>
      <c r="E269" s="11">
        <v>44789</v>
      </c>
      <c r="F269" t="s">
        <v>172</v>
      </c>
      <c r="G269" s="25">
        <v>8.06</v>
      </c>
      <c r="H269">
        <v>8.06</v>
      </c>
      <c r="I269" t="s">
        <v>56</v>
      </c>
      <c r="O269" t="s">
        <v>57</v>
      </c>
      <c r="Q269" t="s">
        <v>57</v>
      </c>
      <c r="R269" t="s">
        <v>137</v>
      </c>
      <c r="T269" t="s">
        <v>59</v>
      </c>
      <c r="U269" t="s">
        <v>60</v>
      </c>
      <c r="V269" t="s">
        <v>138</v>
      </c>
      <c r="W269" t="s">
        <v>139</v>
      </c>
      <c r="X269">
        <v>1933167</v>
      </c>
      <c r="Y269" s="11">
        <v>44789</v>
      </c>
      <c r="Z269" t="s">
        <v>57</v>
      </c>
      <c r="AA269">
        <v>2</v>
      </c>
      <c r="AB269" t="s">
        <v>57</v>
      </c>
      <c r="AD269" t="s">
        <v>57</v>
      </c>
      <c r="AE269" t="s">
        <v>57</v>
      </c>
      <c r="AF269" t="s">
        <v>57</v>
      </c>
      <c r="AG269">
        <v>1</v>
      </c>
      <c r="AH269" t="s">
        <v>57</v>
      </c>
      <c r="AL269" t="s">
        <v>57</v>
      </c>
      <c r="AM269" s="11">
        <v>44789</v>
      </c>
      <c r="AN269" t="s">
        <v>173</v>
      </c>
      <c r="AO269" t="s">
        <v>65</v>
      </c>
      <c r="AP269">
        <v>1204</v>
      </c>
      <c r="AQ269" t="s">
        <v>66</v>
      </c>
      <c r="AR269">
        <v>279991</v>
      </c>
      <c r="AU269" t="s">
        <v>57</v>
      </c>
      <c r="AV269" t="s">
        <v>68</v>
      </c>
      <c r="AX269" t="s">
        <v>57</v>
      </c>
      <c r="AY269">
        <v>631110</v>
      </c>
      <c r="AZ269">
        <v>1204.63111</v>
      </c>
      <c r="BA269" s="23" t="s">
        <v>12</v>
      </c>
    </row>
    <row r="270" spans="1:53" x14ac:dyDescent="0.25">
      <c r="A270" t="s">
        <v>134</v>
      </c>
      <c r="B270" t="s">
        <v>135</v>
      </c>
      <c r="C270">
        <v>22001879</v>
      </c>
      <c r="D270">
        <v>1204</v>
      </c>
      <c r="E270" s="11">
        <v>44791</v>
      </c>
      <c r="F270" t="s">
        <v>172</v>
      </c>
      <c r="G270" s="25">
        <v>8.06</v>
      </c>
      <c r="H270">
        <v>8.06</v>
      </c>
      <c r="I270" t="s">
        <v>56</v>
      </c>
      <c r="O270" t="s">
        <v>57</v>
      </c>
      <c r="Q270" t="s">
        <v>57</v>
      </c>
      <c r="R270" t="s">
        <v>137</v>
      </c>
      <c r="T270" t="s">
        <v>59</v>
      </c>
      <c r="U270" t="s">
        <v>60</v>
      </c>
      <c r="V270" t="s">
        <v>138</v>
      </c>
      <c r="W270" t="s">
        <v>139</v>
      </c>
      <c r="X270">
        <v>1933535</v>
      </c>
      <c r="Y270" s="11">
        <v>44791</v>
      </c>
      <c r="Z270" t="s">
        <v>57</v>
      </c>
      <c r="AA270">
        <v>6</v>
      </c>
      <c r="AB270" t="s">
        <v>57</v>
      </c>
      <c r="AD270" t="s">
        <v>57</v>
      </c>
      <c r="AE270" t="s">
        <v>57</v>
      </c>
      <c r="AF270" t="s">
        <v>57</v>
      </c>
      <c r="AG270">
        <v>1</v>
      </c>
      <c r="AH270" t="s">
        <v>57</v>
      </c>
      <c r="AL270" t="s">
        <v>57</v>
      </c>
      <c r="AM270" s="11">
        <v>44791</v>
      </c>
      <c r="AN270" t="s">
        <v>173</v>
      </c>
      <c r="AO270" t="s">
        <v>65</v>
      </c>
      <c r="AP270">
        <v>1204</v>
      </c>
      <c r="AQ270" t="s">
        <v>66</v>
      </c>
      <c r="AR270">
        <v>279991</v>
      </c>
      <c r="AU270" t="s">
        <v>57</v>
      </c>
      <c r="AV270" t="s">
        <v>68</v>
      </c>
      <c r="AX270" t="s">
        <v>57</v>
      </c>
      <c r="AY270">
        <v>631110</v>
      </c>
      <c r="AZ270">
        <v>1204.63111</v>
      </c>
      <c r="BA270" s="23" t="s">
        <v>12</v>
      </c>
    </row>
    <row r="271" spans="1:53" x14ac:dyDescent="0.25">
      <c r="A271" t="s">
        <v>134</v>
      </c>
      <c r="B271" t="s">
        <v>135</v>
      </c>
      <c r="C271">
        <v>22001879</v>
      </c>
      <c r="D271">
        <v>1204</v>
      </c>
      <c r="E271" s="11">
        <v>44791</v>
      </c>
      <c r="F271" t="s">
        <v>172</v>
      </c>
      <c r="G271" s="25">
        <v>8.06</v>
      </c>
      <c r="H271">
        <v>8.06</v>
      </c>
      <c r="I271" t="s">
        <v>56</v>
      </c>
      <c r="O271" t="s">
        <v>57</v>
      </c>
      <c r="Q271" t="s">
        <v>57</v>
      </c>
      <c r="R271" t="s">
        <v>137</v>
      </c>
      <c r="T271" t="s">
        <v>59</v>
      </c>
      <c r="U271" t="s">
        <v>60</v>
      </c>
      <c r="V271" t="s">
        <v>138</v>
      </c>
      <c r="W271" t="s">
        <v>139</v>
      </c>
      <c r="X271">
        <v>1933535</v>
      </c>
      <c r="Y271" s="11">
        <v>44791</v>
      </c>
      <c r="Z271" t="s">
        <v>57</v>
      </c>
      <c r="AA271">
        <v>2</v>
      </c>
      <c r="AB271" t="s">
        <v>57</v>
      </c>
      <c r="AD271" t="s">
        <v>57</v>
      </c>
      <c r="AE271" t="s">
        <v>57</v>
      </c>
      <c r="AF271" t="s">
        <v>57</v>
      </c>
      <c r="AG271">
        <v>1</v>
      </c>
      <c r="AH271" t="s">
        <v>57</v>
      </c>
      <c r="AL271" t="s">
        <v>57</v>
      </c>
      <c r="AM271" s="11">
        <v>44791</v>
      </c>
      <c r="AN271" t="s">
        <v>173</v>
      </c>
      <c r="AO271" t="s">
        <v>65</v>
      </c>
      <c r="AP271">
        <v>1204</v>
      </c>
      <c r="AQ271" t="s">
        <v>66</v>
      </c>
      <c r="AR271">
        <v>279991</v>
      </c>
      <c r="AU271" t="s">
        <v>57</v>
      </c>
      <c r="AV271" t="s">
        <v>68</v>
      </c>
      <c r="AX271" t="s">
        <v>57</v>
      </c>
      <c r="AY271">
        <v>631110</v>
      </c>
      <c r="AZ271">
        <v>1204.63111</v>
      </c>
      <c r="BA271" s="23" t="s">
        <v>12</v>
      </c>
    </row>
    <row r="272" spans="1:53" x14ac:dyDescent="0.25">
      <c r="A272" t="s">
        <v>134</v>
      </c>
      <c r="B272" t="s">
        <v>135</v>
      </c>
      <c r="C272">
        <v>22001888</v>
      </c>
      <c r="D272">
        <v>1204</v>
      </c>
      <c r="E272" s="11">
        <v>44792</v>
      </c>
      <c r="F272" t="s">
        <v>172</v>
      </c>
      <c r="G272" s="25">
        <v>8.06</v>
      </c>
      <c r="H272">
        <v>8.06</v>
      </c>
      <c r="I272" t="s">
        <v>56</v>
      </c>
      <c r="O272" t="s">
        <v>57</v>
      </c>
      <c r="Q272" t="s">
        <v>57</v>
      </c>
      <c r="R272" t="s">
        <v>137</v>
      </c>
      <c r="T272" t="s">
        <v>59</v>
      </c>
      <c r="U272" t="s">
        <v>60</v>
      </c>
      <c r="V272" t="s">
        <v>138</v>
      </c>
      <c r="W272" t="s">
        <v>139</v>
      </c>
      <c r="X272">
        <v>1934035</v>
      </c>
      <c r="Y272" s="11">
        <v>44792</v>
      </c>
      <c r="Z272" t="s">
        <v>57</v>
      </c>
      <c r="AA272">
        <v>2</v>
      </c>
      <c r="AB272" t="s">
        <v>57</v>
      </c>
      <c r="AD272" t="s">
        <v>57</v>
      </c>
      <c r="AE272" t="s">
        <v>57</v>
      </c>
      <c r="AF272" t="s">
        <v>57</v>
      </c>
      <c r="AG272">
        <v>1</v>
      </c>
      <c r="AH272" t="s">
        <v>57</v>
      </c>
      <c r="AL272" t="s">
        <v>57</v>
      </c>
      <c r="AM272" s="11">
        <v>44792</v>
      </c>
      <c r="AN272" t="s">
        <v>173</v>
      </c>
      <c r="AO272" t="s">
        <v>65</v>
      </c>
      <c r="AP272">
        <v>1204</v>
      </c>
      <c r="AQ272" t="s">
        <v>66</v>
      </c>
      <c r="AR272">
        <v>279991</v>
      </c>
      <c r="AU272" t="s">
        <v>57</v>
      </c>
      <c r="AV272" t="s">
        <v>68</v>
      </c>
      <c r="AX272" t="s">
        <v>57</v>
      </c>
      <c r="AY272">
        <v>631110</v>
      </c>
      <c r="AZ272">
        <v>1204.63111</v>
      </c>
      <c r="BA272" s="23" t="s">
        <v>12</v>
      </c>
    </row>
    <row r="273" spans="1:53" x14ac:dyDescent="0.25">
      <c r="A273" t="s">
        <v>134</v>
      </c>
      <c r="B273" t="s">
        <v>135</v>
      </c>
      <c r="C273">
        <v>22001894</v>
      </c>
      <c r="D273">
        <v>1204</v>
      </c>
      <c r="E273" s="11">
        <v>44795</v>
      </c>
      <c r="F273" t="s">
        <v>172</v>
      </c>
      <c r="G273" s="25">
        <v>8.06</v>
      </c>
      <c r="H273">
        <v>8.06</v>
      </c>
      <c r="I273" t="s">
        <v>56</v>
      </c>
      <c r="O273" t="s">
        <v>57</v>
      </c>
      <c r="Q273" t="s">
        <v>57</v>
      </c>
      <c r="R273" t="s">
        <v>137</v>
      </c>
      <c r="T273" t="s">
        <v>59</v>
      </c>
      <c r="U273" t="s">
        <v>60</v>
      </c>
      <c r="V273" t="s">
        <v>138</v>
      </c>
      <c r="W273" t="s">
        <v>139</v>
      </c>
      <c r="X273">
        <v>1934181</v>
      </c>
      <c r="Y273" s="11">
        <v>44795</v>
      </c>
      <c r="Z273" t="s">
        <v>57</v>
      </c>
      <c r="AA273">
        <v>2</v>
      </c>
      <c r="AB273" t="s">
        <v>57</v>
      </c>
      <c r="AD273" t="s">
        <v>57</v>
      </c>
      <c r="AE273" t="s">
        <v>57</v>
      </c>
      <c r="AF273" t="s">
        <v>57</v>
      </c>
      <c r="AG273">
        <v>1</v>
      </c>
      <c r="AH273" t="s">
        <v>57</v>
      </c>
      <c r="AL273" t="s">
        <v>57</v>
      </c>
      <c r="AM273" s="11">
        <v>44795</v>
      </c>
      <c r="AN273" t="s">
        <v>173</v>
      </c>
      <c r="AO273" t="s">
        <v>65</v>
      </c>
      <c r="AP273">
        <v>1204</v>
      </c>
      <c r="AQ273" t="s">
        <v>66</v>
      </c>
      <c r="AR273">
        <v>279991</v>
      </c>
      <c r="AU273" t="s">
        <v>57</v>
      </c>
      <c r="AV273" t="s">
        <v>68</v>
      </c>
      <c r="AX273" t="s">
        <v>57</v>
      </c>
      <c r="AY273">
        <v>631110</v>
      </c>
      <c r="AZ273">
        <v>1204.63111</v>
      </c>
      <c r="BA273" s="23" t="s">
        <v>12</v>
      </c>
    </row>
    <row r="274" spans="1:53" x14ac:dyDescent="0.25">
      <c r="A274" t="s">
        <v>134</v>
      </c>
      <c r="B274" t="s">
        <v>135</v>
      </c>
      <c r="C274">
        <v>22001807</v>
      </c>
      <c r="D274">
        <v>1204</v>
      </c>
      <c r="E274" s="11">
        <v>44776</v>
      </c>
      <c r="F274" t="s">
        <v>159</v>
      </c>
      <c r="G274" s="25">
        <v>8.2200000000000006</v>
      </c>
      <c r="H274">
        <v>8.2200000000000006</v>
      </c>
      <c r="I274" t="s">
        <v>56</v>
      </c>
      <c r="O274" t="s">
        <v>57</v>
      </c>
      <c r="Q274" t="s">
        <v>57</v>
      </c>
      <c r="R274" t="s">
        <v>137</v>
      </c>
      <c r="T274" t="s">
        <v>59</v>
      </c>
      <c r="U274" t="s">
        <v>60</v>
      </c>
      <c r="V274" t="s">
        <v>138</v>
      </c>
      <c r="W274" t="s">
        <v>139</v>
      </c>
      <c r="X274">
        <v>1926830</v>
      </c>
      <c r="Y274" s="11">
        <v>44776</v>
      </c>
      <c r="Z274" t="s">
        <v>57</v>
      </c>
      <c r="AA274">
        <v>8</v>
      </c>
      <c r="AB274" t="s">
        <v>57</v>
      </c>
      <c r="AD274" t="s">
        <v>57</v>
      </c>
      <c r="AE274" t="s">
        <v>57</v>
      </c>
      <c r="AF274" t="s">
        <v>57</v>
      </c>
      <c r="AG274">
        <v>12</v>
      </c>
      <c r="AH274" t="s">
        <v>57</v>
      </c>
      <c r="AL274" t="s">
        <v>57</v>
      </c>
      <c r="AM274" s="11">
        <v>44776</v>
      </c>
      <c r="AN274" t="s">
        <v>173</v>
      </c>
      <c r="AO274" t="s">
        <v>65</v>
      </c>
      <c r="AP274">
        <v>1204</v>
      </c>
      <c r="AQ274" t="s">
        <v>66</v>
      </c>
      <c r="AR274">
        <v>88732</v>
      </c>
      <c r="AU274" t="s">
        <v>57</v>
      </c>
      <c r="AV274" t="s">
        <v>68</v>
      </c>
      <c r="AX274" t="s">
        <v>57</v>
      </c>
      <c r="AY274">
        <v>631110</v>
      </c>
      <c r="AZ274">
        <v>1204.63111</v>
      </c>
      <c r="BA274" s="23" t="s">
        <v>12</v>
      </c>
    </row>
    <row r="275" spans="1:53" x14ac:dyDescent="0.25">
      <c r="A275" t="s">
        <v>134</v>
      </c>
      <c r="B275" t="s">
        <v>135</v>
      </c>
      <c r="C275">
        <v>22001869</v>
      </c>
      <c r="D275">
        <v>1204</v>
      </c>
      <c r="E275" s="11">
        <v>44788</v>
      </c>
      <c r="F275" t="s">
        <v>159</v>
      </c>
      <c r="G275" s="25">
        <v>8.2200000000000006</v>
      </c>
      <c r="H275">
        <v>8.2200000000000006</v>
      </c>
      <c r="I275" t="s">
        <v>56</v>
      </c>
      <c r="O275" t="s">
        <v>57</v>
      </c>
      <c r="Q275" t="s">
        <v>57</v>
      </c>
      <c r="R275" t="s">
        <v>137</v>
      </c>
      <c r="T275" t="s">
        <v>59</v>
      </c>
      <c r="U275" t="s">
        <v>60</v>
      </c>
      <c r="V275" t="s">
        <v>138</v>
      </c>
      <c r="W275" t="s">
        <v>139</v>
      </c>
      <c r="X275">
        <v>1932302</v>
      </c>
      <c r="Y275" s="11">
        <v>44788</v>
      </c>
      <c r="Z275" t="s">
        <v>57</v>
      </c>
      <c r="AA275">
        <v>6</v>
      </c>
      <c r="AB275" t="s">
        <v>57</v>
      </c>
      <c r="AD275" t="s">
        <v>57</v>
      </c>
      <c r="AE275" t="s">
        <v>57</v>
      </c>
      <c r="AF275" t="s">
        <v>57</v>
      </c>
      <c r="AG275">
        <v>12</v>
      </c>
      <c r="AH275" t="s">
        <v>57</v>
      </c>
      <c r="AL275" t="s">
        <v>57</v>
      </c>
      <c r="AM275" s="11">
        <v>44788</v>
      </c>
      <c r="AN275" t="s">
        <v>173</v>
      </c>
      <c r="AO275" t="s">
        <v>65</v>
      </c>
      <c r="AP275">
        <v>1204</v>
      </c>
      <c r="AQ275" t="s">
        <v>66</v>
      </c>
      <c r="AR275">
        <v>88732</v>
      </c>
      <c r="AU275" t="s">
        <v>57</v>
      </c>
      <c r="AV275" t="s">
        <v>68</v>
      </c>
      <c r="AX275" t="s">
        <v>57</v>
      </c>
      <c r="AY275">
        <v>631110</v>
      </c>
      <c r="AZ275">
        <v>1204.63111</v>
      </c>
      <c r="BA275" s="23" t="s">
        <v>12</v>
      </c>
    </row>
    <row r="276" spans="1:53" x14ac:dyDescent="0.25">
      <c r="A276" t="s">
        <v>134</v>
      </c>
      <c r="B276" t="s">
        <v>135</v>
      </c>
      <c r="C276">
        <v>22001783</v>
      </c>
      <c r="D276">
        <v>1204</v>
      </c>
      <c r="E276" s="11">
        <v>44774</v>
      </c>
      <c r="F276" t="s">
        <v>172</v>
      </c>
      <c r="G276" s="25">
        <v>8.25</v>
      </c>
      <c r="H276">
        <v>8.25</v>
      </c>
      <c r="I276" t="s">
        <v>56</v>
      </c>
      <c r="O276" t="s">
        <v>57</v>
      </c>
      <c r="Q276" t="s">
        <v>57</v>
      </c>
      <c r="R276" t="s">
        <v>137</v>
      </c>
      <c r="T276" t="s">
        <v>59</v>
      </c>
      <c r="U276" t="s">
        <v>60</v>
      </c>
      <c r="V276" t="s">
        <v>138</v>
      </c>
      <c r="W276" t="s">
        <v>139</v>
      </c>
      <c r="X276">
        <v>1925466</v>
      </c>
      <c r="Y276" s="11">
        <v>44774</v>
      </c>
      <c r="Z276" t="s">
        <v>57</v>
      </c>
      <c r="AA276">
        <v>6</v>
      </c>
      <c r="AB276" t="s">
        <v>57</v>
      </c>
      <c r="AD276" t="s">
        <v>57</v>
      </c>
      <c r="AE276" t="s">
        <v>57</v>
      </c>
      <c r="AF276" t="s">
        <v>57</v>
      </c>
      <c r="AG276">
        <v>1</v>
      </c>
      <c r="AH276" t="s">
        <v>57</v>
      </c>
      <c r="AL276" t="s">
        <v>57</v>
      </c>
      <c r="AM276" s="11">
        <v>44774</v>
      </c>
      <c r="AN276" t="s">
        <v>173</v>
      </c>
      <c r="AO276" t="s">
        <v>65</v>
      </c>
      <c r="AP276">
        <v>1204</v>
      </c>
      <c r="AQ276" t="s">
        <v>66</v>
      </c>
      <c r="AR276">
        <v>279991</v>
      </c>
      <c r="AU276" t="s">
        <v>57</v>
      </c>
      <c r="AV276" t="s">
        <v>68</v>
      </c>
      <c r="AX276" t="s">
        <v>57</v>
      </c>
      <c r="AY276">
        <v>631110</v>
      </c>
      <c r="AZ276">
        <v>1204.63111</v>
      </c>
      <c r="BA276" s="23" t="s">
        <v>12</v>
      </c>
    </row>
    <row r="277" spans="1:53" x14ac:dyDescent="0.25">
      <c r="A277" t="s">
        <v>134</v>
      </c>
      <c r="B277" t="s">
        <v>135</v>
      </c>
      <c r="C277">
        <v>22001812</v>
      </c>
      <c r="D277">
        <v>1204</v>
      </c>
      <c r="E277" s="11">
        <v>44777</v>
      </c>
      <c r="F277" t="s">
        <v>172</v>
      </c>
      <c r="G277" s="25">
        <v>8.25</v>
      </c>
      <c r="H277">
        <v>8.25</v>
      </c>
      <c r="I277" t="s">
        <v>56</v>
      </c>
      <c r="O277" t="s">
        <v>57</v>
      </c>
      <c r="Q277" t="s">
        <v>57</v>
      </c>
      <c r="R277" t="s">
        <v>137</v>
      </c>
      <c r="T277" t="s">
        <v>59</v>
      </c>
      <c r="U277" t="s">
        <v>60</v>
      </c>
      <c r="V277" t="s">
        <v>138</v>
      </c>
      <c r="W277" t="s">
        <v>139</v>
      </c>
      <c r="X277">
        <v>1927629</v>
      </c>
      <c r="Y277" s="11">
        <v>44777</v>
      </c>
      <c r="Z277" t="s">
        <v>57</v>
      </c>
      <c r="AA277">
        <v>2</v>
      </c>
      <c r="AB277" t="s">
        <v>57</v>
      </c>
      <c r="AD277" t="s">
        <v>57</v>
      </c>
      <c r="AE277" t="s">
        <v>57</v>
      </c>
      <c r="AF277" t="s">
        <v>57</v>
      </c>
      <c r="AG277">
        <v>1</v>
      </c>
      <c r="AH277" t="s">
        <v>57</v>
      </c>
      <c r="AL277" t="s">
        <v>57</v>
      </c>
      <c r="AM277" s="11">
        <v>44777</v>
      </c>
      <c r="AN277" t="s">
        <v>173</v>
      </c>
      <c r="AO277" t="s">
        <v>65</v>
      </c>
      <c r="AP277">
        <v>1204</v>
      </c>
      <c r="AQ277" t="s">
        <v>66</v>
      </c>
      <c r="AR277">
        <v>279991</v>
      </c>
      <c r="AU277" t="s">
        <v>57</v>
      </c>
      <c r="AV277" t="s">
        <v>68</v>
      </c>
      <c r="AX277" t="s">
        <v>57</v>
      </c>
      <c r="AY277">
        <v>631110</v>
      </c>
      <c r="AZ277">
        <v>1204.63111</v>
      </c>
      <c r="BA277" s="23" t="s">
        <v>12</v>
      </c>
    </row>
    <row r="278" spans="1:53" x14ac:dyDescent="0.25">
      <c r="A278" t="s">
        <v>134</v>
      </c>
      <c r="B278" t="s">
        <v>135</v>
      </c>
      <c r="C278">
        <v>22001849</v>
      </c>
      <c r="D278">
        <v>1204</v>
      </c>
      <c r="E278" s="11">
        <v>44784</v>
      </c>
      <c r="F278" t="s">
        <v>174</v>
      </c>
      <c r="G278" s="25">
        <v>8.3000000000000007</v>
      </c>
      <c r="H278">
        <v>8.3000000000000007</v>
      </c>
      <c r="I278" t="s">
        <v>56</v>
      </c>
      <c r="O278" t="s">
        <v>57</v>
      </c>
      <c r="Q278" t="s">
        <v>57</v>
      </c>
      <c r="R278" t="s">
        <v>137</v>
      </c>
      <c r="T278" t="s">
        <v>59</v>
      </c>
      <c r="U278" t="s">
        <v>60</v>
      </c>
      <c r="V278" t="s">
        <v>138</v>
      </c>
      <c r="W278" t="s">
        <v>139</v>
      </c>
      <c r="X278">
        <v>1930407</v>
      </c>
      <c r="Y278" s="11">
        <v>44784</v>
      </c>
      <c r="Z278" t="s">
        <v>57</v>
      </c>
      <c r="AA278">
        <v>30</v>
      </c>
      <c r="AB278" t="s">
        <v>57</v>
      </c>
      <c r="AD278" t="s">
        <v>57</v>
      </c>
      <c r="AE278" t="s">
        <v>57</v>
      </c>
      <c r="AF278" t="s">
        <v>57</v>
      </c>
      <c r="AG278">
        <v>2</v>
      </c>
      <c r="AH278" t="s">
        <v>57</v>
      </c>
      <c r="AL278" t="s">
        <v>57</v>
      </c>
      <c r="AM278" s="11">
        <v>44784</v>
      </c>
      <c r="AN278" t="s">
        <v>173</v>
      </c>
      <c r="AO278" t="s">
        <v>65</v>
      </c>
      <c r="AP278">
        <v>1204</v>
      </c>
      <c r="AQ278" t="s">
        <v>66</v>
      </c>
      <c r="AR278">
        <v>210193</v>
      </c>
      <c r="AU278" t="s">
        <v>57</v>
      </c>
      <c r="AV278" t="s">
        <v>68</v>
      </c>
      <c r="AX278" t="s">
        <v>57</v>
      </c>
      <c r="AY278">
        <v>631110</v>
      </c>
      <c r="AZ278">
        <v>1204.63111</v>
      </c>
      <c r="BA278" s="23" t="s">
        <v>12</v>
      </c>
    </row>
    <row r="279" spans="1:53" x14ac:dyDescent="0.25">
      <c r="A279" t="s">
        <v>134</v>
      </c>
      <c r="B279" t="s">
        <v>135</v>
      </c>
      <c r="C279">
        <v>22001842</v>
      </c>
      <c r="D279">
        <v>1204</v>
      </c>
      <c r="E279" s="11">
        <v>44783</v>
      </c>
      <c r="F279" t="s">
        <v>174</v>
      </c>
      <c r="G279" s="25">
        <v>8.6</v>
      </c>
      <c r="H279">
        <v>8.6</v>
      </c>
      <c r="I279" t="s">
        <v>56</v>
      </c>
      <c r="O279" t="s">
        <v>57</v>
      </c>
      <c r="Q279" t="s">
        <v>57</v>
      </c>
      <c r="R279" t="s">
        <v>137</v>
      </c>
      <c r="T279" t="s">
        <v>59</v>
      </c>
      <c r="U279" t="s">
        <v>60</v>
      </c>
      <c r="V279" t="s">
        <v>138</v>
      </c>
      <c r="W279" t="s">
        <v>139</v>
      </c>
      <c r="X279">
        <v>1930268</v>
      </c>
      <c r="Y279" s="11">
        <v>44783</v>
      </c>
      <c r="Z279" t="s">
        <v>57</v>
      </c>
      <c r="AA279">
        <v>26</v>
      </c>
      <c r="AB279" t="s">
        <v>57</v>
      </c>
      <c r="AD279" t="s">
        <v>57</v>
      </c>
      <c r="AE279" t="s">
        <v>57</v>
      </c>
      <c r="AF279" t="s">
        <v>57</v>
      </c>
      <c r="AG279">
        <v>1</v>
      </c>
      <c r="AH279" t="s">
        <v>57</v>
      </c>
      <c r="AL279" t="s">
        <v>57</v>
      </c>
      <c r="AM279" s="11">
        <v>44783</v>
      </c>
      <c r="AN279" t="s">
        <v>173</v>
      </c>
      <c r="AO279" t="s">
        <v>65</v>
      </c>
      <c r="AP279">
        <v>1204</v>
      </c>
      <c r="AQ279" t="s">
        <v>66</v>
      </c>
      <c r="AR279">
        <v>214845</v>
      </c>
      <c r="AU279" t="s">
        <v>57</v>
      </c>
      <c r="AV279" t="s">
        <v>68</v>
      </c>
      <c r="AX279" t="s">
        <v>57</v>
      </c>
      <c r="AY279">
        <v>631110</v>
      </c>
      <c r="AZ279">
        <v>1204.63111</v>
      </c>
      <c r="BA279" s="23" t="s">
        <v>12</v>
      </c>
    </row>
    <row r="280" spans="1:53" x14ac:dyDescent="0.25">
      <c r="A280" t="s">
        <v>134</v>
      </c>
      <c r="B280" t="s">
        <v>135</v>
      </c>
      <c r="C280">
        <v>22001829</v>
      </c>
      <c r="D280">
        <v>1204</v>
      </c>
      <c r="E280" s="11">
        <v>44778</v>
      </c>
      <c r="F280" t="s">
        <v>175</v>
      </c>
      <c r="G280" s="25">
        <v>8.76</v>
      </c>
      <c r="H280">
        <v>8.76</v>
      </c>
      <c r="I280" t="s">
        <v>56</v>
      </c>
      <c r="O280" t="s">
        <v>57</v>
      </c>
      <c r="Q280" t="s">
        <v>57</v>
      </c>
      <c r="R280" t="s">
        <v>137</v>
      </c>
      <c r="T280" t="s">
        <v>59</v>
      </c>
      <c r="U280" t="s">
        <v>60</v>
      </c>
      <c r="V280" t="s">
        <v>138</v>
      </c>
      <c r="W280" t="s">
        <v>139</v>
      </c>
      <c r="X280">
        <v>1928767</v>
      </c>
      <c r="Y280" s="11">
        <v>44778</v>
      </c>
      <c r="Z280" t="s">
        <v>57</v>
      </c>
      <c r="AA280">
        <v>10</v>
      </c>
      <c r="AB280" t="s">
        <v>57</v>
      </c>
      <c r="AD280" t="s">
        <v>57</v>
      </c>
      <c r="AE280" t="s">
        <v>57</v>
      </c>
      <c r="AF280" t="s">
        <v>57</v>
      </c>
      <c r="AG280">
        <v>24</v>
      </c>
      <c r="AH280" t="s">
        <v>57</v>
      </c>
      <c r="AL280" t="s">
        <v>57</v>
      </c>
      <c r="AM280" s="11">
        <v>44778</v>
      </c>
      <c r="AN280" t="s">
        <v>176</v>
      </c>
      <c r="AO280" t="s">
        <v>65</v>
      </c>
      <c r="AP280">
        <v>1204</v>
      </c>
      <c r="AQ280" t="s">
        <v>66</v>
      </c>
      <c r="AR280">
        <v>91011</v>
      </c>
      <c r="AU280" t="s">
        <v>57</v>
      </c>
      <c r="AV280" t="s">
        <v>68</v>
      </c>
      <c r="AX280" t="s">
        <v>57</v>
      </c>
      <c r="AY280">
        <v>631110</v>
      </c>
      <c r="AZ280">
        <v>1204.63111</v>
      </c>
      <c r="BA280" s="23" t="s">
        <v>12</v>
      </c>
    </row>
    <row r="281" spans="1:53" x14ac:dyDescent="0.25">
      <c r="A281" t="s">
        <v>134</v>
      </c>
      <c r="B281" t="s">
        <v>135</v>
      </c>
      <c r="C281">
        <v>22001856</v>
      </c>
      <c r="D281">
        <v>1204</v>
      </c>
      <c r="E281" s="11">
        <v>44785</v>
      </c>
      <c r="F281" t="s">
        <v>177</v>
      </c>
      <c r="G281" s="25">
        <v>9.15</v>
      </c>
      <c r="H281">
        <v>9.15</v>
      </c>
      <c r="I281" t="s">
        <v>56</v>
      </c>
      <c r="O281" t="s">
        <v>57</v>
      </c>
      <c r="Q281" t="s">
        <v>57</v>
      </c>
      <c r="R281" t="s">
        <v>137</v>
      </c>
      <c r="T281" t="s">
        <v>59</v>
      </c>
      <c r="U281" t="s">
        <v>60</v>
      </c>
      <c r="V281" t="s">
        <v>138</v>
      </c>
      <c r="W281" t="s">
        <v>139</v>
      </c>
      <c r="X281">
        <v>1930607</v>
      </c>
      <c r="Y281" s="11">
        <v>44785</v>
      </c>
      <c r="Z281" t="s">
        <v>57</v>
      </c>
      <c r="AA281">
        <v>2</v>
      </c>
      <c r="AB281" t="s">
        <v>57</v>
      </c>
      <c r="AD281" t="s">
        <v>57</v>
      </c>
      <c r="AE281" t="s">
        <v>57</v>
      </c>
      <c r="AF281" t="s">
        <v>57</v>
      </c>
      <c r="AG281">
        <v>16</v>
      </c>
      <c r="AH281" t="s">
        <v>57</v>
      </c>
      <c r="AL281" t="s">
        <v>57</v>
      </c>
      <c r="AM281" s="11">
        <v>44785</v>
      </c>
      <c r="AN281" t="s">
        <v>176</v>
      </c>
      <c r="AO281" t="s">
        <v>65</v>
      </c>
      <c r="AP281">
        <v>1204</v>
      </c>
      <c r="AQ281" t="s">
        <v>66</v>
      </c>
      <c r="AR281">
        <v>265226</v>
      </c>
      <c r="AU281" t="s">
        <v>57</v>
      </c>
      <c r="AV281" t="s">
        <v>68</v>
      </c>
      <c r="AX281" t="s">
        <v>57</v>
      </c>
      <c r="AY281">
        <v>631110</v>
      </c>
      <c r="AZ281">
        <v>1204.63111</v>
      </c>
      <c r="BA281" s="23" t="s">
        <v>12</v>
      </c>
    </row>
    <row r="282" spans="1:53" x14ac:dyDescent="0.25">
      <c r="A282" t="s">
        <v>134</v>
      </c>
      <c r="B282" t="s">
        <v>135</v>
      </c>
      <c r="C282">
        <v>22001871</v>
      </c>
      <c r="D282">
        <v>1204</v>
      </c>
      <c r="E282" s="11">
        <v>44789</v>
      </c>
      <c r="F282" t="s">
        <v>174</v>
      </c>
      <c r="G282" s="25">
        <v>9.41</v>
      </c>
      <c r="H282">
        <v>9.41</v>
      </c>
      <c r="I282" t="s">
        <v>56</v>
      </c>
      <c r="O282" t="s">
        <v>57</v>
      </c>
      <c r="Q282" t="s">
        <v>57</v>
      </c>
      <c r="R282" t="s">
        <v>137</v>
      </c>
      <c r="T282" t="s">
        <v>59</v>
      </c>
      <c r="U282" t="s">
        <v>60</v>
      </c>
      <c r="V282" t="s">
        <v>138</v>
      </c>
      <c r="W282" t="s">
        <v>139</v>
      </c>
      <c r="X282">
        <v>1933046</v>
      </c>
      <c r="Y282" s="11">
        <v>44789</v>
      </c>
      <c r="Z282" t="s">
        <v>57</v>
      </c>
      <c r="AA282">
        <v>18</v>
      </c>
      <c r="AB282" t="s">
        <v>57</v>
      </c>
      <c r="AD282" t="s">
        <v>57</v>
      </c>
      <c r="AE282" t="s">
        <v>57</v>
      </c>
      <c r="AF282" t="s">
        <v>57</v>
      </c>
      <c r="AG282">
        <v>1</v>
      </c>
      <c r="AH282" t="s">
        <v>57</v>
      </c>
      <c r="AL282" t="s">
        <v>57</v>
      </c>
      <c r="AM282" s="11">
        <v>44789</v>
      </c>
      <c r="AN282" t="s">
        <v>173</v>
      </c>
      <c r="AO282" t="s">
        <v>65</v>
      </c>
      <c r="AP282">
        <v>1204</v>
      </c>
      <c r="AQ282" t="s">
        <v>66</v>
      </c>
      <c r="AR282">
        <v>247533</v>
      </c>
      <c r="AU282" t="s">
        <v>57</v>
      </c>
      <c r="AV282" t="s">
        <v>68</v>
      </c>
      <c r="AX282" t="s">
        <v>57</v>
      </c>
      <c r="AY282">
        <v>631110</v>
      </c>
      <c r="AZ282">
        <v>1204.63111</v>
      </c>
      <c r="BA282" s="23" t="s">
        <v>12</v>
      </c>
    </row>
    <row r="283" spans="1:53" x14ac:dyDescent="0.25">
      <c r="A283" t="s">
        <v>134</v>
      </c>
      <c r="B283" t="s">
        <v>135</v>
      </c>
      <c r="C283">
        <v>22001808</v>
      </c>
      <c r="D283">
        <v>1204</v>
      </c>
      <c r="E283" s="11">
        <v>44776</v>
      </c>
      <c r="F283" t="s">
        <v>174</v>
      </c>
      <c r="G283" s="25">
        <v>9.86</v>
      </c>
      <c r="H283">
        <v>9.86</v>
      </c>
      <c r="I283" t="s">
        <v>56</v>
      </c>
      <c r="O283" t="s">
        <v>57</v>
      </c>
      <c r="Q283" t="s">
        <v>57</v>
      </c>
      <c r="R283" t="s">
        <v>137</v>
      </c>
      <c r="T283" t="s">
        <v>59</v>
      </c>
      <c r="U283" t="s">
        <v>60</v>
      </c>
      <c r="V283" t="s">
        <v>138</v>
      </c>
      <c r="W283" t="s">
        <v>139</v>
      </c>
      <c r="X283">
        <v>1926830</v>
      </c>
      <c r="Y283" s="11">
        <v>44776</v>
      </c>
      <c r="Z283" t="s">
        <v>57</v>
      </c>
      <c r="AA283">
        <v>20</v>
      </c>
      <c r="AB283" t="s">
        <v>57</v>
      </c>
      <c r="AD283" t="s">
        <v>57</v>
      </c>
      <c r="AE283" t="s">
        <v>57</v>
      </c>
      <c r="AF283" t="s">
        <v>57</v>
      </c>
      <c r="AG283">
        <v>1</v>
      </c>
      <c r="AH283" t="s">
        <v>57</v>
      </c>
      <c r="AL283" t="s">
        <v>57</v>
      </c>
      <c r="AM283" s="11">
        <v>44776</v>
      </c>
      <c r="AN283" t="s">
        <v>173</v>
      </c>
      <c r="AO283" t="s">
        <v>65</v>
      </c>
      <c r="AP283">
        <v>1204</v>
      </c>
      <c r="AQ283" t="s">
        <v>66</v>
      </c>
      <c r="AR283">
        <v>106095</v>
      </c>
      <c r="AU283" t="s">
        <v>57</v>
      </c>
      <c r="AV283" t="s">
        <v>68</v>
      </c>
      <c r="AX283" t="s">
        <v>57</v>
      </c>
      <c r="AY283">
        <v>631110</v>
      </c>
      <c r="AZ283">
        <v>1204.63111</v>
      </c>
      <c r="BA283" s="23" t="s">
        <v>12</v>
      </c>
    </row>
    <row r="284" spans="1:53" x14ac:dyDescent="0.25">
      <c r="A284" t="s">
        <v>134</v>
      </c>
      <c r="B284" t="s">
        <v>135</v>
      </c>
      <c r="C284">
        <v>22001798</v>
      </c>
      <c r="D284">
        <v>1204</v>
      </c>
      <c r="E284" s="11">
        <v>44774</v>
      </c>
      <c r="F284" t="s">
        <v>175</v>
      </c>
      <c r="G284" s="25">
        <v>10.050000000000001</v>
      </c>
      <c r="H284">
        <v>10.050000000000001</v>
      </c>
      <c r="I284" t="s">
        <v>56</v>
      </c>
      <c r="O284" t="s">
        <v>57</v>
      </c>
      <c r="Q284" t="s">
        <v>57</v>
      </c>
      <c r="R284" t="s">
        <v>137</v>
      </c>
      <c r="T284" t="s">
        <v>59</v>
      </c>
      <c r="U284" t="s">
        <v>60</v>
      </c>
      <c r="V284" t="s">
        <v>138</v>
      </c>
      <c r="W284" t="s">
        <v>139</v>
      </c>
      <c r="X284">
        <v>1925598</v>
      </c>
      <c r="Y284" s="11">
        <v>44774</v>
      </c>
      <c r="Z284" t="s">
        <v>57</v>
      </c>
      <c r="AA284">
        <v>14</v>
      </c>
      <c r="AB284" t="s">
        <v>57</v>
      </c>
      <c r="AD284" t="s">
        <v>57</v>
      </c>
      <c r="AE284" t="s">
        <v>57</v>
      </c>
      <c r="AF284" t="s">
        <v>57</v>
      </c>
      <c r="AG284">
        <v>27</v>
      </c>
      <c r="AH284" t="s">
        <v>57</v>
      </c>
      <c r="AL284" t="s">
        <v>57</v>
      </c>
      <c r="AM284" s="11">
        <v>44774</v>
      </c>
      <c r="AN284" t="s">
        <v>176</v>
      </c>
      <c r="AO284" t="s">
        <v>65</v>
      </c>
      <c r="AP284">
        <v>1204</v>
      </c>
      <c r="AQ284" t="s">
        <v>66</v>
      </c>
      <c r="AR284">
        <v>91011</v>
      </c>
      <c r="AU284" t="s">
        <v>57</v>
      </c>
      <c r="AV284" t="s">
        <v>68</v>
      </c>
      <c r="AX284" t="s">
        <v>57</v>
      </c>
      <c r="AY284">
        <v>631110</v>
      </c>
      <c r="AZ284">
        <v>1204.63111</v>
      </c>
      <c r="BA284" s="23" t="s">
        <v>12</v>
      </c>
    </row>
    <row r="285" spans="1:53" x14ac:dyDescent="0.25">
      <c r="A285" t="s">
        <v>134</v>
      </c>
      <c r="B285" t="s">
        <v>135</v>
      </c>
      <c r="C285">
        <v>22001893</v>
      </c>
      <c r="D285">
        <v>1204</v>
      </c>
      <c r="E285" s="11">
        <v>44792</v>
      </c>
      <c r="F285" t="s">
        <v>175</v>
      </c>
      <c r="G285" s="25">
        <v>10.220000000000001</v>
      </c>
      <c r="H285">
        <v>10.220000000000001</v>
      </c>
      <c r="I285" t="s">
        <v>56</v>
      </c>
      <c r="O285" t="s">
        <v>57</v>
      </c>
      <c r="Q285" t="s">
        <v>57</v>
      </c>
      <c r="R285" t="s">
        <v>137</v>
      </c>
      <c r="T285" t="s">
        <v>59</v>
      </c>
      <c r="U285" t="s">
        <v>60</v>
      </c>
      <c r="V285" t="s">
        <v>138</v>
      </c>
      <c r="W285" t="s">
        <v>139</v>
      </c>
      <c r="X285">
        <v>1934081</v>
      </c>
      <c r="Y285" s="11">
        <v>44792</v>
      </c>
      <c r="Z285" t="s">
        <v>57</v>
      </c>
      <c r="AA285">
        <v>14</v>
      </c>
      <c r="AB285" t="s">
        <v>57</v>
      </c>
      <c r="AD285" t="s">
        <v>57</v>
      </c>
      <c r="AE285" t="s">
        <v>57</v>
      </c>
      <c r="AF285" t="s">
        <v>57</v>
      </c>
      <c r="AG285">
        <v>28</v>
      </c>
      <c r="AH285" t="s">
        <v>57</v>
      </c>
      <c r="AL285" t="s">
        <v>57</v>
      </c>
      <c r="AM285" s="11">
        <v>44792</v>
      </c>
      <c r="AN285" t="s">
        <v>176</v>
      </c>
      <c r="AO285" t="s">
        <v>65</v>
      </c>
      <c r="AP285">
        <v>1204</v>
      </c>
      <c r="AQ285" t="s">
        <v>66</v>
      </c>
      <c r="AR285">
        <v>91011</v>
      </c>
      <c r="AU285" t="s">
        <v>57</v>
      </c>
      <c r="AV285" t="s">
        <v>68</v>
      </c>
      <c r="AX285" t="s">
        <v>57</v>
      </c>
      <c r="AY285">
        <v>631110</v>
      </c>
      <c r="AZ285">
        <v>1204.63111</v>
      </c>
      <c r="BA285" s="23" t="s">
        <v>12</v>
      </c>
    </row>
    <row r="286" spans="1:53" x14ac:dyDescent="0.25">
      <c r="A286" t="s">
        <v>134</v>
      </c>
      <c r="B286" t="s">
        <v>135</v>
      </c>
      <c r="C286">
        <v>22001874</v>
      </c>
      <c r="D286">
        <v>1204</v>
      </c>
      <c r="E286" s="11">
        <v>44789</v>
      </c>
      <c r="F286" t="s">
        <v>135</v>
      </c>
      <c r="G286" s="25">
        <v>10.77</v>
      </c>
      <c r="H286">
        <v>10.77</v>
      </c>
      <c r="I286" t="s">
        <v>56</v>
      </c>
      <c r="O286" t="s">
        <v>57</v>
      </c>
      <c r="Q286" t="s">
        <v>57</v>
      </c>
      <c r="R286" t="s">
        <v>137</v>
      </c>
      <c r="T286" t="s">
        <v>59</v>
      </c>
      <c r="U286" t="s">
        <v>60</v>
      </c>
      <c r="V286" t="s">
        <v>138</v>
      </c>
      <c r="W286" t="s">
        <v>139</v>
      </c>
      <c r="X286">
        <v>1933168</v>
      </c>
      <c r="Y286" s="11">
        <v>44789</v>
      </c>
      <c r="Z286" t="s">
        <v>57</v>
      </c>
      <c r="AA286">
        <v>12</v>
      </c>
      <c r="AB286" t="s">
        <v>57</v>
      </c>
      <c r="AD286" t="s">
        <v>57</v>
      </c>
      <c r="AE286" t="s">
        <v>57</v>
      </c>
      <c r="AF286" t="s">
        <v>57</v>
      </c>
      <c r="AG286">
        <v>70</v>
      </c>
      <c r="AH286" t="s">
        <v>57</v>
      </c>
      <c r="AL286" t="s">
        <v>57</v>
      </c>
      <c r="AM286" s="11">
        <v>44789</v>
      </c>
      <c r="AN286" t="s">
        <v>176</v>
      </c>
      <c r="AO286" t="s">
        <v>65</v>
      </c>
      <c r="AP286">
        <v>1204</v>
      </c>
      <c r="AQ286" t="s">
        <v>66</v>
      </c>
      <c r="AR286">
        <v>147840</v>
      </c>
      <c r="AU286" t="s">
        <v>57</v>
      </c>
      <c r="AV286" t="s">
        <v>68</v>
      </c>
      <c r="AX286" t="s">
        <v>57</v>
      </c>
      <c r="AY286">
        <v>631110</v>
      </c>
      <c r="AZ286">
        <v>1204.63111</v>
      </c>
      <c r="BA286" s="23" t="s">
        <v>12</v>
      </c>
    </row>
    <row r="287" spans="1:53" x14ac:dyDescent="0.25">
      <c r="A287" t="s">
        <v>134</v>
      </c>
      <c r="B287" t="s">
        <v>135</v>
      </c>
      <c r="C287">
        <v>22001891</v>
      </c>
      <c r="D287">
        <v>1204</v>
      </c>
      <c r="E287" s="11">
        <v>44792</v>
      </c>
      <c r="F287" t="s">
        <v>174</v>
      </c>
      <c r="G287" s="25">
        <v>10.77</v>
      </c>
      <c r="H287">
        <v>10.77</v>
      </c>
      <c r="I287" t="s">
        <v>56</v>
      </c>
      <c r="O287" t="s">
        <v>57</v>
      </c>
      <c r="Q287" t="s">
        <v>57</v>
      </c>
      <c r="R287" t="s">
        <v>137</v>
      </c>
      <c r="T287" t="s">
        <v>59</v>
      </c>
      <c r="U287" t="s">
        <v>60</v>
      </c>
      <c r="V287" t="s">
        <v>138</v>
      </c>
      <c r="W287" t="s">
        <v>139</v>
      </c>
      <c r="X287">
        <v>1934076</v>
      </c>
      <c r="Y287" s="11">
        <v>44792</v>
      </c>
      <c r="Z287" t="s">
        <v>57</v>
      </c>
      <c r="AA287">
        <v>14</v>
      </c>
      <c r="AB287" t="s">
        <v>57</v>
      </c>
      <c r="AD287" t="s">
        <v>57</v>
      </c>
      <c r="AE287" t="s">
        <v>57</v>
      </c>
      <c r="AF287" t="s">
        <v>57</v>
      </c>
      <c r="AG287">
        <v>1</v>
      </c>
      <c r="AH287" t="s">
        <v>57</v>
      </c>
      <c r="AL287" t="s">
        <v>57</v>
      </c>
      <c r="AM287" s="11">
        <v>44792</v>
      </c>
      <c r="AN287" t="s">
        <v>173</v>
      </c>
      <c r="AO287" t="s">
        <v>65</v>
      </c>
      <c r="AP287">
        <v>1204</v>
      </c>
      <c r="AQ287" t="s">
        <v>66</v>
      </c>
      <c r="AR287">
        <v>221864</v>
      </c>
      <c r="AU287" t="s">
        <v>57</v>
      </c>
      <c r="AV287" t="s">
        <v>68</v>
      </c>
      <c r="AX287" t="s">
        <v>57</v>
      </c>
      <c r="AY287">
        <v>631110</v>
      </c>
      <c r="AZ287">
        <v>1204.63111</v>
      </c>
      <c r="BA287" s="23" t="s">
        <v>12</v>
      </c>
    </row>
    <row r="288" spans="1:53" x14ac:dyDescent="0.25">
      <c r="A288" t="s">
        <v>134</v>
      </c>
      <c r="B288" t="s">
        <v>135</v>
      </c>
      <c r="C288">
        <v>22001830</v>
      </c>
      <c r="D288">
        <v>1204</v>
      </c>
      <c r="E288" s="11">
        <v>44781</v>
      </c>
      <c r="F288" t="s">
        <v>174</v>
      </c>
      <c r="G288" s="25">
        <v>10.82</v>
      </c>
      <c r="H288">
        <v>10.82</v>
      </c>
      <c r="I288" t="s">
        <v>56</v>
      </c>
      <c r="O288" t="s">
        <v>57</v>
      </c>
      <c r="Q288" t="s">
        <v>57</v>
      </c>
      <c r="R288" t="s">
        <v>137</v>
      </c>
      <c r="T288" t="s">
        <v>59</v>
      </c>
      <c r="U288" t="s">
        <v>60</v>
      </c>
      <c r="V288" t="s">
        <v>138</v>
      </c>
      <c r="W288" t="s">
        <v>139</v>
      </c>
      <c r="X288">
        <v>1928770</v>
      </c>
      <c r="Y288" s="11">
        <v>44781</v>
      </c>
      <c r="Z288" t="s">
        <v>57</v>
      </c>
      <c r="AA288">
        <v>6</v>
      </c>
      <c r="AB288" t="s">
        <v>57</v>
      </c>
      <c r="AD288" t="s">
        <v>57</v>
      </c>
      <c r="AE288" t="s">
        <v>57</v>
      </c>
      <c r="AF288" t="s">
        <v>57</v>
      </c>
      <c r="AG288">
        <v>1</v>
      </c>
      <c r="AH288" t="s">
        <v>57</v>
      </c>
      <c r="AL288" t="s">
        <v>57</v>
      </c>
      <c r="AM288" s="11">
        <v>44781</v>
      </c>
      <c r="AN288" t="s">
        <v>173</v>
      </c>
      <c r="AO288" t="s">
        <v>65</v>
      </c>
      <c r="AP288">
        <v>1204</v>
      </c>
      <c r="AQ288" t="s">
        <v>66</v>
      </c>
      <c r="AR288">
        <v>221864</v>
      </c>
      <c r="AU288" t="s">
        <v>57</v>
      </c>
      <c r="AV288" t="s">
        <v>68</v>
      </c>
      <c r="AX288" t="s">
        <v>57</v>
      </c>
      <c r="AY288">
        <v>631110</v>
      </c>
      <c r="AZ288">
        <v>1204.63111</v>
      </c>
      <c r="BA288" s="23" t="s">
        <v>12</v>
      </c>
    </row>
    <row r="289" spans="1:53" x14ac:dyDescent="0.25">
      <c r="A289" t="s">
        <v>134</v>
      </c>
      <c r="B289" t="s">
        <v>135</v>
      </c>
      <c r="C289">
        <v>22001837</v>
      </c>
      <c r="D289">
        <v>1204</v>
      </c>
      <c r="E289" s="11">
        <v>44782</v>
      </c>
      <c r="F289" t="s">
        <v>174</v>
      </c>
      <c r="G289" s="25">
        <v>10.82</v>
      </c>
      <c r="H289">
        <v>10.82</v>
      </c>
      <c r="I289" t="s">
        <v>56</v>
      </c>
      <c r="O289" t="s">
        <v>57</v>
      </c>
      <c r="Q289" t="s">
        <v>57</v>
      </c>
      <c r="R289" t="s">
        <v>137</v>
      </c>
      <c r="T289" t="s">
        <v>59</v>
      </c>
      <c r="U289" t="s">
        <v>60</v>
      </c>
      <c r="V289" t="s">
        <v>138</v>
      </c>
      <c r="W289" t="s">
        <v>139</v>
      </c>
      <c r="X289">
        <v>1929196</v>
      </c>
      <c r="Y289" s="11">
        <v>44782</v>
      </c>
      <c r="Z289" t="s">
        <v>57</v>
      </c>
      <c r="AA289">
        <v>18</v>
      </c>
      <c r="AB289" t="s">
        <v>57</v>
      </c>
      <c r="AD289" t="s">
        <v>57</v>
      </c>
      <c r="AE289" t="s">
        <v>57</v>
      </c>
      <c r="AF289" t="s">
        <v>57</v>
      </c>
      <c r="AG289">
        <v>1</v>
      </c>
      <c r="AH289" t="s">
        <v>57</v>
      </c>
      <c r="AL289" t="s">
        <v>57</v>
      </c>
      <c r="AM289" s="11">
        <v>44782</v>
      </c>
      <c r="AN289" t="s">
        <v>173</v>
      </c>
      <c r="AO289" t="s">
        <v>65</v>
      </c>
      <c r="AP289">
        <v>1204</v>
      </c>
      <c r="AQ289" t="s">
        <v>66</v>
      </c>
      <c r="AR289">
        <v>221864</v>
      </c>
      <c r="AU289" t="s">
        <v>57</v>
      </c>
      <c r="AV289" t="s">
        <v>68</v>
      </c>
      <c r="AX289" t="s">
        <v>57</v>
      </c>
      <c r="AY289">
        <v>631110</v>
      </c>
      <c r="AZ289">
        <v>1204.63111</v>
      </c>
      <c r="BA289" s="23" t="s">
        <v>12</v>
      </c>
    </row>
    <row r="290" spans="1:53" x14ac:dyDescent="0.25">
      <c r="A290" t="s">
        <v>134</v>
      </c>
      <c r="B290" t="s">
        <v>135</v>
      </c>
      <c r="C290">
        <v>22001837</v>
      </c>
      <c r="D290">
        <v>1204</v>
      </c>
      <c r="E290" s="11">
        <v>44782</v>
      </c>
      <c r="F290" t="s">
        <v>174</v>
      </c>
      <c r="G290" s="25">
        <v>10.82</v>
      </c>
      <c r="H290">
        <v>10.82</v>
      </c>
      <c r="I290" t="s">
        <v>56</v>
      </c>
      <c r="O290" t="s">
        <v>57</v>
      </c>
      <c r="Q290" t="s">
        <v>57</v>
      </c>
      <c r="R290" t="s">
        <v>137</v>
      </c>
      <c r="T290" t="s">
        <v>59</v>
      </c>
      <c r="U290" t="s">
        <v>60</v>
      </c>
      <c r="V290" t="s">
        <v>138</v>
      </c>
      <c r="W290" t="s">
        <v>139</v>
      </c>
      <c r="X290">
        <v>1929196</v>
      </c>
      <c r="Y290" s="11">
        <v>44782</v>
      </c>
      <c r="Z290" t="s">
        <v>57</v>
      </c>
      <c r="AA290">
        <v>22</v>
      </c>
      <c r="AB290" t="s">
        <v>57</v>
      </c>
      <c r="AD290" t="s">
        <v>57</v>
      </c>
      <c r="AE290" t="s">
        <v>57</v>
      </c>
      <c r="AF290" t="s">
        <v>57</v>
      </c>
      <c r="AG290">
        <v>1</v>
      </c>
      <c r="AH290" t="s">
        <v>57</v>
      </c>
      <c r="AL290" t="s">
        <v>57</v>
      </c>
      <c r="AM290" s="11">
        <v>44782</v>
      </c>
      <c r="AN290" t="s">
        <v>173</v>
      </c>
      <c r="AO290" t="s">
        <v>65</v>
      </c>
      <c r="AP290">
        <v>1204</v>
      </c>
      <c r="AQ290" t="s">
        <v>66</v>
      </c>
      <c r="AR290">
        <v>221864</v>
      </c>
      <c r="AU290" t="s">
        <v>57</v>
      </c>
      <c r="AV290" t="s">
        <v>68</v>
      </c>
      <c r="AX290" t="s">
        <v>57</v>
      </c>
      <c r="AY290">
        <v>631110</v>
      </c>
      <c r="AZ290">
        <v>1204.63111</v>
      </c>
      <c r="BA290" s="23" t="s">
        <v>12</v>
      </c>
    </row>
    <row r="291" spans="1:53" x14ac:dyDescent="0.25">
      <c r="A291" t="s">
        <v>134</v>
      </c>
      <c r="B291" t="s">
        <v>135</v>
      </c>
      <c r="C291">
        <v>22001874</v>
      </c>
      <c r="D291">
        <v>1204</v>
      </c>
      <c r="E291" s="11">
        <v>44789</v>
      </c>
      <c r="F291" t="s">
        <v>135</v>
      </c>
      <c r="G291" s="25">
        <v>11.31</v>
      </c>
      <c r="H291">
        <v>11.31</v>
      </c>
      <c r="I291" t="s">
        <v>56</v>
      </c>
      <c r="O291" t="s">
        <v>57</v>
      </c>
      <c r="Q291" t="s">
        <v>57</v>
      </c>
      <c r="R291" t="s">
        <v>137</v>
      </c>
      <c r="T291" t="s">
        <v>59</v>
      </c>
      <c r="U291" t="s">
        <v>60</v>
      </c>
      <c r="V291" t="s">
        <v>138</v>
      </c>
      <c r="W291" t="s">
        <v>139</v>
      </c>
      <c r="X291">
        <v>1933168</v>
      </c>
      <c r="Y291" s="11">
        <v>44789</v>
      </c>
      <c r="Z291" t="s">
        <v>57</v>
      </c>
      <c r="AA291">
        <v>18</v>
      </c>
      <c r="AB291" t="s">
        <v>57</v>
      </c>
      <c r="AD291" t="s">
        <v>57</v>
      </c>
      <c r="AE291" t="s">
        <v>57</v>
      </c>
      <c r="AF291" t="s">
        <v>57</v>
      </c>
      <c r="AG291">
        <v>31</v>
      </c>
      <c r="AH291" t="s">
        <v>57</v>
      </c>
      <c r="AL291" t="s">
        <v>57</v>
      </c>
      <c r="AM291" s="11">
        <v>44789</v>
      </c>
      <c r="AN291" t="s">
        <v>176</v>
      </c>
      <c r="AO291" t="s">
        <v>65</v>
      </c>
      <c r="AP291">
        <v>1204</v>
      </c>
      <c r="AQ291" t="s">
        <v>66</v>
      </c>
      <c r="AR291">
        <v>91011</v>
      </c>
      <c r="AU291" t="s">
        <v>57</v>
      </c>
      <c r="AV291" t="s">
        <v>68</v>
      </c>
      <c r="AX291" t="s">
        <v>57</v>
      </c>
      <c r="AY291">
        <v>631110</v>
      </c>
      <c r="AZ291">
        <v>1204.63111</v>
      </c>
      <c r="BA291" s="23" t="s">
        <v>12</v>
      </c>
    </row>
    <row r="292" spans="1:53" x14ac:dyDescent="0.25">
      <c r="A292" t="s">
        <v>134</v>
      </c>
      <c r="B292" t="s">
        <v>135</v>
      </c>
      <c r="C292">
        <v>22001813</v>
      </c>
      <c r="D292">
        <v>1204</v>
      </c>
      <c r="E292" s="11">
        <v>44777</v>
      </c>
      <c r="F292" t="s">
        <v>174</v>
      </c>
      <c r="G292" s="25">
        <v>11.32</v>
      </c>
      <c r="H292">
        <v>11.32</v>
      </c>
      <c r="I292" t="s">
        <v>56</v>
      </c>
      <c r="O292" t="s">
        <v>57</v>
      </c>
      <c r="Q292" t="s">
        <v>57</v>
      </c>
      <c r="R292" t="s">
        <v>137</v>
      </c>
      <c r="T292" t="s">
        <v>59</v>
      </c>
      <c r="U292" t="s">
        <v>60</v>
      </c>
      <c r="V292" t="s">
        <v>138</v>
      </c>
      <c r="W292" t="s">
        <v>139</v>
      </c>
      <c r="X292">
        <v>1927630</v>
      </c>
      <c r="Y292" s="11">
        <v>44777</v>
      </c>
      <c r="Z292" t="s">
        <v>57</v>
      </c>
      <c r="AA292">
        <v>26</v>
      </c>
      <c r="AB292" t="s">
        <v>57</v>
      </c>
      <c r="AD292" t="s">
        <v>57</v>
      </c>
      <c r="AE292" t="s">
        <v>57</v>
      </c>
      <c r="AF292" t="s">
        <v>57</v>
      </c>
      <c r="AG292">
        <v>3</v>
      </c>
      <c r="AH292" t="s">
        <v>57</v>
      </c>
      <c r="AL292" t="s">
        <v>57</v>
      </c>
      <c r="AM292" s="11">
        <v>44777</v>
      </c>
      <c r="AN292" t="s">
        <v>173</v>
      </c>
      <c r="AO292" t="s">
        <v>65</v>
      </c>
      <c r="AP292">
        <v>1204</v>
      </c>
      <c r="AQ292" t="s">
        <v>66</v>
      </c>
      <c r="AR292">
        <v>209528</v>
      </c>
      <c r="AU292" t="s">
        <v>57</v>
      </c>
      <c r="AV292" t="s">
        <v>68</v>
      </c>
      <c r="AX292" t="s">
        <v>57</v>
      </c>
      <c r="AY292">
        <v>631110</v>
      </c>
      <c r="AZ292">
        <v>1204.63111</v>
      </c>
      <c r="BA292" s="23" t="s">
        <v>12</v>
      </c>
    </row>
    <row r="293" spans="1:53" x14ac:dyDescent="0.25">
      <c r="A293" t="s">
        <v>134</v>
      </c>
      <c r="B293" t="s">
        <v>135</v>
      </c>
      <c r="C293">
        <v>22001867</v>
      </c>
      <c r="D293">
        <v>1204</v>
      </c>
      <c r="E293" s="11">
        <v>44788</v>
      </c>
      <c r="F293" t="s">
        <v>174</v>
      </c>
      <c r="G293" s="25">
        <v>11.81</v>
      </c>
      <c r="H293">
        <v>11.81</v>
      </c>
      <c r="I293" t="s">
        <v>56</v>
      </c>
      <c r="O293" t="s">
        <v>57</v>
      </c>
      <c r="Q293" t="s">
        <v>57</v>
      </c>
      <c r="R293" t="s">
        <v>137</v>
      </c>
      <c r="T293" t="s">
        <v>59</v>
      </c>
      <c r="U293" t="s">
        <v>60</v>
      </c>
      <c r="V293" t="s">
        <v>138</v>
      </c>
      <c r="W293" t="s">
        <v>139</v>
      </c>
      <c r="X293">
        <v>1932108</v>
      </c>
      <c r="Y293" s="11">
        <v>44788</v>
      </c>
      <c r="Z293" t="s">
        <v>57</v>
      </c>
      <c r="AA293">
        <v>2</v>
      </c>
      <c r="AB293" t="s">
        <v>57</v>
      </c>
      <c r="AD293" t="s">
        <v>57</v>
      </c>
      <c r="AE293" t="s">
        <v>57</v>
      </c>
      <c r="AF293" t="s">
        <v>57</v>
      </c>
      <c r="AG293">
        <v>2</v>
      </c>
      <c r="AH293" t="s">
        <v>57</v>
      </c>
      <c r="AL293" t="s">
        <v>57</v>
      </c>
      <c r="AM293" s="11">
        <v>44788</v>
      </c>
      <c r="AN293" t="s">
        <v>173</v>
      </c>
      <c r="AO293" t="s">
        <v>65</v>
      </c>
      <c r="AP293">
        <v>1204</v>
      </c>
      <c r="AQ293" t="s">
        <v>66</v>
      </c>
      <c r="AR293">
        <v>88713</v>
      </c>
      <c r="AU293" t="s">
        <v>57</v>
      </c>
      <c r="AV293" t="s">
        <v>68</v>
      </c>
      <c r="AX293" t="s">
        <v>57</v>
      </c>
      <c r="AY293">
        <v>631110</v>
      </c>
      <c r="AZ293">
        <v>1204.63111</v>
      </c>
      <c r="BA293" s="23" t="s">
        <v>12</v>
      </c>
    </row>
    <row r="294" spans="1:53" x14ac:dyDescent="0.25">
      <c r="A294" t="s">
        <v>134</v>
      </c>
      <c r="B294" t="s">
        <v>135</v>
      </c>
      <c r="C294">
        <v>22001798</v>
      </c>
      <c r="D294">
        <v>1204</v>
      </c>
      <c r="E294" s="11">
        <v>44774</v>
      </c>
      <c r="F294" t="s">
        <v>175</v>
      </c>
      <c r="G294" s="25">
        <v>12.41</v>
      </c>
      <c r="H294">
        <v>12.41</v>
      </c>
      <c r="I294" t="s">
        <v>56</v>
      </c>
      <c r="O294" t="s">
        <v>57</v>
      </c>
      <c r="Q294" t="s">
        <v>57</v>
      </c>
      <c r="R294" t="s">
        <v>137</v>
      </c>
      <c r="T294" t="s">
        <v>59</v>
      </c>
      <c r="U294" t="s">
        <v>60</v>
      </c>
      <c r="V294" t="s">
        <v>138</v>
      </c>
      <c r="W294" t="s">
        <v>139</v>
      </c>
      <c r="X294">
        <v>1925598</v>
      </c>
      <c r="Y294" s="11">
        <v>44774</v>
      </c>
      <c r="Z294" t="s">
        <v>57</v>
      </c>
      <c r="AA294">
        <v>16</v>
      </c>
      <c r="AB294" t="s">
        <v>57</v>
      </c>
      <c r="AD294" t="s">
        <v>57</v>
      </c>
      <c r="AE294" t="s">
        <v>57</v>
      </c>
      <c r="AF294" t="s">
        <v>57</v>
      </c>
      <c r="AG294">
        <v>34</v>
      </c>
      <c r="AH294" t="s">
        <v>57</v>
      </c>
      <c r="AL294" t="s">
        <v>57</v>
      </c>
      <c r="AM294" s="11">
        <v>44774</v>
      </c>
      <c r="AN294" t="s">
        <v>176</v>
      </c>
      <c r="AO294" t="s">
        <v>65</v>
      </c>
      <c r="AP294">
        <v>1204</v>
      </c>
      <c r="AQ294" t="s">
        <v>66</v>
      </c>
      <c r="AR294">
        <v>91011</v>
      </c>
      <c r="AU294" t="s">
        <v>57</v>
      </c>
      <c r="AV294" t="s">
        <v>68</v>
      </c>
      <c r="AX294" t="s">
        <v>57</v>
      </c>
      <c r="AY294">
        <v>631110</v>
      </c>
      <c r="AZ294">
        <v>1204.63111</v>
      </c>
      <c r="BA294" s="23" t="s">
        <v>12</v>
      </c>
    </row>
    <row r="295" spans="1:53" x14ac:dyDescent="0.25">
      <c r="A295" t="s">
        <v>134</v>
      </c>
      <c r="B295" t="s">
        <v>135</v>
      </c>
      <c r="C295">
        <v>22001849</v>
      </c>
      <c r="D295">
        <v>1204</v>
      </c>
      <c r="E295" s="11">
        <v>44784</v>
      </c>
      <c r="F295" t="s">
        <v>174</v>
      </c>
      <c r="G295" s="25">
        <v>12.59</v>
      </c>
      <c r="H295">
        <v>12.59</v>
      </c>
      <c r="I295" t="s">
        <v>56</v>
      </c>
      <c r="O295" t="s">
        <v>57</v>
      </c>
      <c r="Q295" t="s">
        <v>57</v>
      </c>
      <c r="R295" t="s">
        <v>137</v>
      </c>
      <c r="T295" t="s">
        <v>59</v>
      </c>
      <c r="U295" t="s">
        <v>60</v>
      </c>
      <c r="V295" t="s">
        <v>138</v>
      </c>
      <c r="W295" t="s">
        <v>139</v>
      </c>
      <c r="X295">
        <v>1930407</v>
      </c>
      <c r="Y295" s="11">
        <v>44784</v>
      </c>
      <c r="Z295" t="s">
        <v>57</v>
      </c>
      <c r="AA295">
        <v>16</v>
      </c>
      <c r="AB295" t="s">
        <v>57</v>
      </c>
      <c r="AD295" t="s">
        <v>57</v>
      </c>
      <c r="AE295" t="s">
        <v>57</v>
      </c>
      <c r="AF295" t="s">
        <v>57</v>
      </c>
      <c r="AG295">
        <v>1</v>
      </c>
      <c r="AH295" t="s">
        <v>57</v>
      </c>
      <c r="AL295" t="s">
        <v>57</v>
      </c>
      <c r="AM295" s="11">
        <v>44784</v>
      </c>
      <c r="AN295" t="s">
        <v>173</v>
      </c>
      <c r="AO295" t="s">
        <v>65</v>
      </c>
      <c r="AP295">
        <v>1204</v>
      </c>
      <c r="AQ295" t="s">
        <v>66</v>
      </c>
      <c r="AR295">
        <v>219277</v>
      </c>
      <c r="AU295" t="s">
        <v>57</v>
      </c>
      <c r="AV295" t="s">
        <v>68</v>
      </c>
      <c r="AX295" t="s">
        <v>57</v>
      </c>
      <c r="AY295">
        <v>631110</v>
      </c>
      <c r="AZ295">
        <v>1204.63111</v>
      </c>
      <c r="BA295" s="23" t="s">
        <v>12</v>
      </c>
    </row>
    <row r="296" spans="1:53" x14ac:dyDescent="0.25">
      <c r="A296" t="s">
        <v>134</v>
      </c>
      <c r="B296" t="s">
        <v>135</v>
      </c>
      <c r="C296">
        <v>22001801</v>
      </c>
      <c r="D296">
        <v>1204</v>
      </c>
      <c r="E296" s="11">
        <v>44775</v>
      </c>
      <c r="F296" t="s">
        <v>174</v>
      </c>
      <c r="G296" s="25">
        <v>13.49</v>
      </c>
      <c r="H296">
        <v>13.49</v>
      </c>
      <c r="I296" t="s">
        <v>56</v>
      </c>
      <c r="O296" t="s">
        <v>57</v>
      </c>
      <c r="Q296" t="s">
        <v>57</v>
      </c>
      <c r="R296" t="s">
        <v>137</v>
      </c>
      <c r="T296" t="s">
        <v>59</v>
      </c>
      <c r="U296" t="s">
        <v>60</v>
      </c>
      <c r="V296" t="s">
        <v>138</v>
      </c>
      <c r="W296" t="s">
        <v>139</v>
      </c>
      <c r="X296">
        <v>1926653</v>
      </c>
      <c r="Y296" s="11">
        <v>44775</v>
      </c>
      <c r="Z296" t="s">
        <v>57</v>
      </c>
      <c r="AA296">
        <v>2</v>
      </c>
      <c r="AB296" t="s">
        <v>57</v>
      </c>
      <c r="AD296" t="s">
        <v>57</v>
      </c>
      <c r="AE296" t="s">
        <v>57</v>
      </c>
      <c r="AF296" t="s">
        <v>57</v>
      </c>
      <c r="AG296">
        <v>1</v>
      </c>
      <c r="AH296" t="s">
        <v>57</v>
      </c>
      <c r="AL296" t="s">
        <v>57</v>
      </c>
      <c r="AM296" s="11">
        <v>44775</v>
      </c>
      <c r="AN296" t="s">
        <v>173</v>
      </c>
      <c r="AO296" t="s">
        <v>65</v>
      </c>
      <c r="AP296">
        <v>1204</v>
      </c>
      <c r="AQ296" t="s">
        <v>66</v>
      </c>
      <c r="AR296">
        <v>96020</v>
      </c>
      <c r="AU296" t="s">
        <v>57</v>
      </c>
      <c r="AV296" t="s">
        <v>68</v>
      </c>
      <c r="AX296" t="s">
        <v>57</v>
      </c>
      <c r="AY296">
        <v>631110</v>
      </c>
      <c r="AZ296">
        <v>1204.63111</v>
      </c>
      <c r="BA296" s="23" t="s">
        <v>12</v>
      </c>
    </row>
    <row r="297" spans="1:53" x14ac:dyDescent="0.25">
      <c r="A297" t="s">
        <v>134</v>
      </c>
      <c r="B297" t="s">
        <v>135</v>
      </c>
      <c r="C297">
        <v>22001830</v>
      </c>
      <c r="D297">
        <v>1204</v>
      </c>
      <c r="E297" s="11">
        <v>44781</v>
      </c>
      <c r="F297" t="s">
        <v>174</v>
      </c>
      <c r="G297" s="25">
        <v>13.49</v>
      </c>
      <c r="H297">
        <v>13.49</v>
      </c>
      <c r="I297" t="s">
        <v>56</v>
      </c>
      <c r="O297" t="s">
        <v>57</v>
      </c>
      <c r="Q297" t="s">
        <v>57</v>
      </c>
      <c r="R297" t="s">
        <v>137</v>
      </c>
      <c r="T297" t="s">
        <v>59</v>
      </c>
      <c r="U297" t="s">
        <v>60</v>
      </c>
      <c r="V297" t="s">
        <v>138</v>
      </c>
      <c r="W297" t="s">
        <v>139</v>
      </c>
      <c r="X297">
        <v>1928770</v>
      </c>
      <c r="Y297" s="11">
        <v>44781</v>
      </c>
      <c r="Z297" t="s">
        <v>57</v>
      </c>
      <c r="AA297">
        <v>4</v>
      </c>
      <c r="AB297" t="s">
        <v>57</v>
      </c>
      <c r="AD297" t="s">
        <v>57</v>
      </c>
      <c r="AE297" t="s">
        <v>57</v>
      </c>
      <c r="AF297" t="s">
        <v>57</v>
      </c>
      <c r="AG297">
        <v>1</v>
      </c>
      <c r="AH297" t="s">
        <v>57</v>
      </c>
      <c r="AL297" t="s">
        <v>57</v>
      </c>
      <c r="AM297" s="11">
        <v>44781</v>
      </c>
      <c r="AN297" t="s">
        <v>173</v>
      </c>
      <c r="AO297" t="s">
        <v>65</v>
      </c>
      <c r="AP297">
        <v>1204</v>
      </c>
      <c r="AQ297" t="s">
        <v>66</v>
      </c>
      <c r="AR297">
        <v>96020</v>
      </c>
      <c r="AU297" t="s">
        <v>57</v>
      </c>
      <c r="AV297" t="s">
        <v>68</v>
      </c>
      <c r="AX297" t="s">
        <v>57</v>
      </c>
      <c r="AY297">
        <v>631110</v>
      </c>
      <c r="AZ297">
        <v>1204.63111</v>
      </c>
      <c r="BA297" s="23" t="s">
        <v>12</v>
      </c>
    </row>
    <row r="298" spans="1:53" x14ac:dyDescent="0.25">
      <c r="A298" t="s">
        <v>134</v>
      </c>
      <c r="B298" t="s">
        <v>135</v>
      </c>
      <c r="C298">
        <v>22001877</v>
      </c>
      <c r="D298">
        <v>1204</v>
      </c>
      <c r="E298" s="11">
        <v>44791</v>
      </c>
      <c r="F298" t="s">
        <v>174</v>
      </c>
      <c r="G298" s="25">
        <v>13.49</v>
      </c>
      <c r="H298">
        <v>13.49</v>
      </c>
      <c r="I298" t="s">
        <v>56</v>
      </c>
      <c r="O298" t="s">
        <v>57</v>
      </c>
      <c r="Q298" t="s">
        <v>57</v>
      </c>
      <c r="R298" t="s">
        <v>137</v>
      </c>
      <c r="T298" t="s">
        <v>59</v>
      </c>
      <c r="U298" t="s">
        <v>60</v>
      </c>
      <c r="V298" t="s">
        <v>138</v>
      </c>
      <c r="W298" t="s">
        <v>139</v>
      </c>
      <c r="X298">
        <v>1933535</v>
      </c>
      <c r="Y298" s="11">
        <v>44791</v>
      </c>
      <c r="Z298" t="s">
        <v>57</v>
      </c>
      <c r="AA298">
        <v>16</v>
      </c>
      <c r="AB298" t="s">
        <v>57</v>
      </c>
      <c r="AD298" t="s">
        <v>57</v>
      </c>
      <c r="AE298" t="s">
        <v>57</v>
      </c>
      <c r="AF298" t="s">
        <v>57</v>
      </c>
      <c r="AG298">
        <v>1</v>
      </c>
      <c r="AH298" t="s">
        <v>57</v>
      </c>
      <c r="AL298" t="s">
        <v>57</v>
      </c>
      <c r="AM298" s="11">
        <v>44791</v>
      </c>
      <c r="AN298" t="s">
        <v>173</v>
      </c>
      <c r="AO298" t="s">
        <v>65</v>
      </c>
      <c r="AP298">
        <v>1204</v>
      </c>
      <c r="AQ298" t="s">
        <v>66</v>
      </c>
      <c r="AR298">
        <v>96020</v>
      </c>
      <c r="AU298" t="s">
        <v>57</v>
      </c>
      <c r="AV298" t="s">
        <v>68</v>
      </c>
      <c r="AX298" t="s">
        <v>57</v>
      </c>
      <c r="AY298">
        <v>631110</v>
      </c>
      <c r="AZ298">
        <v>1204.63111</v>
      </c>
      <c r="BA298" s="23" t="s">
        <v>12</v>
      </c>
    </row>
    <row r="299" spans="1:53" x14ac:dyDescent="0.25">
      <c r="A299" t="s">
        <v>134</v>
      </c>
      <c r="B299" t="s">
        <v>135</v>
      </c>
      <c r="C299">
        <v>22001815</v>
      </c>
      <c r="D299">
        <v>1204</v>
      </c>
      <c r="E299" s="11">
        <v>44777</v>
      </c>
      <c r="F299" t="s">
        <v>175</v>
      </c>
      <c r="G299" s="25">
        <v>13.5</v>
      </c>
      <c r="H299">
        <v>13.5</v>
      </c>
      <c r="I299" t="s">
        <v>56</v>
      </c>
      <c r="O299" t="s">
        <v>57</v>
      </c>
      <c r="Q299" t="s">
        <v>57</v>
      </c>
      <c r="R299" t="s">
        <v>137</v>
      </c>
      <c r="T299" t="s">
        <v>59</v>
      </c>
      <c r="U299" t="s">
        <v>60</v>
      </c>
      <c r="V299" t="s">
        <v>138</v>
      </c>
      <c r="W299" t="s">
        <v>139</v>
      </c>
      <c r="X299">
        <v>1927634</v>
      </c>
      <c r="Y299" s="11">
        <v>44777</v>
      </c>
      <c r="Z299" t="s">
        <v>57</v>
      </c>
      <c r="AA299">
        <v>12</v>
      </c>
      <c r="AB299" t="s">
        <v>57</v>
      </c>
      <c r="AD299" t="s">
        <v>57</v>
      </c>
      <c r="AE299" t="s">
        <v>57</v>
      </c>
      <c r="AF299" t="s">
        <v>57</v>
      </c>
      <c r="AG299">
        <v>37</v>
      </c>
      <c r="AH299" t="s">
        <v>57</v>
      </c>
      <c r="AL299" t="s">
        <v>57</v>
      </c>
      <c r="AM299" s="11">
        <v>44777</v>
      </c>
      <c r="AN299" t="s">
        <v>176</v>
      </c>
      <c r="AO299" t="s">
        <v>65</v>
      </c>
      <c r="AP299">
        <v>1204</v>
      </c>
      <c r="AQ299" t="s">
        <v>66</v>
      </c>
      <c r="AR299">
        <v>91011</v>
      </c>
      <c r="AU299" t="s">
        <v>57</v>
      </c>
      <c r="AV299" t="s">
        <v>68</v>
      </c>
      <c r="AX299" t="s">
        <v>57</v>
      </c>
      <c r="AY299">
        <v>631110</v>
      </c>
      <c r="AZ299">
        <v>1204.63111</v>
      </c>
      <c r="BA299" s="23" t="s">
        <v>12</v>
      </c>
    </row>
    <row r="300" spans="1:53" x14ac:dyDescent="0.25">
      <c r="A300" t="s">
        <v>134</v>
      </c>
      <c r="B300" t="s">
        <v>135</v>
      </c>
      <c r="C300">
        <v>22001875</v>
      </c>
      <c r="D300">
        <v>1204</v>
      </c>
      <c r="E300" s="11">
        <v>44791</v>
      </c>
      <c r="F300" t="s">
        <v>177</v>
      </c>
      <c r="G300" s="25">
        <v>13.73</v>
      </c>
      <c r="H300">
        <v>13.73</v>
      </c>
      <c r="I300" t="s">
        <v>56</v>
      </c>
      <c r="O300" t="s">
        <v>57</v>
      </c>
      <c r="Q300" t="s">
        <v>57</v>
      </c>
      <c r="R300" t="s">
        <v>137</v>
      </c>
      <c r="T300" t="s">
        <v>59</v>
      </c>
      <c r="U300" t="s">
        <v>60</v>
      </c>
      <c r="V300" t="s">
        <v>138</v>
      </c>
      <c r="W300" t="s">
        <v>139</v>
      </c>
      <c r="X300">
        <v>1933175</v>
      </c>
      <c r="Y300" s="11">
        <v>44791</v>
      </c>
      <c r="Z300" t="s">
        <v>57</v>
      </c>
      <c r="AA300">
        <v>2</v>
      </c>
      <c r="AB300" t="s">
        <v>57</v>
      </c>
      <c r="AD300" t="s">
        <v>57</v>
      </c>
      <c r="AE300" t="s">
        <v>57</v>
      </c>
      <c r="AF300" t="s">
        <v>57</v>
      </c>
      <c r="AG300">
        <v>24</v>
      </c>
      <c r="AH300" t="s">
        <v>57</v>
      </c>
      <c r="AL300" t="s">
        <v>57</v>
      </c>
      <c r="AM300" s="11">
        <v>44791</v>
      </c>
      <c r="AN300" t="s">
        <v>176</v>
      </c>
      <c r="AO300" t="s">
        <v>65</v>
      </c>
      <c r="AP300">
        <v>1204</v>
      </c>
      <c r="AQ300" t="s">
        <v>66</v>
      </c>
      <c r="AR300">
        <v>265226</v>
      </c>
      <c r="AU300" t="s">
        <v>57</v>
      </c>
      <c r="AV300" t="s">
        <v>68</v>
      </c>
      <c r="AX300" t="s">
        <v>57</v>
      </c>
      <c r="AY300">
        <v>631110</v>
      </c>
      <c r="AZ300">
        <v>1204.63111</v>
      </c>
      <c r="BA300" s="23" t="s">
        <v>12</v>
      </c>
    </row>
    <row r="301" spans="1:53" x14ac:dyDescent="0.25">
      <c r="A301" t="s">
        <v>134</v>
      </c>
      <c r="B301" t="s">
        <v>135</v>
      </c>
      <c r="C301">
        <v>22001837</v>
      </c>
      <c r="D301">
        <v>1204</v>
      </c>
      <c r="E301" s="11">
        <v>44782</v>
      </c>
      <c r="F301" t="s">
        <v>174</v>
      </c>
      <c r="G301" s="25">
        <v>13.89</v>
      </c>
      <c r="H301">
        <v>13.89</v>
      </c>
      <c r="I301" t="s">
        <v>56</v>
      </c>
      <c r="O301" t="s">
        <v>57</v>
      </c>
      <c r="Q301" t="s">
        <v>57</v>
      </c>
      <c r="R301" t="s">
        <v>137</v>
      </c>
      <c r="T301" t="s">
        <v>59</v>
      </c>
      <c r="U301" t="s">
        <v>60</v>
      </c>
      <c r="V301" t="s">
        <v>138</v>
      </c>
      <c r="W301" t="s">
        <v>139</v>
      </c>
      <c r="X301">
        <v>1929196</v>
      </c>
      <c r="Y301" s="11">
        <v>44782</v>
      </c>
      <c r="Z301" t="s">
        <v>57</v>
      </c>
      <c r="AA301">
        <v>24</v>
      </c>
      <c r="AB301" t="s">
        <v>57</v>
      </c>
      <c r="AD301" t="s">
        <v>57</v>
      </c>
      <c r="AE301" t="s">
        <v>57</v>
      </c>
      <c r="AF301" t="s">
        <v>57</v>
      </c>
      <c r="AG301">
        <v>1</v>
      </c>
      <c r="AH301" t="s">
        <v>57</v>
      </c>
      <c r="AL301" t="s">
        <v>57</v>
      </c>
      <c r="AM301" s="11">
        <v>44782</v>
      </c>
      <c r="AN301" t="s">
        <v>173</v>
      </c>
      <c r="AO301" t="s">
        <v>65</v>
      </c>
      <c r="AP301">
        <v>1204</v>
      </c>
      <c r="AQ301" t="s">
        <v>66</v>
      </c>
      <c r="AR301">
        <v>93759</v>
      </c>
      <c r="AU301" t="s">
        <v>57</v>
      </c>
      <c r="AV301" t="s">
        <v>68</v>
      </c>
      <c r="AX301" t="s">
        <v>57</v>
      </c>
      <c r="AY301">
        <v>631110</v>
      </c>
      <c r="AZ301">
        <v>1204.63111</v>
      </c>
      <c r="BA301" s="23" t="s">
        <v>12</v>
      </c>
    </row>
    <row r="302" spans="1:53" x14ac:dyDescent="0.25">
      <c r="A302" t="s">
        <v>134</v>
      </c>
      <c r="B302" t="s">
        <v>135</v>
      </c>
      <c r="C302">
        <v>22001808</v>
      </c>
      <c r="D302">
        <v>1204</v>
      </c>
      <c r="E302" s="11">
        <v>44776</v>
      </c>
      <c r="F302" t="s">
        <v>174</v>
      </c>
      <c r="G302" s="25">
        <v>13.9</v>
      </c>
      <c r="H302">
        <v>13.9</v>
      </c>
      <c r="I302" t="s">
        <v>56</v>
      </c>
      <c r="O302" t="s">
        <v>57</v>
      </c>
      <c r="Q302" t="s">
        <v>57</v>
      </c>
      <c r="R302" t="s">
        <v>137</v>
      </c>
      <c r="T302" t="s">
        <v>59</v>
      </c>
      <c r="U302" t="s">
        <v>60</v>
      </c>
      <c r="V302" t="s">
        <v>138</v>
      </c>
      <c r="W302" t="s">
        <v>139</v>
      </c>
      <c r="X302">
        <v>1926830</v>
      </c>
      <c r="Y302" s="11">
        <v>44776</v>
      </c>
      <c r="Z302" t="s">
        <v>57</v>
      </c>
      <c r="AA302">
        <v>26</v>
      </c>
      <c r="AB302" t="s">
        <v>57</v>
      </c>
      <c r="AD302" t="s">
        <v>57</v>
      </c>
      <c r="AE302" t="s">
        <v>57</v>
      </c>
      <c r="AF302" t="s">
        <v>57</v>
      </c>
      <c r="AG302">
        <v>4</v>
      </c>
      <c r="AH302" t="s">
        <v>57</v>
      </c>
      <c r="AL302" t="s">
        <v>57</v>
      </c>
      <c r="AM302" s="11">
        <v>44776</v>
      </c>
      <c r="AN302" t="s">
        <v>173</v>
      </c>
      <c r="AO302" t="s">
        <v>65</v>
      </c>
      <c r="AP302">
        <v>1204</v>
      </c>
      <c r="AQ302" t="s">
        <v>66</v>
      </c>
      <c r="AR302">
        <v>206793</v>
      </c>
      <c r="AU302" t="s">
        <v>57</v>
      </c>
      <c r="AV302" t="s">
        <v>68</v>
      </c>
      <c r="AX302" t="s">
        <v>57</v>
      </c>
      <c r="AY302">
        <v>631110</v>
      </c>
      <c r="AZ302">
        <v>1204.63111</v>
      </c>
      <c r="BA302" s="23" t="s">
        <v>12</v>
      </c>
    </row>
    <row r="303" spans="1:53" x14ac:dyDescent="0.25">
      <c r="A303" t="s">
        <v>134</v>
      </c>
      <c r="B303" t="s">
        <v>135</v>
      </c>
      <c r="C303">
        <v>22001785</v>
      </c>
      <c r="D303">
        <v>1204</v>
      </c>
      <c r="E303" s="11">
        <v>44774</v>
      </c>
      <c r="F303" t="s">
        <v>174</v>
      </c>
      <c r="G303" s="25">
        <v>14.36</v>
      </c>
      <c r="H303">
        <v>14.36</v>
      </c>
      <c r="I303" t="s">
        <v>56</v>
      </c>
      <c r="O303" t="s">
        <v>57</v>
      </c>
      <c r="Q303" t="s">
        <v>57</v>
      </c>
      <c r="R303" t="s">
        <v>137</v>
      </c>
      <c r="T303" t="s">
        <v>59</v>
      </c>
      <c r="U303" t="s">
        <v>60</v>
      </c>
      <c r="V303" t="s">
        <v>138</v>
      </c>
      <c r="W303" t="s">
        <v>139</v>
      </c>
      <c r="X303">
        <v>1925466</v>
      </c>
      <c r="Y303" s="11">
        <v>44774</v>
      </c>
      <c r="Z303" t="s">
        <v>57</v>
      </c>
      <c r="AA303">
        <v>24</v>
      </c>
      <c r="AB303" t="s">
        <v>57</v>
      </c>
      <c r="AD303" t="s">
        <v>57</v>
      </c>
      <c r="AE303" t="s">
        <v>57</v>
      </c>
      <c r="AF303" t="s">
        <v>57</v>
      </c>
      <c r="AG303">
        <v>1</v>
      </c>
      <c r="AH303" t="s">
        <v>57</v>
      </c>
      <c r="AL303" t="s">
        <v>57</v>
      </c>
      <c r="AM303" s="11">
        <v>44774</v>
      </c>
      <c r="AN303" t="s">
        <v>173</v>
      </c>
      <c r="AO303" t="s">
        <v>65</v>
      </c>
      <c r="AP303">
        <v>1204</v>
      </c>
      <c r="AQ303" t="s">
        <v>66</v>
      </c>
      <c r="AR303">
        <v>96021</v>
      </c>
      <c r="AU303" t="s">
        <v>57</v>
      </c>
      <c r="AV303" t="s">
        <v>68</v>
      </c>
      <c r="AX303" t="s">
        <v>57</v>
      </c>
      <c r="AY303">
        <v>631110</v>
      </c>
      <c r="AZ303">
        <v>1204.63111</v>
      </c>
      <c r="BA303" s="23" t="s">
        <v>12</v>
      </c>
    </row>
    <row r="304" spans="1:53" x14ac:dyDescent="0.25">
      <c r="A304" t="s">
        <v>134</v>
      </c>
      <c r="B304" t="s">
        <v>135</v>
      </c>
      <c r="C304">
        <v>22001813</v>
      </c>
      <c r="D304">
        <v>1204</v>
      </c>
      <c r="E304" s="11">
        <v>44777</v>
      </c>
      <c r="F304" t="s">
        <v>174</v>
      </c>
      <c r="G304" s="25">
        <v>14.36</v>
      </c>
      <c r="H304">
        <v>14.36</v>
      </c>
      <c r="I304" t="s">
        <v>56</v>
      </c>
      <c r="O304" t="s">
        <v>57</v>
      </c>
      <c r="Q304" t="s">
        <v>57</v>
      </c>
      <c r="R304" t="s">
        <v>137</v>
      </c>
      <c r="T304" t="s">
        <v>59</v>
      </c>
      <c r="U304" t="s">
        <v>60</v>
      </c>
      <c r="V304" t="s">
        <v>138</v>
      </c>
      <c r="W304" t="s">
        <v>139</v>
      </c>
      <c r="X304">
        <v>1927630</v>
      </c>
      <c r="Y304" s="11">
        <v>44777</v>
      </c>
      <c r="Z304" t="s">
        <v>57</v>
      </c>
      <c r="AA304">
        <v>28</v>
      </c>
      <c r="AB304" t="s">
        <v>57</v>
      </c>
      <c r="AD304" t="s">
        <v>57</v>
      </c>
      <c r="AE304" t="s">
        <v>57</v>
      </c>
      <c r="AF304" t="s">
        <v>57</v>
      </c>
      <c r="AG304">
        <v>1</v>
      </c>
      <c r="AH304" t="s">
        <v>57</v>
      </c>
      <c r="AL304" t="s">
        <v>57</v>
      </c>
      <c r="AM304" s="11">
        <v>44777</v>
      </c>
      <c r="AN304" t="s">
        <v>173</v>
      </c>
      <c r="AO304" t="s">
        <v>65</v>
      </c>
      <c r="AP304">
        <v>1204</v>
      </c>
      <c r="AQ304" t="s">
        <v>66</v>
      </c>
      <c r="AR304">
        <v>96021</v>
      </c>
      <c r="AU304" t="s">
        <v>57</v>
      </c>
      <c r="AV304" t="s">
        <v>68</v>
      </c>
      <c r="AX304" t="s">
        <v>57</v>
      </c>
      <c r="AY304">
        <v>631110</v>
      </c>
      <c r="AZ304">
        <v>1204.63111</v>
      </c>
      <c r="BA304" s="23" t="s">
        <v>12</v>
      </c>
    </row>
    <row r="305" spans="1:53" x14ac:dyDescent="0.25">
      <c r="A305" t="s">
        <v>134</v>
      </c>
      <c r="B305" t="s">
        <v>135</v>
      </c>
      <c r="C305">
        <v>22001877</v>
      </c>
      <c r="D305">
        <v>1204</v>
      </c>
      <c r="E305" s="11">
        <v>44791</v>
      </c>
      <c r="F305" t="s">
        <v>174</v>
      </c>
      <c r="G305" s="25">
        <v>14.36</v>
      </c>
      <c r="H305">
        <v>14.36</v>
      </c>
      <c r="I305" t="s">
        <v>56</v>
      </c>
      <c r="O305" t="s">
        <v>57</v>
      </c>
      <c r="Q305" t="s">
        <v>57</v>
      </c>
      <c r="R305" t="s">
        <v>137</v>
      </c>
      <c r="T305" t="s">
        <v>59</v>
      </c>
      <c r="U305" t="s">
        <v>60</v>
      </c>
      <c r="V305" t="s">
        <v>138</v>
      </c>
      <c r="W305" t="s">
        <v>139</v>
      </c>
      <c r="X305">
        <v>1933535</v>
      </c>
      <c r="Y305" s="11">
        <v>44791</v>
      </c>
      <c r="Z305" t="s">
        <v>57</v>
      </c>
      <c r="AA305">
        <v>18</v>
      </c>
      <c r="AB305" t="s">
        <v>57</v>
      </c>
      <c r="AD305" t="s">
        <v>57</v>
      </c>
      <c r="AE305" t="s">
        <v>57</v>
      </c>
      <c r="AF305" t="s">
        <v>57</v>
      </c>
      <c r="AG305">
        <v>1</v>
      </c>
      <c r="AH305" t="s">
        <v>57</v>
      </c>
      <c r="AL305" t="s">
        <v>57</v>
      </c>
      <c r="AM305" s="11">
        <v>44791</v>
      </c>
      <c r="AN305" t="s">
        <v>173</v>
      </c>
      <c r="AO305" t="s">
        <v>65</v>
      </c>
      <c r="AP305">
        <v>1204</v>
      </c>
      <c r="AQ305" t="s">
        <v>66</v>
      </c>
      <c r="AR305">
        <v>96021</v>
      </c>
      <c r="AU305" t="s">
        <v>57</v>
      </c>
      <c r="AV305" t="s">
        <v>68</v>
      </c>
      <c r="AX305" t="s">
        <v>57</v>
      </c>
      <c r="AY305">
        <v>631110</v>
      </c>
      <c r="AZ305">
        <v>1204.63111</v>
      </c>
      <c r="BA305" s="23" t="s">
        <v>12</v>
      </c>
    </row>
    <row r="306" spans="1:53" x14ac:dyDescent="0.25">
      <c r="A306" t="s">
        <v>134</v>
      </c>
      <c r="B306" t="s">
        <v>135</v>
      </c>
      <c r="C306">
        <v>22001877</v>
      </c>
      <c r="D306">
        <v>1204</v>
      </c>
      <c r="E306" s="11">
        <v>44791</v>
      </c>
      <c r="F306" t="s">
        <v>174</v>
      </c>
      <c r="G306" s="25">
        <v>14.36</v>
      </c>
      <c r="H306">
        <v>14.36</v>
      </c>
      <c r="I306" t="s">
        <v>56</v>
      </c>
      <c r="O306" t="s">
        <v>57</v>
      </c>
      <c r="Q306" t="s">
        <v>57</v>
      </c>
      <c r="R306" t="s">
        <v>137</v>
      </c>
      <c r="T306" t="s">
        <v>59</v>
      </c>
      <c r="U306" t="s">
        <v>60</v>
      </c>
      <c r="V306" t="s">
        <v>138</v>
      </c>
      <c r="W306" t="s">
        <v>139</v>
      </c>
      <c r="X306">
        <v>1933535</v>
      </c>
      <c r="Y306" s="11">
        <v>44791</v>
      </c>
      <c r="Z306" t="s">
        <v>57</v>
      </c>
      <c r="AA306">
        <v>20</v>
      </c>
      <c r="AB306" t="s">
        <v>57</v>
      </c>
      <c r="AD306" t="s">
        <v>57</v>
      </c>
      <c r="AE306" t="s">
        <v>57</v>
      </c>
      <c r="AF306" t="s">
        <v>57</v>
      </c>
      <c r="AG306">
        <v>1</v>
      </c>
      <c r="AH306" t="s">
        <v>57</v>
      </c>
      <c r="AL306" t="s">
        <v>57</v>
      </c>
      <c r="AM306" s="11">
        <v>44791</v>
      </c>
      <c r="AN306" t="s">
        <v>173</v>
      </c>
      <c r="AO306" t="s">
        <v>65</v>
      </c>
      <c r="AP306">
        <v>1204</v>
      </c>
      <c r="AQ306" t="s">
        <v>66</v>
      </c>
      <c r="AR306">
        <v>96021</v>
      </c>
      <c r="AU306" t="s">
        <v>57</v>
      </c>
      <c r="AV306" t="s">
        <v>68</v>
      </c>
      <c r="AX306" t="s">
        <v>57</v>
      </c>
      <c r="AY306">
        <v>631110</v>
      </c>
      <c r="AZ306">
        <v>1204.63111</v>
      </c>
      <c r="BA306" s="23" t="s">
        <v>12</v>
      </c>
    </row>
    <row r="307" spans="1:53" x14ac:dyDescent="0.25">
      <c r="A307" t="s">
        <v>134</v>
      </c>
      <c r="B307" t="s">
        <v>135</v>
      </c>
      <c r="C307">
        <v>22001847</v>
      </c>
      <c r="D307">
        <v>1204</v>
      </c>
      <c r="E307" s="11">
        <v>44784</v>
      </c>
      <c r="F307" t="s">
        <v>159</v>
      </c>
      <c r="G307" s="25">
        <v>15.12</v>
      </c>
      <c r="H307">
        <v>15.12</v>
      </c>
      <c r="I307" t="s">
        <v>56</v>
      </c>
      <c r="O307" t="s">
        <v>57</v>
      </c>
      <c r="Q307" t="s">
        <v>57</v>
      </c>
      <c r="R307" t="s">
        <v>137</v>
      </c>
      <c r="T307" t="s">
        <v>59</v>
      </c>
      <c r="U307" t="s">
        <v>60</v>
      </c>
      <c r="V307" t="s">
        <v>138</v>
      </c>
      <c r="W307" t="s">
        <v>139</v>
      </c>
      <c r="X307">
        <v>1930405</v>
      </c>
      <c r="Y307" s="11">
        <v>44784</v>
      </c>
      <c r="Z307" t="s">
        <v>57</v>
      </c>
      <c r="AA307">
        <v>4</v>
      </c>
      <c r="AB307" t="s">
        <v>57</v>
      </c>
      <c r="AD307" t="s">
        <v>57</v>
      </c>
      <c r="AE307" t="s">
        <v>57</v>
      </c>
      <c r="AF307" t="s">
        <v>57</v>
      </c>
      <c r="AG307">
        <v>1</v>
      </c>
      <c r="AH307" t="s">
        <v>57</v>
      </c>
      <c r="AL307" t="s">
        <v>57</v>
      </c>
      <c r="AM307" s="11">
        <v>44784</v>
      </c>
      <c r="AN307" t="s">
        <v>173</v>
      </c>
      <c r="AO307" t="s">
        <v>65</v>
      </c>
      <c r="AP307">
        <v>1204</v>
      </c>
      <c r="AQ307" t="s">
        <v>66</v>
      </c>
      <c r="AR307">
        <v>88717</v>
      </c>
      <c r="AU307" t="s">
        <v>57</v>
      </c>
      <c r="AV307" t="s">
        <v>68</v>
      </c>
      <c r="AX307" t="s">
        <v>57</v>
      </c>
      <c r="AY307">
        <v>631110</v>
      </c>
      <c r="AZ307">
        <v>1204.63111</v>
      </c>
      <c r="BA307" s="23" t="s">
        <v>12</v>
      </c>
    </row>
    <row r="308" spans="1:53" x14ac:dyDescent="0.25">
      <c r="A308" t="s">
        <v>134</v>
      </c>
      <c r="B308" t="s">
        <v>135</v>
      </c>
      <c r="C308">
        <v>22001810</v>
      </c>
      <c r="D308">
        <v>1204</v>
      </c>
      <c r="E308" s="11">
        <v>44776</v>
      </c>
      <c r="F308" t="s">
        <v>175</v>
      </c>
      <c r="G308" s="25">
        <v>15.69</v>
      </c>
      <c r="H308">
        <v>15.69</v>
      </c>
      <c r="I308" t="s">
        <v>56</v>
      </c>
      <c r="O308" t="s">
        <v>57</v>
      </c>
      <c r="Q308" t="s">
        <v>57</v>
      </c>
      <c r="R308" t="s">
        <v>137</v>
      </c>
      <c r="T308" t="s">
        <v>59</v>
      </c>
      <c r="U308" t="s">
        <v>60</v>
      </c>
      <c r="V308" t="s">
        <v>138</v>
      </c>
      <c r="W308" t="s">
        <v>139</v>
      </c>
      <c r="X308">
        <v>1927035</v>
      </c>
      <c r="Y308" s="11">
        <v>44776</v>
      </c>
      <c r="Z308" t="s">
        <v>57</v>
      </c>
      <c r="AA308">
        <v>12</v>
      </c>
      <c r="AB308" t="s">
        <v>57</v>
      </c>
      <c r="AD308" t="s">
        <v>57</v>
      </c>
      <c r="AE308" t="s">
        <v>57</v>
      </c>
      <c r="AF308" t="s">
        <v>57</v>
      </c>
      <c r="AG308">
        <v>43</v>
      </c>
      <c r="AH308" t="s">
        <v>57</v>
      </c>
      <c r="AL308" t="s">
        <v>57</v>
      </c>
      <c r="AM308" s="11">
        <v>44776</v>
      </c>
      <c r="AN308" t="s">
        <v>176</v>
      </c>
      <c r="AO308" t="s">
        <v>65</v>
      </c>
      <c r="AP308">
        <v>1204</v>
      </c>
      <c r="AQ308" t="s">
        <v>66</v>
      </c>
      <c r="AR308">
        <v>91011</v>
      </c>
      <c r="AU308" t="s">
        <v>57</v>
      </c>
      <c r="AV308" t="s">
        <v>68</v>
      </c>
      <c r="AX308" t="s">
        <v>57</v>
      </c>
      <c r="AY308">
        <v>631110</v>
      </c>
      <c r="AZ308">
        <v>1204.63111</v>
      </c>
      <c r="BA308" s="23" t="s">
        <v>12</v>
      </c>
    </row>
    <row r="309" spans="1:53" x14ac:dyDescent="0.25">
      <c r="A309" t="s">
        <v>134</v>
      </c>
      <c r="B309" t="s">
        <v>135</v>
      </c>
      <c r="C309">
        <v>22001842</v>
      </c>
      <c r="D309">
        <v>1204</v>
      </c>
      <c r="E309" s="11">
        <v>44783</v>
      </c>
      <c r="F309" t="s">
        <v>174</v>
      </c>
      <c r="G309" s="25">
        <v>15.76</v>
      </c>
      <c r="H309">
        <v>15.76</v>
      </c>
      <c r="I309" t="s">
        <v>56</v>
      </c>
      <c r="O309" t="s">
        <v>57</v>
      </c>
      <c r="Q309" t="s">
        <v>57</v>
      </c>
      <c r="R309" t="s">
        <v>137</v>
      </c>
      <c r="T309" t="s">
        <v>59</v>
      </c>
      <c r="U309" t="s">
        <v>60</v>
      </c>
      <c r="V309" t="s">
        <v>138</v>
      </c>
      <c r="W309" t="s">
        <v>139</v>
      </c>
      <c r="X309">
        <v>1930268</v>
      </c>
      <c r="Y309" s="11">
        <v>44783</v>
      </c>
      <c r="Z309" t="s">
        <v>57</v>
      </c>
      <c r="AA309">
        <v>6</v>
      </c>
      <c r="AB309" t="s">
        <v>57</v>
      </c>
      <c r="AD309" t="s">
        <v>57</v>
      </c>
      <c r="AE309" t="s">
        <v>57</v>
      </c>
      <c r="AF309" t="s">
        <v>57</v>
      </c>
      <c r="AG309">
        <v>1</v>
      </c>
      <c r="AH309" t="s">
        <v>57</v>
      </c>
      <c r="AL309" t="s">
        <v>57</v>
      </c>
      <c r="AM309" s="11">
        <v>44783</v>
      </c>
      <c r="AN309" t="s">
        <v>173</v>
      </c>
      <c r="AO309" t="s">
        <v>65</v>
      </c>
      <c r="AP309">
        <v>1204</v>
      </c>
      <c r="AQ309" t="s">
        <v>66</v>
      </c>
      <c r="AR309">
        <v>188248</v>
      </c>
      <c r="AU309" t="s">
        <v>57</v>
      </c>
      <c r="AV309" t="s">
        <v>68</v>
      </c>
      <c r="AX309" t="s">
        <v>57</v>
      </c>
      <c r="AY309">
        <v>631110</v>
      </c>
      <c r="AZ309">
        <v>1204.63111</v>
      </c>
      <c r="BA309" s="23" t="s">
        <v>12</v>
      </c>
    </row>
    <row r="310" spans="1:53" x14ac:dyDescent="0.25">
      <c r="A310" t="s">
        <v>134</v>
      </c>
      <c r="B310" t="s">
        <v>135</v>
      </c>
      <c r="C310">
        <v>22001783</v>
      </c>
      <c r="D310">
        <v>1204</v>
      </c>
      <c r="E310" s="11">
        <v>44774</v>
      </c>
      <c r="F310" t="s">
        <v>172</v>
      </c>
      <c r="G310" s="25">
        <v>16.5</v>
      </c>
      <c r="H310">
        <v>16.5</v>
      </c>
      <c r="I310" t="s">
        <v>56</v>
      </c>
      <c r="O310" t="s">
        <v>57</v>
      </c>
      <c r="Q310" t="s">
        <v>57</v>
      </c>
      <c r="R310" t="s">
        <v>137</v>
      </c>
      <c r="T310" t="s">
        <v>59</v>
      </c>
      <c r="U310" t="s">
        <v>60</v>
      </c>
      <c r="V310" t="s">
        <v>138</v>
      </c>
      <c r="W310" t="s">
        <v>139</v>
      </c>
      <c r="X310">
        <v>1925466</v>
      </c>
      <c r="Y310" s="11">
        <v>44774</v>
      </c>
      <c r="Z310" t="s">
        <v>57</v>
      </c>
      <c r="AA310">
        <v>2</v>
      </c>
      <c r="AB310" t="s">
        <v>57</v>
      </c>
      <c r="AD310" t="s">
        <v>57</v>
      </c>
      <c r="AE310" t="s">
        <v>57</v>
      </c>
      <c r="AF310" t="s">
        <v>57</v>
      </c>
      <c r="AG310">
        <v>2</v>
      </c>
      <c r="AH310" t="s">
        <v>57</v>
      </c>
      <c r="AL310" t="s">
        <v>57</v>
      </c>
      <c r="AM310" s="11">
        <v>44774</v>
      </c>
      <c r="AN310" t="s">
        <v>173</v>
      </c>
      <c r="AO310" t="s">
        <v>65</v>
      </c>
      <c r="AP310">
        <v>1204</v>
      </c>
      <c r="AQ310" t="s">
        <v>66</v>
      </c>
      <c r="AR310">
        <v>279991</v>
      </c>
      <c r="AU310" t="s">
        <v>57</v>
      </c>
      <c r="AV310" t="s">
        <v>68</v>
      </c>
      <c r="AX310" t="s">
        <v>57</v>
      </c>
      <c r="AY310">
        <v>631110</v>
      </c>
      <c r="AZ310">
        <v>1204.63111</v>
      </c>
      <c r="BA310" s="23" t="s">
        <v>12</v>
      </c>
    </row>
    <row r="311" spans="1:53" x14ac:dyDescent="0.25">
      <c r="A311" t="s">
        <v>134</v>
      </c>
      <c r="B311" t="s">
        <v>135</v>
      </c>
      <c r="C311">
        <v>22001806</v>
      </c>
      <c r="D311">
        <v>1204</v>
      </c>
      <c r="E311" s="11">
        <v>44776</v>
      </c>
      <c r="F311" t="s">
        <v>172</v>
      </c>
      <c r="G311" s="25">
        <v>16.5</v>
      </c>
      <c r="H311">
        <v>16.5</v>
      </c>
      <c r="I311" t="s">
        <v>56</v>
      </c>
      <c r="O311" t="s">
        <v>57</v>
      </c>
      <c r="Q311" t="s">
        <v>57</v>
      </c>
      <c r="R311" t="s">
        <v>137</v>
      </c>
      <c r="T311" t="s">
        <v>59</v>
      </c>
      <c r="U311" t="s">
        <v>60</v>
      </c>
      <c r="V311" t="s">
        <v>138</v>
      </c>
      <c r="W311" t="s">
        <v>139</v>
      </c>
      <c r="X311">
        <v>1926830</v>
      </c>
      <c r="Y311" s="11">
        <v>44776</v>
      </c>
      <c r="Z311" t="s">
        <v>57</v>
      </c>
      <c r="AA311">
        <v>2</v>
      </c>
      <c r="AB311" t="s">
        <v>57</v>
      </c>
      <c r="AD311" t="s">
        <v>57</v>
      </c>
      <c r="AE311" t="s">
        <v>57</v>
      </c>
      <c r="AF311" t="s">
        <v>57</v>
      </c>
      <c r="AG311">
        <v>2</v>
      </c>
      <c r="AH311" t="s">
        <v>57</v>
      </c>
      <c r="AL311" t="s">
        <v>57</v>
      </c>
      <c r="AM311" s="11">
        <v>44776</v>
      </c>
      <c r="AN311" t="s">
        <v>173</v>
      </c>
      <c r="AO311" t="s">
        <v>65</v>
      </c>
      <c r="AP311">
        <v>1204</v>
      </c>
      <c r="AQ311" t="s">
        <v>66</v>
      </c>
      <c r="AR311">
        <v>279991</v>
      </c>
      <c r="AU311" t="s">
        <v>57</v>
      </c>
      <c r="AV311" t="s">
        <v>68</v>
      </c>
      <c r="AX311" t="s">
        <v>57</v>
      </c>
      <c r="AY311">
        <v>631110</v>
      </c>
      <c r="AZ311">
        <v>1204.63111</v>
      </c>
      <c r="BA311" s="23" t="s">
        <v>12</v>
      </c>
    </row>
    <row r="312" spans="1:53" x14ac:dyDescent="0.25">
      <c r="A312" t="s">
        <v>134</v>
      </c>
      <c r="B312" t="s">
        <v>135</v>
      </c>
      <c r="C312">
        <v>22001827</v>
      </c>
      <c r="D312">
        <v>1204</v>
      </c>
      <c r="E312" s="11">
        <v>44778</v>
      </c>
      <c r="F312" t="s">
        <v>174</v>
      </c>
      <c r="G312" s="25">
        <v>19.66</v>
      </c>
      <c r="H312">
        <v>19.66</v>
      </c>
      <c r="I312" t="s">
        <v>56</v>
      </c>
      <c r="O312" t="s">
        <v>57</v>
      </c>
      <c r="Q312" t="s">
        <v>57</v>
      </c>
      <c r="R312" t="s">
        <v>137</v>
      </c>
      <c r="T312" t="s">
        <v>59</v>
      </c>
      <c r="U312" t="s">
        <v>60</v>
      </c>
      <c r="V312" t="s">
        <v>138</v>
      </c>
      <c r="W312" t="s">
        <v>139</v>
      </c>
      <c r="X312">
        <v>1928763</v>
      </c>
      <c r="Y312" s="11">
        <v>44778</v>
      </c>
      <c r="Z312" t="s">
        <v>57</v>
      </c>
      <c r="AA312">
        <v>4</v>
      </c>
      <c r="AB312" t="s">
        <v>57</v>
      </c>
      <c r="AD312" t="s">
        <v>57</v>
      </c>
      <c r="AE312" t="s">
        <v>57</v>
      </c>
      <c r="AF312" t="s">
        <v>57</v>
      </c>
      <c r="AG312">
        <v>5</v>
      </c>
      <c r="AH312" t="s">
        <v>57</v>
      </c>
      <c r="AL312" t="s">
        <v>57</v>
      </c>
      <c r="AM312" s="11">
        <v>44778</v>
      </c>
      <c r="AN312" t="s">
        <v>173</v>
      </c>
      <c r="AO312" t="s">
        <v>65</v>
      </c>
      <c r="AP312">
        <v>1204</v>
      </c>
      <c r="AQ312" t="s">
        <v>66</v>
      </c>
      <c r="AR312">
        <v>220122</v>
      </c>
      <c r="AU312" t="s">
        <v>57</v>
      </c>
      <c r="AV312" t="s">
        <v>68</v>
      </c>
      <c r="AX312" t="s">
        <v>57</v>
      </c>
      <c r="AY312">
        <v>631110</v>
      </c>
      <c r="AZ312">
        <v>1204.63111</v>
      </c>
      <c r="BA312" s="23" t="s">
        <v>12</v>
      </c>
    </row>
    <row r="313" spans="1:53" x14ac:dyDescent="0.25">
      <c r="A313" t="s">
        <v>134</v>
      </c>
      <c r="B313" t="s">
        <v>135</v>
      </c>
      <c r="C313">
        <v>22001830</v>
      </c>
      <c r="D313">
        <v>1204</v>
      </c>
      <c r="E313" s="11">
        <v>44781</v>
      </c>
      <c r="F313" t="s">
        <v>174</v>
      </c>
      <c r="G313" s="25">
        <v>20.47</v>
      </c>
      <c r="H313">
        <v>20.47</v>
      </c>
      <c r="I313" t="s">
        <v>56</v>
      </c>
      <c r="O313" t="s">
        <v>57</v>
      </c>
      <c r="Q313" t="s">
        <v>57</v>
      </c>
      <c r="R313" t="s">
        <v>137</v>
      </c>
      <c r="T313" t="s">
        <v>59</v>
      </c>
      <c r="U313" t="s">
        <v>60</v>
      </c>
      <c r="V313" t="s">
        <v>138</v>
      </c>
      <c r="W313" t="s">
        <v>139</v>
      </c>
      <c r="X313">
        <v>1928770</v>
      </c>
      <c r="Y313" s="11">
        <v>44781</v>
      </c>
      <c r="Z313" t="s">
        <v>57</v>
      </c>
      <c r="AA313">
        <v>26</v>
      </c>
      <c r="AB313" t="s">
        <v>57</v>
      </c>
      <c r="AD313" t="s">
        <v>57</v>
      </c>
      <c r="AE313" t="s">
        <v>57</v>
      </c>
      <c r="AF313" t="s">
        <v>57</v>
      </c>
      <c r="AG313">
        <v>1</v>
      </c>
      <c r="AH313" t="s">
        <v>57</v>
      </c>
      <c r="AL313" t="s">
        <v>57</v>
      </c>
      <c r="AM313" s="11">
        <v>44781</v>
      </c>
      <c r="AN313" t="s">
        <v>173</v>
      </c>
      <c r="AO313" t="s">
        <v>65</v>
      </c>
      <c r="AP313">
        <v>1204</v>
      </c>
      <c r="AQ313" t="s">
        <v>66</v>
      </c>
      <c r="AR313">
        <v>262753</v>
      </c>
      <c r="AU313" t="s">
        <v>57</v>
      </c>
      <c r="AV313" t="s">
        <v>68</v>
      </c>
      <c r="AX313" t="s">
        <v>57</v>
      </c>
      <c r="AY313">
        <v>631110</v>
      </c>
      <c r="AZ313">
        <v>1204.63111</v>
      </c>
      <c r="BA313" s="23" t="s">
        <v>12</v>
      </c>
    </row>
    <row r="314" spans="1:53" x14ac:dyDescent="0.25">
      <c r="A314" t="s">
        <v>134</v>
      </c>
      <c r="B314" t="s">
        <v>135</v>
      </c>
      <c r="C314">
        <v>22001851</v>
      </c>
      <c r="D314">
        <v>1204</v>
      </c>
      <c r="E314" s="11">
        <v>44784</v>
      </c>
      <c r="F314" t="s">
        <v>174</v>
      </c>
      <c r="G314" s="25">
        <v>21.44</v>
      </c>
      <c r="H314">
        <v>21.44</v>
      </c>
      <c r="I314" t="s">
        <v>56</v>
      </c>
      <c r="O314" t="s">
        <v>57</v>
      </c>
      <c r="Q314" t="s">
        <v>57</v>
      </c>
      <c r="R314" t="s">
        <v>137</v>
      </c>
      <c r="T314" t="s">
        <v>59</v>
      </c>
      <c r="U314" t="s">
        <v>60</v>
      </c>
      <c r="V314" t="s">
        <v>138</v>
      </c>
      <c r="W314" t="s">
        <v>139</v>
      </c>
      <c r="X314">
        <v>1930522</v>
      </c>
      <c r="Y314" s="11">
        <v>44784</v>
      </c>
      <c r="Z314" t="s">
        <v>57</v>
      </c>
      <c r="AA314">
        <v>10</v>
      </c>
      <c r="AB314" t="s">
        <v>57</v>
      </c>
      <c r="AD314" t="s">
        <v>57</v>
      </c>
      <c r="AE314" t="s">
        <v>57</v>
      </c>
      <c r="AF314" t="s">
        <v>57</v>
      </c>
      <c r="AG314">
        <v>1</v>
      </c>
      <c r="AH314" t="s">
        <v>57</v>
      </c>
      <c r="AL314" t="s">
        <v>57</v>
      </c>
      <c r="AM314" s="11">
        <v>44784</v>
      </c>
      <c r="AN314" t="s">
        <v>173</v>
      </c>
      <c r="AO314" t="s">
        <v>65</v>
      </c>
      <c r="AP314">
        <v>1204</v>
      </c>
      <c r="AQ314" t="s">
        <v>66</v>
      </c>
      <c r="AR314">
        <v>258398</v>
      </c>
      <c r="AU314" t="s">
        <v>57</v>
      </c>
      <c r="AV314" t="s">
        <v>68</v>
      </c>
      <c r="AX314" t="s">
        <v>57</v>
      </c>
      <c r="AY314">
        <v>631110</v>
      </c>
      <c r="AZ314">
        <v>1204.63111</v>
      </c>
      <c r="BA314" s="23" t="s">
        <v>12</v>
      </c>
    </row>
    <row r="315" spans="1:53" x14ac:dyDescent="0.25">
      <c r="A315" t="s">
        <v>134</v>
      </c>
      <c r="B315" t="s">
        <v>135</v>
      </c>
      <c r="C315">
        <v>22001867</v>
      </c>
      <c r="D315">
        <v>1204</v>
      </c>
      <c r="E315" s="11">
        <v>44788</v>
      </c>
      <c r="F315" t="s">
        <v>174</v>
      </c>
      <c r="G315" s="25">
        <v>22.07</v>
      </c>
      <c r="H315">
        <v>22.07</v>
      </c>
      <c r="I315" t="s">
        <v>56</v>
      </c>
      <c r="O315" t="s">
        <v>57</v>
      </c>
      <c r="Q315" t="s">
        <v>57</v>
      </c>
      <c r="R315" t="s">
        <v>137</v>
      </c>
      <c r="T315" t="s">
        <v>59</v>
      </c>
      <c r="U315" t="s">
        <v>60</v>
      </c>
      <c r="V315" t="s">
        <v>138</v>
      </c>
      <c r="W315" t="s">
        <v>139</v>
      </c>
      <c r="X315">
        <v>1932108</v>
      </c>
      <c r="Y315" s="11">
        <v>44788</v>
      </c>
      <c r="Z315" t="s">
        <v>57</v>
      </c>
      <c r="AA315">
        <v>26</v>
      </c>
      <c r="AB315" t="s">
        <v>57</v>
      </c>
      <c r="AD315" t="s">
        <v>57</v>
      </c>
      <c r="AE315" t="s">
        <v>57</v>
      </c>
      <c r="AF315" t="s">
        <v>57</v>
      </c>
      <c r="AG315">
        <v>1</v>
      </c>
      <c r="AH315" t="s">
        <v>57</v>
      </c>
      <c r="AL315" t="s">
        <v>57</v>
      </c>
      <c r="AM315" s="11">
        <v>44788</v>
      </c>
      <c r="AN315" t="s">
        <v>173</v>
      </c>
      <c r="AO315" t="s">
        <v>65</v>
      </c>
      <c r="AP315">
        <v>1204</v>
      </c>
      <c r="AQ315" t="s">
        <v>66</v>
      </c>
      <c r="AR315">
        <v>143095</v>
      </c>
      <c r="AU315" t="s">
        <v>57</v>
      </c>
      <c r="AV315" t="s">
        <v>68</v>
      </c>
      <c r="AX315" t="s">
        <v>57</v>
      </c>
      <c r="AY315">
        <v>631110</v>
      </c>
      <c r="AZ315">
        <v>1204.63111</v>
      </c>
      <c r="BA315" s="23" t="s">
        <v>12</v>
      </c>
    </row>
    <row r="316" spans="1:53" x14ac:dyDescent="0.25">
      <c r="A316" t="s">
        <v>134</v>
      </c>
      <c r="B316" t="s">
        <v>135</v>
      </c>
      <c r="C316">
        <v>22001813</v>
      </c>
      <c r="D316">
        <v>1204</v>
      </c>
      <c r="E316" s="11">
        <v>44777</v>
      </c>
      <c r="F316" t="s">
        <v>174</v>
      </c>
      <c r="G316" s="25">
        <v>22.12</v>
      </c>
      <c r="H316">
        <v>22.12</v>
      </c>
      <c r="I316" t="s">
        <v>56</v>
      </c>
      <c r="O316" t="s">
        <v>57</v>
      </c>
      <c r="Q316" t="s">
        <v>57</v>
      </c>
      <c r="R316" t="s">
        <v>137</v>
      </c>
      <c r="T316" t="s">
        <v>59</v>
      </c>
      <c r="U316" t="s">
        <v>60</v>
      </c>
      <c r="V316" t="s">
        <v>138</v>
      </c>
      <c r="W316" t="s">
        <v>139</v>
      </c>
      <c r="X316">
        <v>1927630</v>
      </c>
      <c r="Y316" s="11">
        <v>44777</v>
      </c>
      <c r="Z316" t="s">
        <v>57</v>
      </c>
      <c r="AA316">
        <v>2</v>
      </c>
      <c r="AB316" t="s">
        <v>57</v>
      </c>
      <c r="AD316" t="s">
        <v>57</v>
      </c>
      <c r="AE316" t="s">
        <v>57</v>
      </c>
      <c r="AF316" t="s">
        <v>57</v>
      </c>
      <c r="AG316">
        <v>1</v>
      </c>
      <c r="AH316" t="s">
        <v>57</v>
      </c>
      <c r="AL316" t="s">
        <v>57</v>
      </c>
      <c r="AM316" s="11">
        <v>44777</v>
      </c>
      <c r="AN316" t="s">
        <v>173</v>
      </c>
      <c r="AO316" t="s">
        <v>65</v>
      </c>
      <c r="AP316">
        <v>1204</v>
      </c>
      <c r="AQ316" t="s">
        <v>66</v>
      </c>
      <c r="AR316">
        <v>208951</v>
      </c>
      <c r="AU316" t="s">
        <v>57</v>
      </c>
      <c r="AV316" t="s">
        <v>68</v>
      </c>
      <c r="AX316" t="s">
        <v>57</v>
      </c>
      <c r="AY316">
        <v>631110</v>
      </c>
      <c r="AZ316">
        <v>1204.63111</v>
      </c>
      <c r="BA316" s="23" t="s">
        <v>12</v>
      </c>
    </row>
    <row r="317" spans="1:53" x14ac:dyDescent="0.25">
      <c r="A317" t="s">
        <v>134</v>
      </c>
      <c r="B317" t="s">
        <v>135</v>
      </c>
      <c r="C317">
        <v>22001867</v>
      </c>
      <c r="D317">
        <v>1204</v>
      </c>
      <c r="E317" s="11">
        <v>44788</v>
      </c>
      <c r="F317" t="s">
        <v>174</v>
      </c>
      <c r="G317" s="25">
        <v>23.25</v>
      </c>
      <c r="H317">
        <v>23.25</v>
      </c>
      <c r="I317" t="s">
        <v>56</v>
      </c>
      <c r="O317" t="s">
        <v>57</v>
      </c>
      <c r="Q317" t="s">
        <v>57</v>
      </c>
      <c r="R317" t="s">
        <v>137</v>
      </c>
      <c r="T317" t="s">
        <v>59</v>
      </c>
      <c r="U317" t="s">
        <v>60</v>
      </c>
      <c r="V317" t="s">
        <v>138</v>
      </c>
      <c r="W317" t="s">
        <v>139</v>
      </c>
      <c r="X317">
        <v>1932108</v>
      </c>
      <c r="Y317" s="11">
        <v>44788</v>
      </c>
      <c r="Z317" t="s">
        <v>57</v>
      </c>
      <c r="AA317">
        <v>24</v>
      </c>
      <c r="AB317" t="s">
        <v>57</v>
      </c>
      <c r="AD317" t="s">
        <v>57</v>
      </c>
      <c r="AE317" t="s">
        <v>57</v>
      </c>
      <c r="AF317" t="s">
        <v>57</v>
      </c>
      <c r="AG317">
        <v>1</v>
      </c>
      <c r="AH317" t="s">
        <v>57</v>
      </c>
      <c r="AL317" t="s">
        <v>57</v>
      </c>
      <c r="AM317" s="11">
        <v>44788</v>
      </c>
      <c r="AN317" t="s">
        <v>173</v>
      </c>
      <c r="AO317" t="s">
        <v>65</v>
      </c>
      <c r="AP317">
        <v>1204</v>
      </c>
      <c r="AQ317" t="s">
        <v>66</v>
      </c>
      <c r="AR317">
        <v>143093</v>
      </c>
      <c r="AU317" t="s">
        <v>57</v>
      </c>
      <c r="AV317" t="s">
        <v>68</v>
      </c>
      <c r="AX317" t="s">
        <v>57</v>
      </c>
      <c r="AY317">
        <v>631110</v>
      </c>
      <c r="AZ317">
        <v>1204.63111</v>
      </c>
      <c r="BA317" s="23" t="s">
        <v>12</v>
      </c>
    </row>
    <row r="318" spans="1:53" x14ac:dyDescent="0.25">
      <c r="A318" t="s">
        <v>134</v>
      </c>
      <c r="B318" t="s">
        <v>135</v>
      </c>
      <c r="C318">
        <v>22001879</v>
      </c>
      <c r="D318">
        <v>1204</v>
      </c>
      <c r="E318" s="11">
        <v>44791</v>
      </c>
      <c r="F318" t="s">
        <v>172</v>
      </c>
      <c r="G318" s="25">
        <v>23.64</v>
      </c>
      <c r="H318">
        <v>23.64</v>
      </c>
      <c r="I318" t="s">
        <v>56</v>
      </c>
      <c r="O318" t="s">
        <v>57</v>
      </c>
      <c r="Q318" t="s">
        <v>57</v>
      </c>
      <c r="R318" t="s">
        <v>137</v>
      </c>
      <c r="T318" t="s">
        <v>59</v>
      </c>
      <c r="U318" t="s">
        <v>60</v>
      </c>
      <c r="V318" t="s">
        <v>138</v>
      </c>
      <c r="W318" t="s">
        <v>139</v>
      </c>
      <c r="X318">
        <v>1933535</v>
      </c>
      <c r="Y318" s="11">
        <v>44791</v>
      </c>
      <c r="Z318" t="s">
        <v>57</v>
      </c>
      <c r="AA318">
        <v>4</v>
      </c>
      <c r="AB318" t="s">
        <v>57</v>
      </c>
      <c r="AD318" t="s">
        <v>57</v>
      </c>
      <c r="AE318" t="s">
        <v>57</v>
      </c>
      <c r="AF318" t="s">
        <v>57</v>
      </c>
      <c r="AG318">
        <v>3</v>
      </c>
      <c r="AH318" t="s">
        <v>57</v>
      </c>
      <c r="AL318" t="s">
        <v>57</v>
      </c>
      <c r="AM318" s="11">
        <v>44791</v>
      </c>
      <c r="AN318" t="s">
        <v>173</v>
      </c>
      <c r="AO318" t="s">
        <v>65</v>
      </c>
      <c r="AP318">
        <v>1204</v>
      </c>
      <c r="AQ318" t="s">
        <v>66</v>
      </c>
      <c r="AR318">
        <v>227112</v>
      </c>
      <c r="AU318" t="s">
        <v>57</v>
      </c>
      <c r="AV318" t="s">
        <v>68</v>
      </c>
      <c r="AX318" t="s">
        <v>57</v>
      </c>
      <c r="AY318">
        <v>631110</v>
      </c>
      <c r="AZ318">
        <v>1204.63111</v>
      </c>
      <c r="BA318" s="23" t="s">
        <v>12</v>
      </c>
    </row>
    <row r="319" spans="1:53" x14ac:dyDescent="0.25">
      <c r="A319" t="s">
        <v>134</v>
      </c>
      <c r="B319" t="s">
        <v>135</v>
      </c>
      <c r="C319">
        <v>22001828</v>
      </c>
      <c r="D319">
        <v>1204</v>
      </c>
      <c r="E319" s="11">
        <v>44778</v>
      </c>
      <c r="F319" t="s">
        <v>172</v>
      </c>
      <c r="G319" s="25">
        <v>24.19</v>
      </c>
      <c r="H319">
        <v>24.19</v>
      </c>
      <c r="I319" t="s">
        <v>56</v>
      </c>
      <c r="O319" t="s">
        <v>57</v>
      </c>
      <c r="Q319" t="s">
        <v>57</v>
      </c>
      <c r="R319" t="s">
        <v>137</v>
      </c>
      <c r="T319" t="s">
        <v>59</v>
      </c>
      <c r="U319" t="s">
        <v>60</v>
      </c>
      <c r="V319" t="s">
        <v>138</v>
      </c>
      <c r="W319" t="s">
        <v>139</v>
      </c>
      <c r="X319">
        <v>1928763</v>
      </c>
      <c r="Y319" s="11">
        <v>44778</v>
      </c>
      <c r="Z319" t="s">
        <v>57</v>
      </c>
      <c r="AA319">
        <v>2</v>
      </c>
      <c r="AB319" t="s">
        <v>57</v>
      </c>
      <c r="AD319" t="s">
        <v>57</v>
      </c>
      <c r="AE319" t="s">
        <v>57</v>
      </c>
      <c r="AF319" t="s">
        <v>57</v>
      </c>
      <c r="AG319">
        <v>3</v>
      </c>
      <c r="AH319" t="s">
        <v>57</v>
      </c>
      <c r="AL319" t="s">
        <v>57</v>
      </c>
      <c r="AM319" s="11">
        <v>44778</v>
      </c>
      <c r="AN319" t="s">
        <v>173</v>
      </c>
      <c r="AO319" t="s">
        <v>65</v>
      </c>
      <c r="AP319">
        <v>1204</v>
      </c>
      <c r="AQ319" t="s">
        <v>66</v>
      </c>
      <c r="AR319">
        <v>279991</v>
      </c>
      <c r="AU319" t="s">
        <v>57</v>
      </c>
      <c r="AV319" t="s">
        <v>68</v>
      </c>
      <c r="AX319" t="s">
        <v>57</v>
      </c>
      <c r="AY319">
        <v>631110</v>
      </c>
      <c r="AZ319">
        <v>1204.63111</v>
      </c>
      <c r="BA319" s="23" t="s">
        <v>12</v>
      </c>
    </row>
    <row r="320" spans="1:53" x14ac:dyDescent="0.25">
      <c r="A320" t="s">
        <v>134</v>
      </c>
      <c r="B320" t="s">
        <v>135</v>
      </c>
      <c r="C320">
        <v>22001830</v>
      </c>
      <c r="D320">
        <v>1204</v>
      </c>
      <c r="E320" s="11">
        <v>44781</v>
      </c>
      <c r="F320" t="s">
        <v>174</v>
      </c>
      <c r="G320" s="25">
        <v>25.7</v>
      </c>
      <c r="H320">
        <v>25.7</v>
      </c>
      <c r="I320" t="s">
        <v>56</v>
      </c>
      <c r="O320" t="s">
        <v>57</v>
      </c>
      <c r="Q320" t="s">
        <v>57</v>
      </c>
      <c r="R320" t="s">
        <v>137</v>
      </c>
      <c r="T320" t="s">
        <v>59</v>
      </c>
      <c r="U320" t="s">
        <v>60</v>
      </c>
      <c r="V320" t="s">
        <v>138</v>
      </c>
      <c r="W320" t="s">
        <v>139</v>
      </c>
      <c r="X320">
        <v>1928770</v>
      </c>
      <c r="Y320" s="11">
        <v>44781</v>
      </c>
      <c r="Z320" t="s">
        <v>57</v>
      </c>
      <c r="AA320">
        <v>30</v>
      </c>
      <c r="AB320" t="s">
        <v>57</v>
      </c>
      <c r="AD320" t="s">
        <v>57</v>
      </c>
      <c r="AE320" t="s">
        <v>57</v>
      </c>
      <c r="AF320" t="s">
        <v>57</v>
      </c>
      <c r="AG320">
        <v>1</v>
      </c>
      <c r="AH320" t="s">
        <v>57</v>
      </c>
      <c r="AL320" t="s">
        <v>57</v>
      </c>
      <c r="AM320" s="11">
        <v>44781</v>
      </c>
      <c r="AN320" t="s">
        <v>173</v>
      </c>
      <c r="AO320" t="s">
        <v>65</v>
      </c>
      <c r="AP320">
        <v>1204</v>
      </c>
      <c r="AQ320" t="s">
        <v>66</v>
      </c>
      <c r="AR320">
        <v>255783</v>
      </c>
      <c r="AU320" t="s">
        <v>57</v>
      </c>
      <c r="AV320" t="s">
        <v>68</v>
      </c>
      <c r="AX320" t="s">
        <v>57</v>
      </c>
      <c r="AY320">
        <v>631110</v>
      </c>
      <c r="AZ320">
        <v>1204.63111</v>
      </c>
      <c r="BA320" s="23" t="s">
        <v>12</v>
      </c>
    </row>
    <row r="321" spans="1:53" x14ac:dyDescent="0.25">
      <c r="A321" t="s">
        <v>134</v>
      </c>
      <c r="B321" t="s">
        <v>135</v>
      </c>
      <c r="C321">
        <v>22001867</v>
      </c>
      <c r="D321">
        <v>1204</v>
      </c>
      <c r="E321" s="11">
        <v>44788</v>
      </c>
      <c r="F321" t="s">
        <v>174</v>
      </c>
      <c r="G321" s="25">
        <v>25.7</v>
      </c>
      <c r="H321">
        <v>25.7</v>
      </c>
      <c r="I321" t="s">
        <v>56</v>
      </c>
      <c r="O321" t="s">
        <v>57</v>
      </c>
      <c r="Q321" t="s">
        <v>57</v>
      </c>
      <c r="R321" t="s">
        <v>137</v>
      </c>
      <c r="T321" t="s">
        <v>59</v>
      </c>
      <c r="U321" t="s">
        <v>60</v>
      </c>
      <c r="V321" t="s">
        <v>138</v>
      </c>
      <c r="W321" t="s">
        <v>139</v>
      </c>
      <c r="X321">
        <v>1932108</v>
      </c>
      <c r="Y321" s="11">
        <v>44788</v>
      </c>
      <c r="Z321" t="s">
        <v>57</v>
      </c>
      <c r="AA321">
        <v>20</v>
      </c>
      <c r="AB321" t="s">
        <v>57</v>
      </c>
      <c r="AD321" t="s">
        <v>57</v>
      </c>
      <c r="AE321" t="s">
        <v>57</v>
      </c>
      <c r="AF321" t="s">
        <v>57</v>
      </c>
      <c r="AG321">
        <v>50</v>
      </c>
      <c r="AH321" t="s">
        <v>57</v>
      </c>
      <c r="AL321" t="s">
        <v>57</v>
      </c>
      <c r="AM321" s="11">
        <v>44788</v>
      </c>
      <c r="AN321" t="s">
        <v>173</v>
      </c>
      <c r="AO321" t="s">
        <v>65</v>
      </c>
      <c r="AP321">
        <v>1204</v>
      </c>
      <c r="AQ321" t="s">
        <v>66</v>
      </c>
      <c r="AR321">
        <v>97416</v>
      </c>
      <c r="AU321" t="s">
        <v>57</v>
      </c>
      <c r="AV321" t="s">
        <v>68</v>
      </c>
      <c r="AX321" t="s">
        <v>57</v>
      </c>
      <c r="AY321">
        <v>631110</v>
      </c>
      <c r="AZ321">
        <v>1204.63111</v>
      </c>
      <c r="BA321" s="23" t="s">
        <v>12</v>
      </c>
    </row>
    <row r="322" spans="1:53" x14ac:dyDescent="0.25">
      <c r="A322" t="s">
        <v>134</v>
      </c>
      <c r="B322" t="s">
        <v>135</v>
      </c>
      <c r="C322">
        <v>22001813</v>
      </c>
      <c r="D322">
        <v>1204</v>
      </c>
      <c r="E322" s="11">
        <v>44777</v>
      </c>
      <c r="F322" t="s">
        <v>174</v>
      </c>
      <c r="G322" s="25">
        <v>27.77</v>
      </c>
      <c r="H322">
        <v>27.77</v>
      </c>
      <c r="I322" t="s">
        <v>56</v>
      </c>
      <c r="O322" t="s">
        <v>57</v>
      </c>
      <c r="Q322" t="s">
        <v>57</v>
      </c>
      <c r="R322" t="s">
        <v>137</v>
      </c>
      <c r="T322" t="s">
        <v>59</v>
      </c>
      <c r="U322" t="s">
        <v>60</v>
      </c>
      <c r="V322" t="s">
        <v>138</v>
      </c>
      <c r="W322" t="s">
        <v>139</v>
      </c>
      <c r="X322">
        <v>1927630</v>
      </c>
      <c r="Y322" s="11">
        <v>44777</v>
      </c>
      <c r="Z322" t="s">
        <v>57</v>
      </c>
      <c r="AA322">
        <v>30</v>
      </c>
      <c r="AB322" t="s">
        <v>57</v>
      </c>
      <c r="AD322" t="s">
        <v>57</v>
      </c>
      <c r="AE322" t="s">
        <v>57</v>
      </c>
      <c r="AF322" t="s">
        <v>57</v>
      </c>
      <c r="AG322">
        <v>2</v>
      </c>
      <c r="AH322" t="s">
        <v>57</v>
      </c>
      <c r="AL322" t="s">
        <v>57</v>
      </c>
      <c r="AM322" s="11">
        <v>44777</v>
      </c>
      <c r="AN322" t="s">
        <v>173</v>
      </c>
      <c r="AO322" t="s">
        <v>65</v>
      </c>
      <c r="AP322">
        <v>1204</v>
      </c>
      <c r="AQ322" t="s">
        <v>66</v>
      </c>
      <c r="AR322">
        <v>93759</v>
      </c>
      <c r="AU322" t="s">
        <v>57</v>
      </c>
      <c r="AV322" t="s">
        <v>68</v>
      </c>
      <c r="AX322" t="s">
        <v>57</v>
      </c>
      <c r="AY322">
        <v>631110</v>
      </c>
      <c r="AZ322">
        <v>1204.63111</v>
      </c>
      <c r="BA322" s="23" t="s">
        <v>12</v>
      </c>
    </row>
    <row r="323" spans="1:53" x14ac:dyDescent="0.25">
      <c r="A323" t="s">
        <v>134</v>
      </c>
      <c r="B323" t="s">
        <v>135</v>
      </c>
      <c r="C323">
        <v>22001834</v>
      </c>
      <c r="D323">
        <v>1204</v>
      </c>
      <c r="E323" s="11">
        <v>44781</v>
      </c>
      <c r="F323" t="s">
        <v>174</v>
      </c>
      <c r="G323" s="25">
        <v>28.54</v>
      </c>
      <c r="H323">
        <v>28.54</v>
      </c>
      <c r="I323" t="s">
        <v>56</v>
      </c>
      <c r="O323" t="s">
        <v>57</v>
      </c>
      <c r="Q323" t="s">
        <v>57</v>
      </c>
      <c r="R323" t="s">
        <v>137</v>
      </c>
      <c r="T323" t="s">
        <v>59</v>
      </c>
      <c r="U323" t="s">
        <v>60</v>
      </c>
      <c r="V323" t="s">
        <v>138</v>
      </c>
      <c r="W323" t="s">
        <v>139</v>
      </c>
      <c r="X323">
        <v>1928971</v>
      </c>
      <c r="Y323" s="11">
        <v>44781</v>
      </c>
      <c r="Z323" t="s">
        <v>57</v>
      </c>
      <c r="AA323">
        <v>2</v>
      </c>
      <c r="AB323" t="s">
        <v>57</v>
      </c>
      <c r="AD323" t="s">
        <v>57</v>
      </c>
      <c r="AE323" t="s">
        <v>57</v>
      </c>
      <c r="AF323" t="s">
        <v>57</v>
      </c>
      <c r="AG323">
        <v>1</v>
      </c>
      <c r="AH323" t="s">
        <v>57</v>
      </c>
      <c r="AL323" t="s">
        <v>57</v>
      </c>
      <c r="AM323" s="11">
        <v>44781</v>
      </c>
      <c r="AN323" t="s">
        <v>173</v>
      </c>
      <c r="AO323" t="s">
        <v>65</v>
      </c>
      <c r="AP323">
        <v>1204</v>
      </c>
      <c r="AQ323" t="s">
        <v>66</v>
      </c>
      <c r="AR323">
        <v>139186</v>
      </c>
      <c r="AU323" t="s">
        <v>57</v>
      </c>
      <c r="AV323" t="s">
        <v>68</v>
      </c>
      <c r="AX323" t="s">
        <v>57</v>
      </c>
      <c r="AY323">
        <v>631110</v>
      </c>
      <c r="AZ323">
        <v>1204.63111</v>
      </c>
      <c r="BA323" s="23" t="s">
        <v>12</v>
      </c>
    </row>
    <row r="324" spans="1:53" x14ac:dyDescent="0.25">
      <c r="A324" t="s">
        <v>134</v>
      </c>
      <c r="B324" t="s">
        <v>135</v>
      </c>
      <c r="C324">
        <v>22001849</v>
      </c>
      <c r="D324">
        <v>1204</v>
      </c>
      <c r="E324" s="11">
        <v>44784</v>
      </c>
      <c r="F324" t="s">
        <v>174</v>
      </c>
      <c r="G324" s="25">
        <v>28.54</v>
      </c>
      <c r="H324">
        <v>28.54</v>
      </c>
      <c r="I324" t="s">
        <v>56</v>
      </c>
      <c r="O324" t="s">
        <v>57</v>
      </c>
      <c r="Q324" t="s">
        <v>57</v>
      </c>
      <c r="R324" t="s">
        <v>137</v>
      </c>
      <c r="T324" t="s">
        <v>59</v>
      </c>
      <c r="U324" t="s">
        <v>60</v>
      </c>
      <c r="V324" t="s">
        <v>138</v>
      </c>
      <c r="W324" t="s">
        <v>139</v>
      </c>
      <c r="X324">
        <v>1930407</v>
      </c>
      <c r="Y324" s="11">
        <v>44784</v>
      </c>
      <c r="Z324" t="s">
        <v>57</v>
      </c>
      <c r="AA324">
        <v>20</v>
      </c>
      <c r="AB324" t="s">
        <v>57</v>
      </c>
      <c r="AD324" t="s">
        <v>57</v>
      </c>
      <c r="AE324" t="s">
        <v>57</v>
      </c>
      <c r="AF324" t="s">
        <v>57</v>
      </c>
      <c r="AG324">
        <v>1</v>
      </c>
      <c r="AH324" t="s">
        <v>57</v>
      </c>
      <c r="AL324" t="s">
        <v>57</v>
      </c>
      <c r="AM324" s="11">
        <v>44784</v>
      </c>
      <c r="AN324" t="s">
        <v>173</v>
      </c>
      <c r="AO324" t="s">
        <v>65</v>
      </c>
      <c r="AP324">
        <v>1204</v>
      </c>
      <c r="AQ324" t="s">
        <v>66</v>
      </c>
      <c r="AR324">
        <v>139186</v>
      </c>
      <c r="AU324" t="s">
        <v>57</v>
      </c>
      <c r="AV324" t="s">
        <v>68</v>
      </c>
      <c r="AX324" t="s">
        <v>57</v>
      </c>
      <c r="AY324">
        <v>631110</v>
      </c>
      <c r="AZ324">
        <v>1204.63111</v>
      </c>
      <c r="BA324" s="23" t="s">
        <v>12</v>
      </c>
    </row>
    <row r="325" spans="1:53" x14ac:dyDescent="0.25">
      <c r="A325" t="s">
        <v>134</v>
      </c>
      <c r="B325" t="s">
        <v>135</v>
      </c>
      <c r="C325">
        <v>22001784</v>
      </c>
      <c r="D325">
        <v>1204</v>
      </c>
      <c r="E325" s="11">
        <v>44774</v>
      </c>
      <c r="F325" t="s">
        <v>159</v>
      </c>
      <c r="G325" s="25">
        <v>30.24</v>
      </c>
      <c r="H325">
        <v>30.24</v>
      </c>
      <c r="I325" t="s">
        <v>56</v>
      </c>
      <c r="O325" t="s">
        <v>57</v>
      </c>
      <c r="Q325" t="s">
        <v>57</v>
      </c>
      <c r="R325" t="s">
        <v>137</v>
      </c>
      <c r="T325" t="s">
        <v>59</v>
      </c>
      <c r="U325" t="s">
        <v>60</v>
      </c>
      <c r="V325" t="s">
        <v>138</v>
      </c>
      <c r="W325" t="s">
        <v>139</v>
      </c>
      <c r="X325">
        <v>1925466</v>
      </c>
      <c r="Y325" s="11">
        <v>44774</v>
      </c>
      <c r="Z325" t="s">
        <v>57</v>
      </c>
      <c r="AA325">
        <v>2</v>
      </c>
      <c r="AB325" t="s">
        <v>57</v>
      </c>
      <c r="AD325" t="s">
        <v>57</v>
      </c>
      <c r="AE325" t="s">
        <v>57</v>
      </c>
      <c r="AF325" t="s">
        <v>57</v>
      </c>
      <c r="AG325">
        <v>2</v>
      </c>
      <c r="AH325" t="s">
        <v>57</v>
      </c>
      <c r="AL325" t="s">
        <v>57</v>
      </c>
      <c r="AM325" s="11">
        <v>44774</v>
      </c>
      <c r="AN325" t="s">
        <v>173</v>
      </c>
      <c r="AO325" t="s">
        <v>65</v>
      </c>
      <c r="AP325">
        <v>1204</v>
      </c>
      <c r="AQ325" t="s">
        <v>66</v>
      </c>
      <c r="AR325">
        <v>88717</v>
      </c>
      <c r="AU325" t="s">
        <v>57</v>
      </c>
      <c r="AV325" t="s">
        <v>68</v>
      </c>
      <c r="AX325" t="s">
        <v>57</v>
      </c>
      <c r="AY325">
        <v>631110</v>
      </c>
      <c r="AZ325">
        <v>1204.63111</v>
      </c>
      <c r="BA325" s="23" t="s">
        <v>12</v>
      </c>
    </row>
    <row r="326" spans="1:53" x14ac:dyDescent="0.25">
      <c r="A326" t="s">
        <v>134</v>
      </c>
      <c r="B326" t="s">
        <v>135</v>
      </c>
      <c r="C326">
        <v>22001802</v>
      </c>
      <c r="D326">
        <v>1204</v>
      </c>
      <c r="E326" s="11">
        <v>44775</v>
      </c>
      <c r="F326" t="s">
        <v>159</v>
      </c>
      <c r="G326" s="25">
        <v>30.24</v>
      </c>
      <c r="H326">
        <v>30.24</v>
      </c>
      <c r="I326" t="s">
        <v>56</v>
      </c>
      <c r="O326" t="s">
        <v>57</v>
      </c>
      <c r="Q326" t="s">
        <v>57</v>
      </c>
      <c r="R326" t="s">
        <v>137</v>
      </c>
      <c r="T326" t="s">
        <v>59</v>
      </c>
      <c r="U326" t="s">
        <v>60</v>
      </c>
      <c r="V326" t="s">
        <v>138</v>
      </c>
      <c r="W326" t="s">
        <v>139</v>
      </c>
      <c r="X326">
        <v>1926653</v>
      </c>
      <c r="Y326" s="11">
        <v>44775</v>
      </c>
      <c r="Z326" t="s">
        <v>57</v>
      </c>
      <c r="AA326">
        <v>2</v>
      </c>
      <c r="AB326" t="s">
        <v>57</v>
      </c>
      <c r="AD326" t="s">
        <v>57</v>
      </c>
      <c r="AE326" t="s">
        <v>57</v>
      </c>
      <c r="AF326" t="s">
        <v>57</v>
      </c>
      <c r="AG326">
        <v>2</v>
      </c>
      <c r="AH326" t="s">
        <v>57</v>
      </c>
      <c r="AL326" t="s">
        <v>57</v>
      </c>
      <c r="AM326" s="11">
        <v>44775</v>
      </c>
      <c r="AN326" t="s">
        <v>173</v>
      </c>
      <c r="AO326" t="s">
        <v>65</v>
      </c>
      <c r="AP326">
        <v>1204</v>
      </c>
      <c r="AQ326" t="s">
        <v>66</v>
      </c>
      <c r="AR326">
        <v>88717</v>
      </c>
      <c r="AU326" t="s">
        <v>57</v>
      </c>
      <c r="AV326" t="s">
        <v>68</v>
      </c>
      <c r="AX326" t="s">
        <v>57</v>
      </c>
      <c r="AY326">
        <v>631110</v>
      </c>
      <c r="AZ326">
        <v>1204.63111</v>
      </c>
      <c r="BA326" s="23" t="s">
        <v>12</v>
      </c>
    </row>
    <row r="327" spans="1:53" x14ac:dyDescent="0.25">
      <c r="A327" t="s">
        <v>134</v>
      </c>
      <c r="B327" t="s">
        <v>135</v>
      </c>
      <c r="C327">
        <v>22001807</v>
      </c>
      <c r="D327">
        <v>1204</v>
      </c>
      <c r="E327" s="11">
        <v>44776</v>
      </c>
      <c r="F327" t="s">
        <v>159</v>
      </c>
      <c r="G327" s="25">
        <v>30.24</v>
      </c>
      <c r="H327">
        <v>30.24</v>
      </c>
      <c r="I327" t="s">
        <v>56</v>
      </c>
      <c r="O327" t="s">
        <v>57</v>
      </c>
      <c r="Q327" t="s">
        <v>57</v>
      </c>
      <c r="R327" t="s">
        <v>137</v>
      </c>
      <c r="T327" t="s">
        <v>59</v>
      </c>
      <c r="U327" t="s">
        <v>60</v>
      </c>
      <c r="V327" t="s">
        <v>138</v>
      </c>
      <c r="W327" t="s">
        <v>139</v>
      </c>
      <c r="X327">
        <v>1926830</v>
      </c>
      <c r="Y327" s="11">
        <v>44776</v>
      </c>
      <c r="Z327" t="s">
        <v>57</v>
      </c>
      <c r="AA327">
        <v>10</v>
      </c>
      <c r="AB327" t="s">
        <v>57</v>
      </c>
      <c r="AD327" t="s">
        <v>57</v>
      </c>
      <c r="AE327" t="s">
        <v>57</v>
      </c>
      <c r="AF327" t="s">
        <v>57</v>
      </c>
      <c r="AG327">
        <v>2</v>
      </c>
      <c r="AH327" t="s">
        <v>57</v>
      </c>
      <c r="AL327" t="s">
        <v>57</v>
      </c>
      <c r="AM327" s="11">
        <v>44776</v>
      </c>
      <c r="AN327" t="s">
        <v>173</v>
      </c>
      <c r="AO327" t="s">
        <v>65</v>
      </c>
      <c r="AP327">
        <v>1204</v>
      </c>
      <c r="AQ327" t="s">
        <v>66</v>
      </c>
      <c r="AR327">
        <v>88717</v>
      </c>
      <c r="AU327" t="s">
        <v>57</v>
      </c>
      <c r="AV327" t="s">
        <v>68</v>
      </c>
      <c r="AX327" t="s">
        <v>57</v>
      </c>
      <c r="AY327">
        <v>631110</v>
      </c>
      <c r="AZ327">
        <v>1204.63111</v>
      </c>
      <c r="BA327" s="23" t="s">
        <v>12</v>
      </c>
    </row>
    <row r="328" spans="1:53" x14ac:dyDescent="0.25">
      <c r="A328" t="s">
        <v>134</v>
      </c>
      <c r="B328" t="s">
        <v>135</v>
      </c>
      <c r="C328">
        <v>22001832</v>
      </c>
      <c r="D328">
        <v>1204</v>
      </c>
      <c r="E328" s="11">
        <v>44781</v>
      </c>
      <c r="F328" t="s">
        <v>159</v>
      </c>
      <c r="G328" s="25">
        <v>30.24</v>
      </c>
      <c r="H328">
        <v>30.24</v>
      </c>
      <c r="I328" t="s">
        <v>56</v>
      </c>
      <c r="O328" t="s">
        <v>57</v>
      </c>
      <c r="Q328" t="s">
        <v>57</v>
      </c>
      <c r="R328" t="s">
        <v>137</v>
      </c>
      <c r="T328" t="s">
        <v>59</v>
      </c>
      <c r="U328" t="s">
        <v>60</v>
      </c>
      <c r="V328" t="s">
        <v>138</v>
      </c>
      <c r="W328" t="s">
        <v>139</v>
      </c>
      <c r="X328">
        <v>1928857</v>
      </c>
      <c r="Y328" s="11">
        <v>44781</v>
      </c>
      <c r="Z328" t="s">
        <v>57</v>
      </c>
      <c r="AA328">
        <v>2</v>
      </c>
      <c r="AB328" t="s">
        <v>57</v>
      </c>
      <c r="AD328" t="s">
        <v>57</v>
      </c>
      <c r="AE328" t="s">
        <v>57</v>
      </c>
      <c r="AF328" t="s">
        <v>57</v>
      </c>
      <c r="AG328">
        <v>2</v>
      </c>
      <c r="AH328" t="s">
        <v>57</v>
      </c>
      <c r="AL328" t="s">
        <v>57</v>
      </c>
      <c r="AM328" s="11">
        <v>44781</v>
      </c>
      <c r="AN328" t="s">
        <v>173</v>
      </c>
      <c r="AO328" t="s">
        <v>65</v>
      </c>
      <c r="AP328">
        <v>1204</v>
      </c>
      <c r="AQ328" t="s">
        <v>66</v>
      </c>
      <c r="AR328">
        <v>88717</v>
      </c>
      <c r="AU328" t="s">
        <v>57</v>
      </c>
      <c r="AV328" t="s">
        <v>68</v>
      </c>
      <c r="AX328" t="s">
        <v>57</v>
      </c>
      <c r="AY328">
        <v>631110</v>
      </c>
      <c r="AZ328">
        <v>1204.63111</v>
      </c>
      <c r="BA328" s="23" t="s">
        <v>12</v>
      </c>
    </row>
    <row r="329" spans="1:53" x14ac:dyDescent="0.25">
      <c r="A329" t="s">
        <v>134</v>
      </c>
      <c r="B329" t="s">
        <v>135</v>
      </c>
      <c r="C329">
        <v>22001836</v>
      </c>
      <c r="D329">
        <v>1204</v>
      </c>
      <c r="E329" s="11">
        <v>44782</v>
      </c>
      <c r="F329" t="s">
        <v>159</v>
      </c>
      <c r="G329" s="25">
        <v>30.24</v>
      </c>
      <c r="H329">
        <v>30.24</v>
      </c>
      <c r="I329" t="s">
        <v>56</v>
      </c>
      <c r="O329" t="s">
        <v>57</v>
      </c>
      <c r="Q329" t="s">
        <v>57</v>
      </c>
      <c r="R329" t="s">
        <v>137</v>
      </c>
      <c r="T329" t="s">
        <v>59</v>
      </c>
      <c r="U329" t="s">
        <v>60</v>
      </c>
      <c r="V329" t="s">
        <v>138</v>
      </c>
      <c r="W329" t="s">
        <v>139</v>
      </c>
      <c r="X329">
        <v>1929196</v>
      </c>
      <c r="Y329" s="11">
        <v>44782</v>
      </c>
      <c r="Z329" t="s">
        <v>57</v>
      </c>
      <c r="AA329">
        <v>4</v>
      </c>
      <c r="AB329" t="s">
        <v>57</v>
      </c>
      <c r="AD329" t="s">
        <v>57</v>
      </c>
      <c r="AE329" t="s">
        <v>57</v>
      </c>
      <c r="AF329" t="s">
        <v>57</v>
      </c>
      <c r="AG329">
        <v>2</v>
      </c>
      <c r="AH329" t="s">
        <v>57</v>
      </c>
      <c r="AL329" t="s">
        <v>57</v>
      </c>
      <c r="AM329" s="11">
        <v>44782</v>
      </c>
      <c r="AN329" t="s">
        <v>173</v>
      </c>
      <c r="AO329" t="s">
        <v>65</v>
      </c>
      <c r="AP329">
        <v>1204</v>
      </c>
      <c r="AQ329" t="s">
        <v>66</v>
      </c>
      <c r="AR329">
        <v>88717</v>
      </c>
      <c r="AU329" t="s">
        <v>57</v>
      </c>
      <c r="AV329" t="s">
        <v>68</v>
      </c>
      <c r="AX329" t="s">
        <v>57</v>
      </c>
      <c r="AY329">
        <v>631110</v>
      </c>
      <c r="AZ329">
        <v>1204.63111</v>
      </c>
      <c r="BA329" s="23" t="s">
        <v>12</v>
      </c>
    </row>
    <row r="330" spans="1:53" x14ac:dyDescent="0.25">
      <c r="A330" t="s">
        <v>134</v>
      </c>
      <c r="B330" t="s">
        <v>135</v>
      </c>
      <c r="C330">
        <v>22001854</v>
      </c>
      <c r="D330">
        <v>1204</v>
      </c>
      <c r="E330" s="11">
        <v>44785</v>
      </c>
      <c r="F330" t="s">
        <v>159</v>
      </c>
      <c r="G330" s="25">
        <v>30.24</v>
      </c>
      <c r="H330">
        <v>30.24</v>
      </c>
      <c r="I330" t="s">
        <v>56</v>
      </c>
      <c r="O330" t="s">
        <v>57</v>
      </c>
      <c r="Q330" t="s">
        <v>57</v>
      </c>
      <c r="R330" t="s">
        <v>137</v>
      </c>
      <c r="T330" t="s">
        <v>59</v>
      </c>
      <c r="U330" t="s">
        <v>60</v>
      </c>
      <c r="V330" t="s">
        <v>138</v>
      </c>
      <c r="W330" t="s">
        <v>139</v>
      </c>
      <c r="X330">
        <v>1930576</v>
      </c>
      <c r="Y330" s="11">
        <v>44785</v>
      </c>
      <c r="Z330" t="s">
        <v>57</v>
      </c>
      <c r="AA330">
        <v>4</v>
      </c>
      <c r="AB330" t="s">
        <v>57</v>
      </c>
      <c r="AD330" t="s">
        <v>57</v>
      </c>
      <c r="AE330" t="s">
        <v>57</v>
      </c>
      <c r="AF330" t="s">
        <v>57</v>
      </c>
      <c r="AG330">
        <v>2</v>
      </c>
      <c r="AH330" t="s">
        <v>57</v>
      </c>
      <c r="AL330" t="s">
        <v>57</v>
      </c>
      <c r="AM330" s="11">
        <v>44785</v>
      </c>
      <c r="AN330" t="s">
        <v>173</v>
      </c>
      <c r="AO330" t="s">
        <v>65</v>
      </c>
      <c r="AP330">
        <v>1204</v>
      </c>
      <c r="AQ330" t="s">
        <v>66</v>
      </c>
      <c r="AR330">
        <v>88717</v>
      </c>
      <c r="AU330" t="s">
        <v>57</v>
      </c>
      <c r="AV330" t="s">
        <v>68</v>
      </c>
      <c r="AX330" t="s">
        <v>57</v>
      </c>
      <c r="AY330">
        <v>631110</v>
      </c>
      <c r="AZ330">
        <v>1204.63111</v>
      </c>
      <c r="BA330" s="23" t="s">
        <v>12</v>
      </c>
    </row>
    <row r="331" spans="1:53" x14ac:dyDescent="0.25">
      <c r="A331" t="s">
        <v>134</v>
      </c>
      <c r="B331" t="s">
        <v>135</v>
      </c>
      <c r="C331">
        <v>22001854</v>
      </c>
      <c r="D331">
        <v>1204</v>
      </c>
      <c r="E331" s="11">
        <v>44785</v>
      </c>
      <c r="F331" t="s">
        <v>159</v>
      </c>
      <c r="G331" s="25">
        <v>30.24</v>
      </c>
      <c r="H331">
        <v>30.24</v>
      </c>
      <c r="I331" t="s">
        <v>56</v>
      </c>
      <c r="O331" t="s">
        <v>57</v>
      </c>
      <c r="Q331" t="s">
        <v>57</v>
      </c>
      <c r="R331" t="s">
        <v>137</v>
      </c>
      <c r="T331" t="s">
        <v>59</v>
      </c>
      <c r="U331" t="s">
        <v>60</v>
      </c>
      <c r="V331" t="s">
        <v>138</v>
      </c>
      <c r="W331" t="s">
        <v>139</v>
      </c>
      <c r="X331">
        <v>1930576</v>
      </c>
      <c r="Y331" s="11">
        <v>44785</v>
      </c>
      <c r="Z331" t="s">
        <v>57</v>
      </c>
      <c r="AA331">
        <v>2</v>
      </c>
      <c r="AB331" t="s">
        <v>57</v>
      </c>
      <c r="AD331" t="s">
        <v>57</v>
      </c>
      <c r="AE331" t="s">
        <v>57</v>
      </c>
      <c r="AF331" t="s">
        <v>57</v>
      </c>
      <c r="AG331">
        <v>2</v>
      </c>
      <c r="AH331" t="s">
        <v>57</v>
      </c>
      <c r="AL331" t="s">
        <v>57</v>
      </c>
      <c r="AM331" s="11">
        <v>44785</v>
      </c>
      <c r="AN331" t="s">
        <v>173</v>
      </c>
      <c r="AO331" t="s">
        <v>65</v>
      </c>
      <c r="AP331">
        <v>1204</v>
      </c>
      <c r="AQ331" t="s">
        <v>66</v>
      </c>
      <c r="AR331">
        <v>88717</v>
      </c>
      <c r="AU331" t="s">
        <v>57</v>
      </c>
      <c r="AV331" t="s">
        <v>68</v>
      </c>
      <c r="AX331" t="s">
        <v>57</v>
      </c>
      <c r="AY331">
        <v>631110</v>
      </c>
      <c r="AZ331">
        <v>1204.63111</v>
      </c>
      <c r="BA331" s="23" t="s">
        <v>12</v>
      </c>
    </row>
    <row r="332" spans="1:53" x14ac:dyDescent="0.25">
      <c r="A332" t="s">
        <v>134</v>
      </c>
      <c r="B332" t="s">
        <v>135</v>
      </c>
      <c r="C332">
        <v>22001892</v>
      </c>
      <c r="D332">
        <v>1204</v>
      </c>
      <c r="E332" s="11">
        <v>44792</v>
      </c>
      <c r="F332" t="s">
        <v>159</v>
      </c>
      <c r="G332" s="25">
        <v>30.24</v>
      </c>
      <c r="H332">
        <v>30.24</v>
      </c>
      <c r="I332" t="s">
        <v>56</v>
      </c>
      <c r="O332" t="s">
        <v>57</v>
      </c>
      <c r="Q332" t="s">
        <v>57</v>
      </c>
      <c r="R332" t="s">
        <v>137</v>
      </c>
      <c r="T332" t="s">
        <v>59</v>
      </c>
      <c r="U332" t="s">
        <v>60</v>
      </c>
      <c r="V332" t="s">
        <v>138</v>
      </c>
      <c r="W332" t="s">
        <v>139</v>
      </c>
      <c r="X332">
        <v>1934078</v>
      </c>
      <c r="Y332" s="11">
        <v>44792</v>
      </c>
      <c r="Z332" t="s">
        <v>57</v>
      </c>
      <c r="AA332">
        <v>2</v>
      </c>
      <c r="AB332" t="s">
        <v>57</v>
      </c>
      <c r="AD332" t="s">
        <v>57</v>
      </c>
      <c r="AE332" t="s">
        <v>57</v>
      </c>
      <c r="AF332" t="s">
        <v>57</v>
      </c>
      <c r="AG332">
        <v>2</v>
      </c>
      <c r="AH332" t="s">
        <v>57</v>
      </c>
      <c r="AL332" t="s">
        <v>57</v>
      </c>
      <c r="AM332" s="11">
        <v>44792</v>
      </c>
      <c r="AN332" t="s">
        <v>173</v>
      </c>
      <c r="AO332" t="s">
        <v>65</v>
      </c>
      <c r="AP332">
        <v>1204</v>
      </c>
      <c r="AQ332" t="s">
        <v>66</v>
      </c>
      <c r="AR332">
        <v>88717</v>
      </c>
      <c r="AU332" t="s">
        <v>57</v>
      </c>
      <c r="AV332" t="s">
        <v>68</v>
      </c>
      <c r="AX332" t="s">
        <v>57</v>
      </c>
      <c r="AY332">
        <v>631110</v>
      </c>
      <c r="AZ332">
        <v>1204.63111</v>
      </c>
      <c r="BA332" s="23" t="s">
        <v>12</v>
      </c>
    </row>
    <row r="333" spans="1:53" x14ac:dyDescent="0.25">
      <c r="A333" t="s">
        <v>134</v>
      </c>
      <c r="B333" t="s">
        <v>135</v>
      </c>
      <c r="C333">
        <v>22001842</v>
      </c>
      <c r="D333">
        <v>1204</v>
      </c>
      <c r="E333" s="11">
        <v>44783</v>
      </c>
      <c r="F333" t="s">
        <v>174</v>
      </c>
      <c r="G333" s="25">
        <v>31.52</v>
      </c>
      <c r="H333">
        <v>31.52</v>
      </c>
      <c r="I333" t="s">
        <v>56</v>
      </c>
      <c r="O333" t="s">
        <v>57</v>
      </c>
      <c r="Q333" t="s">
        <v>57</v>
      </c>
      <c r="R333" t="s">
        <v>137</v>
      </c>
      <c r="T333" t="s">
        <v>59</v>
      </c>
      <c r="U333" t="s">
        <v>60</v>
      </c>
      <c r="V333" t="s">
        <v>138</v>
      </c>
      <c r="W333" t="s">
        <v>139</v>
      </c>
      <c r="X333">
        <v>1930268</v>
      </c>
      <c r="Y333" s="11">
        <v>44783</v>
      </c>
      <c r="Z333" t="s">
        <v>57</v>
      </c>
      <c r="AA333">
        <v>20</v>
      </c>
      <c r="AB333" t="s">
        <v>57</v>
      </c>
      <c r="AD333" t="s">
        <v>57</v>
      </c>
      <c r="AE333" t="s">
        <v>57</v>
      </c>
      <c r="AF333" t="s">
        <v>57</v>
      </c>
      <c r="AG333">
        <v>2</v>
      </c>
      <c r="AH333" t="s">
        <v>57</v>
      </c>
      <c r="AL333" t="s">
        <v>57</v>
      </c>
      <c r="AM333" s="11">
        <v>44783</v>
      </c>
      <c r="AN333" t="s">
        <v>173</v>
      </c>
      <c r="AO333" t="s">
        <v>65</v>
      </c>
      <c r="AP333">
        <v>1204</v>
      </c>
      <c r="AQ333" t="s">
        <v>66</v>
      </c>
      <c r="AR333">
        <v>188248</v>
      </c>
      <c r="AU333" t="s">
        <v>57</v>
      </c>
      <c r="AV333" t="s">
        <v>68</v>
      </c>
      <c r="AX333" t="s">
        <v>57</v>
      </c>
      <c r="AY333">
        <v>631110</v>
      </c>
      <c r="AZ333">
        <v>1204.63111</v>
      </c>
      <c r="BA333" s="23" t="s">
        <v>12</v>
      </c>
    </row>
    <row r="334" spans="1:53" x14ac:dyDescent="0.25">
      <c r="A334" t="s">
        <v>134</v>
      </c>
      <c r="B334" t="s">
        <v>135</v>
      </c>
      <c r="C334">
        <v>22001834</v>
      </c>
      <c r="D334">
        <v>1204</v>
      </c>
      <c r="E334" s="11">
        <v>44781</v>
      </c>
      <c r="F334" t="s">
        <v>174</v>
      </c>
      <c r="G334" s="25">
        <v>32.26</v>
      </c>
      <c r="H334">
        <v>32.26</v>
      </c>
      <c r="I334" t="s">
        <v>56</v>
      </c>
      <c r="O334" t="s">
        <v>57</v>
      </c>
      <c r="Q334" t="s">
        <v>57</v>
      </c>
      <c r="R334" t="s">
        <v>137</v>
      </c>
      <c r="T334" t="s">
        <v>59</v>
      </c>
      <c r="U334" t="s">
        <v>60</v>
      </c>
      <c r="V334" t="s">
        <v>138</v>
      </c>
      <c r="W334" t="s">
        <v>139</v>
      </c>
      <c r="X334">
        <v>1928971</v>
      </c>
      <c r="Y334" s="11">
        <v>44781</v>
      </c>
      <c r="Z334" t="s">
        <v>57</v>
      </c>
      <c r="AA334">
        <v>10</v>
      </c>
      <c r="AB334" t="s">
        <v>57</v>
      </c>
      <c r="AD334" t="s">
        <v>57</v>
      </c>
      <c r="AE334" t="s">
        <v>57</v>
      </c>
      <c r="AF334" t="s">
        <v>57</v>
      </c>
      <c r="AG334">
        <v>6</v>
      </c>
      <c r="AH334" t="s">
        <v>57</v>
      </c>
      <c r="AL334" t="s">
        <v>57</v>
      </c>
      <c r="AM334" s="11">
        <v>44781</v>
      </c>
      <c r="AN334" t="s">
        <v>173</v>
      </c>
      <c r="AO334" t="s">
        <v>65</v>
      </c>
      <c r="AP334">
        <v>1204</v>
      </c>
      <c r="AQ334" t="s">
        <v>66</v>
      </c>
      <c r="AR334">
        <v>91077</v>
      </c>
      <c r="AU334" t="s">
        <v>57</v>
      </c>
      <c r="AV334" t="s">
        <v>68</v>
      </c>
      <c r="AX334" t="s">
        <v>57</v>
      </c>
      <c r="AY334">
        <v>631110</v>
      </c>
      <c r="AZ334">
        <v>1204.63111</v>
      </c>
      <c r="BA334" s="23" t="s">
        <v>12</v>
      </c>
    </row>
    <row r="335" spans="1:53" x14ac:dyDescent="0.25">
      <c r="A335" t="s">
        <v>134</v>
      </c>
      <c r="B335" t="s">
        <v>135</v>
      </c>
      <c r="C335">
        <v>22001851</v>
      </c>
      <c r="D335">
        <v>1204</v>
      </c>
      <c r="E335" s="11">
        <v>44784</v>
      </c>
      <c r="F335" t="s">
        <v>174</v>
      </c>
      <c r="G335" s="25">
        <v>32.26</v>
      </c>
      <c r="H335">
        <v>32.26</v>
      </c>
      <c r="I335" t="s">
        <v>56</v>
      </c>
      <c r="O335" t="s">
        <v>57</v>
      </c>
      <c r="Q335" t="s">
        <v>57</v>
      </c>
      <c r="R335" t="s">
        <v>137</v>
      </c>
      <c r="T335" t="s">
        <v>59</v>
      </c>
      <c r="U335" t="s">
        <v>60</v>
      </c>
      <c r="V335" t="s">
        <v>138</v>
      </c>
      <c r="W335" t="s">
        <v>139</v>
      </c>
      <c r="X335">
        <v>1930522</v>
      </c>
      <c r="Y335" s="11">
        <v>44784</v>
      </c>
      <c r="Z335" t="s">
        <v>57</v>
      </c>
      <c r="AA335">
        <v>4</v>
      </c>
      <c r="AB335" t="s">
        <v>57</v>
      </c>
      <c r="AD335" t="s">
        <v>57</v>
      </c>
      <c r="AE335" t="s">
        <v>57</v>
      </c>
      <c r="AF335" t="s">
        <v>57</v>
      </c>
      <c r="AG335">
        <v>6</v>
      </c>
      <c r="AH335" t="s">
        <v>57</v>
      </c>
      <c r="AL335" t="s">
        <v>57</v>
      </c>
      <c r="AM335" s="11">
        <v>44784</v>
      </c>
      <c r="AN335" t="s">
        <v>173</v>
      </c>
      <c r="AO335" t="s">
        <v>65</v>
      </c>
      <c r="AP335">
        <v>1204</v>
      </c>
      <c r="AQ335" t="s">
        <v>66</v>
      </c>
      <c r="AR335">
        <v>91077</v>
      </c>
      <c r="AU335" t="s">
        <v>57</v>
      </c>
      <c r="AV335" t="s">
        <v>68</v>
      </c>
      <c r="AX335" t="s">
        <v>57</v>
      </c>
      <c r="AY335">
        <v>631110</v>
      </c>
      <c r="AZ335">
        <v>1204.63111</v>
      </c>
      <c r="BA335" s="23" t="s">
        <v>12</v>
      </c>
    </row>
    <row r="336" spans="1:53" x14ac:dyDescent="0.25">
      <c r="A336" t="s">
        <v>134</v>
      </c>
      <c r="B336" t="s">
        <v>135</v>
      </c>
      <c r="C336">
        <v>22001855</v>
      </c>
      <c r="D336">
        <v>1204</v>
      </c>
      <c r="E336" s="11">
        <v>44785</v>
      </c>
      <c r="F336" t="s">
        <v>174</v>
      </c>
      <c r="G336" s="25">
        <v>32.26</v>
      </c>
      <c r="H336">
        <v>32.26</v>
      </c>
      <c r="I336" t="s">
        <v>56</v>
      </c>
      <c r="O336" t="s">
        <v>57</v>
      </c>
      <c r="Q336" t="s">
        <v>57</v>
      </c>
      <c r="R336" t="s">
        <v>137</v>
      </c>
      <c r="T336" t="s">
        <v>59</v>
      </c>
      <c r="U336" t="s">
        <v>60</v>
      </c>
      <c r="V336" t="s">
        <v>138</v>
      </c>
      <c r="W336" t="s">
        <v>139</v>
      </c>
      <c r="X336">
        <v>1930576</v>
      </c>
      <c r="Y336" s="11">
        <v>44785</v>
      </c>
      <c r="Z336" t="s">
        <v>57</v>
      </c>
      <c r="AA336">
        <v>10</v>
      </c>
      <c r="AB336" t="s">
        <v>57</v>
      </c>
      <c r="AD336" t="s">
        <v>57</v>
      </c>
      <c r="AE336" t="s">
        <v>57</v>
      </c>
      <c r="AF336" t="s">
        <v>57</v>
      </c>
      <c r="AG336">
        <v>6</v>
      </c>
      <c r="AH336" t="s">
        <v>57</v>
      </c>
      <c r="AL336" t="s">
        <v>57</v>
      </c>
      <c r="AM336" s="11">
        <v>44785</v>
      </c>
      <c r="AN336" t="s">
        <v>173</v>
      </c>
      <c r="AO336" t="s">
        <v>65</v>
      </c>
      <c r="AP336">
        <v>1204</v>
      </c>
      <c r="AQ336" t="s">
        <v>66</v>
      </c>
      <c r="AR336">
        <v>91077</v>
      </c>
      <c r="AU336" t="s">
        <v>57</v>
      </c>
      <c r="AV336" t="s">
        <v>68</v>
      </c>
      <c r="AX336" t="s">
        <v>57</v>
      </c>
      <c r="AY336">
        <v>631110</v>
      </c>
      <c r="AZ336">
        <v>1204.63111</v>
      </c>
      <c r="BA336" s="23" t="s">
        <v>12</v>
      </c>
    </row>
    <row r="337" spans="1:53" x14ac:dyDescent="0.25">
      <c r="A337" t="s">
        <v>134</v>
      </c>
      <c r="B337" t="s">
        <v>135</v>
      </c>
      <c r="C337">
        <v>22001871</v>
      </c>
      <c r="D337">
        <v>1204</v>
      </c>
      <c r="E337" s="11">
        <v>44789</v>
      </c>
      <c r="F337" t="s">
        <v>174</v>
      </c>
      <c r="G337" s="25">
        <v>34.22</v>
      </c>
      <c r="H337">
        <v>34.22</v>
      </c>
      <c r="I337" t="s">
        <v>56</v>
      </c>
      <c r="O337" t="s">
        <v>57</v>
      </c>
      <c r="Q337" t="s">
        <v>57</v>
      </c>
      <c r="R337" t="s">
        <v>137</v>
      </c>
      <c r="T337" t="s">
        <v>59</v>
      </c>
      <c r="U337" t="s">
        <v>60</v>
      </c>
      <c r="V337" t="s">
        <v>138</v>
      </c>
      <c r="W337" t="s">
        <v>139</v>
      </c>
      <c r="X337">
        <v>1933046</v>
      </c>
      <c r="Y337" s="11">
        <v>44789</v>
      </c>
      <c r="Z337" t="s">
        <v>57</v>
      </c>
      <c r="AA337">
        <v>2</v>
      </c>
      <c r="AB337" t="s">
        <v>57</v>
      </c>
      <c r="AD337" t="s">
        <v>57</v>
      </c>
      <c r="AE337" t="s">
        <v>57</v>
      </c>
      <c r="AF337" t="s">
        <v>57</v>
      </c>
      <c r="AG337">
        <v>1</v>
      </c>
      <c r="AH337" t="s">
        <v>57</v>
      </c>
      <c r="AL337" t="s">
        <v>57</v>
      </c>
      <c r="AM337" s="11">
        <v>44789</v>
      </c>
      <c r="AN337" t="s">
        <v>173</v>
      </c>
      <c r="AO337" t="s">
        <v>65</v>
      </c>
      <c r="AP337">
        <v>1204</v>
      </c>
      <c r="AQ337" t="s">
        <v>66</v>
      </c>
      <c r="AR337">
        <v>88758</v>
      </c>
      <c r="AU337" t="s">
        <v>57</v>
      </c>
      <c r="AV337" t="s">
        <v>68</v>
      </c>
      <c r="AX337" t="s">
        <v>57</v>
      </c>
      <c r="AY337">
        <v>631110</v>
      </c>
      <c r="AZ337">
        <v>1204.63111</v>
      </c>
      <c r="BA337" s="23" t="s">
        <v>12</v>
      </c>
    </row>
    <row r="338" spans="1:53" x14ac:dyDescent="0.25">
      <c r="A338" t="s">
        <v>134</v>
      </c>
      <c r="B338" t="s">
        <v>135</v>
      </c>
      <c r="C338">
        <v>22001891</v>
      </c>
      <c r="D338">
        <v>1204</v>
      </c>
      <c r="E338" s="11">
        <v>44792</v>
      </c>
      <c r="F338" t="s">
        <v>174</v>
      </c>
      <c r="G338" s="25">
        <v>38.69</v>
      </c>
      <c r="H338">
        <v>38.69</v>
      </c>
      <c r="I338" t="s">
        <v>56</v>
      </c>
      <c r="O338" t="s">
        <v>57</v>
      </c>
      <c r="Q338" t="s">
        <v>57</v>
      </c>
      <c r="R338" t="s">
        <v>137</v>
      </c>
      <c r="T338" t="s">
        <v>59</v>
      </c>
      <c r="U338" t="s">
        <v>60</v>
      </c>
      <c r="V338" t="s">
        <v>138</v>
      </c>
      <c r="W338" t="s">
        <v>139</v>
      </c>
      <c r="X338">
        <v>1934076</v>
      </c>
      <c r="Y338" s="11">
        <v>44792</v>
      </c>
      <c r="Z338" t="s">
        <v>57</v>
      </c>
      <c r="AA338">
        <v>10</v>
      </c>
      <c r="AB338" t="s">
        <v>57</v>
      </c>
      <c r="AD338" t="s">
        <v>57</v>
      </c>
      <c r="AE338" t="s">
        <v>57</v>
      </c>
      <c r="AF338" t="s">
        <v>57</v>
      </c>
      <c r="AG338">
        <v>5</v>
      </c>
      <c r="AH338" t="s">
        <v>57</v>
      </c>
      <c r="AL338" t="s">
        <v>57</v>
      </c>
      <c r="AM338" s="11">
        <v>44792</v>
      </c>
      <c r="AN338" t="s">
        <v>173</v>
      </c>
      <c r="AO338" t="s">
        <v>65</v>
      </c>
      <c r="AP338">
        <v>1204</v>
      </c>
      <c r="AQ338" t="s">
        <v>66</v>
      </c>
      <c r="AR338">
        <v>281047</v>
      </c>
      <c r="AU338" t="s">
        <v>57</v>
      </c>
      <c r="AV338" t="s">
        <v>68</v>
      </c>
      <c r="AX338" t="s">
        <v>57</v>
      </c>
      <c r="AY338">
        <v>631110</v>
      </c>
      <c r="AZ338">
        <v>1204.63111</v>
      </c>
      <c r="BA338" s="23" t="s">
        <v>12</v>
      </c>
    </row>
    <row r="339" spans="1:53" x14ac:dyDescent="0.25">
      <c r="A339" t="s">
        <v>134</v>
      </c>
      <c r="B339" t="s">
        <v>135</v>
      </c>
      <c r="C339">
        <v>22001877</v>
      </c>
      <c r="D339">
        <v>1204</v>
      </c>
      <c r="E339" s="11">
        <v>44791</v>
      </c>
      <c r="F339" t="s">
        <v>174</v>
      </c>
      <c r="G339" s="25">
        <v>40.28</v>
      </c>
      <c r="H339">
        <v>40.28</v>
      </c>
      <c r="I339" t="s">
        <v>56</v>
      </c>
      <c r="O339" t="s">
        <v>57</v>
      </c>
      <c r="Q339" t="s">
        <v>57</v>
      </c>
      <c r="R339" t="s">
        <v>137</v>
      </c>
      <c r="T339" t="s">
        <v>59</v>
      </c>
      <c r="U339" t="s">
        <v>60</v>
      </c>
      <c r="V339" t="s">
        <v>138</v>
      </c>
      <c r="W339" t="s">
        <v>139</v>
      </c>
      <c r="X339">
        <v>1933535</v>
      </c>
      <c r="Y339" s="11">
        <v>44791</v>
      </c>
      <c r="Z339" t="s">
        <v>57</v>
      </c>
      <c r="AA339">
        <v>4</v>
      </c>
      <c r="AB339" t="s">
        <v>57</v>
      </c>
      <c r="AD339" t="s">
        <v>57</v>
      </c>
      <c r="AE339" t="s">
        <v>57</v>
      </c>
      <c r="AF339" t="s">
        <v>57</v>
      </c>
      <c r="AG339">
        <v>1</v>
      </c>
      <c r="AH339" t="s">
        <v>57</v>
      </c>
      <c r="AL339" t="s">
        <v>57</v>
      </c>
      <c r="AM339" s="11">
        <v>44791</v>
      </c>
      <c r="AN339" t="s">
        <v>173</v>
      </c>
      <c r="AO339" t="s">
        <v>65</v>
      </c>
      <c r="AP339">
        <v>1204</v>
      </c>
      <c r="AQ339" t="s">
        <v>66</v>
      </c>
      <c r="AR339">
        <v>213927</v>
      </c>
      <c r="AU339" t="s">
        <v>57</v>
      </c>
      <c r="AV339" t="s">
        <v>68</v>
      </c>
      <c r="AX339" t="s">
        <v>57</v>
      </c>
      <c r="AY339">
        <v>631110</v>
      </c>
      <c r="AZ339">
        <v>1204.63111</v>
      </c>
      <c r="BA339" s="23" t="s">
        <v>12</v>
      </c>
    </row>
    <row r="340" spans="1:53" x14ac:dyDescent="0.25">
      <c r="A340" t="s">
        <v>134</v>
      </c>
      <c r="B340" t="s">
        <v>135</v>
      </c>
      <c r="C340">
        <v>22001830</v>
      </c>
      <c r="D340">
        <v>1204</v>
      </c>
      <c r="E340" s="11">
        <v>44781</v>
      </c>
      <c r="F340" t="s">
        <v>174</v>
      </c>
      <c r="G340" s="25">
        <v>44.28</v>
      </c>
      <c r="H340">
        <v>44.28</v>
      </c>
      <c r="I340" t="s">
        <v>56</v>
      </c>
      <c r="O340" t="s">
        <v>57</v>
      </c>
      <c r="Q340" t="s">
        <v>57</v>
      </c>
      <c r="R340" t="s">
        <v>137</v>
      </c>
      <c r="T340" t="s">
        <v>59</v>
      </c>
      <c r="U340" t="s">
        <v>60</v>
      </c>
      <c r="V340" t="s">
        <v>138</v>
      </c>
      <c r="W340" t="s">
        <v>139</v>
      </c>
      <c r="X340">
        <v>1928770</v>
      </c>
      <c r="Y340" s="11">
        <v>44781</v>
      </c>
      <c r="Z340" t="s">
        <v>57</v>
      </c>
      <c r="AA340">
        <v>12</v>
      </c>
      <c r="AB340" t="s">
        <v>57</v>
      </c>
      <c r="AD340" t="s">
        <v>57</v>
      </c>
      <c r="AE340" t="s">
        <v>57</v>
      </c>
      <c r="AF340" t="s">
        <v>57</v>
      </c>
      <c r="AG340">
        <v>1</v>
      </c>
      <c r="AH340" t="s">
        <v>57</v>
      </c>
      <c r="AL340" t="s">
        <v>57</v>
      </c>
      <c r="AM340" s="11">
        <v>44781</v>
      </c>
      <c r="AN340" t="s">
        <v>173</v>
      </c>
      <c r="AO340" t="s">
        <v>65</v>
      </c>
      <c r="AP340">
        <v>1204</v>
      </c>
      <c r="AQ340" t="s">
        <v>66</v>
      </c>
      <c r="AR340">
        <v>90236</v>
      </c>
      <c r="AU340" t="s">
        <v>57</v>
      </c>
      <c r="AV340" t="s">
        <v>68</v>
      </c>
      <c r="AX340" t="s">
        <v>57</v>
      </c>
      <c r="AY340">
        <v>631110</v>
      </c>
      <c r="AZ340">
        <v>1204.63111</v>
      </c>
      <c r="BA340" s="23" t="s">
        <v>12</v>
      </c>
    </row>
    <row r="341" spans="1:53" x14ac:dyDescent="0.25">
      <c r="A341" t="s">
        <v>134</v>
      </c>
      <c r="B341" t="s">
        <v>135</v>
      </c>
      <c r="C341">
        <v>22001849</v>
      </c>
      <c r="D341">
        <v>1204</v>
      </c>
      <c r="E341" s="11">
        <v>44784</v>
      </c>
      <c r="F341" t="s">
        <v>174</v>
      </c>
      <c r="G341" s="25">
        <v>44.28</v>
      </c>
      <c r="H341">
        <v>44.28</v>
      </c>
      <c r="I341" t="s">
        <v>56</v>
      </c>
      <c r="O341" t="s">
        <v>57</v>
      </c>
      <c r="Q341" t="s">
        <v>57</v>
      </c>
      <c r="R341" t="s">
        <v>137</v>
      </c>
      <c r="T341" t="s">
        <v>59</v>
      </c>
      <c r="U341" t="s">
        <v>60</v>
      </c>
      <c r="V341" t="s">
        <v>138</v>
      </c>
      <c r="W341" t="s">
        <v>139</v>
      </c>
      <c r="X341">
        <v>1930407</v>
      </c>
      <c r="Y341" s="11">
        <v>44784</v>
      </c>
      <c r="Z341" t="s">
        <v>57</v>
      </c>
      <c r="AA341">
        <v>18</v>
      </c>
      <c r="AB341" t="s">
        <v>57</v>
      </c>
      <c r="AD341" t="s">
        <v>57</v>
      </c>
      <c r="AE341" t="s">
        <v>57</v>
      </c>
      <c r="AF341" t="s">
        <v>57</v>
      </c>
      <c r="AG341">
        <v>1</v>
      </c>
      <c r="AH341" t="s">
        <v>57</v>
      </c>
      <c r="AL341" t="s">
        <v>57</v>
      </c>
      <c r="AM341" s="11">
        <v>44784</v>
      </c>
      <c r="AN341" t="s">
        <v>173</v>
      </c>
      <c r="AO341" t="s">
        <v>65</v>
      </c>
      <c r="AP341">
        <v>1204</v>
      </c>
      <c r="AQ341" t="s">
        <v>66</v>
      </c>
      <c r="AR341">
        <v>90236</v>
      </c>
      <c r="AU341" t="s">
        <v>57</v>
      </c>
      <c r="AV341" t="s">
        <v>68</v>
      </c>
      <c r="AX341" t="s">
        <v>57</v>
      </c>
      <c r="AY341">
        <v>631110</v>
      </c>
      <c r="AZ341">
        <v>1204.63111</v>
      </c>
      <c r="BA341" s="23" t="s">
        <v>12</v>
      </c>
    </row>
    <row r="342" spans="1:53" x14ac:dyDescent="0.25">
      <c r="A342" t="s">
        <v>134</v>
      </c>
      <c r="B342" t="s">
        <v>135</v>
      </c>
      <c r="C342">
        <v>22001877</v>
      </c>
      <c r="D342">
        <v>1204</v>
      </c>
      <c r="E342" s="11">
        <v>44791</v>
      </c>
      <c r="F342" t="s">
        <v>174</v>
      </c>
      <c r="G342" s="25">
        <v>44.28</v>
      </c>
      <c r="H342">
        <v>44.28</v>
      </c>
      <c r="I342" t="s">
        <v>56</v>
      </c>
      <c r="O342" t="s">
        <v>57</v>
      </c>
      <c r="Q342" t="s">
        <v>57</v>
      </c>
      <c r="R342" t="s">
        <v>137</v>
      </c>
      <c r="T342" t="s">
        <v>59</v>
      </c>
      <c r="U342" t="s">
        <v>60</v>
      </c>
      <c r="V342" t="s">
        <v>138</v>
      </c>
      <c r="W342" t="s">
        <v>139</v>
      </c>
      <c r="X342">
        <v>1933535</v>
      </c>
      <c r="Y342" s="11">
        <v>44791</v>
      </c>
      <c r="Z342" t="s">
        <v>57</v>
      </c>
      <c r="AA342">
        <v>6</v>
      </c>
      <c r="AB342" t="s">
        <v>57</v>
      </c>
      <c r="AD342" t="s">
        <v>57</v>
      </c>
      <c r="AE342" t="s">
        <v>57</v>
      </c>
      <c r="AF342" t="s">
        <v>57</v>
      </c>
      <c r="AG342">
        <v>1</v>
      </c>
      <c r="AH342" t="s">
        <v>57</v>
      </c>
      <c r="AL342" t="s">
        <v>57</v>
      </c>
      <c r="AM342" s="11">
        <v>44791</v>
      </c>
      <c r="AN342" t="s">
        <v>173</v>
      </c>
      <c r="AO342" t="s">
        <v>65</v>
      </c>
      <c r="AP342">
        <v>1204</v>
      </c>
      <c r="AQ342" t="s">
        <v>66</v>
      </c>
      <c r="AR342">
        <v>90236</v>
      </c>
      <c r="AU342" t="s">
        <v>57</v>
      </c>
      <c r="AV342" t="s">
        <v>68</v>
      </c>
      <c r="AX342" t="s">
        <v>57</v>
      </c>
      <c r="AY342">
        <v>631110</v>
      </c>
      <c r="AZ342">
        <v>1204.63111</v>
      </c>
      <c r="BA342" s="23" t="s">
        <v>12</v>
      </c>
    </row>
    <row r="343" spans="1:53" x14ac:dyDescent="0.25">
      <c r="A343" t="s">
        <v>134</v>
      </c>
      <c r="B343" t="s">
        <v>135</v>
      </c>
      <c r="C343">
        <v>22001870</v>
      </c>
      <c r="D343">
        <v>1204</v>
      </c>
      <c r="E343" s="11">
        <v>44789</v>
      </c>
      <c r="F343" t="s">
        <v>159</v>
      </c>
      <c r="G343" s="25">
        <v>45.36</v>
      </c>
      <c r="H343">
        <v>45.36</v>
      </c>
      <c r="I343" t="s">
        <v>56</v>
      </c>
      <c r="O343" t="s">
        <v>57</v>
      </c>
      <c r="Q343" t="s">
        <v>57</v>
      </c>
      <c r="R343" t="s">
        <v>137</v>
      </c>
      <c r="T343" t="s">
        <v>59</v>
      </c>
      <c r="U343" t="s">
        <v>60</v>
      </c>
      <c r="V343" t="s">
        <v>138</v>
      </c>
      <c r="W343" t="s">
        <v>139</v>
      </c>
      <c r="X343">
        <v>1933043</v>
      </c>
      <c r="Y343" s="11">
        <v>44789</v>
      </c>
      <c r="Z343" t="s">
        <v>57</v>
      </c>
      <c r="AA343">
        <v>2</v>
      </c>
      <c r="AB343" t="s">
        <v>57</v>
      </c>
      <c r="AD343" t="s">
        <v>57</v>
      </c>
      <c r="AE343" t="s">
        <v>57</v>
      </c>
      <c r="AF343" t="s">
        <v>57</v>
      </c>
      <c r="AG343">
        <v>3</v>
      </c>
      <c r="AH343" t="s">
        <v>57</v>
      </c>
      <c r="AL343" t="s">
        <v>57</v>
      </c>
      <c r="AM343" s="11">
        <v>44789</v>
      </c>
      <c r="AN343" t="s">
        <v>173</v>
      </c>
      <c r="AO343" t="s">
        <v>65</v>
      </c>
      <c r="AP343">
        <v>1204</v>
      </c>
      <c r="AQ343" t="s">
        <v>66</v>
      </c>
      <c r="AR343">
        <v>88717</v>
      </c>
      <c r="AU343" t="s">
        <v>57</v>
      </c>
      <c r="AV343" t="s">
        <v>68</v>
      </c>
      <c r="AX343" t="s">
        <v>57</v>
      </c>
      <c r="AY343">
        <v>631110</v>
      </c>
      <c r="AZ343">
        <v>1204.63111</v>
      </c>
      <c r="BA343" s="23" t="s">
        <v>12</v>
      </c>
    </row>
    <row r="344" spans="1:53" x14ac:dyDescent="0.25">
      <c r="A344" t="s">
        <v>134</v>
      </c>
      <c r="B344" t="s">
        <v>135</v>
      </c>
      <c r="C344">
        <v>22001894</v>
      </c>
      <c r="D344">
        <v>1204</v>
      </c>
      <c r="E344" s="11">
        <v>44795</v>
      </c>
      <c r="F344" t="s">
        <v>172</v>
      </c>
      <c r="G344" s="25">
        <v>45.93</v>
      </c>
      <c r="H344">
        <v>45.93</v>
      </c>
      <c r="I344" t="s">
        <v>56</v>
      </c>
      <c r="O344" t="s">
        <v>57</v>
      </c>
      <c r="Q344" t="s">
        <v>57</v>
      </c>
      <c r="R344" t="s">
        <v>137</v>
      </c>
      <c r="T344" t="s">
        <v>59</v>
      </c>
      <c r="U344" t="s">
        <v>60</v>
      </c>
      <c r="V344" t="s">
        <v>138</v>
      </c>
      <c r="W344" t="s">
        <v>139</v>
      </c>
      <c r="X344">
        <v>1934181</v>
      </c>
      <c r="Y344" s="11">
        <v>44795</v>
      </c>
      <c r="Z344" t="s">
        <v>57</v>
      </c>
      <c r="AA344">
        <v>4</v>
      </c>
      <c r="AB344" t="s">
        <v>57</v>
      </c>
      <c r="AD344" t="s">
        <v>57</v>
      </c>
      <c r="AE344" t="s">
        <v>57</v>
      </c>
      <c r="AF344" t="s">
        <v>57</v>
      </c>
      <c r="AG344">
        <v>30</v>
      </c>
      <c r="AH344" t="s">
        <v>57</v>
      </c>
      <c r="AL344" t="s">
        <v>57</v>
      </c>
      <c r="AM344" s="11">
        <v>44795</v>
      </c>
      <c r="AN344" t="s">
        <v>173</v>
      </c>
      <c r="AO344" t="s">
        <v>65</v>
      </c>
      <c r="AP344">
        <v>1204</v>
      </c>
      <c r="AQ344" t="s">
        <v>66</v>
      </c>
      <c r="AR344">
        <v>149525</v>
      </c>
      <c r="AU344" t="s">
        <v>57</v>
      </c>
      <c r="AV344" t="s">
        <v>68</v>
      </c>
      <c r="AX344" t="s">
        <v>57</v>
      </c>
      <c r="AY344">
        <v>631110</v>
      </c>
      <c r="AZ344">
        <v>1204.63111</v>
      </c>
      <c r="BA344" s="23" t="s">
        <v>12</v>
      </c>
    </row>
    <row r="345" spans="1:53" x14ac:dyDescent="0.25">
      <c r="A345" t="s">
        <v>134</v>
      </c>
      <c r="B345" t="s">
        <v>135</v>
      </c>
      <c r="C345">
        <v>22001808</v>
      </c>
      <c r="D345">
        <v>1204</v>
      </c>
      <c r="E345" s="11">
        <v>44776</v>
      </c>
      <c r="F345" t="s">
        <v>174</v>
      </c>
      <c r="G345" s="25">
        <v>58.57</v>
      </c>
      <c r="H345">
        <v>58.57</v>
      </c>
      <c r="I345" t="s">
        <v>56</v>
      </c>
      <c r="O345" t="s">
        <v>57</v>
      </c>
      <c r="Q345" t="s">
        <v>57</v>
      </c>
      <c r="R345" t="s">
        <v>137</v>
      </c>
      <c r="T345" t="s">
        <v>59</v>
      </c>
      <c r="U345" t="s">
        <v>60</v>
      </c>
      <c r="V345" t="s">
        <v>138</v>
      </c>
      <c r="W345" t="s">
        <v>139</v>
      </c>
      <c r="X345">
        <v>1926830</v>
      </c>
      <c r="Y345" s="11">
        <v>44776</v>
      </c>
      <c r="Z345" t="s">
        <v>57</v>
      </c>
      <c r="AA345">
        <v>10</v>
      </c>
      <c r="AB345" t="s">
        <v>57</v>
      </c>
      <c r="AD345" t="s">
        <v>57</v>
      </c>
      <c r="AE345" t="s">
        <v>57</v>
      </c>
      <c r="AF345" t="s">
        <v>57</v>
      </c>
      <c r="AG345">
        <v>1</v>
      </c>
      <c r="AH345" t="s">
        <v>57</v>
      </c>
      <c r="AL345" t="s">
        <v>57</v>
      </c>
      <c r="AM345" s="11">
        <v>44776</v>
      </c>
      <c r="AN345" t="s">
        <v>173</v>
      </c>
      <c r="AO345" t="s">
        <v>65</v>
      </c>
      <c r="AP345">
        <v>1204</v>
      </c>
      <c r="AQ345" t="s">
        <v>66</v>
      </c>
      <c r="AR345">
        <v>98887</v>
      </c>
      <c r="AU345" t="s">
        <v>57</v>
      </c>
      <c r="AV345" t="s">
        <v>68</v>
      </c>
      <c r="AX345" t="s">
        <v>57</v>
      </c>
      <c r="AY345">
        <v>631110</v>
      </c>
      <c r="AZ345">
        <v>1204.63111</v>
      </c>
      <c r="BA345" s="23" t="s">
        <v>12</v>
      </c>
    </row>
    <row r="346" spans="1:53" x14ac:dyDescent="0.25">
      <c r="A346" t="s">
        <v>134</v>
      </c>
      <c r="B346" t="s">
        <v>135</v>
      </c>
      <c r="C346">
        <v>22001785</v>
      </c>
      <c r="D346">
        <v>1204</v>
      </c>
      <c r="E346" s="11">
        <v>44774</v>
      </c>
      <c r="F346" t="s">
        <v>174</v>
      </c>
      <c r="G346" s="25">
        <v>59.9</v>
      </c>
      <c r="H346">
        <v>59.9</v>
      </c>
      <c r="I346" t="s">
        <v>56</v>
      </c>
      <c r="O346" t="s">
        <v>57</v>
      </c>
      <c r="Q346" t="s">
        <v>57</v>
      </c>
      <c r="R346" t="s">
        <v>137</v>
      </c>
      <c r="T346" t="s">
        <v>59</v>
      </c>
      <c r="U346" t="s">
        <v>60</v>
      </c>
      <c r="V346" t="s">
        <v>138</v>
      </c>
      <c r="W346" t="s">
        <v>139</v>
      </c>
      <c r="X346">
        <v>1925466</v>
      </c>
      <c r="Y346" s="11">
        <v>44774</v>
      </c>
      <c r="Z346" t="s">
        <v>57</v>
      </c>
      <c r="AA346">
        <v>16</v>
      </c>
      <c r="AB346" t="s">
        <v>57</v>
      </c>
      <c r="AD346" t="s">
        <v>57</v>
      </c>
      <c r="AE346" t="s">
        <v>57</v>
      </c>
      <c r="AF346" t="s">
        <v>57</v>
      </c>
      <c r="AG346">
        <v>1</v>
      </c>
      <c r="AH346" t="s">
        <v>57</v>
      </c>
      <c r="AL346" t="s">
        <v>57</v>
      </c>
      <c r="AM346" s="11">
        <v>44774</v>
      </c>
      <c r="AN346" t="s">
        <v>173</v>
      </c>
      <c r="AO346" t="s">
        <v>65</v>
      </c>
      <c r="AP346">
        <v>1204</v>
      </c>
      <c r="AQ346" t="s">
        <v>66</v>
      </c>
      <c r="AR346">
        <v>97071</v>
      </c>
      <c r="AU346" t="s">
        <v>57</v>
      </c>
      <c r="AV346" t="s">
        <v>68</v>
      </c>
      <c r="AX346" t="s">
        <v>57</v>
      </c>
      <c r="AY346">
        <v>631110</v>
      </c>
      <c r="AZ346">
        <v>1204.63111</v>
      </c>
      <c r="BA346" s="23" t="s">
        <v>12</v>
      </c>
    </row>
    <row r="347" spans="1:53" x14ac:dyDescent="0.25">
      <c r="A347" t="s">
        <v>134</v>
      </c>
      <c r="B347" t="s">
        <v>135</v>
      </c>
      <c r="C347">
        <v>22001851</v>
      </c>
      <c r="D347">
        <v>1204</v>
      </c>
      <c r="E347" s="11">
        <v>44784</v>
      </c>
      <c r="F347" t="s">
        <v>174</v>
      </c>
      <c r="G347" s="25">
        <v>82.48</v>
      </c>
      <c r="H347">
        <v>82.48</v>
      </c>
      <c r="I347" t="s">
        <v>56</v>
      </c>
      <c r="O347" t="s">
        <v>57</v>
      </c>
      <c r="Q347" t="s">
        <v>57</v>
      </c>
      <c r="R347" t="s">
        <v>137</v>
      </c>
      <c r="T347" t="s">
        <v>59</v>
      </c>
      <c r="U347" t="s">
        <v>60</v>
      </c>
      <c r="V347" t="s">
        <v>138</v>
      </c>
      <c r="W347" t="s">
        <v>139</v>
      </c>
      <c r="X347">
        <v>1930522</v>
      </c>
      <c r="Y347" s="11">
        <v>44784</v>
      </c>
      <c r="Z347" t="s">
        <v>57</v>
      </c>
      <c r="AA347">
        <v>14</v>
      </c>
      <c r="AB347" t="s">
        <v>57</v>
      </c>
      <c r="AD347" t="s">
        <v>57</v>
      </c>
      <c r="AE347" t="s">
        <v>57</v>
      </c>
      <c r="AF347" t="s">
        <v>57</v>
      </c>
      <c r="AG347">
        <v>1</v>
      </c>
      <c r="AH347" t="s">
        <v>57</v>
      </c>
      <c r="AL347" t="s">
        <v>57</v>
      </c>
      <c r="AM347" s="11">
        <v>44784</v>
      </c>
      <c r="AN347" t="s">
        <v>173</v>
      </c>
      <c r="AO347" t="s">
        <v>65</v>
      </c>
      <c r="AP347">
        <v>1204</v>
      </c>
      <c r="AQ347" t="s">
        <v>66</v>
      </c>
      <c r="AR347">
        <v>284493</v>
      </c>
      <c r="AU347" t="s">
        <v>57</v>
      </c>
      <c r="AV347" t="s">
        <v>68</v>
      </c>
      <c r="AX347" t="s">
        <v>57</v>
      </c>
      <c r="AY347">
        <v>631110</v>
      </c>
      <c r="AZ347">
        <v>1204.63111</v>
      </c>
      <c r="BA347" s="23" t="s">
        <v>12</v>
      </c>
    </row>
    <row r="348" spans="1:53" x14ac:dyDescent="0.25">
      <c r="A348" t="s">
        <v>134</v>
      </c>
      <c r="B348" t="s">
        <v>135</v>
      </c>
      <c r="C348">
        <v>22001851</v>
      </c>
      <c r="D348">
        <v>1204</v>
      </c>
      <c r="E348" s="11">
        <v>44784</v>
      </c>
      <c r="F348" t="s">
        <v>174</v>
      </c>
      <c r="G348" s="25">
        <v>82.77</v>
      </c>
      <c r="H348">
        <v>82.77</v>
      </c>
      <c r="I348" t="s">
        <v>56</v>
      </c>
      <c r="O348" t="s">
        <v>57</v>
      </c>
      <c r="Q348" t="s">
        <v>57</v>
      </c>
      <c r="R348" t="s">
        <v>137</v>
      </c>
      <c r="T348" t="s">
        <v>59</v>
      </c>
      <c r="U348" t="s">
        <v>60</v>
      </c>
      <c r="V348" t="s">
        <v>138</v>
      </c>
      <c r="W348" t="s">
        <v>139</v>
      </c>
      <c r="X348">
        <v>1930522</v>
      </c>
      <c r="Y348" s="11">
        <v>44784</v>
      </c>
      <c r="Z348" t="s">
        <v>57</v>
      </c>
      <c r="AA348">
        <v>12</v>
      </c>
      <c r="AB348" t="s">
        <v>57</v>
      </c>
      <c r="AD348" t="s">
        <v>57</v>
      </c>
      <c r="AE348" t="s">
        <v>57</v>
      </c>
      <c r="AF348" t="s">
        <v>57</v>
      </c>
      <c r="AG348">
        <v>1</v>
      </c>
      <c r="AH348" t="s">
        <v>57</v>
      </c>
      <c r="AL348" t="s">
        <v>57</v>
      </c>
      <c r="AM348" s="11">
        <v>44784</v>
      </c>
      <c r="AN348" t="s">
        <v>173</v>
      </c>
      <c r="AO348" t="s">
        <v>65</v>
      </c>
      <c r="AP348">
        <v>1204</v>
      </c>
      <c r="AQ348" t="s">
        <v>66</v>
      </c>
      <c r="AR348">
        <v>258399</v>
      </c>
      <c r="AU348" t="s">
        <v>57</v>
      </c>
      <c r="AV348" t="s">
        <v>68</v>
      </c>
      <c r="AX348" t="s">
        <v>57</v>
      </c>
      <c r="AY348">
        <v>631110</v>
      </c>
      <c r="AZ348">
        <v>1204.63111</v>
      </c>
      <c r="BA348" s="23" t="s">
        <v>12</v>
      </c>
    </row>
    <row r="349" spans="1:53" x14ac:dyDescent="0.25">
      <c r="A349" t="s">
        <v>134</v>
      </c>
      <c r="B349" t="s">
        <v>135</v>
      </c>
      <c r="C349">
        <v>22001849</v>
      </c>
      <c r="D349">
        <v>1204</v>
      </c>
      <c r="E349" s="11">
        <v>44784</v>
      </c>
      <c r="F349" t="s">
        <v>174</v>
      </c>
      <c r="G349" s="25">
        <v>133.52000000000001</v>
      </c>
      <c r="H349">
        <v>133.52000000000001</v>
      </c>
      <c r="I349" t="s">
        <v>56</v>
      </c>
      <c r="O349" t="s">
        <v>57</v>
      </c>
      <c r="Q349" t="s">
        <v>57</v>
      </c>
      <c r="R349" t="s">
        <v>137</v>
      </c>
      <c r="T349" t="s">
        <v>59</v>
      </c>
      <c r="U349" t="s">
        <v>60</v>
      </c>
      <c r="V349" t="s">
        <v>138</v>
      </c>
      <c r="W349" t="s">
        <v>139</v>
      </c>
      <c r="X349">
        <v>1930407</v>
      </c>
      <c r="Y349" s="11">
        <v>44784</v>
      </c>
      <c r="Z349" t="s">
        <v>57</v>
      </c>
      <c r="AA349">
        <v>6</v>
      </c>
      <c r="AB349" t="s">
        <v>57</v>
      </c>
      <c r="AD349" t="s">
        <v>57</v>
      </c>
      <c r="AE349" t="s">
        <v>57</v>
      </c>
      <c r="AF349" t="s">
        <v>57</v>
      </c>
      <c r="AG349">
        <v>1</v>
      </c>
      <c r="AH349" t="s">
        <v>57</v>
      </c>
      <c r="AL349" t="s">
        <v>57</v>
      </c>
      <c r="AM349" s="11">
        <v>44784</v>
      </c>
      <c r="AN349" t="s">
        <v>173</v>
      </c>
      <c r="AO349" t="s">
        <v>65</v>
      </c>
      <c r="AP349">
        <v>1204</v>
      </c>
      <c r="AQ349" t="s">
        <v>66</v>
      </c>
      <c r="AR349">
        <v>209862</v>
      </c>
      <c r="AU349" t="s">
        <v>57</v>
      </c>
      <c r="AV349" t="s">
        <v>68</v>
      </c>
      <c r="AX349" t="s">
        <v>57</v>
      </c>
      <c r="AY349">
        <v>631110</v>
      </c>
      <c r="AZ349">
        <v>1204.63111</v>
      </c>
      <c r="BA349" s="23" t="s">
        <v>12</v>
      </c>
    </row>
    <row r="350" spans="1:53" x14ac:dyDescent="0.25">
      <c r="A350" t="s">
        <v>134</v>
      </c>
      <c r="B350" t="s">
        <v>135</v>
      </c>
      <c r="C350">
        <v>22001785</v>
      </c>
      <c r="D350">
        <v>1204</v>
      </c>
      <c r="E350" s="11">
        <v>44774</v>
      </c>
      <c r="F350" t="s">
        <v>174</v>
      </c>
      <c r="G350" s="25">
        <v>166.76</v>
      </c>
      <c r="H350">
        <v>166.76</v>
      </c>
      <c r="I350" t="s">
        <v>56</v>
      </c>
      <c r="O350" t="s">
        <v>57</v>
      </c>
      <c r="Q350" t="s">
        <v>57</v>
      </c>
      <c r="R350" t="s">
        <v>137</v>
      </c>
      <c r="T350" t="s">
        <v>59</v>
      </c>
      <c r="U350" t="s">
        <v>60</v>
      </c>
      <c r="V350" t="s">
        <v>138</v>
      </c>
      <c r="W350" t="s">
        <v>139</v>
      </c>
      <c r="X350">
        <v>1925466</v>
      </c>
      <c r="Y350" s="11">
        <v>44774</v>
      </c>
      <c r="Z350" t="s">
        <v>57</v>
      </c>
      <c r="AA350">
        <v>14</v>
      </c>
      <c r="AB350" t="s">
        <v>57</v>
      </c>
      <c r="AD350" t="s">
        <v>57</v>
      </c>
      <c r="AE350" t="s">
        <v>57</v>
      </c>
      <c r="AF350" t="s">
        <v>57</v>
      </c>
      <c r="AG350">
        <v>100</v>
      </c>
      <c r="AH350" t="s">
        <v>57</v>
      </c>
      <c r="AL350" t="s">
        <v>57</v>
      </c>
      <c r="AM350" s="11">
        <v>44774</v>
      </c>
      <c r="AN350" t="s">
        <v>173</v>
      </c>
      <c r="AO350" t="s">
        <v>65</v>
      </c>
      <c r="AP350">
        <v>1204</v>
      </c>
      <c r="AQ350" t="s">
        <v>66</v>
      </c>
      <c r="AR350">
        <v>89836</v>
      </c>
      <c r="AU350" t="s">
        <v>57</v>
      </c>
      <c r="AV350" t="s">
        <v>68</v>
      </c>
      <c r="AX350" t="s">
        <v>57</v>
      </c>
      <c r="AY350">
        <v>631110</v>
      </c>
      <c r="AZ350">
        <v>1204.63111</v>
      </c>
      <c r="BA350" s="23" t="s">
        <v>12</v>
      </c>
    </row>
    <row r="351" spans="1:53" x14ac:dyDescent="0.25">
      <c r="A351" t="s">
        <v>134</v>
      </c>
      <c r="B351" t="s">
        <v>135</v>
      </c>
      <c r="C351">
        <v>22001871</v>
      </c>
      <c r="D351">
        <v>1204</v>
      </c>
      <c r="E351" s="11">
        <v>44789</v>
      </c>
      <c r="F351" t="s">
        <v>174</v>
      </c>
      <c r="G351" s="25">
        <v>236.69</v>
      </c>
      <c r="H351">
        <v>236.69</v>
      </c>
      <c r="I351" t="s">
        <v>56</v>
      </c>
      <c r="O351" t="s">
        <v>57</v>
      </c>
      <c r="Q351" t="s">
        <v>57</v>
      </c>
      <c r="R351" t="s">
        <v>137</v>
      </c>
      <c r="T351" t="s">
        <v>59</v>
      </c>
      <c r="U351" t="s">
        <v>60</v>
      </c>
      <c r="V351" t="s">
        <v>138</v>
      </c>
      <c r="W351" t="s">
        <v>139</v>
      </c>
      <c r="X351">
        <v>1933046</v>
      </c>
      <c r="Y351" s="11">
        <v>44789</v>
      </c>
      <c r="Z351" t="s">
        <v>57</v>
      </c>
      <c r="AA351">
        <v>12</v>
      </c>
      <c r="AB351" t="s">
        <v>57</v>
      </c>
      <c r="AD351" t="s">
        <v>57</v>
      </c>
      <c r="AE351" t="s">
        <v>57</v>
      </c>
      <c r="AF351" t="s">
        <v>57</v>
      </c>
      <c r="AG351">
        <v>2</v>
      </c>
      <c r="AH351" t="s">
        <v>57</v>
      </c>
      <c r="AL351" t="s">
        <v>57</v>
      </c>
      <c r="AM351" s="11">
        <v>44789</v>
      </c>
      <c r="AN351" t="s">
        <v>173</v>
      </c>
      <c r="AO351" t="s">
        <v>65</v>
      </c>
      <c r="AP351">
        <v>1204</v>
      </c>
      <c r="AQ351" t="s">
        <v>66</v>
      </c>
      <c r="AR351">
        <v>272313</v>
      </c>
      <c r="AU351" t="s">
        <v>57</v>
      </c>
      <c r="AV351" t="s">
        <v>68</v>
      </c>
      <c r="AX351" t="s">
        <v>57</v>
      </c>
      <c r="AY351">
        <v>631110</v>
      </c>
      <c r="AZ351">
        <v>1204.63111</v>
      </c>
      <c r="BA351" s="23" t="s">
        <v>12</v>
      </c>
    </row>
    <row r="352" spans="1:53" x14ac:dyDescent="0.25">
      <c r="A352" t="s">
        <v>134</v>
      </c>
      <c r="B352" t="s">
        <v>135</v>
      </c>
      <c r="C352">
        <v>22001783</v>
      </c>
      <c r="D352">
        <v>1204</v>
      </c>
      <c r="E352" s="11">
        <v>44774</v>
      </c>
      <c r="F352" t="s">
        <v>172</v>
      </c>
      <c r="G352" s="25">
        <v>272.61</v>
      </c>
      <c r="H352">
        <v>272.61</v>
      </c>
      <c r="I352" t="s">
        <v>56</v>
      </c>
      <c r="O352" t="s">
        <v>57</v>
      </c>
      <c r="Q352" t="s">
        <v>57</v>
      </c>
      <c r="R352" t="s">
        <v>137</v>
      </c>
      <c r="T352" t="s">
        <v>59</v>
      </c>
      <c r="U352" t="s">
        <v>60</v>
      </c>
      <c r="V352" t="s">
        <v>138</v>
      </c>
      <c r="W352" t="s">
        <v>139</v>
      </c>
      <c r="X352">
        <v>1925466</v>
      </c>
      <c r="Y352" s="11">
        <v>44774</v>
      </c>
      <c r="Z352" t="s">
        <v>57</v>
      </c>
      <c r="AA352">
        <v>10</v>
      </c>
      <c r="AB352" t="s">
        <v>57</v>
      </c>
      <c r="AD352" t="s">
        <v>57</v>
      </c>
      <c r="AE352" t="s">
        <v>57</v>
      </c>
      <c r="AF352" t="s">
        <v>57</v>
      </c>
      <c r="AG352">
        <v>20</v>
      </c>
      <c r="AH352" t="s">
        <v>57</v>
      </c>
      <c r="AL352" t="s">
        <v>57</v>
      </c>
      <c r="AM352" s="11">
        <v>44774</v>
      </c>
      <c r="AN352" t="s">
        <v>173</v>
      </c>
      <c r="AO352" t="s">
        <v>65</v>
      </c>
      <c r="AP352">
        <v>1204</v>
      </c>
      <c r="AQ352" t="s">
        <v>66</v>
      </c>
      <c r="AR352">
        <v>234831</v>
      </c>
      <c r="AU352" t="s">
        <v>57</v>
      </c>
      <c r="AV352" t="s">
        <v>68</v>
      </c>
      <c r="AX352" t="s">
        <v>57</v>
      </c>
      <c r="AY352">
        <v>631110</v>
      </c>
      <c r="AZ352">
        <v>1204.63111</v>
      </c>
      <c r="BA352" s="23" t="s">
        <v>12</v>
      </c>
    </row>
    <row r="353" spans="1:53" x14ac:dyDescent="0.25">
      <c r="A353" t="s">
        <v>134</v>
      </c>
      <c r="B353" t="s">
        <v>135</v>
      </c>
      <c r="C353">
        <v>22001803</v>
      </c>
      <c r="D353">
        <v>1204</v>
      </c>
      <c r="E353" s="11">
        <v>44775</v>
      </c>
      <c r="F353" t="s">
        <v>172</v>
      </c>
      <c r="G353" s="25">
        <v>272.61</v>
      </c>
      <c r="H353">
        <v>272.61</v>
      </c>
      <c r="I353" t="s">
        <v>56</v>
      </c>
      <c r="O353" t="s">
        <v>57</v>
      </c>
      <c r="Q353" t="s">
        <v>57</v>
      </c>
      <c r="R353" t="s">
        <v>137</v>
      </c>
      <c r="T353" t="s">
        <v>59</v>
      </c>
      <c r="U353" t="s">
        <v>60</v>
      </c>
      <c r="V353" t="s">
        <v>138</v>
      </c>
      <c r="W353" t="s">
        <v>139</v>
      </c>
      <c r="X353">
        <v>1926654</v>
      </c>
      <c r="Y353" s="11">
        <v>44775</v>
      </c>
      <c r="Z353" t="s">
        <v>57</v>
      </c>
      <c r="AA353">
        <v>2</v>
      </c>
      <c r="AB353" t="s">
        <v>57</v>
      </c>
      <c r="AD353" t="s">
        <v>57</v>
      </c>
      <c r="AE353" t="s">
        <v>57</v>
      </c>
      <c r="AF353" t="s">
        <v>57</v>
      </c>
      <c r="AG353">
        <v>20</v>
      </c>
      <c r="AH353" t="s">
        <v>57</v>
      </c>
      <c r="AL353" t="s">
        <v>57</v>
      </c>
      <c r="AM353" s="11">
        <v>44775</v>
      </c>
      <c r="AN353" t="s">
        <v>173</v>
      </c>
      <c r="AO353" t="s">
        <v>65</v>
      </c>
      <c r="AP353">
        <v>1204</v>
      </c>
      <c r="AQ353" t="s">
        <v>66</v>
      </c>
      <c r="AR353">
        <v>234831</v>
      </c>
      <c r="AU353" t="s">
        <v>57</v>
      </c>
      <c r="AV353" t="s">
        <v>68</v>
      </c>
      <c r="AX353" t="s">
        <v>57</v>
      </c>
      <c r="AY353">
        <v>631110</v>
      </c>
      <c r="AZ353">
        <v>1204.63111</v>
      </c>
      <c r="BA353" s="23" t="s">
        <v>12</v>
      </c>
    </row>
    <row r="354" spans="1:53" x14ac:dyDescent="0.25">
      <c r="A354" t="s">
        <v>134</v>
      </c>
      <c r="B354" t="s">
        <v>135</v>
      </c>
      <c r="C354">
        <v>22001877</v>
      </c>
      <c r="D354">
        <v>1204</v>
      </c>
      <c r="E354" s="11">
        <v>44791</v>
      </c>
      <c r="F354" t="s">
        <v>174</v>
      </c>
      <c r="G354" s="25">
        <v>499.24</v>
      </c>
      <c r="H354">
        <v>499.24</v>
      </c>
      <c r="I354" t="s">
        <v>56</v>
      </c>
      <c r="O354" t="s">
        <v>57</v>
      </c>
      <c r="Q354" t="s">
        <v>57</v>
      </c>
      <c r="R354" t="s">
        <v>137</v>
      </c>
      <c r="T354" t="s">
        <v>59</v>
      </c>
      <c r="U354" t="s">
        <v>60</v>
      </c>
      <c r="V354" t="s">
        <v>138</v>
      </c>
      <c r="W354" t="s">
        <v>139</v>
      </c>
      <c r="X354">
        <v>1933535</v>
      </c>
      <c r="Y354" s="11">
        <v>44791</v>
      </c>
      <c r="Z354" t="s">
        <v>57</v>
      </c>
      <c r="AA354">
        <v>22</v>
      </c>
      <c r="AB354" t="s">
        <v>57</v>
      </c>
      <c r="AD354" t="s">
        <v>57</v>
      </c>
      <c r="AE354" t="s">
        <v>57</v>
      </c>
      <c r="AF354" t="s">
        <v>57</v>
      </c>
      <c r="AG354">
        <v>2</v>
      </c>
      <c r="AH354" t="s">
        <v>57</v>
      </c>
      <c r="AL354" t="s">
        <v>57</v>
      </c>
      <c r="AM354" s="11">
        <v>44791</v>
      </c>
      <c r="AN354" t="s">
        <v>173</v>
      </c>
      <c r="AO354" t="s">
        <v>65</v>
      </c>
      <c r="AP354">
        <v>1204</v>
      </c>
      <c r="AQ354" t="s">
        <v>66</v>
      </c>
      <c r="AR354">
        <v>220348</v>
      </c>
      <c r="AU354" t="s">
        <v>57</v>
      </c>
      <c r="AV354" t="s">
        <v>68</v>
      </c>
      <c r="AX354" t="s">
        <v>57</v>
      </c>
      <c r="AY354">
        <v>631110</v>
      </c>
      <c r="AZ354">
        <v>1204.63111</v>
      </c>
      <c r="BA354" s="23" t="s">
        <v>12</v>
      </c>
    </row>
    <row r="355" spans="1:53" x14ac:dyDescent="0.25">
      <c r="A355" t="s">
        <v>134</v>
      </c>
      <c r="B355" t="s">
        <v>135</v>
      </c>
      <c r="C355">
        <v>22001785</v>
      </c>
      <c r="D355">
        <v>1204</v>
      </c>
      <c r="E355" s="11">
        <v>44774</v>
      </c>
      <c r="F355" t="s">
        <v>174</v>
      </c>
      <c r="G355" s="25">
        <v>538.67999999999995</v>
      </c>
      <c r="H355">
        <v>538.67999999999995</v>
      </c>
      <c r="I355" t="s">
        <v>56</v>
      </c>
      <c r="O355" t="s">
        <v>57</v>
      </c>
      <c r="Q355" t="s">
        <v>57</v>
      </c>
      <c r="R355" t="s">
        <v>137</v>
      </c>
      <c r="T355" t="s">
        <v>59</v>
      </c>
      <c r="U355" t="s">
        <v>60</v>
      </c>
      <c r="V355" t="s">
        <v>138</v>
      </c>
      <c r="W355" t="s">
        <v>139</v>
      </c>
      <c r="X355">
        <v>1925466</v>
      </c>
      <c r="Y355" s="11">
        <v>44774</v>
      </c>
      <c r="Z355" t="s">
        <v>57</v>
      </c>
      <c r="AA355">
        <v>12</v>
      </c>
      <c r="AB355" t="s">
        <v>57</v>
      </c>
      <c r="AD355" t="s">
        <v>57</v>
      </c>
      <c r="AE355" t="s">
        <v>57</v>
      </c>
      <c r="AF355" t="s">
        <v>57</v>
      </c>
      <c r="AG355">
        <v>50</v>
      </c>
      <c r="AH355" t="s">
        <v>57</v>
      </c>
      <c r="AL355" t="s">
        <v>57</v>
      </c>
      <c r="AM355" s="11">
        <v>44774</v>
      </c>
      <c r="AN355" t="s">
        <v>173</v>
      </c>
      <c r="AO355" t="s">
        <v>65</v>
      </c>
      <c r="AP355">
        <v>1204</v>
      </c>
      <c r="AQ355" t="s">
        <v>66</v>
      </c>
      <c r="AR355">
        <v>254439</v>
      </c>
      <c r="AU355" t="s">
        <v>57</v>
      </c>
      <c r="AV355" t="s">
        <v>68</v>
      </c>
      <c r="AX355" t="s">
        <v>57</v>
      </c>
      <c r="AY355">
        <v>631110</v>
      </c>
      <c r="AZ355">
        <v>1204.63111</v>
      </c>
      <c r="BA355" s="23" t="s">
        <v>12</v>
      </c>
    </row>
    <row r="356" spans="1:53" x14ac:dyDescent="0.25">
      <c r="A356" t="s">
        <v>134</v>
      </c>
      <c r="B356" t="s">
        <v>135</v>
      </c>
      <c r="C356">
        <v>22001808</v>
      </c>
      <c r="D356">
        <v>1204</v>
      </c>
      <c r="E356" s="11">
        <v>44776</v>
      </c>
      <c r="F356" t="s">
        <v>174</v>
      </c>
      <c r="G356" s="27">
        <v>538.67999999999995</v>
      </c>
      <c r="H356">
        <v>538.67999999999995</v>
      </c>
      <c r="I356" t="s">
        <v>56</v>
      </c>
      <c r="O356" t="s">
        <v>57</v>
      </c>
      <c r="Q356" t="s">
        <v>57</v>
      </c>
      <c r="R356" t="s">
        <v>137</v>
      </c>
      <c r="T356" t="s">
        <v>59</v>
      </c>
      <c r="U356" t="s">
        <v>60</v>
      </c>
      <c r="V356" t="s">
        <v>138</v>
      </c>
      <c r="W356" t="s">
        <v>139</v>
      </c>
      <c r="X356">
        <v>1926830</v>
      </c>
      <c r="Y356" s="11">
        <v>44776</v>
      </c>
      <c r="Z356" t="s">
        <v>57</v>
      </c>
      <c r="AA356">
        <v>2</v>
      </c>
      <c r="AB356" t="s">
        <v>57</v>
      </c>
      <c r="AD356" t="s">
        <v>57</v>
      </c>
      <c r="AE356" t="s">
        <v>57</v>
      </c>
      <c r="AF356" t="s">
        <v>57</v>
      </c>
      <c r="AG356">
        <v>50</v>
      </c>
      <c r="AH356" t="s">
        <v>57</v>
      </c>
      <c r="AL356" t="s">
        <v>57</v>
      </c>
      <c r="AM356" s="11">
        <v>44776</v>
      </c>
      <c r="AN356" t="s">
        <v>173</v>
      </c>
      <c r="AO356" t="s">
        <v>65</v>
      </c>
      <c r="AP356">
        <v>1204</v>
      </c>
      <c r="AQ356" t="s">
        <v>66</v>
      </c>
      <c r="AR356">
        <v>254439</v>
      </c>
      <c r="AU356" t="s">
        <v>57</v>
      </c>
      <c r="AV356" t="s">
        <v>68</v>
      </c>
      <c r="AX356" t="s">
        <v>57</v>
      </c>
      <c r="AY356">
        <v>631110</v>
      </c>
      <c r="AZ356">
        <v>1204.63111</v>
      </c>
      <c r="BA356" s="23" t="s">
        <v>12</v>
      </c>
    </row>
    <row r="357" spans="1:53" x14ac:dyDescent="0.25">
      <c r="A357" t="s">
        <v>134</v>
      </c>
      <c r="B357" t="s">
        <v>135</v>
      </c>
      <c r="C357">
        <v>22001807</v>
      </c>
      <c r="D357">
        <v>1204</v>
      </c>
      <c r="E357" s="11">
        <v>44776</v>
      </c>
      <c r="F357" t="s">
        <v>159</v>
      </c>
      <c r="G357" s="27">
        <v>651.04</v>
      </c>
      <c r="H357">
        <v>651.04</v>
      </c>
      <c r="I357" t="s">
        <v>56</v>
      </c>
      <c r="O357" t="s">
        <v>57</v>
      </c>
      <c r="Q357" t="s">
        <v>57</v>
      </c>
      <c r="R357" t="s">
        <v>137</v>
      </c>
      <c r="T357" t="s">
        <v>59</v>
      </c>
      <c r="U357" t="s">
        <v>60</v>
      </c>
      <c r="V357" t="s">
        <v>138</v>
      </c>
      <c r="W357" t="s">
        <v>139</v>
      </c>
      <c r="X357">
        <v>1926830</v>
      </c>
      <c r="Y357" s="11">
        <v>44776</v>
      </c>
      <c r="Z357" t="s">
        <v>57</v>
      </c>
      <c r="AA357">
        <v>6</v>
      </c>
      <c r="AB357" t="s">
        <v>57</v>
      </c>
      <c r="AD357" t="s">
        <v>57</v>
      </c>
      <c r="AE357" t="s">
        <v>57</v>
      </c>
      <c r="AF357" t="s">
        <v>57</v>
      </c>
      <c r="AG357">
        <v>100</v>
      </c>
      <c r="AH357" t="s">
        <v>57</v>
      </c>
      <c r="AL357" t="s">
        <v>57</v>
      </c>
      <c r="AM357" s="11">
        <v>44776</v>
      </c>
      <c r="AN357" t="s">
        <v>173</v>
      </c>
      <c r="AO357" t="s">
        <v>65</v>
      </c>
      <c r="AP357">
        <v>1204</v>
      </c>
      <c r="AQ357" t="s">
        <v>66</v>
      </c>
      <c r="AR357">
        <v>266224</v>
      </c>
      <c r="AU357" t="s">
        <v>57</v>
      </c>
      <c r="AV357" t="s">
        <v>68</v>
      </c>
      <c r="AX357" t="s">
        <v>57</v>
      </c>
      <c r="AY357">
        <v>631110</v>
      </c>
      <c r="AZ357">
        <v>1204.63111</v>
      </c>
      <c r="BA357" s="23" t="s">
        <v>12</v>
      </c>
    </row>
    <row r="358" spans="1:53" x14ac:dyDescent="0.25">
      <c r="A358" t="s">
        <v>134</v>
      </c>
      <c r="B358" t="s">
        <v>135</v>
      </c>
      <c r="C358">
        <v>22001827</v>
      </c>
      <c r="D358">
        <v>1204</v>
      </c>
      <c r="E358" s="11">
        <v>44778</v>
      </c>
      <c r="F358" t="s">
        <v>174</v>
      </c>
      <c r="I358" t="s">
        <v>56</v>
      </c>
      <c r="O358" t="s">
        <v>57</v>
      </c>
      <c r="Q358" t="s">
        <v>57</v>
      </c>
      <c r="R358" t="s">
        <v>137</v>
      </c>
      <c r="T358" t="s">
        <v>59</v>
      </c>
      <c r="U358" t="s">
        <v>60</v>
      </c>
      <c r="V358" t="s">
        <v>138</v>
      </c>
      <c r="W358" t="s">
        <v>139</v>
      </c>
      <c r="X358">
        <v>1928763</v>
      </c>
      <c r="Y358" s="11">
        <v>44778</v>
      </c>
      <c r="Z358" t="s">
        <v>57</v>
      </c>
      <c r="AA358">
        <v>20</v>
      </c>
      <c r="AB358" t="s">
        <v>57</v>
      </c>
      <c r="AD358" t="s">
        <v>57</v>
      </c>
      <c r="AE358" t="s">
        <v>57</v>
      </c>
      <c r="AF358" t="s">
        <v>57</v>
      </c>
      <c r="AG358">
        <v>1</v>
      </c>
      <c r="AH358" t="s">
        <v>57</v>
      </c>
      <c r="AL358" t="s">
        <v>57</v>
      </c>
      <c r="AM358" s="11">
        <v>44778</v>
      </c>
      <c r="AN358" t="s">
        <v>173</v>
      </c>
      <c r="AO358" t="s">
        <v>65</v>
      </c>
      <c r="AP358">
        <v>1204</v>
      </c>
      <c r="AQ358" t="s">
        <v>66</v>
      </c>
      <c r="AR358">
        <v>88519</v>
      </c>
      <c r="AU358" t="s">
        <v>57</v>
      </c>
      <c r="AV358" t="s">
        <v>68</v>
      </c>
      <c r="AX358" t="s">
        <v>57</v>
      </c>
      <c r="AY358">
        <v>631110</v>
      </c>
      <c r="AZ358">
        <v>1204.63111</v>
      </c>
      <c r="BA358" s="23" t="s">
        <v>12</v>
      </c>
    </row>
    <row r="359" spans="1:53" x14ac:dyDescent="0.25">
      <c r="A359" t="s">
        <v>134</v>
      </c>
      <c r="B359" t="s">
        <v>135</v>
      </c>
      <c r="C359">
        <v>22001830</v>
      </c>
      <c r="D359">
        <v>1204</v>
      </c>
      <c r="E359" s="11">
        <v>44781</v>
      </c>
      <c r="F359" t="s">
        <v>174</v>
      </c>
      <c r="I359" t="s">
        <v>56</v>
      </c>
      <c r="O359" t="s">
        <v>57</v>
      </c>
      <c r="Q359" t="s">
        <v>57</v>
      </c>
      <c r="R359" t="s">
        <v>137</v>
      </c>
      <c r="T359" t="s">
        <v>59</v>
      </c>
      <c r="U359" t="s">
        <v>60</v>
      </c>
      <c r="V359" t="s">
        <v>138</v>
      </c>
      <c r="W359" t="s">
        <v>139</v>
      </c>
      <c r="X359">
        <v>1928770</v>
      </c>
      <c r="Y359" s="11">
        <v>44781</v>
      </c>
      <c r="Z359" t="s">
        <v>57</v>
      </c>
      <c r="AA359">
        <v>20</v>
      </c>
      <c r="AB359" t="s">
        <v>57</v>
      </c>
      <c r="AD359" t="s">
        <v>57</v>
      </c>
      <c r="AE359" t="s">
        <v>57</v>
      </c>
      <c r="AF359" t="s">
        <v>57</v>
      </c>
      <c r="AG359">
        <v>1</v>
      </c>
      <c r="AH359" t="s">
        <v>57</v>
      </c>
      <c r="AL359" t="s">
        <v>57</v>
      </c>
      <c r="AM359" s="11">
        <v>44781</v>
      </c>
      <c r="AN359" t="s">
        <v>173</v>
      </c>
      <c r="AO359" t="s">
        <v>65</v>
      </c>
      <c r="AP359">
        <v>1204</v>
      </c>
      <c r="AQ359" t="s">
        <v>66</v>
      </c>
      <c r="AR359">
        <v>208953</v>
      </c>
      <c r="AU359" t="s">
        <v>57</v>
      </c>
      <c r="AV359" t="s">
        <v>68</v>
      </c>
      <c r="AX359" t="s">
        <v>57</v>
      </c>
      <c r="AY359">
        <v>631110</v>
      </c>
      <c r="AZ359">
        <v>1204.63111</v>
      </c>
      <c r="BA359" s="23" t="s">
        <v>12</v>
      </c>
    </row>
  </sheetData>
  <autoFilter ref="A3:BA3" xr:uid="{D3AD86E2-A893-4D0F-A0B4-46974021E6F1}"/>
  <sortState xmlns:xlrd2="http://schemas.microsoft.com/office/spreadsheetml/2017/richdata2" ref="A4:BA359">
    <sortCondition ref="G4:G100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F25E4-8A67-4AE6-AC61-F90180C5FA2C}">
  <dimension ref="A1:BA393"/>
  <sheetViews>
    <sheetView workbookViewId="0"/>
  </sheetViews>
  <sheetFormatPr defaultRowHeight="15" x14ac:dyDescent="0.25"/>
  <cols>
    <col min="7" max="7" width="9.5703125" style="25" bestFit="1" customWidth="1"/>
  </cols>
  <sheetData>
    <row r="1" spans="1:53" x14ac:dyDescent="0.25">
      <c r="G1" s="26">
        <v>4500</v>
      </c>
    </row>
    <row r="2" spans="1:53" x14ac:dyDescent="0.25">
      <c r="G2" s="26">
        <f>SUBTOTAL(9,G4:G1000002)</f>
        <v>6631.16</v>
      </c>
    </row>
    <row r="3" spans="1:53" s="3" customFormat="1" x14ac:dyDescent="0.25">
      <c r="A3" s="3" t="s">
        <v>194</v>
      </c>
      <c r="B3" s="3" t="s">
        <v>195</v>
      </c>
      <c r="C3" s="3" t="s">
        <v>196</v>
      </c>
      <c r="D3" s="3" t="s">
        <v>197</v>
      </c>
      <c r="E3" s="3" t="s">
        <v>198</v>
      </c>
      <c r="F3" s="3" t="s">
        <v>199</v>
      </c>
      <c r="G3" s="26" t="s">
        <v>200</v>
      </c>
      <c r="H3" s="3" t="s">
        <v>201</v>
      </c>
      <c r="I3" s="3" t="s">
        <v>202</v>
      </c>
      <c r="J3" s="3" t="s">
        <v>203</v>
      </c>
      <c r="K3" s="3" t="s">
        <v>204</v>
      </c>
      <c r="L3" s="3" t="s">
        <v>205</v>
      </c>
      <c r="M3" s="3" t="s">
        <v>206</v>
      </c>
      <c r="N3" s="3" t="s">
        <v>207</v>
      </c>
      <c r="O3" s="3" t="s">
        <v>208</v>
      </c>
      <c r="P3" s="3" t="s">
        <v>209</v>
      </c>
      <c r="Q3" s="3" t="s">
        <v>210</v>
      </c>
      <c r="R3" s="3" t="s">
        <v>211</v>
      </c>
      <c r="S3" s="3" t="s">
        <v>212</v>
      </c>
      <c r="T3" s="3" t="s">
        <v>213</v>
      </c>
      <c r="U3" s="3" t="s">
        <v>214</v>
      </c>
      <c r="V3" s="3" t="s">
        <v>215</v>
      </c>
      <c r="W3" s="3" t="s">
        <v>216</v>
      </c>
      <c r="X3" s="3" t="s">
        <v>217</v>
      </c>
      <c r="Y3" s="3" t="s">
        <v>218</v>
      </c>
      <c r="Z3" s="3" t="s">
        <v>219</v>
      </c>
      <c r="AA3" s="3" t="s">
        <v>220</v>
      </c>
      <c r="AB3" s="3" t="s">
        <v>221</v>
      </c>
      <c r="AC3" s="3" t="s">
        <v>222</v>
      </c>
      <c r="AD3" s="3" t="s">
        <v>223</v>
      </c>
      <c r="AE3" s="3" t="s">
        <v>224</v>
      </c>
      <c r="AF3" s="3" t="s">
        <v>225</v>
      </c>
      <c r="AG3" s="3" t="s">
        <v>226</v>
      </c>
      <c r="AH3" s="3" t="s">
        <v>227</v>
      </c>
      <c r="AI3" s="3" t="s">
        <v>228</v>
      </c>
      <c r="AJ3" s="3" t="s">
        <v>229</v>
      </c>
      <c r="AK3" s="3" t="s">
        <v>230</v>
      </c>
      <c r="AL3" s="3" t="s">
        <v>231</v>
      </c>
      <c r="AM3" s="3" t="s">
        <v>232</v>
      </c>
      <c r="AN3" s="3" t="s">
        <v>233</v>
      </c>
      <c r="AO3" s="3" t="s">
        <v>234</v>
      </c>
      <c r="AP3" s="3" t="s">
        <v>235</v>
      </c>
      <c r="AQ3" s="3" t="s">
        <v>236</v>
      </c>
      <c r="AR3" s="3" t="s">
        <v>237</v>
      </c>
      <c r="AS3" s="3" t="s">
        <v>238</v>
      </c>
      <c r="AT3" s="3" t="s">
        <v>239</v>
      </c>
      <c r="AU3" s="3" t="s">
        <v>240</v>
      </c>
      <c r="AV3" s="3" t="s">
        <v>241</v>
      </c>
      <c r="AW3" s="3" t="s">
        <v>242</v>
      </c>
      <c r="AX3" s="3" t="s">
        <v>243</v>
      </c>
      <c r="AY3" s="3" t="s">
        <v>244</v>
      </c>
      <c r="AZ3" s="3" t="s">
        <v>245</v>
      </c>
      <c r="BA3" s="3" t="s">
        <v>19</v>
      </c>
    </row>
    <row r="4" spans="1:53" x14ac:dyDescent="0.25">
      <c r="A4" t="s">
        <v>134</v>
      </c>
      <c r="B4" t="s">
        <v>135</v>
      </c>
      <c r="C4">
        <v>22002164</v>
      </c>
      <c r="D4">
        <v>1205</v>
      </c>
      <c r="E4" s="11">
        <v>44776</v>
      </c>
      <c r="F4" t="s">
        <v>181</v>
      </c>
      <c r="G4" s="25">
        <v>-157.91</v>
      </c>
      <c r="I4" t="s">
        <v>56</v>
      </c>
      <c r="K4">
        <v>-157.91</v>
      </c>
      <c r="O4" t="s">
        <v>57</v>
      </c>
      <c r="Q4" t="s">
        <v>57</v>
      </c>
      <c r="R4" t="s">
        <v>137</v>
      </c>
      <c r="T4" t="s">
        <v>59</v>
      </c>
      <c r="U4" t="s">
        <v>60</v>
      </c>
      <c r="V4" t="s">
        <v>138</v>
      </c>
      <c r="W4" t="s">
        <v>139</v>
      </c>
      <c r="X4">
        <v>1920428</v>
      </c>
      <c r="Y4" s="11">
        <v>44754</v>
      </c>
      <c r="Z4" t="s">
        <v>57</v>
      </c>
      <c r="AA4">
        <v>2</v>
      </c>
      <c r="AB4" t="s">
        <v>57</v>
      </c>
      <c r="AD4" t="s">
        <v>57</v>
      </c>
      <c r="AE4" t="s">
        <v>57</v>
      </c>
      <c r="AF4" t="s">
        <v>57</v>
      </c>
      <c r="AG4">
        <v>-10</v>
      </c>
      <c r="AH4" t="s">
        <v>57</v>
      </c>
      <c r="AL4" t="s">
        <v>57</v>
      </c>
      <c r="AM4" s="11">
        <v>44776</v>
      </c>
      <c r="AN4" t="s">
        <v>178</v>
      </c>
      <c r="AO4" t="s">
        <v>65</v>
      </c>
      <c r="AP4">
        <v>1205</v>
      </c>
      <c r="AQ4" t="s">
        <v>66</v>
      </c>
      <c r="AR4">
        <v>266673</v>
      </c>
      <c r="AU4" t="s">
        <v>57</v>
      </c>
      <c r="AV4" t="s">
        <v>68</v>
      </c>
      <c r="AX4" t="s">
        <v>57</v>
      </c>
      <c r="AY4">
        <v>631110</v>
      </c>
      <c r="AZ4">
        <v>1205.63111</v>
      </c>
      <c r="BA4" s="23" t="s">
        <v>13</v>
      </c>
    </row>
    <row r="5" spans="1:53" x14ac:dyDescent="0.25">
      <c r="A5" t="s">
        <v>134</v>
      </c>
      <c r="B5" t="s">
        <v>135</v>
      </c>
      <c r="C5">
        <v>22002345</v>
      </c>
      <c r="D5">
        <v>1205</v>
      </c>
      <c r="E5" s="11">
        <v>44788</v>
      </c>
      <c r="F5" t="s">
        <v>174</v>
      </c>
      <c r="G5" s="25">
        <v>-31.13</v>
      </c>
      <c r="I5" t="s">
        <v>56</v>
      </c>
      <c r="K5">
        <v>-31.13</v>
      </c>
      <c r="O5" t="s">
        <v>57</v>
      </c>
      <c r="Q5" t="s">
        <v>57</v>
      </c>
      <c r="R5" t="s">
        <v>137</v>
      </c>
      <c r="T5" t="s">
        <v>59</v>
      </c>
      <c r="U5" t="s">
        <v>60</v>
      </c>
      <c r="V5" t="s">
        <v>138</v>
      </c>
      <c r="W5" t="s">
        <v>139</v>
      </c>
      <c r="X5">
        <v>1931709</v>
      </c>
      <c r="Y5" s="11">
        <v>44788</v>
      </c>
      <c r="Z5" t="s">
        <v>57</v>
      </c>
      <c r="AA5">
        <v>10</v>
      </c>
      <c r="AB5" t="s">
        <v>57</v>
      </c>
      <c r="AD5" t="s">
        <v>57</v>
      </c>
      <c r="AE5" t="s">
        <v>57</v>
      </c>
      <c r="AF5" t="s">
        <v>57</v>
      </c>
      <c r="AG5">
        <v>-1</v>
      </c>
      <c r="AH5" t="s">
        <v>57</v>
      </c>
      <c r="AL5" t="s">
        <v>57</v>
      </c>
      <c r="AM5" s="11">
        <v>44788</v>
      </c>
      <c r="AN5" t="s">
        <v>178</v>
      </c>
      <c r="AO5" t="s">
        <v>65</v>
      </c>
      <c r="AP5">
        <v>1205</v>
      </c>
      <c r="AQ5" t="s">
        <v>66</v>
      </c>
      <c r="AR5">
        <v>227906</v>
      </c>
      <c r="AU5" t="s">
        <v>57</v>
      </c>
      <c r="AV5" t="s">
        <v>68</v>
      </c>
      <c r="AX5" t="s">
        <v>57</v>
      </c>
      <c r="AY5">
        <v>631110</v>
      </c>
      <c r="AZ5">
        <v>1205.63111</v>
      </c>
      <c r="BA5" s="23" t="s">
        <v>13</v>
      </c>
    </row>
    <row r="6" spans="1:53" x14ac:dyDescent="0.25">
      <c r="A6" t="s">
        <v>134</v>
      </c>
      <c r="B6" t="s">
        <v>135</v>
      </c>
      <c r="C6">
        <v>22002316</v>
      </c>
      <c r="D6">
        <v>1205</v>
      </c>
      <c r="E6" s="11">
        <v>44782</v>
      </c>
      <c r="F6" t="s">
        <v>174</v>
      </c>
      <c r="G6" s="25">
        <v>-9.68</v>
      </c>
      <c r="I6" t="s">
        <v>56</v>
      </c>
      <c r="K6">
        <v>-9.68</v>
      </c>
      <c r="O6" t="s">
        <v>57</v>
      </c>
      <c r="Q6" t="s">
        <v>57</v>
      </c>
      <c r="R6" t="s">
        <v>137</v>
      </c>
      <c r="T6" t="s">
        <v>59</v>
      </c>
      <c r="U6" t="s">
        <v>60</v>
      </c>
      <c r="V6" t="s">
        <v>138</v>
      </c>
      <c r="W6" t="s">
        <v>139</v>
      </c>
      <c r="X6">
        <v>1929847</v>
      </c>
      <c r="Y6" s="11">
        <v>44782</v>
      </c>
      <c r="Z6" t="s">
        <v>57</v>
      </c>
      <c r="AA6">
        <v>46</v>
      </c>
      <c r="AB6" t="s">
        <v>57</v>
      </c>
      <c r="AD6" t="s">
        <v>57</v>
      </c>
      <c r="AE6" t="s">
        <v>57</v>
      </c>
      <c r="AF6" t="s">
        <v>57</v>
      </c>
      <c r="AG6">
        <v>-4</v>
      </c>
      <c r="AH6" t="s">
        <v>57</v>
      </c>
      <c r="AL6" t="s">
        <v>57</v>
      </c>
      <c r="AM6" s="11">
        <v>44782</v>
      </c>
      <c r="AN6" t="s">
        <v>178</v>
      </c>
      <c r="AO6" t="s">
        <v>65</v>
      </c>
      <c r="AP6">
        <v>1205</v>
      </c>
      <c r="AQ6" t="s">
        <v>66</v>
      </c>
      <c r="AR6">
        <v>88723</v>
      </c>
      <c r="AU6" t="s">
        <v>57</v>
      </c>
      <c r="AV6" t="s">
        <v>68</v>
      </c>
      <c r="AX6" t="s">
        <v>57</v>
      </c>
      <c r="AY6">
        <v>631110</v>
      </c>
      <c r="AZ6">
        <v>1205.63111</v>
      </c>
      <c r="BA6" s="23" t="s">
        <v>13</v>
      </c>
    </row>
    <row r="7" spans="1:53" x14ac:dyDescent="0.25">
      <c r="A7" t="s">
        <v>134</v>
      </c>
      <c r="B7" t="s">
        <v>135</v>
      </c>
      <c r="C7">
        <v>22002345</v>
      </c>
      <c r="D7">
        <v>1205</v>
      </c>
      <c r="E7" s="11">
        <v>44788</v>
      </c>
      <c r="F7" t="s">
        <v>174</v>
      </c>
      <c r="G7" s="25">
        <v>-2.2200000000000002</v>
      </c>
      <c r="I7" t="s">
        <v>56</v>
      </c>
      <c r="K7">
        <v>-2.2200000000000002</v>
      </c>
      <c r="O7" t="s">
        <v>57</v>
      </c>
      <c r="Q7" t="s">
        <v>57</v>
      </c>
      <c r="R7" t="s">
        <v>137</v>
      </c>
      <c r="T7" t="s">
        <v>59</v>
      </c>
      <c r="U7" t="s">
        <v>60</v>
      </c>
      <c r="V7" t="s">
        <v>138</v>
      </c>
      <c r="W7" t="s">
        <v>139</v>
      </c>
      <c r="X7">
        <v>1931709</v>
      </c>
      <c r="Y7" s="11">
        <v>44788</v>
      </c>
      <c r="Z7" t="s">
        <v>57</v>
      </c>
      <c r="AA7">
        <v>12</v>
      </c>
      <c r="AB7" t="s">
        <v>57</v>
      </c>
      <c r="AD7" t="s">
        <v>57</v>
      </c>
      <c r="AE7" t="s">
        <v>57</v>
      </c>
      <c r="AF7" t="s">
        <v>57</v>
      </c>
      <c r="AG7">
        <v>-1</v>
      </c>
      <c r="AH7" t="s">
        <v>57</v>
      </c>
      <c r="AL7" t="s">
        <v>57</v>
      </c>
      <c r="AM7" s="11">
        <v>44788</v>
      </c>
      <c r="AN7" t="s">
        <v>178</v>
      </c>
      <c r="AO7" t="s">
        <v>65</v>
      </c>
      <c r="AP7">
        <v>1205</v>
      </c>
      <c r="AQ7" t="s">
        <v>66</v>
      </c>
      <c r="AR7">
        <v>227904</v>
      </c>
      <c r="AU7" t="s">
        <v>57</v>
      </c>
      <c r="AV7" t="s">
        <v>68</v>
      </c>
      <c r="AX7" t="s">
        <v>57</v>
      </c>
      <c r="AY7">
        <v>631110</v>
      </c>
      <c r="AZ7">
        <v>1205.63111</v>
      </c>
      <c r="BA7" s="23" t="s">
        <v>13</v>
      </c>
    </row>
    <row r="8" spans="1:53" x14ac:dyDescent="0.25">
      <c r="A8" t="s">
        <v>134</v>
      </c>
      <c r="B8" t="s">
        <v>135</v>
      </c>
      <c r="C8">
        <v>22002316</v>
      </c>
      <c r="D8">
        <v>1205</v>
      </c>
      <c r="E8" s="11">
        <v>44788</v>
      </c>
      <c r="F8" t="s">
        <v>174</v>
      </c>
      <c r="G8" s="25">
        <v>-0.21</v>
      </c>
      <c r="I8" t="s">
        <v>56</v>
      </c>
      <c r="K8">
        <v>-0.21</v>
      </c>
      <c r="O8" t="s">
        <v>57</v>
      </c>
      <c r="Q8" t="s">
        <v>57</v>
      </c>
      <c r="R8" t="s">
        <v>137</v>
      </c>
      <c r="T8" t="s">
        <v>59</v>
      </c>
      <c r="U8" t="s">
        <v>60</v>
      </c>
      <c r="V8" t="s">
        <v>138</v>
      </c>
      <c r="W8" t="s">
        <v>139</v>
      </c>
      <c r="X8">
        <v>1929847</v>
      </c>
      <c r="Y8" s="11">
        <v>44782</v>
      </c>
      <c r="Z8" t="s">
        <v>57</v>
      </c>
      <c r="AA8">
        <v>2</v>
      </c>
      <c r="AB8" t="s">
        <v>57</v>
      </c>
      <c r="AD8" t="s">
        <v>57</v>
      </c>
      <c r="AE8" t="s">
        <v>57</v>
      </c>
      <c r="AF8" t="s">
        <v>57</v>
      </c>
      <c r="AG8">
        <v>-1</v>
      </c>
      <c r="AH8" t="s">
        <v>57</v>
      </c>
      <c r="AL8" t="s">
        <v>57</v>
      </c>
      <c r="AM8" s="11">
        <v>44788</v>
      </c>
      <c r="AN8" t="s">
        <v>178</v>
      </c>
      <c r="AO8" t="s">
        <v>65</v>
      </c>
      <c r="AP8">
        <v>1205</v>
      </c>
      <c r="AQ8" t="s">
        <v>66</v>
      </c>
      <c r="AR8">
        <v>88778</v>
      </c>
      <c r="AU8" t="s">
        <v>57</v>
      </c>
      <c r="AV8" t="s">
        <v>68</v>
      </c>
      <c r="AX8" t="s">
        <v>57</v>
      </c>
      <c r="AY8">
        <v>631110</v>
      </c>
      <c r="AZ8">
        <v>1205.63111</v>
      </c>
      <c r="BA8" s="23" t="s">
        <v>13</v>
      </c>
    </row>
    <row r="9" spans="1:53" x14ac:dyDescent="0.25">
      <c r="A9" t="s">
        <v>134</v>
      </c>
      <c r="B9" t="s">
        <v>135</v>
      </c>
      <c r="C9">
        <v>22002261</v>
      </c>
      <c r="D9">
        <v>1205</v>
      </c>
      <c r="E9" s="11">
        <v>44774</v>
      </c>
      <c r="F9" t="s">
        <v>174</v>
      </c>
      <c r="G9" s="25">
        <v>0.04</v>
      </c>
      <c r="H9">
        <v>0.04</v>
      </c>
      <c r="I9" t="s">
        <v>56</v>
      </c>
      <c r="O9" t="s">
        <v>57</v>
      </c>
      <c r="Q9" t="s">
        <v>57</v>
      </c>
      <c r="R9" t="s">
        <v>137</v>
      </c>
      <c r="T9" t="s">
        <v>59</v>
      </c>
      <c r="U9" t="s">
        <v>60</v>
      </c>
      <c r="V9" t="s">
        <v>138</v>
      </c>
      <c r="W9" t="s">
        <v>139</v>
      </c>
      <c r="X9">
        <v>1925596</v>
      </c>
      <c r="Y9" s="11">
        <v>44774</v>
      </c>
      <c r="Z9" t="s">
        <v>57</v>
      </c>
      <c r="AA9">
        <v>6</v>
      </c>
      <c r="AB9" t="s">
        <v>57</v>
      </c>
      <c r="AD9" t="s">
        <v>57</v>
      </c>
      <c r="AE9" t="s">
        <v>57</v>
      </c>
      <c r="AF9" t="s">
        <v>57</v>
      </c>
      <c r="AG9">
        <v>1</v>
      </c>
      <c r="AH9" t="s">
        <v>57</v>
      </c>
      <c r="AL9" t="s">
        <v>57</v>
      </c>
      <c r="AM9" s="11">
        <v>44774</v>
      </c>
      <c r="AN9" t="s">
        <v>178</v>
      </c>
      <c r="AO9" t="s">
        <v>65</v>
      </c>
      <c r="AP9">
        <v>1205</v>
      </c>
      <c r="AQ9" t="s">
        <v>66</v>
      </c>
      <c r="AR9">
        <v>90039</v>
      </c>
      <c r="AU9" t="s">
        <v>57</v>
      </c>
      <c r="AV9" t="s">
        <v>68</v>
      </c>
      <c r="AX9" t="s">
        <v>57</v>
      </c>
      <c r="AY9">
        <v>631110</v>
      </c>
      <c r="AZ9">
        <v>1205.63111</v>
      </c>
      <c r="BA9" s="23" t="s">
        <v>13</v>
      </c>
    </row>
    <row r="10" spans="1:53" x14ac:dyDescent="0.25">
      <c r="A10" t="s">
        <v>134</v>
      </c>
      <c r="B10" t="s">
        <v>135</v>
      </c>
      <c r="C10">
        <v>22002262</v>
      </c>
      <c r="D10">
        <v>1205</v>
      </c>
      <c r="E10" s="11">
        <v>44774</v>
      </c>
      <c r="F10" t="s">
        <v>174</v>
      </c>
      <c r="G10" s="25">
        <v>0.04</v>
      </c>
      <c r="H10">
        <v>0.04</v>
      </c>
      <c r="I10" t="s">
        <v>56</v>
      </c>
      <c r="O10" t="s">
        <v>57</v>
      </c>
      <c r="Q10" t="s">
        <v>57</v>
      </c>
      <c r="R10" t="s">
        <v>137</v>
      </c>
      <c r="T10" t="s">
        <v>59</v>
      </c>
      <c r="U10" t="s">
        <v>60</v>
      </c>
      <c r="V10" t="s">
        <v>138</v>
      </c>
      <c r="W10" t="s">
        <v>139</v>
      </c>
      <c r="X10">
        <v>1925596</v>
      </c>
      <c r="Y10" s="11">
        <v>44774</v>
      </c>
      <c r="Z10" t="s">
        <v>57</v>
      </c>
      <c r="AA10">
        <v>18</v>
      </c>
      <c r="AB10" t="s">
        <v>57</v>
      </c>
      <c r="AD10" t="s">
        <v>57</v>
      </c>
      <c r="AE10" t="s">
        <v>57</v>
      </c>
      <c r="AF10" t="s">
        <v>57</v>
      </c>
      <c r="AG10">
        <v>1</v>
      </c>
      <c r="AH10" t="s">
        <v>57</v>
      </c>
      <c r="AL10" t="s">
        <v>57</v>
      </c>
      <c r="AM10" s="11">
        <v>44774</v>
      </c>
      <c r="AN10" t="s">
        <v>178</v>
      </c>
      <c r="AO10" t="s">
        <v>65</v>
      </c>
      <c r="AP10">
        <v>1205</v>
      </c>
      <c r="AQ10" t="s">
        <v>66</v>
      </c>
      <c r="AR10">
        <v>90039</v>
      </c>
      <c r="AU10" t="s">
        <v>57</v>
      </c>
      <c r="AV10" t="s">
        <v>68</v>
      </c>
      <c r="AX10" t="s">
        <v>57</v>
      </c>
      <c r="AY10">
        <v>631110</v>
      </c>
      <c r="AZ10">
        <v>1205.63111</v>
      </c>
      <c r="BA10" s="23" t="s">
        <v>13</v>
      </c>
    </row>
    <row r="11" spans="1:53" x14ac:dyDescent="0.25">
      <c r="A11" t="s">
        <v>134</v>
      </c>
      <c r="B11" t="s">
        <v>135</v>
      </c>
      <c r="C11">
        <v>22002265</v>
      </c>
      <c r="D11">
        <v>1205</v>
      </c>
      <c r="E11" s="11">
        <v>44775</v>
      </c>
      <c r="F11" t="s">
        <v>174</v>
      </c>
      <c r="G11" s="25">
        <v>0.04</v>
      </c>
      <c r="H11">
        <v>0.04</v>
      </c>
      <c r="I11" t="s">
        <v>56</v>
      </c>
      <c r="O11" t="s">
        <v>57</v>
      </c>
      <c r="Q11" t="s">
        <v>57</v>
      </c>
      <c r="R11" t="s">
        <v>137</v>
      </c>
      <c r="T11" t="s">
        <v>59</v>
      </c>
      <c r="U11" t="s">
        <v>60</v>
      </c>
      <c r="V11" t="s">
        <v>138</v>
      </c>
      <c r="W11" t="s">
        <v>139</v>
      </c>
      <c r="X11">
        <v>1926568</v>
      </c>
      <c r="Y11" s="11">
        <v>44775</v>
      </c>
      <c r="Z11" t="s">
        <v>57</v>
      </c>
      <c r="AA11">
        <v>12</v>
      </c>
      <c r="AB11" t="s">
        <v>57</v>
      </c>
      <c r="AD11" t="s">
        <v>57</v>
      </c>
      <c r="AE11" t="s">
        <v>57</v>
      </c>
      <c r="AF11" t="s">
        <v>57</v>
      </c>
      <c r="AG11">
        <v>1</v>
      </c>
      <c r="AH11" t="s">
        <v>57</v>
      </c>
      <c r="AL11" t="s">
        <v>57</v>
      </c>
      <c r="AM11" s="11">
        <v>44775</v>
      </c>
      <c r="AN11" t="s">
        <v>178</v>
      </c>
      <c r="AO11" t="s">
        <v>65</v>
      </c>
      <c r="AP11">
        <v>1205</v>
      </c>
      <c r="AQ11" t="s">
        <v>66</v>
      </c>
      <c r="AR11">
        <v>90039</v>
      </c>
      <c r="AU11" t="s">
        <v>57</v>
      </c>
      <c r="AV11" t="s">
        <v>68</v>
      </c>
      <c r="AX11" t="s">
        <v>57</v>
      </c>
      <c r="AY11">
        <v>631110</v>
      </c>
      <c r="AZ11">
        <v>1205.63111</v>
      </c>
      <c r="BA11" s="23" t="s">
        <v>13</v>
      </c>
    </row>
    <row r="12" spans="1:53" x14ac:dyDescent="0.25">
      <c r="A12" t="s">
        <v>134</v>
      </c>
      <c r="B12" t="s">
        <v>135</v>
      </c>
      <c r="C12">
        <v>22002341</v>
      </c>
      <c r="D12">
        <v>1205</v>
      </c>
      <c r="E12" s="11">
        <v>44785</v>
      </c>
      <c r="F12" t="s">
        <v>174</v>
      </c>
      <c r="G12" s="25">
        <v>0.04</v>
      </c>
      <c r="H12">
        <v>0.04</v>
      </c>
      <c r="I12" t="s">
        <v>56</v>
      </c>
      <c r="O12" t="s">
        <v>57</v>
      </c>
      <c r="Q12" t="s">
        <v>57</v>
      </c>
      <c r="R12" t="s">
        <v>137</v>
      </c>
      <c r="T12" t="s">
        <v>59</v>
      </c>
      <c r="U12" t="s">
        <v>60</v>
      </c>
      <c r="V12" t="s">
        <v>138</v>
      </c>
      <c r="W12" t="s">
        <v>139</v>
      </c>
      <c r="X12">
        <v>1930742</v>
      </c>
      <c r="Y12" s="11">
        <v>44785</v>
      </c>
      <c r="Z12" t="s">
        <v>57</v>
      </c>
      <c r="AA12">
        <v>2</v>
      </c>
      <c r="AB12" t="s">
        <v>57</v>
      </c>
      <c r="AD12" t="s">
        <v>57</v>
      </c>
      <c r="AE12" t="s">
        <v>57</v>
      </c>
      <c r="AF12" t="s">
        <v>57</v>
      </c>
      <c r="AG12">
        <v>1</v>
      </c>
      <c r="AH12" t="s">
        <v>57</v>
      </c>
      <c r="AL12" t="s">
        <v>57</v>
      </c>
      <c r="AM12" s="11">
        <v>44785</v>
      </c>
      <c r="AN12" t="s">
        <v>178</v>
      </c>
      <c r="AO12" t="s">
        <v>65</v>
      </c>
      <c r="AP12">
        <v>1205</v>
      </c>
      <c r="AQ12" t="s">
        <v>66</v>
      </c>
      <c r="AR12">
        <v>90039</v>
      </c>
      <c r="AU12" t="s">
        <v>57</v>
      </c>
      <c r="AV12" t="s">
        <v>68</v>
      </c>
      <c r="AX12" t="s">
        <v>57</v>
      </c>
      <c r="AY12">
        <v>631110</v>
      </c>
      <c r="AZ12">
        <v>1205.63111</v>
      </c>
      <c r="BA12" s="23" t="s">
        <v>13</v>
      </c>
    </row>
    <row r="13" spans="1:53" x14ac:dyDescent="0.25">
      <c r="A13" t="s">
        <v>134</v>
      </c>
      <c r="B13" t="s">
        <v>135</v>
      </c>
      <c r="C13">
        <v>22002262</v>
      </c>
      <c r="D13">
        <v>1205</v>
      </c>
      <c r="E13" s="11">
        <v>44774</v>
      </c>
      <c r="F13" t="s">
        <v>174</v>
      </c>
      <c r="G13" s="25">
        <v>0.05</v>
      </c>
      <c r="H13">
        <v>0.05</v>
      </c>
      <c r="I13" t="s">
        <v>56</v>
      </c>
      <c r="O13" t="s">
        <v>57</v>
      </c>
      <c r="Q13" t="s">
        <v>57</v>
      </c>
      <c r="R13" t="s">
        <v>137</v>
      </c>
      <c r="T13" t="s">
        <v>59</v>
      </c>
      <c r="U13" t="s">
        <v>60</v>
      </c>
      <c r="V13" t="s">
        <v>138</v>
      </c>
      <c r="W13" t="s">
        <v>139</v>
      </c>
      <c r="X13">
        <v>1925596</v>
      </c>
      <c r="Y13" s="11">
        <v>44774</v>
      </c>
      <c r="Z13" t="s">
        <v>57</v>
      </c>
      <c r="AA13">
        <v>22</v>
      </c>
      <c r="AB13" t="s">
        <v>57</v>
      </c>
      <c r="AD13" t="s">
        <v>57</v>
      </c>
      <c r="AE13" t="s">
        <v>57</v>
      </c>
      <c r="AF13" t="s">
        <v>57</v>
      </c>
      <c r="AG13">
        <v>1</v>
      </c>
      <c r="AH13" t="s">
        <v>57</v>
      </c>
      <c r="AL13" t="s">
        <v>57</v>
      </c>
      <c r="AM13" s="11">
        <v>44774</v>
      </c>
      <c r="AN13" t="s">
        <v>178</v>
      </c>
      <c r="AO13" t="s">
        <v>65</v>
      </c>
      <c r="AP13">
        <v>1205</v>
      </c>
      <c r="AQ13" t="s">
        <v>66</v>
      </c>
      <c r="AR13">
        <v>90041</v>
      </c>
      <c r="AU13" t="s">
        <v>57</v>
      </c>
      <c r="AV13" t="s">
        <v>68</v>
      </c>
      <c r="AX13" t="s">
        <v>57</v>
      </c>
      <c r="AY13">
        <v>631110</v>
      </c>
      <c r="AZ13">
        <v>1205.63111</v>
      </c>
      <c r="BA13" s="23" t="s">
        <v>13</v>
      </c>
    </row>
    <row r="14" spans="1:53" x14ac:dyDescent="0.25">
      <c r="A14" t="s">
        <v>134</v>
      </c>
      <c r="B14" t="s">
        <v>135</v>
      </c>
      <c r="C14">
        <v>22002265</v>
      </c>
      <c r="D14">
        <v>1205</v>
      </c>
      <c r="E14" s="11">
        <v>44775</v>
      </c>
      <c r="F14" t="s">
        <v>174</v>
      </c>
      <c r="G14" s="25">
        <v>0.05</v>
      </c>
      <c r="H14">
        <v>0.05</v>
      </c>
      <c r="I14" t="s">
        <v>56</v>
      </c>
      <c r="O14" t="s">
        <v>57</v>
      </c>
      <c r="Q14" t="s">
        <v>57</v>
      </c>
      <c r="R14" t="s">
        <v>137</v>
      </c>
      <c r="T14" t="s">
        <v>59</v>
      </c>
      <c r="U14" t="s">
        <v>60</v>
      </c>
      <c r="V14" t="s">
        <v>138</v>
      </c>
      <c r="W14" t="s">
        <v>139</v>
      </c>
      <c r="X14">
        <v>1926568</v>
      </c>
      <c r="Y14" s="11">
        <v>44775</v>
      </c>
      <c r="Z14" t="s">
        <v>57</v>
      </c>
      <c r="AA14">
        <v>20</v>
      </c>
      <c r="AB14" t="s">
        <v>57</v>
      </c>
      <c r="AD14" t="s">
        <v>57</v>
      </c>
      <c r="AE14" t="s">
        <v>57</v>
      </c>
      <c r="AF14" t="s">
        <v>57</v>
      </c>
      <c r="AG14">
        <v>1</v>
      </c>
      <c r="AH14" t="s">
        <v>57</v>
      </c>
      <c r="AL14" t="s">
        <v>57</v>
      </c>
      <c r="AM14" s="11">
        <v>44775</v>
      </c>
      <c r="AN14" t="s">
        <v>178</v>
      </c>
      <c r="AO14" t="s">
        <v>65</v>
      </c>
      <c r="AP14">
        <v>1205</v>
      </c>
      <c r="AQ14" t="s">
        <v>66</v>
      </c>
      <c r="AR14">
        <v>90043</v>
      </c>
      <c r="AU14" t="s">
        <v>57</v>
      </c>
      <c r="AV14" t="s">
        <v>68</v>
      </c>
      <c r="AX14" t="s">
        <v>57</v>
      </c>
      <c r="AY14">
        <v>631110</v>
      </c>
      <c r="AZ14">
        <v>1205.63111</v>
      </c>
      <c r="BA14" s="23" t="s">
        <v>13</v>
      </c>
    </row>
    <row r="15" spans="1:53" x14ac:dyDescent="0.25">
      <c r="A15" t="s">
        <v>134</v>
      </c>
      <c r="B15" t="s">
        <v>135</v>
      </c>
      <c r="C15">
        <v>22002311</v>
      </c>
      <c r="D15">
        <v>1205</v>
      </c>
      <c r="E15" s="11">
        <v>44781</v>
      </c>
      <c r="F15" t="s">
        <v>174</v>
      </c>
      <c r="G15" s="25">
        <v>0.05</v>
      </c>
      <c r="H15">
        <v>0.05</v>
      </c>
      <c r="I15" t="s">
        <v>56</v>
      </c>
      <c r="O15" t="s">
        <v>57</v>
      </c>
      <c r="Q15" t="s">
        <v>57</v>
      </c>
      <c r="R15" t="s">
        <v>137</v>
      </c>
      <c r="T15" t="s">
        <v>59</v>
      </c>
      <c r="U15" t="s">
        <v>60</v>
      </c>
      <c r="V15" t="s">
        <v>138</v>
      </c>
      <c r="W15" t="s">
        <v>139</v>
      </c>
      <c r="X15">
        <v>1928974</v>
      </c>
      <c r="Y15" s="11">
        <v>44781</v>
      </c>
      <c r="Z15" t="s">
        <v>57</v>
      </c>
      <c r="AA15">
        <v>26</v>
      </c>
      <c r="AB15" t="s">
        <v>57</v>
      </c>
      <c r="AD15" t="s">
        <v>57</v>
      </c>
      <c r="AE15" t="s">
        <v>57</v>
      </c>
      <c r="AF15" t="s">
        <v>57</v>
      </c>
      <c r="AG15">
        <v>1</v>
      </c>
      <c r="AH15" t="s">
        <v>57</v>
      </c>
      <c r="AL15" t="s">
        <v>57</v>
      </c>
      <c r="AM15" s="11">
        <v>44781</v>
      </c>
      <c r="AN15" t="s">
        <v>178</v>
      </c>
      <c r="AO15" t="s">
        <v>65</v>
      </c>
      <c r="AP15">
        <v>1205</v>
      </c>
      <c r="AQ15" t="s">
        <v>66</v>
      </c>
      <c r="AR15">
        <v>90043</v>
      </c>
      <c r="AU15" t="s">
        <v>57</v>
      </c>
      <c r="AV15" t="s">
        <v>68</v>
      </c>
      <c r="AX15" t="s">
        <v>57</v>
      </c>
      <c r="AY15">
        <v>631110</v>
      </c>
      <c r="AZ15">
        <v>1205.63111</v>
      </c>
      <c r="BA15" s="23" t="s">
        <v>13</v>
      </c>
    </row>
    <row r="16" spans="1:53" x14ac:dyDescent="0.25">
      <c r="A16" t="s">
        <v>134</v>
      </c>
      <c r="B16" t="s">
        <v>135</v>
      </c>
      <c r="C16">
        <v>22002338</v>
      </c>
      <c r="D16">
        <v>1205</v>
      </c>
      <c r="E16" s="11">
        <v>44784</v>
      </c>
      <c r="F16" t="s">
        <v>174</v>
      </c>
      <c r="G16" s="25">
        <v>0.05</v>
      </c>
      <c r="H16">
        <v>0.05</v>
      </c>
      <c r="I16" t="s">
        <v>56</v>
      </c>
      <c r="O16" t="s">
        <v>57</v>
      </c>
      <c r="Q16" t="s">
        <v>57</v>
      </c>
      <c r="R16" t="s">
        <v>137</v>
      </c>
      <c r="T16" t="s">
        <v>59</v>
      </c>
      <c r="U16" t="s">
        <v>60</v>
      </c>
      <c r="V16" t="s">
        <v>138</v>
      </c>
      <c r="W16" t="s">
        <v>139</v>
      </c>
      <c r="X16">
        <v>1930521</v>
      </c>
      <c r="Y16" s="11">
        <v>44784</v>
      </c>
      <c r="Z16" t="s">
        <v>57</v>
      </c>
      <c r="AA16">
        <v>10</v>
      </c>
      <c r="AB16" t="s">
        <v>57</v>
      </c>
      <c r="AD16" t="s">
        <v>57</v>
      </c>
      <c r="AE16" t="s">
        <v>57</v>
      </c>
      <c r="AF16" t="s">
        <v>57</v>
      </c>
      <c r="AG16">
        <v>1</v>
      </c>
      <c r="AH16" t="s">
        <v>57</v>
      </c>
      <c r="AL16" t="s">
        <v>57</v>
      </c>
      <c r="AM16" s="11">
        <v>44784</v>
      </c>
      <c r="AN16" t="s">
        <v>178</v>
      </c>
      <c r="AO16" t="s">
        <v>65</v>
      </c>
      <c r="AP16">
        <v>1205</v>
      </c>
      <c r="AQ16" t="s">
        <v>66</v>
      </c>
      <c r="AR16">
        <v>90043</v>
      </c>
      <c r="AU16" t="s">
        <v>57</v>
      </c>
      <c r="AV16" t="s">
        <v>68</v>
      </c>
      <c r="AX16" t="s">
        <v>57</v>
      </c>
      <c r="AY16">
        <v>631110</v>
      </c>
      <c r="AZ16">
        <v>1205.63111</v>
      </c>
      <c r="BA16" s="23" t="s">
        <v>13</v>
      </c>
    </row>
    <row r="17" spans="1:53" x14ac:dyDescent="0.25">
      <c r="A17" t="s">
        <v>134</v>
      </c>
      <c r="B17" t="s">
        <v>135</v>
      </c>
      <c r="C17">
        <v>22002341</v>
      </c>
      <c r="D17">
        <v>1205</v>
      </c>
      <c r="E17" s="11">
        <v>44785</v>
      </c>
      <c r="F17" t="s">
        <v>174</v>
      </c>
      <c r="G17" s="25">
        <v>0.05</v>
      </c>
      <c r="H17">
        <v>0.05</v>
      </c>
      <c r="I17" t="s">
        <v>56</v>
      </c>
      <c r="O17" t="s">
        <v>57</v>
      </c>
      <c r="Q17" t="s">
        <v>57</v>
      </c>
      <c r="R17" t="s">
        <v>137</v>
      </c>
      <c r="T17" t="s">
        <v>59</v>
      </c>
      <c r="U17" t="s">
        <v>60</v>
      </c>
      <c r="V17" t="s">
        <v>138</v>
      </c>
      <c r="W17" t="s">
        <v>139</v>
      </c>
      <c r="X17">
        <v>1930742</v>
      </c>
      <c r="Y17" s="11">
        <v>44785</v>
      </c>
      <c r="Z17" t="s">
        <v>57</v>
      </c>
      <c r="AA17">
        <v>18</v>
      </c>
      <c r="AB17" t="s">
        <v>57</v>
      </c>
      <c r="AD17" t="s">
        <v>57</v>
      </c>
      <c r="AE17" t="s">
        <v>57</v>
      </c>
      <c r="AF17" t="s">
        <v>57</v>
      </c>
      <c r="AG17">
        <v>1</v>
      </c>
      <c r="AH17" t="s">
        <v>57</v>
      </c>
      <c r="AL17" t="s">
        <v>57</v>
      </c>
      <c r="AM17" s="11">
        <v>44785</v>
      </c>
      <c r="AN17" t="s">
        <v>178</v>
      </c>
      <c r="AO17" t="s">
        <v>65</v>
      </c>
      <c r="AP17">
        <v>1205</v>
      </c>
      <c r="AQ17" t="s">
        <v>66</v>
      </c>
      <c r="AR17">
        <v>88525</v>
      </c>
      <c r="AU17" t="s">
        <v>57</v>
      </c>
      <c r="AV17" t="s">
        <v>68</v>
      </c>
      <c r="AX17" t="s">
        <v>57</v>
      </c>
      <c r="AY17">
        <v>631110</v>
      </c>
      <c r="AZ17">
        <v>1205.63111</v>
      </c>
      <c r="BA17" s="23" t="s">
        <v>13</v>
      </c>
    </row>
    <row r="18" spans="1:53" x14ac:dyDescent="0.25">
      <c r="A18" t="s">
        <v>134</v>
      </c>
      <c r="B18" t="s">
        <v>135</v>
      </c>
      <c r="C18">
        <v>22002356</v>
      </c>
      <c r="D18">
        <v>1205</v>
      </c>
      <c r="E18" s="11">
        <v>44789</v>
      </c>
      <c r="F18" t="s">
        <v>174</v>
      </c>
      <c r="G18" s="25">
        <v>0.05</v>
      </c>
      <c r="H18">
        <v>0.05</v>
      </c>
      <c r="I18" t="s">
        <v>56</v>
      </c>
      <c r="O18" t="s">
        <v>57</v>
      </c>
      <c r="Q18" t="s">
        <v>57</v>
      </c>
      <c r="R18" t="s">
        <v>137</v>
      </c>
      <c r="T18" t="s">
        <v>59</v>
      </c>
      <c r="U18" t="s">
        <v>60</v>
      </c>
      <c r="V18" t="s">
        <v>138</v>
      </c>
      <c r="W18" t="s">
        <v>139</v>
      </c>
      <c r="X18">
        <v>1933128</v>
      </c>
      <c r="Y18" s="11">
        <v>44789</v>
      </c>
      <c r="Z18" t="s">
        <v>57</v>
      </c>
      <c r="AA18">
        <v>2</v>
      </c>
      <c r="AB18" t="s">
        <v>57</v>
      </c>
      <c r="AD18" t="s">
        <v>57</v>
      </c>
      <c r="AE18" t="s">
        <v>57</v>
      </c>
      <c r="AF18" t="s">
        <v>57</v>
      </c>
      <c r="AG18">
        <v>1</v>
      </c>
      <c r="AH18" t="s">
        <v>57</v>
      </c>
      <c r="AL18" t="s">
        <v>57</v>
      </c>
      <c r="AM18" s="11">
        <v>44789</v>
      </c>
      <c r="AN18" t="s">
        <v>178</v>
      </c>
      <c r="AO18" t="s">
        <v>65</v>
      </c>
      <c r="AP18">
        <v>1205</v>
      </c>
      <c r="AQ18" t="s">
        <v>66</v>
      </c>
      <c r="AR18">
        <v>88523</v>
      </c>
      <c r="AU18" t="s">
        <v>57</v>
      </c>
      <c r="AV18" t="s">
        <v>68</v>
      </c>
      <c r="AX18" t="s">
        <v>57</v>
      </c>
      <c r="AY18">
        <v>631110</v>
      </c>
      <c r="AZ18">
        <v>1205.63111</v>
      </c>
      <c r="BA18" s="23" t="s">
        <v>13</v>
      </c>
    </row>
    <row r="19" spans="1:53" x14ac:dyDescent="0.25">
      <c r="A19" t="s">
        <v>134</v>
      </c>
      <c r="B19" t="s">
        <v>135</v>
      </c>
      <c r="C19">
        <v>22002356</v>
      </c>
      <c r="D19">
        <v>1205</v>
      </c>
      <c r="E19" s="11">
        <v>44789</v>
      </c>
      <c r="F19" t="s">
        <v>174</v>
      </c>
      <c r="G19" s="25">
        <v>0.05</v>
      </c>
      <c r="H19">
        <v>0.05</v>
      </c>
      <c r="I19" t="s">
        <v>56</v>
      </c>
      <c r="O19" t="s">
        <v>57</v>
      </c>
      <c r="Q19" t="s">
        <v>57</v>
      </c>
      <c r="R19" t="s">
        <v>137</v>
      </c>
      <c r="T19" t="s">
        <v>59</v>
      </c>
      <c r="U19" t="s">
        <v>60</v>
      </c>
      <c r="V19" t="s">
        <v>138</v>
      </c>
      <c r="W19" t="s">
        <v>139</v>
      </c>
      <c r="X19">
        <v>1933128</v>
      </c>
      <c r="Y19" s="11">
        <v>44789</v>
      </c>
      <c r="Z19" t="s">
        <v>57</v>
      </c>
      <c r="AA19">
        <v>4</v>
      </c>
      <c r="AB19" t="s">
        <v>57</v>
      </c>
      <c r="AD19" t="s">
        <v>57</v>
      </c>
      <c r="AE19" t="s">
        <v>57</v>
      </c>
      <c r="AF19" t="s">
        <v>57</v>
      </c>
      <c r="AG19">
        <v>1</v>
      </c>
      <c r="AH19" t="s">
        <v>57</v>
      </c>
      <c r="AL19" t="s">
        <v>57</v>
      </c>
      <c r="AM19" s="11">
        <v>44789</v>
      </c>
      <c r="AN19" t="s">
        <v>178</v>
      </c>
      <c r="AO19" t="s">
        <v>65</v>
      </c>
      <c r="AP19">
        <v>1205</v>
      </c>
      <c r="AQ19" t="s">
        <v>66</v>
      </c>
      <c r="AR19">
        <v>90043</v>
      </c>
      <c r="AU19" t="s">
        <v>57</v>
      </c>
      <c r="AV19" t="s">
        <v>68</v>
      </c>
      <c r="AX19" t="s">
        <v>57</v>
      </c>
      <c r="AY19">
        <v>631110</v>
      </c>
      <c r="AZ19">
        <v>1205.63111</v>
      </c>
      <c r="BA19" s="23" t="s">
        <v>13</v>
      </c>
    </row>
    <row r="20" spans="1:53" x14ac:dyDescent="0.25">
      <c r="A20" t="s">
        <v>134</v>
      </c>
      <c r="B20" t="s">
        <v>135</v>
      </c>
      <c r="C20">
        <v>22002261</v>
      </c>
      <c r="D20">
        <v>1205</v>
      </c>
      <c r="E20" s="11">
        <v>44774</v>
      </c>
      <c r="F20" t="s">
        <v>174</v>
      </c>
      <c r="G20" s="25">
        <v>7.0000000000000007E-2</v>
      </c>
      <c r="H20">
        <v>7.0000000000000007E-2</v>
      </c>
      <c r="I20" t="s">
        <v>56</v>
      </c>
      <c r="O20" t="s">
        <v>57</v>
      </c>
      <c r="Q20" t="s">
        <v>57</v>
      </c>
      <c r="R20" t="s">
        <v>137</v>
      </c>
      <c r="T20" t="s">
        <v>59</v>
      </c>
      <c r="U20" t="s">
        <v>60</v>
      </c>
      <c r="V20" t="s">
        <v>138</v>
      </c>
      <c r="W20" t="s">
        <v>139</v>
      </c>
      <c r="X20">
        <v>1925596</v>
      </c>
      <c r="Y20" s="11">
        <v>44774</v>
      </c>
      <c r="Z20" t="s">
        <v>57</v>
      </c>
      <c r="AA20">
        <v>8</v>
      </c>
      <c r="AB20" t="s">
        <v>57</v>
      </c>
      <c r="AD20" t="s">
        <v>57</v>
      </c>
      <c r="AE20" t="s">
        <v>57</v>
      </c>
      <c r="AF20" t="s">
        <v>57</v>
      </c>
      <c r="AG20">
        <v>1</v>
      </c>
      <c r="AH20" t="s">
        <v>57</v>
      </c>
      <c r="AL20" t="s">
        <v>57</v>
      </c>
      <c r="AM20" s="11">
        <v>44774</v>
      </c>
      <c r="AN20" t="s">
        <v>178</v>
      </c>
      <c r="AO20" t="s">
        <v>65</v>
      </c>
      <c r="AP20">
        <v>1205</v>
      </c>
      <c r="AQ20" t="s">
        <v>66</v>
      </c>
      <c r="AR20">
        <v>88522</v>
      </c>
      <c r="AU20" t="s">
        <v>57</v>
      </c>
      <c r="AV20" t="s">
        <v>68</v>
      </c>
      <c r="AX20" t="s">
        <v>57</v>
      </c>
      <c r="AY20">
        <v>631110</v>
      </c>
      <c r="AZ20">
        <v>1205.63111</v>
      </c>
      <c r="BA20" s="23" t="s">
        <v>13</v>
      </c>
    </row>
    <row r="21" spans="1:53" x14ac:dyDescent="0.25">
      <c r="A21" t="s">
        <v>134</v>
      </c>
      <c r="B21" t="s">
        <v>135</v>
      </c>
      <c r="C21">
        <v>22002261</v>
      </c>
      <c r="D21">
        <v>1205</v>
      </c>
      <c r="E21" s="11">
        <v>44774</v>
      </c>
      <c r="F21" t="s">
        <v>174</v>
      </c>
      <c r="G21" s="25">
        <v>7.0000000000000007E-2</v>
      </c>
      <c r="H21">
        <v>7.0000000000000007E-2</v>
      </c>
      <c r="I21" t="s">
        <v>56</v>
      </c>
      <c r="O21" t="s">
        <v>57</v>
      </c>
      <c r="Q21" t="s">
        <v>57</v>
      </c>
      <c r="R21" t="s">
        <v>137</v>
      </c>
      <c r="T21" t="s">
        <v>59</v>
      </c>
      <c r="U21" t="s">
        <v>60</v>
      </c>
      <c r="V21" t="s">
        <v>138</v>
      </c>
      <c r="W21" t="s">
        <v>139</v>
      </c>
      <c r="X21">
        <v>1925596</v>
      </c>
      <c r="Y21" s="11">
        <v>44774</v>
      </c>
      <c r="Z21" t="s">
        <v>57</v>
      </c>
      <c r="AA21">
        <v>12</v>
      </c>
      <c r="AB21" t="s">
        <v>57</v>
      </c>
      <c r="AD21" t="s">
        <v>57</v>
      </c>
      <c r="AE21" t="s">
        <v>57</v>
      </c>
      <c r="AF21" t="s">
        <v>57</v>
      </c>
      <c r="AG21">
        <v>1</v>
      </c>
      <c r="AH21" t="s">
        <v>57</v>
      </c>
      <c r="AL21" t="s">
        <v>57</v>
      </c>
      <c r="AM21" s="11">
        <v>44774</v>
      </c>
      <c r="AN21" t="s">
        <v>178</v>
      </c>
      <c r="AO21" t="s">
        <v>65</v>
      </c>
      <c r="AP21">
        <v>1205</v>
      </c>
      <c r="AQ21" t="s">
        <v>66</v>
      </c>
      <c r="AR21">
        <v>90182</v>
      </c>
      <c r="AU21" t="s">
        <v>57</v>
      </c>
      <c r="AV21" t="s">
        <v>68</v>
      </c>
      <c r="AX21" t="s">
        <v>57</v>
      </c>
      <c r="AY21">
        <v>631110</v>
      </c>
      <c r="AZ21">
        <v>1205.63111</v>
      </c>
      <c r="BA21" s="23" t="s">
        <v>13</v>
      </c>
    </row>
    <row r="22" spans="1:53" x14ac:dyDescent="0.25">
      <c r="A22" t="s">
        <v>134</v>
      </c>
      <c r="B22" t="s">
        <v>135</v>
      </c>
      <c r="C22">
        <v>22002297</v>
      </c>
      <c r="D22">
        <v>1205</v>
      </c>
      <c r="E22" s="11">
        <v>44778</v>
      </c>
      <c r="F22" t="s">
        <v>174</v>
      </c>
      <c r="G22" s="25">
        <v>7.0000000000000007E-2</v>
      </c>
      <c r="H22">
        <v>7.0000000000000007E-2</v>
      </c>
      <c r="I22" t="s">
        <v>56</v>
      </c>
      <c r="O22" t="s">
        <v>57</v>
      </c>
      <c r="Q22" t="s">
        <v>57</v>
      </c>
      <c r="R22" t="s">
        <v>137</v>
      </c>
      <c r="T22" t="s">
        <v>59</v>
      </c>
      <c r="U22" t="s">
        <v>60</v>
      </c>
      <c r="V22" t="s">
        <v>138</v>
      </c>
      <c r="W22" t="s">
        <v>139</v>
      </c>
      <c r="X22">
        <v>1928656</v>
      </c>
      <c r="Y22" s="11">
        <v>44778</v>
      </c>
      <c r="Z22" t="s">
        <v>57</v>
      </c>
      <c r="AA22">
        <v>14</v>
      </c>
      <c r="AB22" t="s">
        <v>57</v>
      </c>
      <c r="AD22" t="s">
        <v>57</v>
      </c>
      <c r="AE22" t="s">
        <v>57</v>
      </c>
      <c r="AF22" t="s">
        <v>57</v>
      </c>
      <c r="AG22">
        <v>1</v>
      </c>
      <c r="AH22" t="s">
        <v>57</v>
      </c>
      <c r="AL22" t="s">
        <v>57</v>
      </c>
      <c r="AM22" s="11">
        <v>44778</v>
      </c>
      <c r="AN22" t="s">
        <v>178</v>
      </c>
      <c r="AO22" t="s">
        <v>65</v>
      </c>
      <c r="AP22">
        <v>1205</v>
      </c>
      <c r="AQ22" t="s">
        <v>66</v>
      </c>
      <c r="AR22">
        <v>88799</v>
      </c>
      <c r="AU22" t="s">
        <v>57</v>
      </c>
      <c r="AV22" t="s">
        <v>68</v>
      </c>
      <c r="AX22" t="s">
        <v>57</v>
      </c>
      <c r="AY22">
        <v>631110</v>
      </c>
      <c r="AZ22">
        <v>1205.63111</v>
      </c>
      <c r="BA22" s="23" t="s">
        <v>13</v>
      </c>
    </row>
    <row r="23" spans="1:53" x14ac:dyDescent="0.25">
      <c r="A23" t="s">
        <v>134</v>
      </c>
      <c r="B23" t="s">
        <v>135</v>
      </c>
      <c r="C23">
        <v>22002311</v>
      </c>
      <c r="D23">
        <v>1205</v>
      </c>
      <c r="E23" s="11">
        <v>44781</v>
      </c>
      <c r="F23" t="s">
        <v>174</v>
      </c>
      <c r="G23" s="25">
        <v>7.0000000000000007E-2</v>
      </c>
      <c r="H23">
        <v>7.0000000000000007E-2</v>
      </c>
      <c r="I23" t="s">
        <v>56</v>
      </c>
      <c r="O23" t="s">
        <v>57</v>
      </c>
      <c r="Q23" t="s">
        <v>57</v>
      </c>
      <c r="R23" t="s">
        <v>137</v>
      </c>
      <c r="T23" t="s">
        <v>59</v>
      </c>
      <c r="U23" t="s">
        <v>60</v>
      </c>
      <c r="V23" t="s">
        <v>138</v>
      </c>
      <c r="W23" t="s">
        <v>139</v>
      </c>
      <c r="X23">
        <v>1928974</v>
      </c>
      <c r="Y23" s="11">
        <v>44781</v>
      </c>
      <c r="Z23" t="s">
        <v>57</v>
      </c>
      <c r="AA23">
        <v>4</v>
      </c>
      <c r="AB23" t="s">
        <v>57</v>
      </c>
      <c r="AD23" t="s">
        <v>57</v>
      </c>
      <c r="AE23" t="s">
        <v>57</v>
      </c>
      <c r="AF23" t="s">
        <v>57</v>
      </c>
      <c r="AG23">
        <v>1</v>
      </c>
      <c r="AH23" t="s">
        <v>57</v>
      </c>
      <c r="AL23" t="s">
        <v>57</v>
      </c>
      <c r="AM23" s="11">
        <v>44781</v>
      </c>
      <c r="AN23" t="s">
        <v>178</v>
      </c>
      <c r="AO23" t="s">
        <v>65</v>
      </c>
      <c r="AP23">
        <v>1205</v>
      </c>
      <c r="AQ23" t="s">
        <v>66</v>
      </c>
      <c r="AR23">
        <v>89908</v>
      </c>
      <c r="AU23" t="s">
        <v>57</v>
      </c>
      <c r="AV23" t="s">
        <v>68</v>
      </c>
      <c r="AX23" t="s">
        <v>57</v>
      </c>
      <c r="AY23">
        <v>631110</v>
      </c>
      <c r="AZ23">
        <v>1205.63111</v>
      </c>
      <c r="BA23" s="23" t="s">
        <v>13</v>
      </c>
    </row>
    <row r="24" spans="1:53" x14ac:dyDescent="0.25">
      <c r="A24" t="s">
        <v>134</v>
      </c>
      <c r="B24" t="s">
        <v>135</v>
      </c>
      <c r="C24">
        <v>22002323</v>
      </c>
      <c r="D24">
        <v>1205</v>
      </c>
      <c r="E24" s="11">
        <v>44783</v>
      </c>
      <c r="F24" t="s">
        <v>174</v>
      </c>
      <c r="G24" s="25">
        <v>7.0000000000000007E-2</v>
      </c>
      <c r="H24">
        <v>7.0000000000000007E-2</v>
      </c>
      <c r="I24" t="s">
        <v>56</v>
      </c>
      <c r="O24" t="s">
        <v>57</v>
      </c>
      <c r="Q24" t="s">
        <v>57</v>
      </c>
      <c r="R24" t="s">
        <v>137</v>
      </c>
      <c r="T24" t="s">
        <v>59</v>
      </c>
      <c r="U24" t="s">
        <v>60</v>
      </c>
      <c r="V24" t="s">
        <v>138</v>
      </c>
      <c r="W24" t="s">
        <v>139</v>
      </c>
      <c r="X24">
        <v>1930356</v>
      </c>
      <c r="Y24" s="11">
        <v>44783</v>
      </c>
      <c r="Z24" t="s">
        <v>57</v>
      </c>
      <c r="AA24">
        <v>8</v>
      </c>
      <c r="AB24" t="s">
        <v>57</v>
      </c>
      <c r="AD24" t="s">
        <v>57</v>
      </c>
      <c r="AE24" t="s">
        <v>57</v>
      </c>
      <c r="AF24" t="s">
        <v>57</v>
      </c>
      <c r="AG24">
        <v>1</v>
      </c>
      <c r="AH24" t="s">
        <v>57</v>
      </c>
      <c r="AL24" t="s">
        <v>57</v>
      </c>
      <c r="AM24" s="11">
        <v>44783</v>
      </c>
      <c r="AN24" t="s">
        <v>178</v>
      </c>
      <c r="AO24" t="s">
        <v>65</v>
      </c>
      <c r="AP24">
        <v>1205</v>
      </c>
      <c r="AQ24" t="s">
        <v>66</v>
      </c>
      <c r="AR24">
        <v>88522</v>
      </c>
      <c r="AU24" t="s">
        <v>57</v>
      </c>
      <c r="AV24" t="s">
        <v>68</v>
      </c>
      <c r="AX24" t="s">
        <v>57</v>
      </c>
      <c r="AY24">
        <v>631110</v>
      </c>
      <c r="AZ24">
        <v>1205.63111</v>
      </c>
      <c r="BA24" s="23" t="s">
        <v>13</v>
      </c>
    </row>
    <row r="25" spans="1:53" x14ac:dyDescent="0.25">
      <c r="A25" t="s">
        <v>134</v>
      </c>
      <c r="B25" t="s">
        <v>135</v>
      </c>
      <c r="C25">
        <v>22002338</v>
      </c>
      <c r="D25">
        <v>1205</v>
      </c>
      <c r="E25" s="11">
        <v>44784</v>
      </c>
      <c r="F25" t="s">
        <v>174</v>
      </c>
      <c r="G25" s="25">
        <v>7.0000000000000007E-2</v>
      </c>
      <c r="H25">
        <v>7.0000000000000007E-2</v>
      </c>
      <c r="I25" t="s">
        <v>56</v>
      </c>
      <c r="O25" t="s">
        <v>57</v>
      </c>
      <c r="Q25" t="s">
        <v>57</v>
      </c>
      <c r="R25" t="s">
        <v>137</v>
      </c>
      <c r="T25" t="s">
        <v>59</v>
      </c>
      <c r="U25" t="s">
        <v>60</v>
      </c>
      <c r="V25" t="s">
        <v>138</v>
      </c>
      <c r="W25" t="s">
        <v>139</v>
      </c>
      <c r="X25">
        <v>1930521</v>
      </c>
      <c r="Y25" s="11">
        <v>44784</v>
      </c>
      <c r="Z25" t="s">
        <v>57</v>
      </c>
      <c r="AA25">
        <v>24</v>
      </c>
      <c r="AB25" t="s">
        <v>57</v>
      </c>
      <c r="AD25" t="s">
        <v>57</v>
      </c>
      <c r="AE25" t="s">
        <v>57</v>
      </c>
      <c r="AF25" t="s">
        <v>57</v>
      </c>
      <c r="AG25">
        <v>1</v>
      </c>
      <c r="AH25" t="s">
        <v>57</v>
      </c>
      <c r="AL25" t="s">
        <v>57</v>
      </c>
      <c r="AM25" s="11">
        <v>44784</v>
      </c>
      <c r="AN25" t="s">
        <v>178</v>
      </c>
      <c r="AO25" t="s">
        <v>65</v>
      </c>
      <c r="AP25">
        <v>1205</v>
      </c>
      <c r="AQ25" t="s">
        <v>66</v>
      </c>
      <c r="AR25">
        <v>89908</v>
      </c>
      <c r="AU25" t="s">
        <v>57</v>
      </c>
      <c r="AV25" t="s">
        <v>68</v>
      </c>
      <c r="AX25" t="s">
        <v>57</v>
      </c>
      <c r="AY25">
        <v>631110</v>
      </c>
      <c r="AZ25">
        <v>1205.63111</v>
      </c>
      <c r="BA25" s="23" t="s">
        <v>13</v>
      </c>
    </row>
    <row r="26" spans="1:53" x14ac:dyDescent="0.25">
      <c r="A26" t="s">
        <v>134</v>
      </c>
      <c r="B26" t="s">
        <v>135</v>
      </c>
      <c r="C26">
        <v>22002341</v>
      </c>
      <c r="D26">
        <v>1205</v>
      </c>
      <c r="E26" s="11">
        <v>44785</v>
      </c>
      <c r="F26" t="s">
        <v>174</v>
      </c>
      <c r="G26" s="25">
        <v>7.0000000000000007E-2</v>
      </c>
      <c r="H26">
        <v>7.0000000000000007E-2</v>
      </c>
      <c r="I26" t="s">
        <v>56</v>
      </c>
      <c r="O26" t="s">
        <v>57</v>
      </c>
      <c r="Q26" t="s">
        <v>57</v>
      </c>
      <c r="R26" t="s">
        <v>137</v>
      </c>
      <c r="T26" t="s">
        <v>59</v>
      </c>
      <c r="U26" t="s">
        <v>60</v>
      </c>
      <c r="V26" t="s">
        <v>138</v>
      </c>
      <c r="W26" t="s">
        <v>139</v>
      </c>
      <c r="X26">
        <v>1930742</v>
      </c>
      <c r="Y26" s="11">
        <v>44785</v>
      </c>
      <c r="Z26" t="s">
        <v>57</v>
      </c>
      <c r="AA26">
        <v>10</v>
      </c>
      <c r="AB26" t="s">
        <v>57</v>
      </c>
      <c r="AD26" t="s">
        <v>57</v>
      </c>
      <c r="AE26" t="s">
        <v>57</v>
      </c>
      <c r="AF26" t="s">
        <v>57</v>
      </c>
      <c r="AG26">
        <v>1</v>
      </c>
      <c r="AH26" t="s">
        <v>57</v>
      </c>
      <c r="AL26" t="s">
        <v>57</v>
      </c>
      <c r="AM26" s="11">
        <v>44785</v>
      </c>
      <c r="AN26" t="s">
        <v>178</v>
      </c>
      <c r="AO26" t="s">
        <v>65</v>
      </c>
      <c r="AP26">
        <v>1205</v>
      </c>
      <c r="AQ26" t="s">
        <v>66</v>
      </c>
      <c r="AR26">
        <v>88799</v>
      </c>
      <c r="AU26" t="s">
        <v>57</v>
      </c>
      <c r="AV26" t="s">
        <v>68</v>
      </c>
      <c r="AX26" t="s">
        <v>57</v>
      </c>
      <c r="AY26">
        <v>631110</v>
      </c>
      <c r="AZ26">
        <v>1205.63111</v>
      </c>
      <c r="BA26" s="23" t="s">
        <v>13</v>
      </c>
    </row>
    <row r="27" spans="1:53" x14ac:dyDescent="0.25">
      <c r="A27" t="s">
        <v>134</v>
      </c>
      <c r="B27" t="s">
        <v>135</v>
      </c>
      <c r="C27">
        <v>22002366</v>
      </c>
      <c r="D27">
        <v>1205</v>
      </c>
      <c r="E27" s="11">
        <v>44791</v>
      </c>
      <c r="F27" t="s">
        <v>174</v>
      </c>
      <c r="G27" s="25">
        <v>7.0000000000000007E-2</v>
      </c>
      <c r="H27">
        <v>7.0000000000000007E-2</v>
      </c>
      <c r="I27" t="s">
        <v>56</v>
      </c>
      <c r="O27" t="s">
        <v>57</v>
      </c>
      <c r="Q27" t="s">
        <v>57</v>
      </c>
      <c r="R27" t="s">
        <v>137</v>
      </c>
      <c r="T27" t="s">
        <v>59</v>
      </c>
      <c r="U27" t="s">
        <v>60</v>
      </c>
      <c r="V27" t="s">
        <v>138</v>
      </c>
      <c r="W27" t="s">
        <v>139</v>
      </c>
      <c r="X27">
        <v>1933538</v>
      </c>
      <c r="Y27" s="11">
        <v>44791</v>
      </c>
      <c r="Z27" t="s">
        <v>57</v>
      </c>
      <c r="AA27">
        <v>12</v>
      </c>
      <c r="AB27" t="s">
        <v>57</v>
      </c>
      <c r="AD27" t="s">
        <v>57</v>
      </c>
      <c r="AE27" t="s">
        <v>57</v>
      </c>
      <c r="AF27" t="s">
        <v>57</v>
      </c>
      <c r="AG27">
        <v>1</v>
      </c>
      <c r="AH27" t="s">
        <v>57</v>
      </c>
      <c r="AL27" t="s">
        <v>57</v>
      </c>
      <c r="AM27" s="11">
        <v>44791</v>
      </c>
      <c r="AN27" t="s">
        <v>178</v>
      </c>
      <c r="AO27" t="s">
        <v>65</v>
      </c>
      <c r="AP27">
        <v>1205</v>
      </c>
      <c r="AQ27" t="s">
        <v>66</v>
      </c>
      <c r="AR27">
        <v>88799</v>
      </c>
      <c r="AU27" t="s">
        <v>57</v>
      </c>
      <c r="AV27" t="s">
        <v>68</v>
      </c>
      <c r="AX27" t="s">
        <v>57</v>
      </c>
      <c r="AY27">
        <v>631110</v>
      </c>
      <c r="AZ27">
        <v>1205.63111</v>
      </c>
      <c r="BA27" s="23" t="s">
        <v>13</v>
      </c>
    </row>
    <row r="28" spans="1:53" x14ac:dyDescent="0.25">
      <c r="A28" t="s">
        <v>134</v>
      </c>
      <c r="B28" t="s">
        <v>135</v>
      </c>
      <c r="C28">
        <v>22002264</v>
      </c>
      <c r="D28">
        <v>1205</v>
      </c>
      <c r="E28" s="11">
        <v>44774</v>
      </c>
      <c r="F28" t="s">
        <v>179</v>
      </c>
      <c r="G28" s="25">
        <v>0.08</v>
      </c>
      <c r="H28">
        <v>0.08</v>
      </c>
      <c r="I28" t="s">
        <v>56</v>
      </c>
      <c r="O28" t="s">
        <v>57</v>
      </c>
      <c r="Q28" t="s">
        <v>57</v>
      </c>
      <c r="R28" t="s">
        <v>137</v>
      </c>
      <c r="T28" t="s">
        <v>59</v>
      </c>
      <c r="U28" t="s">
        <v>60</v>
      </c>
      <c r="V28" t="s">
        <v>138</v>
      </c>
      <c r="W28" t="s">
        <v>139</v>
      </c>
      <c r="X28">
        <v>1925601</v>
      </c>
      <c r="Y28" s="11">
        <v>44774</v>
      </c>
      <c r="Z28" t="s">
        <v>57</v>
      </c>
      <c r="AA28">
        <v>16</v>
      </c>
      <c r="AB28" t="s">
        <v>57</v>
      </c>
      <c r="AD28" t="s">
        <v>57</v>
      </c>
      <c r="AE28" t="s">
        <v>57</v>
      </c>
      <c r="AF28" t="s">
        <v>57</v>
      </c>
      <c r="AG28">
        <v>1</v>
      </c>
      <c r="AH28" t="s">
        <v>57</v>
      </c>
      <c r="AL28" t="s">
        <v>57</v>
      </c>
      <c r="AM28" s="11">
        <v>44774</v>
      </c>
      <c r="AN28" t="s">
        <v>180</v>
      </c>
      <c r="AO28" t="s">
        <v>65</v>
      </c>
      <c r="AP28">
        <v>1205</v>
      </c>
      <c r="AQ28" t="s">
        <v>66</v>
      </c>
      <c r="AR28">
        <v>267129</v>
      </c>
      <c r="AU28" t="s">
        <v>57</v>
      </c>
      <c r="AV28" t="s">
        <v>68</v>
      </c>
      <c r="AX28" t="s">
        <v>57</v>
      </c>
      <c r="AY28">
        <v>631110</v>
      </c>
      <c r="AZ28">
        <v>1205.63111</v>
      </c>
      <c r="BA28" s="23" t="s">
        <v>13</v>
      </c>
    </row>
    <row r="29" spans="1:53" x14ac:dyDescent="0.25">
      <c r="A29" t="s">
        <v>134</v>
      </c>
      <c r="B29" t="s">
        <v>135</v>
      </c>
      <c r="C29">
        <v>22002267</v>
      </c>
      <c r="D29">
        <v>1205</v>
      </c>
      <c r="E29" s="11">
        <v>44775</v>
      </c>
      <c r="F29" t="s">
        <v>179</v>
      </c>
      <c r="G29" s="25">
        <v>0.08</v>
      </c>
      <c r="H29">
        <v>0.08</v>
      </c>
      <c r="I29" t="s">
        <v>56</v>
      </c>
      <c r="O29" t="s">
        <v>57</v>
      </c>
      <c r="Q29" t="s">
        <v>57</v>
      </c>
      <c r="R29" t="s">
        <v>137</v>
      </c>
      <c r="T29" t="s">
        <v>59</v>
      </c>
      <c r="U29" t="s">
        <v>60</v>
      </c>
      <c r="V29" t="s">
        <v>138</v>
      </c>
      <c r="W29" t="s">
        <v>139</v>
      </c>
      <c r="X29">
        <v>1926658</v>
      </c>
      <c r="Y29" s="11">
        <v>44775</v>
      </c>
      <c r="Z29" t="s">
        <v>57</v>
      </c>
      <c r="AA29">
        <v>6</v>
      </c>
      <c r="AB29" t="s">
        <v>57</v>
      </c>
      <c r="AD29" t="s">
        <v>57</v>
      </c>
      <c r="AE29" t="s">
        <v>57</v>
      </c>
      <c r="AF29" t="s">
        <v>57</v>
      </c>
      <c r="AG29">
        <v>1</v>
      </c>
      <c r="AH29" t="s">
        <v>57</v>
      </c>
      <c r="AL29" t="s">
        <v>57</v>
      </c>
      <c r="AM29" s="11">
        <v>44775</v>
      </c>
      <c r="AN29" t="s">
        <v>180</v>
      </c>
      <c r="AO29" t="s">
        <v>65</v>
      </c>
      <c r="AP29">
        <v>1205</v>
      </c>
      <c r="AQ29" t="s">
        <v>66</v>
      </c>
      <c r="AR29">
        <v>264688</v>
      </c>
      <c r="AU29" t="s">
        <v>57</v>
      </c>
      <c r="AV29" t="s">
        <v>68</v>
      </c>
      <c r="AX29" t="s">
        <v>57</v>
      </c>
      <c r="AY29">
        <v>631110</v>
      </c>
      <c r="AZ29">
        <v>1205.63111</v>
      </c>
      <c r="BA29" s="23" t="s">
        <v>13</v>
      </c>
    </row>
    <row r="30" spans="1:53" x14ac:dyDescent="0.25">
      <c r="A30" t="s">
        <v>134</v>
      </c>
      <c r="B30" t="s">
        <v>135</v>
      </c>
      <c r="C30">
        <v>22002267</v>
      </c>
      <c r="D30">
        <v>1205</v>
      </c>
      <c r="E30" s="11">
        <v>44775</v>
      </c>
      <c r="F30" t="s">
        <v>179</v>
      </c>
      <c r="G30" s="25">
        <v>0.08</v>
      </c>
      <c r="H30">
        <v>0.08</v>
      </c>
      <c r="I30" t="s">
        <v>56</v>
      </c>
      <c r="O30" t="s">
        <v>57</v>
      </c>
      <c r="Q30" t="s">
        <v>57</v>
      </c>
      <c r="R30" t="s">
        <v>137</v>
      </c>
      <c r="T30" t="s">
        <v>59</v>
      </c>
      <c r="U30" t="s">
        <v>60</v>
      </c>
      <c r="V30" t="s">
        <v>138</v>
      </c>
      <c r="W30" t="s">
        <v>139</v>
      </c>
      <c r="X30">
        <v>1926658</v>
      </c>
      <c r="Y30" s="11">
        <v>44775</v>
      </c>
      <c r="Z30" t="s">
        <v>57</v>
      </c>
      <c r="AA30">
        <v>18</v>
      </c>
      <c r="AB30" t="s">
        <v>57</v>
      </c>
      <c r="AD30" t="s">
        <v>57</v>
      </c>
      <c r="AE30" t="s">
        <v>57</v>
      </c>
      <c r="AF30" t="s">
        <v>57</v>
      </c>
      <c r="AG30">
        <v>1</v>
      </c>
      <c r="AH30" t="s">
        <v>57</v>
      </c>
      <c r="AL30" t="s">
        <v>57</v>
      </c>
      <c r="AM30" s="11">
        <v>44775</v>
      </c>
      <c r="AN30" t="s">
        <v>180</v>
      </c>
      <c r="AO30" t="s">
        <v>65</v>
      </c>
      <c r="AP30">
        <v>1205</v>
      </c>
      <c r="AQ30" t="s">
        <v>66</v>
      </c>
      <c r="AR30">
        <v>267129</v>
      </c>
      <c r="AU30" t="s">
        <v>57</v>
      </c>
      <c r="AV30" t="s">
        <v>68</v>
      </c>
      <c r="AX30" t="s">
        <v>57</v>
      </c>
      <c r="AY30">
        <v>631110</v>
      </c>
      <c r="AZ30">
        <v>1205.63111</v>
      </c>
      <c r="BA30" s="23" t="s">
        <v>13</v>
      </c>
    </row>
    <row r="31" spans="1:53" x14ac:dyDescent="0.25">
      <c r="A31" t="s">
        <v>134</v>
      </c>
      <c r="B31" t="s">
        <v>135</v>
      </c>
      <c r="C31">
        <v>22002281</v>
      </c>
      <c r="D31">
        <v>1205</v>
      </c>
      <c r="E31" s="11">
        <v>44776</v>
      </c>
      <c r="F31" t="s">
        <v>179</v>
      </c>
      <c r="G31" s="25">
        <v>0.08</v>
      </c>
      <c r="H31">
        <v>0.08</v>
      </c>
      <c r="I31" t="s">
        <v>56</v>
      </c>
      <c r="O31" t="s">
        <v>57</v>
      </c>
      <c r="Q31" t="s">
        <v>57</v>
      </c>
      <c r="R31" t="s">
        <v>137</v>
      </c>
      <c r="T31" t="s">
        <v>59</v>
      </c>
      <c r="U31" t="s">
        <v>60</v>
      </c>
      <c r="V31" t="s">
        <v>138</v>
      </c>
      <c r="W31" t="s">
        <v>139</v>
      </c>
      <c r="X31">
        <v>1927036</v>
      </c>
      <c r="Y31" s="11">
        <v>44776</v>
      </c>
      <c r="Z31" t="s">
        <v>57</v>
      </c>
      <c r="AA31">
        <v>2</v>
      </c>
      <c r="AB31" t="s">
        <v>57</v>
      </c>
      <c r="AD31" t="s">
        <v>57</v>
      </c>
      <c r="AE31" t="s">
        <v>57</v>
      </c>
      <c r="AF31" t="s">
        <v>57</v>
      </c>
      <c r="AG31">
        <v>1</v>
      </c>
      <c r="AH31" t="s">
        <v>57</v>
      </c>
      <c r="AL31" t="s">
        <v>57</v>
      </c>
      <c r="AM31" s="11">
        <v>44776</v>
      </c>
      <c r="AN31" t="s">
        <v>180</v>
      </c>
      <c r="AO31" t="s">
        <v>65</v>
      </c>
      <c r="AP31">
        <v>1205</v>
      </c>
      <c r="AQ31" t="s">
        <v>66</v>
      </c>
      <c r="AR31">
        <v>92908</v>
      </c>
      <c r="AU31" t="s">
        <v>57</v>
      </c>
      <c r="AV31" t="s">
        <v>68</v>
      </c>
      <c r="AX31" t="s">
        <v>57</v>
      </c>
      <c r="AY31">
        <v>631110</v>
      </c>
      <c r="AZ31">
        <v>1205.63111</v>
      </c>
      <c r="BA31" s="23" t="s">
        <v>13</v>
      </c>
    </row>
    <row r="32" spans="1:53" x14ac:dyDescent="0.25">
      <c r="A32" t="s">
        <v>134</v>
      </c>
      <c r="B32" t="s">
        <v>135</v>
      </c>
      <c r="C32">
        <v>22002295</v>
      </c>
      <c r="D32">
        <v>1205</v>
      </c>
      <c r="E32" s="11">
        <v>44777</v>
      </c>
      <c r="F32" t="s">
        <v>179</v>
      </c>
      <c r="G32" s="25">
        <v>0.08</v>
      </c>
      <c r="H32">
        <v>0.08</v>
      </c>
      <c r="I32" t="s">
        <v>56</v>
      </c>
      <c r="O32" t="s">
        <v>57</v>
      </c>
      <c r="Q32" t="s">
        <v>57</v>
      </c>
      <c r="R32" t="s">
        <v>137</v>
      </c>
      <c r="T32" t="s">
        <v>59</v>
      </c>
      <c r="U32" t="s">
        <v>60</v>
      </c>
      <c r="V32" t="s">
        <v>138</v>
      </c>
      <c r="W32" t="s">
        <v>139</v>
      </c>
      <c r="X32">
        <v>1927636</v>
      </c>
      <c r="Y32" s="11">
        <v>44777</v>
      </c>
      <c r="Z32" t="s">
        <v>57</v>
      </c>
      <c r="AA32">
        <v>16</v>
      </c>
      <c r="AB32" t="s">
        <v>57</v>
      </c>
      <c r="AD32" t="s">
        <v>57</v>
      </c>
      <c r="AE32" t="s">
        <v>57</v>
      </c>
      <c r="AF32" t="s">
        <v>57</v>
      </c>
      <c r="AG32">
        <v>1</v>
      </c>
      <c r="AH32" t="s">
        <v>57</v>
      </c>
      <c r="AL32" t="s">
        <v>57</v>
      </c>
      <c r="AM32" s="11">
        <v>44777</v>
      </c>
      <c r="AN32" t="s">
        <v>180</v>
      </c>
      <c r="AO32" t="s">
        <v>65</v>
      </c>
      <c r="AP32">
        <v>1205</v>
      </c>
      <c r="AQ32" t="s">
        <v>66</v>
      </c>
      <c r="AR32">
        <v>88642</v>
      </c>
      <c r="AU32" t="s">
        <v>57</v>
      </c>
      <c r="AV32" t="s">
        <v>68</v>
      </c>
      <c r="AX32" t="s">
        <v>57</v>
      </c>
      <c r="AY32">
        <v>631110</v>
      </c>
      <c r="AZ32">
        <v>1205.63111</v>
      </c>
      <c r="BA32" s="23" t="s">
        <v>13</v>
      </c>
    </row>
    <row r="33" spans="1:53" x14ac:dyDescent="0.25">
      <c r="A33" t="s">
        <v>134</v>
      </c>
      <c r="B33" t="s">
        <v>135</v>
      </c>
      <c r="C33">
        <v>22002295</v>
      </c>
      <c r="D33">
        <v>1205</v>
      </c>
      <c r="E33" s="11">
        <v>44777</v>
      </c>
      <c r="F33" t="s">
        <v>179</v>
      </c>
      <c r="G33" s="25">
        <v>0.08</v>
      </c>
      <c r="H33">
        <v>0.08</v>
      </c>
      <c r="I33" t="s">
        <v>56</v>
      </c>
      <c r="O33" t="s">
        <v>57</v>
      </c>
      <c r="Q33" t="s">
        <v>57</v>
      </c>
      <c r="R33" t="s">
        <v>137</v>
      </c>
      <c r="T33" t="s">
        <v>59</v>
      </c>
      <c r="U33" t="s">
        <v>60</v>
      </c>
      <c r="V33" t="s">
        <v>138</v>
      </c>
      <c r="W33" t="s">
        <v>139</v>
      </c>
      <c r="X33">
        <v>1927636</v>
      </c>
      <c r="Y33" s="11">
        <v>44777</v>
      </c>
      <c r="Z33" t="s">
        <v>57</v>
      </c>
      <c r="AA33">
        <v>20</v>
      </c>
      <c r="AB33" t="s">
        <v>57</v>
      </c>
      <c r="AD33" t="s">
        <v>57</v>
      </c>
      <c r="AE33" t="s">
        <v>57</v>
      </c>
      <c r="AF33" t="s">
        <v>57</v>
      </c>
      <c r="AG33">
        <v>1</v>
      </c>
      <c r="AH33" t="s">
        <v>57</v>
      </c>
      <c r="AL33" t="s">
        <v>57</v>
      </c>
      <c r="AM33" s="11">
        <v>44777</v>
      </c>
      <c r="AN33" t="s">
        <v>180</v>
      </c>
      <c r="AO33" t="s">
        <v>65</v>
      </c>
      <c r="AP33">
        <v>1205</v>
      </c>
      <c r="AQ33" t="s">
        <v>66</v>
      </c>
      <c r="AR33">
        <v>267129</v>
      </c>
      <c r="AU33" t="s">
        <v>57</v>
      </c>
      <c r="AV33" t="s">
        <v>68</v>
      </c>
      <c r="AX33" t="s">
        <v>57</v>
      </c>
      <c r="AY33">
        <v>631110</v>
      </c>
      <c r="AZ33">
        <v>1205.63111</v>
      </c>
      <c r="BA33" s="23" t="s">
        <v>13</v>
      </c>
    </row>
    <row r="34" spans="1:53" x14ac:dyDescent="0.25">
      <c r="A34" t="s">
        <v>134</v>
      </c>
      <c r="B34" t="s">
        <v>135</v>
      </c>
      <c r="C34">
        <v>22002318</v>
      </c>
      <c r="D34">
        <v>1205</v>
      </c>
      <c r="E34" s="11">
        <v>44782</v>
      </c>
      <c r="F34" t="s">
        <v>179</v>
      </c>
      <c r="G34" s="25">
        <v>0.08</v>
      </c>
      <c r="H34">
        <v>0.08</v>
      </c>
      <c r="I34" t="s">
        <v>56</v>
      </c>
      <c r="O34" t="s">
        <v>57</v>
      </c>
      <c r="Q34" t="s">
        <v>57</v>
      </c>
      <c r="R34" t="s">
        <v>137</v>
      </c>
      <c r="T34" t="s">
        <v>59</v>
      </c>
      <c r="U34" t="s">
        <v>60</v>
      </c>
      <c r="V34" t="s">
        <v>138</v>
      </c>
      <c r="W34" t="s">
        <v>139</v>
      </c>
      <c r="X34">
        <v>1929852</v>
      </c>
      <c r="Y34" s="11">
        <v>44782</v>
      </c>
      <c r="Z34" t="s">
        <v>57</v>
      </c>
      <c r="AA34">
        <v>24</v>
      </c>
      <c r="AB34" t="s">
        <v>57</v>
      </c>
      <c r="AD34" t="s">
        <v>57</v>
      </c>
      <c r="AE34" t="s">
        <v>57</v>
      </c>
      <c r="AF34" t="s">
        <v>57</v>
      </c>
      <c r="AG34">
        <v>1</v>
      </c>
      <c r="AH34" t="s">
        <v>57</v>
      </c>
      <c r="AL34" t="s">
        <v>57</v>
      </c>
      <c r="AM34" s="11">
        <v>44782</v>
      </c>
      <c r="AN34" t="s">
        <v>180</v>
      </c>
      <c r="AO34" t="s">
        <v>65</v>
      </c>
      <c r="AP34">
        <v>1205</v>
      </c>
      <c r="AQ34" t="s">
        <v>66</v>
      </c>
      <c r="AR34">
        <v>265517</v>
      </c>
      <c r="AU34" t="s">
        <v>57</v>
      </c>
      <c r="AV34" t="s">
        <v>68</v>
      </c>
      <c r="AX34" t="s">
        <v>57</v>
      </c>
      <c r="AY34">
        <v>631110</v>
      </c>
      <c r="AZ34">
        <v>1205.63111</v>
      </c>
      <c r="BA34" s="23" t="s">
        <v>13</v>
      </c>
    </row>
    <row r="35" spans="1:53" x14ac:dyDescent="0.25">
      <c r="A35" t="s">
        <v>134</v>
      </c>
      <c r="B35" t="s">
        <v>135</v>
      </c>
      <c r="C35">
        <v>22002318</v>
      </c>
      <c r="D35">
        <v>1205</v>
      </c>
      <c r="E35" s="11">
        <v>44782</v>
      </c>
      <c r="F35" t="s">
        <v>179</v>
      </c>
      <c r="G35" s="25">
        <v>0.08</v>
      </c>
      <c r="H35">
        <v>0.08</v>
      </c>
      <c r="I35" t="s">
        <v>56</v>
      </c>
      <c r="O35" t="s">
        <v>57</v>
      </c>
      <c r="Q35" t="s">
        <v>57</v>
      </c>
      <c r="R35" t="s">
        <v>137</v>
      </c>
      <c r="T35" t="s">
        <v>59</v>
      </c>
      <c r="U35" t="s">
        <v>60</v>
      </c>
      <c r="V35" t="s">
        <v>138</v>
      </c>
      <c r="W35" t="s">
        <v>139</v>
      </c>
      <c r="X35">
        <v>1929852</v>
      </c>
      <c r="Y35" s="11">
        <v>44782</v>
      </c>
      <c r="Z35" t="s">
        <v>57</v>
      </c>
      <c r="AA35">
        <v>26</v>
      </c>
      <c r="AB35" t="s">
        <v>57</v>
      </c>
      <c r="AD35" t="s">
        <v>57</v>
      </c>
      <c r="AE35" t="s">
        <v>57</v>
      </c>
      <c r="AF35" t="s">
        <v>57</v>
      </c>
      <c r="AG35">
        <v>1</v>
      </c>
      <c r="AH35" t="s">
        <v>57</v>
      </c>
      <c r="AL35" t="s">
        <v>57</v>
      </c>
      <c r="AM35" s="11">
        <v>44782</v>
      </c>
      <c r="AN35" t="s">
        <v>180</v>
      </c>
      <c r="AO35" t="s">
        <v>65</v>
      </c>
      <c r="AP35">
        <v>1205</v>
      </c>
      <c r="AQ35" t="s">
        <v>66</v>
      </c>
      <c r="AR35">
        <v>267129</v>
      </c>
      <c r="AU35" t="s">
        <v>57</v>
      </c>
      <c r="AV35" t="s">
        <v>68</v>
      </c>
      <c r="AX35" t="s">
        <v>57</v>
      </c>
      <c r="AY35">
        <v>631110</v>
      </c>
      <c r="AZ35">
        <v>1205.63111</v>
      </c>
      <c r="BA35" s="23" t="s">
        <v>13</v>
      </c>
    </row>
    <row r="36" spans="1:53" x14ac:dyDescent="0.25">
      <c r="A36" t="s">
        <v>134</v>
      </c>
      <c r="B36" t="s">
        <v>135</v>
      </c>
      <c r="C36">
        <v>22002325</v>
      </c>
      <c r="D36">
        <v>1205</v>
      </c>
      <c r="E36" s="11">
        <v>44783</v>
      </c>
      <c r="F36" t="s">
        <v>179</v>
      </c>
      <c r="G36" s="25">
        <v>0.08</v>
      </c>
      <c r="H36">
        <v>0.08</v>
      </c>
      <c r="I36" t="s">
        <v>56</v>
      </c>
      <c r="O36" t="s">
        <v>57</v>
      </c>
      <c r="Q36" t="s">
        <v>57</v>
      </c>
      <c r="R36" t="s">
        <v>137</v>
      </c>
      <c r="T36" t="s">
        <v>59</v>
      </c>
      <c r="U36" t="s">
        <v>60</v>
      </c>
      <c r="V36" t="s">
        <v>138</v>
      </c>
      <c r="W36" t="s">
        <v>139</v>
      </c>
      <c r="X36">
        <v>1930357</v>
      </c>
      <c r="Y36" s="11">
        <v>44783</v>
      </c>
      <c r="Z36" t="s">
        <v>57</v>
      </c>
      <c r="AA36">
        <v>8</v>
      </c>
      <c r="AB36" t="s">
        <v>57</v>
      </c>
      <c r="AD36" t="s">
        <v>57</v>
      </c>
      <c r="AE36" t="s">
        <v>57</v>
      </c>
      <c r="AF36" t="s">
        <v>57</v>
      </c>
      <c r="AG36">
        <v>1</v>
      </c>
      <c r="AH36" t="s">
        <v>57</v>
      </c>
      <c r="AL36" t="s">
        <v>57</v>
      </c>
      <c r="AM36" s="11">
        <v>44783</v>
      </c>
      <c r="AN36" t="s">
        <v>180</v>
      </c>
      <c r="AO36" t="s">
        <v>65</v>
      </c>
      <c r="AP36">
        <v>1205</v>
      </c>
      <c r="AQ36" t="s">
        <v>66</v>
      </c>
      <c r="AR36">
        <v>265878</v>
      </c>
      <c r="AU36" t="s">
        <v>57</v>
      </c>
      <c r="AV36" t="s">
        <v>68</v>
      </c>
      <c r="AX36" t="s">
        <v>57</v>
      </c>
      <c r="AY36">
        <v>631110</v>
      </c>
      <c r="AZ36">
        <v>1205.63111</v>
      </c>
      <c r="BA36" s="23" t="s">
        <v>13</v>
      </c>
    </row>
    <row r="37" spans="1:53" x14ac:dyDescent="0.25">
      <c r="A37" t="s">
        <v>134</v>
      </c>
      <c r="B37" t="s">
        <v>135</v>
      </c>
      <c r="C37">
        <v>22002360</v>
      </c>
      <c r="D37">
        <v>1205</v>
      </c>
      <c r="E37" s="11">
        <v>44789</v>
      </c>
      <c r="F37" t="s">
        <v>307</v>
      </c>
      <c r="G37" s="25">
        <v>0.08</v>
      </c>
      <c r="H37">
        <v>0.08</v>
      </c>
      <c r="I37" t="s">
        <v>56</v>
      </c>
      <c r="O37" t="s">
        <v>57</v>
      </c>
      <c r="Q37" t="s">
        <v>57</v>
      </c>
      <c r="R37" t="s">
        <v>137</v>
      </c>
      <c r="T37" t="s">
        <v>59</v>
      </c>
      <c r="U37" t="s">
        <v>60</v>
      </c>
      <c r="V37" t="s">
        <v>138</v>
      </c>
      <c r="W37" t="s">
        <v>139</v>
      </c>
      <c r="X37">
        <v>1933172</v>
      </c>
      <c r="Y37" s="11">
        <v>44789</v>
      </c>
      <c r="Z37" t="s">
        <v>57</v>
      </c>
      <c r="AA37">
        <v>12</v>
      </c>
      <c r="AB37" t="s">
        <v>57</v>
      </c>
      <c r="AD37" t="s">
        <v>57</v>
      </c>
      <c r="AE37" t="s">
        <v>57</v>
      </c>
      <c r="AF37" t="s">
        <v>57</v>
      </c>
      <c r="AG37">
        <v>1</v>
      </c>
      <c r="AH37" t="s">
        <v>57</v>
      </c>
      <c r="AL37" t="s">
        <v>57</v>
      </c>
      <c r="AM37" s="11">
        <v>44789</v>
      </c>
      <c r="AN37" t="s">
        <v>180</v>
      </c>
      <c r="AO37" t="s">
        <v>65</v>
      </c>
      <c r="AP37">
        <v>1205</v>
      </c>
      <c r="AQ37" t="s">
        <v>66</v>
      </c>
      <c r="AR37">
        <v>271795</v>
      </c>
      <c r="AU37" t="s">
        <v>57</v>
      </c>
      <c r="AV37" t="s">
        <v>68</v>
      </c>
      <c r="AX37" t="s">
        <v>57</v>
      </c>
      <c r="AY37">
        <v>631110</v>
      </c>
      <c r="AZ37">
        <v>1205.63111</v>
      </c>
      <c r="BA37" s="23" t="s">
        <v>13</v>
      </c>
    </row>
    <row r="38" spans="1:53" x14ac:dyDescent="0.25">
      <c r="A38" t="s">
        <v>134</v>
      </c>
      <c r="B38" t="s">
        <v>135</v>
      </c>
      <c r="C38">
        <v>22002372</v>
      </c>
      <c r="D38">
        <v>1205</v>
      </c>
      <c r="E38" s="11">
        <v>44791</v>
      </c>
      <c r="F38" t="s">
        <v>179</v>
      </c>
      <c r="G38" s="25">
        <v>0.08</v>
      </c>
      <c r="H38">
        <v>0.08</v>
      </c>
      <c r="I38" t="s">
        <v>56</v>
      </c>
      <c r="O38" t="s">
        <v>57</v>
      </c>
      <c r="Q38" t="s">
        <v>57</v>
      </c>
      <c r="R38" t="s">
        <v>137</v>
      </c>
      <c r="T38" t="s">
        <v>59</v>
      </c>
      <c r="U38" t="s">
        <v>60</v>
      </c>
      <c r="V38" t="s">
        <v>138</v>
      </c>
      <c r="W38" t="s">
        <v>139</v>
      </c>
      <c r="X38">
        <v>1933543</v>
      </c>
      <c r="Y38" s="11">
        <v>44791</v>
      </c>
      <c r="Z38" t="s">
        <v>57</v>
      </c>
      <c r="AA38">
        <v>20</v>
      </c>
      <c r="AB38" t="s">
        <v>57</v>
      </c>
      <c r="AD38" t="s">
        <v>57</v>
      </c>
      <c r="AE38" t="s">
        <v>57</v>
      </c>
      <c r="AF38" t="s">
        <v>57</v>
      </c>
      <c r="AG38">
        <v>1</v>
      </c>
      <c r="AH38" t="s">
        <v>57</v>
      </c>
      <c r="AL38" t="s">
        <v>57</v>
      </c>
      <c r="AM38" s="11">
        <v>44791</v>
      </c>
      <c r="AN38" t="s">
        <v>180</v>
      </c>
      <c r="AO38" t="s">
        <v>65</v>
      </c>
      <c r="AP38">
        <v>1205</v>
      </c>
      <c r="AQ38" t="s">
        <v>66</v>
      </c>
      <c r="AR38">
        <v>88642</v>
      </c>
      <c r="AU38" t="s">
        <v>57</v>
      </c>
      <c r="AV38" t="s">
        <v>68</v>
      </c>
      <c r="AX38" t="s">
        <v>57</v>
      </c>
      <c r="AY38">
        <v>631110</v>
      </c>
      <c r="AZ38">
        <v>1205.63111</v>
      </c>
      <c r="BA38" s="23" t="s">
        <v>13</v>
      </c>
    </row>
    <row r="39" spans="1:53" x14ac:dyDescent="0.25">
      <c r="A39" t="s">
        <v>134</v>
      </c>
      <c r="B39" t="s">
        <v>135</v>
      </c>
      <c r="C39">
        <v>22002338</v>
      </c>
      <c r="D39">
        <v>1205</v>
      </c>
      <c r="E39" s="11">
        <v>44784</v>
      </c>
      <c r="F39" t="s">
        <v>174</v>
      </c>
      <c r="G39" s="25">
        <v>0.1</v>
      </c>
      <c r="H39">
        <v>0.1</v>
      </c>
      <c r="I39" t="s">
        <v>56</v>
      </c>
      <c r="O39" t="s">
        <v>57</v>
      </c>
      <c r="Q39" t="s">
        <v>57</v>
      </c>
      <c r="R39" t="s">
        <v>137</v>
      </c>
      <c r="T39" t="s">
        <v>59</v>
      </c>
      <c r="U39" t="s">
        <v>60</v>
      </c>
      <c r="V39" t="s">
        <v>138</v>
      </c>
      <c r="W39" t="s">
        <v>139</v>
      </c>
      <c r="X39">
        <v>1930521</v>
      </c>
      <c r="Y39" s="11">
        <v>44784</v>
      </c>
      <c r="Z39" t="s">
        <v>57</v>
      </c>
      <c r="AA39">
        <v>8</v>
      </c>
      <c r="AB39" t="s">
        <v>57</v>
      </c>
      <c r="AD39" t="s">
        <v>57</v>
      </c>
      <c r="AE39" t="s">
        <v>57</v>
      </c>
      <c r="AF39" t="s">
        <v>57</v>
      </c>
      <c r="AG39">
        <v>2</v>
      </c>
      <c r="AH39" t="s">
        <v>57</v>
      </c>
      <c r="AL39" t="s">
        <v>57</v>
      </c>
      <c r="AM39" s="11">
        <v>44784</v>
      </c>
      <c r="AN39" t="s">
        <v>178</v>
      </c>
      <c r="AO39" t="s">
        <v>65</v>
      </c>
      <c r="AP39">
        <v>1205</v>
      </c>
      <c r="AQ39" t="s">
        <v>66</v>
      </c>
      <c r="AR39">
        <v>88523</v>
      </c>
      <c r="AU39" t="s">
        <v>57</v>
      </c>
      <c r="AV39" t="s">
        <v>68</v>
      </c>
      <c r="AX39" t="s">
        <v>57</v>
      </c>
      <c r="AY39">
        <v>631110</v>
      </c>
      <c r="AZ39">
        <v>1205.63111</v>
      </c>
      <c r="BA39" s="23" t="s">
        <v>13</v>
      </c>
    </row>
    <row r="40" spans="1:53" x14ac:dyDescent="0.25">
      <c r="A40" t="s">
        <v>134</v>
      </c>
      <c r="B40" t="s">
        <v>135</v>
      </c>
      <c r="C40">
        <v>22002316</v>
      </c>
      <c r="D40">
        <v>1205</v>
      </c>
      <c r="E40" s="11">
        <v>44782</v>
      </c>
      <c r="F40" t="s">
        <v>174</v>
      </c>
      <c r="G40" s="25">
        <v>0.11</v>
      </c>
      <c r="H40">
        <v>0.11</v>
      </c>
      <c r="I40" t="s">
        <v>56</v>
      </c>
      <c r="O40" t="s">
        <v>57</v>
      </c>
      <c r="Q40" t="s">
        <v>57</v>
      </c>
      <c r="R40" t="s">
        <v>137</v>
      </c>
      <c r="T40" t="s">
        <v>59</v>
      </c>
      <c r="U40" t="s">
        <v>60</v>
      </c>
      <c r="V40" t="s">
        <v>138</v>
      </c>
      <c r="W40" t="s">
        <v>139</v>
      </c>
      <c r="X40">
        <v>1929847</v>
      </c>
      <c r="Y40" s="11">
        <v>44782</v>
      </c>
      <c r="Z40" t="s">
        <v>57</v>
      </c>
      <c r="AA40">
        <v>4</v>
      </c>
      <c r="AB40" t="s">
        <v>57</v>
      </c>
      <c r="AD40" t="s">
        <v>57</v>
      </c>
      <c r="AE40" t="s">
        <v>57</v>
      </c>
      <c r="AF40" t="s">
        <v>57</v>
      </c>
      <c r="AG40">
        <v>1</v>
      </c>
      <c r="AH40" t="s">
        <v>57</v>
      </c>
      <c r="AL40" t="s">
        <v>57</v>
      </c>
      <c r="AM40" s="11">
        <v>44782</v>
      </c>
      <c r="AN40" t="s">
        <v>178</v>
      </c>
      <c r="AO40" t="s">
        <v>65</v>
      </c>
      <c r="AP40">
        <v>1205</v>
      </c>
      <c r="AQ40" t="s">
        <v>66</v>
      </c>
      <c r="AR40">
        <v>88803</v>
      </c>
      <c r="AU40" t="s">
        <v>57</v>
      </c>
      <c r="AV40" t="s">
        <v>68</v>
      </c>
      <c r="AX40" t="s">
        <v>57</v>
      </c>
      <c r="AY40">
        <v>631110</v>
      </c>
      <c r="AZ40">
        <v>1205.63111</v>
      </c>
      <c r="BA40" s="23" t="s">
        <v>13</v>
      </c>
    </row>
    <row r="41" spans="1:53" x14ac:dyDescent="0.25">
      <c r="A41" t="s">
        <v>134</v>
      </c>
      <c r="B41" t="s">
        <v>135</v>
      </c>
      <c r="C41">
        <v>22002265</v>
      </c>
      <c r="D41">
        <v>1205</v>
      </c>
      <c r="E41" s="11">
        <v>44775</v>
      </c>
      <c r="F41" t="s">
        <v>174</v>
      </c>
      <c r="G41" s="25">
        <v>0.12</v>
      </c>
      <c r="H41">
        <v>0.12</v>
      </c>
      <c r="I41" t="s">
        <v>56</v>
      </c>
      <c r="O41" t="s">
        <v>57</v>
      </c>
      <c r="Q41" t="s">
        <v>57</v>
      </c>
      <c r="R41" t="s">
        <v>137</v>
      </c>
      <c r="T41" t="s">
        <v>59</v>
      </c>
      <c r="U41" t="s">
        <v>60</v>
      </c>
      <c r="V41" t="s">
        <v>138</v>
      </c>
      <c r="W41" t="s">
        <v>139</v>
      </c>
      <c r="X41">
        <v>1926568</v>
      </c>
      <c r="Y41" s="11">
        <v>44775</v>
      </c>
      <c r="Z41" t="s">
        <v>57</v>
      </c>
      <c r="AA41">
        <v>2</v>
      </c>
      <c r="AB41" t="s">
        <v>57</v>
      </c>
      <c r="AD41" t="s">
        <v>57</v>
      </c>
      <c r="AE41" t="s">
        <v>57</v>
      </c>
      <c r="AF41" t="s">
        <v>57</v>
      </c>
      <c r="AG41">
        <v>1</v>
      </c>
      <c r="AH41" t="s">
        <v>57</v>
      </c>
      <c r="AL41" t="s">
        <v>57</v>
      </c>
      <c r="AM41" s="11">
        <v>44775</v>
      </c>
      <c r="AN41" t="s">
        <v>178</v>
      </c>
      <c r="AO41" t="s">
        <v>65</v>
      </c>
      <c r="AP41">
        <v>1205</v>
      </c>
      <c r="AQ41" t="s">
        <v>66</v>
      </c>
      <c r="AR41">
        <v>226150</v>
      </c>
      <c r="AU41" t="s">
        <v>57</v>
      </c>
      <c r="AV41" t="s">
        <v>68</v>
      </c>
      <c r="AX41" t="s">
        <v>57</v>
      </c>
      <c r="AY41">
        <v>631110</v>
      </c>
      <c r="AZ41">
        <v>1205.63111</v>
      </c>
      <c r="BA41" s="23" t="s">
        <v>13</v>
      </c>
    </row>
    <row r="42" spans="1:53" x14ac:dyDescent="0.25">
      <c r="A42" t="s">
        <v>134</v>
      </c>
      <c r="B42" t="s">
        <v>135</v>
      </c>
      <c r="C42">
        <v>22002295</v>
      </c>
      <c r="D42">
        <v>1205</v>
      </c>
      <c r="E42" s="11">
        <v>44777</v>
      </c>
      <c r="F42" t="s">
        <v>179</v>
      </c>
      <c r="G42" s="25">
        <v>0.12</v>
      </c>
      <c r="H42">
        <v>0.12</v>
      </c>
      <c r="I42" t="s">
        <v>56</v>
      </c>
      <c r="O42" t="s">
        <v>57</v>
      </c>
      <c r="Q42" t="s">
        <v>57</v>
      </c>
      <c r="R42" t="s">
        <v>137</v>
      </c>
      <c r="T42" t="s">
        <v>59</v>
      </c>
      <c r="U42" t="s">
        <v>60</v>
      </c>
      <c r="V42" t="s">
        <v>138</v>
      </c>
      <c r="W42" t="s">
        <v>139</v>
      </c>
      <c r="X42">
        <v>1927636</v>
      </c>
      <c r="Y42" s="11">
        <v>44777</v>
      </c>
      <c r="Z42" t="s">
        <v>57</v>
      </c>
      <c r="AA42">
        <v>18</v>
      </c>
      <c r="AB42" t="s">
        <v>57</v>
      </c>
      <c r="AD42" t="s">
        <v>57</v>
      </c>
      <c r="AE42" t="s">
        <v>57</v>
      </c>
      <c r="AF42" t="s">
        <v>57</v>
      </c>
      <c r="AG42">
        <v>1</v>
      </c>
      <c r="AH42" t="s">
        <v>57</v>
      </c>
      <c r="AL42" t="s">
        <v>57</v>
      </c>
      <c r="AM42" s="11">
        <v>44777</v>
      </c>
      <c r="AN42" t="s">
        <v>180</v>
      </c>
      <c r="AO42" t="s">
        <v>65</v>
      </c>
      <c r="AP42">
        <v>1205</v>
      </c>
      <c r="AQ42" t="s">
        <v>66</v>
      </c>
      <c r="AR42">
        <v>267735</v>
      </c>
      <c r="AU42" t="s">
        <v>57</v>
      </c>
      <c r="AV42" t="s">
        <v>68</v>
      </c>
      <c r="AX42" t="s">
        <v>57</v>
      </c>
      <c r="AY42">
        <v>631110</v>
      </c>
      <c r="AZ42">
        <v>1205.63111</v>
      </c>
      <c r="BA42" s="23" t="s">
        <v>13</v>
      </c>
    </row>
    <row r="43" spans="1:53" x14ac:dyDescent="0.25">
      <c r="A43" t="s">
        <v>134</v>
      </c>
      <c r="B43" t="s">
        <v>135</v>
      </c>
      <c r="C43">
        <v>22002307</v>
      </c>
      <c r="D43">
        <v>1205</v>
      </c>
      <c r="E43" s="11">
        <v>44778</v>
      </c>
      <c r="F43" t="s">
        <v>179</v>
      </c>
      <c r="G43" s="25">
        <v>0.12</v>
      </c>
      <c r="H43">
        <v>0.12</v>
      </c>
      <c r="I43" t="s">
        <v>56</v>
      </c>
      <c r="O43" t="s">
        <v>57</v>
      </c>
      <c r="Q43" t="s">
        <v>57</v>
      </c>
      <c r="R43" t="s">
        <v>137</v>
      </c>
      <c r="T43" t="s">
        <v>59</v>
      </c>
      <c r="U43" t="s">
        <v>60</v>
      </c>
      <c r="V43" t="s">
        <v>138</v>
      </c>
      <c r="W43" t="s">
        <v>139</v>
      </c>
      <c r="X43">
        <v>1928768</v>
      </c>
      <c r="Y43" s="11">
        <v>44778</v>
      </c>
      <c r="Z43" t="s">
        <v>57</v>
      </c>
      <c r="AA43">
        <v>16</v>
      </c>
      <c r="AB43" t="s">
        <v>57</v>
      </c>
      <c r="AD43" t="s">
        <v>57</v>
      </c>
      <c r="AE43" t="s">
        <v>57</v>
      </c>
      <c r="AF43" t="s">
        <v>57</v>
      </c>
      <c r="AG43">
        <v>1</v>
      </c>
      <c r="AH43" t="s">
        <v>57</v>
      </c>
      <c r="AL43" t="s">
        <v>57</v>
      </c>
      <c r="AM43" s="11">
        <v>44778</v>
      </c>
      <c r="AN43" t="s">
        <v>180</v>
      </c>
      <c r="AO43" t="s">
        <v>65</v>
      </c>
      <c r="AP43">
        <v>1205</v>
      </c>
      <c r="AQ43" t="s">
        <v>66</v>
      </c>
      <c r="AR43">
        <v>265217</v>
      </c>
      <c r="AU43" t="s">
        <v>57</v>
      </c>
      <c r="AV43" t="s">
        <v>68</v>
      </c>
      <c r="AX43" t="s">
        <v>57</v>
      </c>
      <c r="AY43">
        <v>631110</v>
      </c>
      <c r="AZ43">
        <v>1205.63111</v>
      </c>
      <c r="BA43" s="23" t="s">
        <v>13</v>
      </c>
    </row>
    <row r="44" spans="1:53" x14ac:dyDescent="0.25">
      <c r="A44" t="s">
        <v>134</v>
      </c>
      <c r="B44" t="s">
        <v>135</v>
      </c>
      <c r="C44">
        <v>22002316</v>
      </c>
      <c r="D44">
        <v>1205</v>
      </c>
      <c r="E44" s="11">
        <v>44782</v>
      </c>
      <c r="F44" t="s">
        <v>174</v>
      </c>
      <c r="G44" s="25">
        <v>0.12</v>
      </c>
      <c r="H44">
        <v>0.12</v>
      </c>
      <c r="I44" t="s">
        <v>56</v>
      </c>
      <c r="O44" t="s">
        <v>57</v>
      </c>
      <c r="Q44" t="s">
        <v>57</v>
      </c>
      <c r="R44" t="s">
        <v>137</v>
      </c>
      <c r="T44" t="s">
        <v>59</v>
      </c>
      <c r="U44" t="s">
        <v>60</v>
      </c>
      <c r="V44" t="s">
        <v>138</v>
      </c>
      <c r="W44" t="s">
        <v>139</v>
      </c>
      <c r="X44">
        <v>1929847</v>
      </c>
      <c r="Y44" s="11">
        <v>44782</v>
      </c>
      <c r="Z44" t="s">
        <v>57</v>
      </c>
      <c r="AA44">
        <v>42</v>
      </c>
      <c r="AB44" t="s">
        <v>57</v>
      </c>
      <c r="AD44" t="s">
        <v>57</v>
      </c>
      <c r="AE44" t="s">
        <v>57</v>
      </c>
      <c r="AF44" t="s">
        <v>57</v>
      </c>
      <c r="AG44">
        <v>1</v>
      </c>
      <c r="AH44" t="s">
        <v>57</v>
      </c>
      <c r="AL44" t="s">
        <v>57</v>
      </c>
      <c r="AM44" s="11">
        <v>44782</v>
      </c>
      <c r="AN44" t="s">
        <v>178</v>
      </c>
      <c r="AO44" t="s">
        <v>65</v>
      </c>
      <c r="AP44">
        <v>1205</v>
      </c>
      <c r="AQ44" t="s">
        <v>66</v>
      </c>
      <c r="AR44">
        <v>226150</v>
      </c>
      <c r="AU44" t="s">
        <v>57</v>
      </c>
      <c r="AV44" t="s">
        <v>68</v>
      </c>
      <c r="AX44" t="s">
        <v>57</v>
      </c>
      <c r="AY44">
        <v>631110</v>
      </c>
      <c r="AZ44">
        <v>1205.63111</v>
      </c>
      <c r="BA44" s="23" t="s">
        <v>13</v>
      </c>
    </row>
    <row r="45" spans="1:53" x14ac:dyDescent="0.25">
      <c r="A45" t="s">
        <v>134</v>
      </c>
      <c r="B45" t="s">
        <v>135</v>
      </c>
      <c r="C45">
        <v>22002307</v>
      </c>
      <c r="D45">
        <v>1205</v>
      </c>
      <c r="E45" s="11">
        <v>44778</v>
      </c>
      <c r="F45" t="s">
        <v>179</v>
      </c>
      <c r="G45" s="25">
        <v>0.13</v>
      </c>
      <c r="H45">
        <v>0.13</v>
      </c>
      <c r="I45" t="s">
        <v>56</v>
      </c>
      <c r="O45" t="s">
        <v>57</v>
      </c>
      <c r="Q45" t="s">
        <v>57</v>
      </c>
      <c r="R45" t="s">
        <v>137</v>
      </c>
      <c r="T45" t="s">
        <v>59</v>
      </c>
      <c r="U45" t="s">
        <v>60</v>
      </c>
      <c r="V45" t="s">
        <v>138</v>
      </c>
      <c r="W45" t="s">
        <v>139</v>
      </c>
      <c r="X45">
        <v>1928768</v>
      </c>
      <c r="Y45" s="11">
        <v>44778</v>
      </c>
      <c r="Z45" t="s">
        <v>57</v>
      </c>
      <c r="AA45">
        <v>12</v>
      </c>
      <c r="AB45" t="s">
        <v>57</v>
      </c>
      <c r="AD45" t="s">
        <v>57</v>
      </c>
      <c r="AE45" t="s">
        <v>57</v>
      </c>
      <c r="AF45" t="s">
        <v>57</v>
      </c>
      <c r="AG45">
        <v>1</v>
      </c>
      <c r="AH45" t="s">
        <v>57</v>
      </c>
      <c r="AL45" t="s">
        <v>57</v>
      </c>
      <c r="AM45" s="11">
        <v>44778</v>
      </c>
      <c r="AN45" t="s">
        <v>180</v>
      </c>
      <c r="AO45" t="s">
        <v>65</v>
      </c>
      <c r="AP45">
        <v>1205</v>
      </c>
      <c r="AQ45" t="s">
        <v>66</v>
      </c>
      <c r="AR45">
        <v>265216</v>
      </c>
      <c r="AU45" t="s">
        <v>57</v>
      </c>
      <c r="AV45" t="s">
        <v>68</v>
      </c>
      <c r="AX45" t="s">
        <v>57</v>
      </c>
      <c r="AY45">
        <v>631110</v>
      </c>
      <c r="AZ45">
        <v>1205.63111</v>
      </c>
      <c r="BA45" s="23" t="s">
        <v>13</v>
      </c>
    </row>
    <row r="46" spans="1:53" x14ac:dyDescent="0.25">
      <c r="A46" t="s">
        <v>134</v>
      </c>
      <c r="B46" t="s">
        <v>135</v>
      </c>
      <c r="C46">
        <v>22002323</v>
      </c>
      <c r="D46">
        <v>1205</v>
      </c>
      <c r="E46" s="11">
        <v>44783</v>
      </c>
      <c r="F46" t="s">
        <v>174</v>
      </c>
      <c r="G46" s="25">
        <v>0.13</v>
      </c>
      <c r="H46">
        <v>0.13</v>
      </c>
      <c r="I46" t="s">
        <v>56</v>
      </c>
      <c r="O46" t="s">
        <v>57</v>
      </c>
      <c r="Q46" t="s">
        <v>57</v>
      </c>
      <c r="R46" t="s">
        <v>137</v>
      </c>
      <c r="T46" t="s">
        <v>59</v>
      </c>
      <c r="U46" t="s">
        <v>60</v>
      </c>
      <c r="V46" t="s">
        <v>138</v>
      </c>
      <c r="W46" t="s">
        <v>139</v>
      </c>
      <c r="X46">
        <v>1930356</v>
      </c>
      <c r="Y46" s="11">
        <v>44783</v>
      </c>
      <c r="Z46" t="s">
        <v>57</v>
      </c>
      <c r="AA46">
        <v>22</v>
      </c>
      <c r="AB46" t="s">
        <v>57</v>
      </c>
      <c r="AD46" t="s">
        <v>57</v>
      </c>
      <c r="AE46" t="s">
        <v>57</v>
      </c>
      <c r="AF46" t="s">
        <v>57</v>
      </c>
      <c r="AG46">
        <v>2</v>
      </c>
      <c r="AH46" t="s">
        <v>57</v>
      </c>
      <c r="AL46" t="s">
        <v>57</v>
      </c>
      <c r="AM46" s="11">
        <v>44783</v>
      </c>
      <c r="AN46" t="s">
        <v>178</v>
      </c>
      <c r="AO46" t="s">
        <v>65</v>
      </c>
      <c r="AP46">
        <v>1205</v>
      </c>
      <c r="AQ46" t="s">
        <v>66</v>
      </c>
      <c r="AR46">
        <v>88799</v>
      </c>
      <c r="AU46" t="s">
        <v>57</v>
      </c>
      <c r="AV46" t="s">
        <v>68</v>
      </c>
      <c r="AX46" t="s">
        <v>57</v>
      </c>
      <c r="AY46">
        <v>631110</v>
      </c>
      <c r="AZ46">
        <v>1205.63111</v>
      </c>
      <c r="BA46" s="23" t="s">
        <v>13</v>
      </c>
    </row>
    <row r="47" spans="1:53" x14ac:dyDescent="0.25">
      <c r="A47" t="s">
        <v>134</v>
      </c>
      <c r="B47" t="s">
        <v>135</v>
      </c>
      <c r="C47">
        <v>22002372</v>
      </c>
      <c r="D47">
        <v>1205</v>
      </c>
      <c r="E47" s="11">
        <v>44791</v>
      </c>
      <c r="F47" t="s">
        <v>179</v>
      </c>
      <c r="G47" s="25">
        <v>0.13</v>
      </c>
      <c r="H47">
        <v>0.13</v>
      </c>
      <c r="I47" t="s">
        <v>56</v>
      </c>
      <c r="O47" t="s">
        <v>57</v>
      </c>
      <c r="Q47" t="s">
        <v>57</v>
      </c>
      <c r="R47" t="s">
        <v>137</v>
      </c>
      <c r="T47" t="s">
        <v>59</v>
      </c>
      <c r="U47" t="s">
        <v>60</v>
      </c>
      <c r="V47" t="s">
        <v>138</v>
      </c>
      <c r="W47" t="s">
        <v>139</v>
      </c>
      <c r="X47">
        <v>1933543</v>
      </c>
      <c r="Y47" s="11">
        <v>44791</v>
      </c>
      <c r="Z47" t="s">
        <v>57</v>
      </c>
      <c r="AA47">
        <v>18</v>
      </c>
      <c r="AB47" t="s">
        <v>57</v>
      </c>
      <c r="AD47" t="s">
        <v>57</v>
      </c>
      <c r="AE47" t="s">
        <v>57</v>
      </c>
      <c r="AF47" t="s">
        <v>57</v>
      </c>
      <c r="AG47">
        <v>1</v>
      </c>
      <c r="AH47" t="s">
        <v>57</v>
      </c>
      <c r="AL47" t="s">
        <v>57</v>
      </c>
      <c r="AM47" s="11">
        <v>44791</v>
      </c>
      <c r="AN47" t="s">
        <v>180</v>
      </c>
      <c r="AO47" t="s">
        <v>65</v>
      </c>
      <c r="AP47">
        <v>1205</v>
      </c>
      <c r="AQ47" t="s">
        <v>66</v>
      </c>
      <c r="AR47">
        <v>265216</v>
      </c>
      <c r="AU47" t="s">
        <v>57</v>
      </c>
      <c r="AV47" t="s">
        <v>68</v>
      </c>
      <c r="AX47" t="s">
        <v>57</v>
      </c>
      <c r="AY47">
        <v>631110</v>
      </c>
      <c r="AZ47">
        <v>1205.63111</v>
      </c>
      <c r="BA47" s="23" t="s">
        <v>13</v>
      </c>
    </row>
    <row r="48" spans="1:53" x14ac:dyDescent="0.25">
      <c r="A48" t="s">
        <v>134</v>
      </c>
      <c r="B48" t="s">
        <v>135</v>
      </c>
      <c r="C48">
        <v>22002267</v>
      </c>
      <c r="D48">
        <v>1205</v>
      </c>
      <c r="E48" s="11">
        <v>44775</v>
      </c>
      <c r="F48" t="s">
        <v>179</v>
      </c>
      <c r="G48" s="25">
        <v>0.15</v>
      </c>
      <c r="H48">
        <v>0.15</v>
      </c>
      <c r="I48" t="s">
        <v>56</v>
      </c>
      <c r="O48" t="s">
        <v>57</v>
      </c>
      <c r="Q48" t="s">
        <v>57</v>
      </c>
      <c r="R48" t="s">
        <v>137</v>
      </c>
      <c r="T48" t="s">
        <v>59</v>
      </c>
      <c r="U48" t="s">
        <v>60</v>
      </c>
      <c r="V48" t="s">
        <v>138</v>
      </c>
      <c r="W48" t="s">
        <v>139</v>
      </c>
      <c r="X48">
        <v>1926658</v>
      </c>
      <c r="Y48" s="11">
        <v>44775</v>
      </c>
      <c r="Z48" t="s">
        <v>57</v>
      </c>
      <c r="AA48">
        <v>2</v>
      </c>
      <c r="AB48" t="s">
        <v>57</v>
      </c>
      <c r="AD48" t="s">
        <v>57</v>
      </c>
      <c r="AE48" t="s">
        <v>57</v>
      </c>
      <c r="AF48" t="s">
        <v>57</v>
      </c>
      <c r="AG48">
        <v>2</v>
      </c>
      <c r="AH48" t="s">
        <v>57</v>
      </c>
      <c r="AL48" t="s">
        <v>57</v>
      </c>
      <c r="AM48" s="11">
        <v>44775</v>
      </c>
      <c r="AN48" t="s">
        <v>180</v>
      </c>
      <c r="AO48" t="s">
        <v>65</v>
      </c>
      <c r="AP48">
        <v>1205</v>
      </c>
      <c r="AQ48" t="s">
        <v>66</v>
      </c>
      <c r="AR48">
        <v>92908</v>
      </c>
      <c r="AU48" t="s">
        <v>57</v>
      </c>
      <c r="AV48" t="s">
        <v>68</v>
      </c>
      <c r="AX48" t="s">
        <v>57</v>
      </c>
      <c r="AY48">
        <v>631110</v>
      </c>
      <c r="AZ48">
        <v>1205.63111</v>
      </c>
      <c r="BA48" s="23" t="s">
        <v>13</v>
      </c>
    </row>
    <row r="49" spans="1:53" x14ac:dyDescent="0.25">
      <c r="A49" t="s">
        <v>134</v>
      </c>
      <c r="B49" t="s">
        <v>135</v>
      </c>
      <c r="C49">
        <v>22002295</v>
      </c>
      <c r="D49">
        <v>1205</v>
      </c>
      <c r="E49" s="11">
        <v>44777</v>
      </c>
      <c r="F49" t="s">
        <v>179</v>
      </c>
      <c r="G49" s="25">
        <v>0.15</v>
      </c>
      <c r="H49">
        <v>0.15</v>
      </c>
      <c r="I49" t="s">
        <v>56</v>
      </c>
      <c r="O49" t="s">
        <v>57</v>
      </c>
      <c r="Q49" t="s">
        <v>57</v>
      </c>
      <c r="R49" t="s">
        <v>137</v>
      </c>
      <c r="T49" t="s">
        <v>59</v>
      </c>
      <c r="U49" t="s">
        <v>60</v>
      </c>
      <c r="V49" t="s">
        <v>138</v>
      </c>
      <c r="W49" t="s">
        <v>139</v>
      </c>
      <c r="X49">
        <v>1927636</v>
      </c>
      <c r="Y49" s="11">
        <v>44777</v>
      </c>
      <c r="Z49" t="s">
        <v>57</v>
      </c>
      <c r="AA49">
        <v>4</v>
      </c>
      <c r="AB49" t="s">
        <v>57</v>
      </c>
      <c r="AD49" t="s">
        <v>57</v>
      </c>
      <c r="AE49" t="s">
        <v>57</v>
      </c>
      <c r="AF49" t="s">
        <v>57</v>
      </c>
      <c r="AG49">
        <v>2</v>
      </c>
      <c r="AH49" t="s">
        <v>57</v>
      </c>
      <c r="AL49" t="s">
        <v>57</v>
      </c>
      <c r="AM49" s="11">
        <v>44777</v>
      </c>
      <c r="AN49" t="s">
        <v>180</v>
      </c>
      <c r="AO49" t="s">
        <v>65</v>
      </c>
      <c r="AP49">
        <v>1205</v>
      </c>
      <c r="AQ49" t="s">
        <v>66</v>
      </c>
      <c r="AR49">
        <v>264688</v>
      </c>
      <c r="AU49" t="s">
        <v>57</v>
      </c>
      <c r="AV49" t="s">
        <v>68</v>
      </c>
      <c r="AX49" t="s">
        <v>57</v>
      </c>
      <c r="AY49">
        <v>631110</v>
      </c>
      <c r="AZ49">
        <v>1205.63111</v>
      </c>
      <c r="BA49" s="23" t="s">
        <v>13</v>
      </c>
    </row>
    <row r="50" spans="1:53" x14ac:dyDescent="0.25">
      <c r="A50" t="s">
        <v>134</v>
      </c>
      <c r="B50" t="s">
        <v>135</v>
      </c>
      <c r="C50">
        <v>22002325</v>
      </c>
      <c r="D50">
        <v>1205</v>
      </c>
      <c r="E50" s="11">
        <v>44783</v>
      </c>
      <c r="F50" t="s">
        <v>179</v>
      </c>
      <c r="G50" s="25">
        <v>0.15</v>
      </c>
      <c r="H50">
        <v>0.15</v>
      </c>
      <c r="I50" t="s">
        <v>56</v>
      </c>
      <c r="O50" t="s">
        <v>57</v>
      </c>
      <c r="Q50" t="s">
        <v>57</v>
      </c>
      <c r="R50" t="s">
        <v>137</v>
      </c>
      <c r="T50" t="s">
        <v>59</v>
      </c>
      <c r="U50" t="s">
        <v>60</v>
      </c>
      <c r="V50" t="s">
        <v>138</v>
      </c>
      <c r="W50" t="s">
        <v>139</v>
      </c>
      <c r="X50">
        <v>1930357</v>
      </c>
      <c r="Y50" s="11">
        <v>44783</v>
      </c>
      <c r="Z50" t="s">
        <v>57</v>
      </c>
      <c r="AA50">
        <v>2</v>
      </c>
      <c r="AB50" t="s">
        <v>57</v>
      </c>
      <c r="AD50" t="s">
        <v>57</v>
      </c>
      <c r="AE50" t="s">
        <v>57</v>
      </c>
      <c r="AF50" t="s">
        <v>57</v>
      </c>
      <c r="AG50">
        <v>2</v>
      </c>
      <c r="AH50" t="s">
        <v>57</v>
      </c>
      <c r="AL50" t="s">
        <v>57</v>
      </c>
      <c r="AM50" s="11">
        <v>44783</v>
      </c>
      <c r="AN50" t="s">
        <v>180</v>
      </c>
      <c r="AO50" t="s">
        <v>65</v>
      </c>
      <c r="AP50">
        <v>1205</v>
      </c>
      <c r="AQ50" t="s">
        <v>66</v>
      </c>
      <c r="AR50">
        <v>92908</v>
      </c>
      <c r="AU50" t="s">
        <v>57</v>
      </c>
      <c r="AV50" t="s">
        <v>68</v>
      </c>
      <c r="AX50" t="s">
        <v>57</v>
      </c>
      <c r="AY50">
        <v>631110</v>
      </c>
      <c r="AZ50">
        <v>1205.63111</v>
      </c>
      <c r="BA50" s="23" t="s">
        <v>13</v>
      </c>
    </row>
    <row r="51" spans="1:53" x14ac:dyDescent="0.25">
      <c r="A51" t="s">
        <v>134</v>
      </c>
      <c r="B51" t="s">
        <v>135</v>
      </c>
      <c r="C51">
        <v>22002325</v>
      </c>
      <c r="D51">
        <v>1205</v>
      </c>
      <c r="E51" s="11">
        <v>44783</v>
      </c>
      <c r="F51" t="s">
        <v>179</v>
      </c>
      <c r="G51" s="25">
        <v>0.15</v>
      </c>
      <c r="H51">
        <v>0.15</v>
      </c>
      <c r="I51" t="s">
        <v>56</v>
      </c>
      <c r="O51" t="s">
        <v>57</v>
      </c>
      <c r="Q51" t="s">
        <v>57</v>
      </c>
      <c r="R51" t="s">
        <v>137</v>
      </c>
      <c r="T51" t="s">
        <v>59</v>
      </c>
      <c r="U51" t="s">
        <v>60</v>
      </c>
      <c r="V51" t="s">
        <v>138</v>
      </c>
      <c r="W51" t="s">
        <v>139</v>
      </c>
      <c r="X51">
        <v>1930357</v>
      </c>
      <c r="Y51" s="11">
        <v>44783</v>
      </c>
      <c r="Z51" t="s">
        <v>57</v>
      </c>
      <c r="AA51">
        <v>12</v>
      </c>
      <c r="AB51" t="s">
        <v>57</v>
      </c>
      <c r="AD51" t="s">
        <v>57</v>
      </c>
      <c r="AE51" t="s">
        <v>57</v>
      </c>
      <c r="AF51" t="s">
        <v>57</v>
      </c>
      <c r="AG51">
        <v>2</v>
      </c>
      <c r="AH51" t="s">
        <v>57</v>
      </c>
      <c r="AL51" t="s">
        <v>57</v>
      </c>
      <c r="AM51" s="11">
        <v>44783</v>
      </c>
      <c r="AN51" t="s">
        <v>180</v>
      </c>
      <c r="AO51" t="s">
        <v>65</v>
      </c>
      <c r="AP51">
        <v>1205</v>
      </c>
      <c r="AQ51" t="s">
        <v>66</v>
      </c>
      <c r="AR51">
        <v>271795</v>
      </c>
      <c r="AU51" t="s">
        <v>57</v>
      </c>
      <c r="AV51" t="s">
        <v>68</v>
      </c>
      <c r="AX51" t="s">
        <v>57</v>
      </c>
      <c r="AY51">
        <v>631110</v>
      </c>
      <c r="AZ51">
        <v>1205.63111</v>
      </c>
      <c r="BA51" s="23" t="s">
        <v>13</v>
      </c>
    </row>
    <row r="52" spans="1:53" x14ac:dyDescent="0.25">
      <c r="A52" t="s">
        <v>134</v>
      </c>
      <c r="B52" t="s">
        <v>135</v>
      </c>
      <c r="C52">
        <v>22002360</v>
      </c>
      <c r="D52">
        <v>1205</v>
      </c>
      <c r="E52" s="11">
        <v>44789</v>
      </c>
      <c r="F52" t="s">
        <v>307</v>
      </c>
      <c r="G52" s="25">
        <v>0.15</v>
      </c>
      <c r="H52">
        <v>0.15</v>
      </c>
      <c r="I52" t="s">
        <v>56</v>
      </c>
      <c r="O52" t="s">
        <v>57</v>
      </c>
      <c r="Q52" t="s">
        <v>57</v>
      </c>
      <c r="R52" t="s">
        <v>137</v>
      </c>
      <c r="T52" t="s">
        <v>59</v>
      </c>
      <c r="U52" t="s">
        <v>60</v>
      </c>
      <c r="V52" t="s">
        <v>138</v>
      </c>
      <c r="W52" t="s">
        <v>139</v>
      </c>
      <c r="X52">
        <v>1933172</v>
      </c>
      <c r="Y52" s="11">
        <v>44789</v>
      </c>
      <c r="Z52" t="s">
        <v>57</v>
      </c>
      <c r="AA52">
        <v>30</v>
      </c>
      <c r="AB52" t="s">
        <v>57</v>
      </c>
      <c r="AD52" t="s">
        <v>57</v>
      </c>
      <c r="AE52" t="s">
        <v>57</v>
      </c>
      <c r="AF52" t="s">
        <v>57</v>
      </c>
      <c r="AG52">
        <v>1</v>
      </c>
      <c r="AH52" t="s">
        <v>57</v>
      </c>
      <c r="AL52" t="s">
        <v>57</v>
      </c>
      <c r="AM52" s="11">
        <v>44789</v>
      </c>
      <c r="AN52" t="s">
        <v>180</v>
      </c>
      <c r="AO52" t="s">
        <v>65</v>
      </c>
      <c r="AP52">
        <v>1205</v>
      </c>
      <c r="AQ52" t="s">
        <v>66</v>
      </c>
      <c r="AR52">
        <v>89715</v>
      </c>
      <c r="AU52" t="s">
        <v>57</v>
      </c>
      <c r="AV52" t="s">
        <v>68</v>
      </c>
      <c r="AX52" t="s">
        <v>57</v>
      </c>
      <c r="AY52">
        <v>631110</v>
      </c>
      <c r="AZ52">
        <v>1205.63111</v>
      </c>
      <c r="BA52" s="23" t="s">
        <v>13</v>
      </c>
    </row>
    <row r="53" spans="1:53" x14ac:dyDescent="0.25">
      <c r="A53" t="s">
        <v>134</v>
      </c>
      <c r="B53" t="s">
        <v>135</v>
      </c>
      <c r="C53">
        <v>22002372</v>
      </c>
      <c r="D53">
        <v>1205</v>
      </c>
      <c r="E53" s="11">
        <v>44791</v>
      </c>
      <c r="F53" t="s">
        <v>179</v>
      </c>
      <c r="G53" s="25">
        <v>0.15</v>
      </c>
      <c r="H53">
        <v>0.15</v>
      </c>
      <c r="I53" t="s">
        <v>56</v>
      </c>
      <c r="O53" t="s">
        <v>57</v>
      </c>
      <c r="Q53" t="s">
        <v>57</v>
      </c>
      <c r="R53" t="s">
        <v>137</v>
      </c>
      <c r="T53" t="s">
        <v>59</v>
      </c>
      <c r="U53" t="s">
        <v>60</v>
      </c>
      <c r="V53" t="s">
        <v>138</v>
      </c>
      <c r="W53" t="s">
        <v>139</v>
      </c>
      <c r="X53">
        <v>1933543</v>
      </c>
      <c r="Y53" s="11">
        <v>44791</v>
      </c>
      <c r="Z53" t="s">
        <v>57</v>
      </c>
      <c r="AA53">
        <v>2</v>
      </c>
      <c r="AB53" t="s">
        <v>57</v>
      </c>
      <c r="AD53" t="s">
        <v>57</v>
      </c>
      <c r="AE53" t="s">
        <v>57</v>
      </c>
      <c r="AF53" t="s">
        <v>57</v>
      </c>
      <c r="AG53">
        <v>2</v>
      </c>
      <c r="AH53" t="s">
        <v>57</v>
      </c>
      <c r="AL53" t="s">
        <v>57</v>
      </c>
      <c r="AM53" s="11">
        <v>44791</v>
      </c>
      <c r="AN53" t="s">
        <v>180</v>
      </c>
      <c r="AO53" t="s">
        <v>65</v>
      </c>
      <c r="AP53">
        <v>1205</v>
      </c>
      <c r="AQ53" t="s">
        <v>66</v>
      </c>
      <c r="AR53">
        <v>92908</v>
      </c>
      <c r="AU53" t="s">
        <v>57</v>
      </c>
      <c r="AV53" t="s">
        <v>68</v>
      </c>
      <c r="AX53" t="s">
        <v>57</v>
      </c>
      <c r="AY53">
        <v>631110</v>
      </c>
      <c r="AZ53">
        <v>1205.63111</v>
      </c>
      <c r="BA53" s="23" t="s">
        <v>13</v>
      </c>
    </row>
    <row r="54" spans="1:53" x14ac:dyDescent="0.25">
      <c r="A54" t="s">
        <v>134</v>
      </c>
      <c r="B54" t="s">
        <v>135</v>
      </c>
      <c r="C54">
        <v>22002265</v>
      </c>
      <c r="D54">
        <v>1205</v>
      </c>
      <c r="E54" s="11">
        <v>44775</v>
      </c>
      <c r="F54" t="s">
        <v>174</v>
      </c>
      <c r="G54" s="25">
        <v>0.16</v>
      </c>
      <c r="H54">
        <v>0.16</v>
      </c>
      <c r="I54" t="s">
        <v>56</v>
      </c>
      <c r="O54" t="s">
        <v>57</v>
      </c>
      <c r="Q54" t="s">
        <v>57</v>
      </c>
      <c r="R54" t="s">
        <v>137</v>
      </c>
      <c r="T54" t="s">
        <v>59</v>
      </c>
      <c r="U54" t="s">
        <v>60</v>
      </c>
      <c r="V54" t="s">
        <v>138</v>
      </c>
      <c r="W54" t="s">
        <v>139</v>
      </c>
      <c r="X54">
        <v>1926568</v>
      </c>
      <c r="Y54" s="11">
        <v>44775</v>
      </c>
      <c r="Z54" t="s">
        <v>57</v>
      </c>
      <c r="AA54">
        <v>14</v>
      </c>
      <c r="AB54" t="s">
        <v>57</v>
      </c>
      <c r="AD54" t="s">
        <v>57</v>
      </c>
      <c r="AE54" t="s">
        <v>57</v>
      </c>
      <c r="AF54" t="s">
        <v>57</v>
      </c>
      <c r="AG54">
        <v>1</v>
      </c>
      <c r="AH54" t="s">
        <v>57</v>
      </c>
      <c r="AL54" t="s">
        <v>57</v>
      </c>
      <c r="AM54" s="11">
        <v>44775</v>
      </c>
      <c r="AN54" t="s">
        <v>178</v>
      </c>
      <c r="AO54" t="s">
        <v>65</v>
      </c>
      <c r="AP54">
        <v>1205</v>
      </c>
      <c r="AQ54" t="s">
        <v>66</v>
      </c>
      <c r="AR54">
        <v>88760</v>
      </c>
      <c r="AU54" t="s">
        <v>57</v>
      </c>
      <c r="AV54" t="s">
        <v>68</v>
      </c>
      <c r="AX54" t="s">
        <v>57</v>
      </c>
      <c r="AY54">
        <v>631110</v>
      </c>
      <c r="AZ54">
        <v>1205.63111</v>
      </c>
      <c r="BA54" s="23" t="s">
        <v>13</v>
      </c>
    </row>
    <row r="55" spans="1:53" x14ac:dyDescent="0.25">
      <c r="A55" t="s">
        <v>134</v>
      </c>
      <c r="B55" t="s">
        <v>135</v>
      </c>
      <c r="C55">
        <v>22002267</v>
      </c>
      <c r="D55">
        <v>1205</v>
      </c>
      <c r="E55" s="11">
        <v>44775</v>
      </c>
      <c r="F55" t="s">
        <v>179</v>
      </c>
      <c r="G55" s="25">
        <v>0.16</v>
      </c>
      <c r="H55">
        <v>0.16</v>
      </c>
      <c r="I55" t="s">
        <v>56</v>
      </c>
      <c r="O55" t="s">
        <v>57</v>
      </c>
      <c r="Q55" t="s">
        <v>57</v>
      </c>
      <c r="R55" t="s">
        <v>137</v>
      </c>
      <c r="T55" t="s">
        <v>59</v>
      </c>
      <c r="U55" t="s">
        <v>60</v>
      </c>
      <c r="V55" t="s">
        <v>138</v>
      </c>
      <c r="W55" t="s">
        <v>139</v>
      </c>
      <c r="X55">
        <v>1926658</v>
      </c>
      <c r="Y55" s="11">
        <v>44775</v>
      </c>
      <c r="Z55" t="s">
        <v>57</v>
      </c>
      <c r="AA55">
        <v>30</v>
      </c>
      <c r="AB55" t="s">
        <v>57</v>
      </c>
      <c r="AD55" t="s">
        <v>57</v>
      </c>
      <c r="AE55" t="s">
        <v>57</v>
      </c>
      <c r="AF55" t="s">
        <v>57</v>
      </c>
      <c r="AG55">
        <v>1</v>
      </c>
      <c r="AH55" t="s">
        <v>57</v>
      </c>
      <c r="AL55" t="s">
        <v>57</v>
      </c>
      <c r="AM55" s="11">
        <v>44775</v>
      </c>
      <c r="AN55" t="s">
        <v>180</v>
      </c>
      <c r="AO55" t="s">
        <v>65</v>
      </c>
      <c r="AP55">
        <v>1205</v>
      </c>
      <c r="AQ55" t="s">
        <v>66</v>
      </c>
      <c r="AR55">
        <v>89712</v>
      </c>
      <c r="AU55" t="s">
        <v>57</v>
      </c>
      <c r="AV55" t="s">
        <v>68</v>
      </c>
      <c r="AX55" t="s">
        <v>57</v>
      </c>
      <c r="AY55">
        <v>631110</v>
      </c>
      <c r="AZ55">
        <v>1205.63111</v>
      </c>
      <c r="BA55" s="23" t="s">
        <v>13</v>
      </c>
    </row>
    <row r="56" spans="1:53" x14ac:dyDescent="0.25">
      <c r="A56" t="s">
        <v>134</v>
      </c>
      <c r="B56" t="s">
        <v>135</v>
      </c>
      <c r="C56">
        <v>22002267</v>
      </c>
      <c r="D56">
        <v>1205</v>
      </c>
      <c r="E56" s="11">
        <v>44775</v>
      </c>
      <c r="F56" t="s">
        <v>179</v>
      </c>
      <c r="G56" s="25">
        <v>0.16</v>
      </c>
      <c r="H56">
        <v>0.16</v>
      </c>
      <c r="I56" t="s">
        <v>56</v>
      </c>
      <c r="O56" t="s">
        <v>57</v>
      </c>
      <c r="Q56" t="s">
        <v>57</v>
      </c>
      <c r="R56" t="s">
        <v>137</v>
      </c>
      <c r="T56" t="s">
        <v>59</v>
      </c>
      <c r="U56" t="s">
        <v>60</v>
      </c>
      <c r="V56" t="s">
        <v>138</v>
      </c>
      <c r="W56" t="s">
        <v>139</v>
      </c>
      <c r="X56">
        <v>1926658</v>
      </c>
      <c r="Y56" s="11">
        <v>44775</v>
      </c>
      <c r="Z56" t="s">
        <v>57</v>
      </c>
      <c r="AA56">
        <v>32</v>
      </c>
      <c r="AB56" t="s">
        <v>57</v>
      </c>
      <c r="AD56" t="s">
        <v>57</v>
      </c>
      <c r="AE56" t="s">
        <v>57</v>
      </c>
      <c r="AF56" t="s">
        <v>57</v>
      </c>
      <c r="AG56">
        <v>1</v>
      </c>
      <c r="AH56" t="s">
        <v>57</v>
      </c>
      <c r="AL56" t="s">
        <v>57</v>
      </c>
      <c r="AM56" s="11">
        <v>44775</v>
      </c>
      <c r="AN56" t="s">
        <v>180</v>
      </c>
      <c r="AO56" t="s">
        <v>65</v>
      </c>
      <c r="AP56">
        <v>1205</v>
      </c>
      <c r="AQ56" t="s">
        <v>66</v>
      </c>
      <c r="AR56">
        <v>265528</v>
      </c>
      <c r="AU56" t="s">
        <v>57</v>
      </c>
      <c r="AV56" t="s">
        <v>68</v>
      </c>
      <c r="AX56" t="s">
        <v>57</v>
      </c>
      <c r="AY56">
        <v>631110</v>
      </c>
      <c r="AZ56">
        <v>1205.63111</v>
      </c>
      <c r="BA56" s="23" t="s">
        <v>13</v>
      </c>
    </row>
    <row r="57" spans="1:53" x14ac:dyDescent="0.25">
      <c r="A57" t="s">
        <v>134</v>
      </c>
      <c r="B57" t="s">
        <v>135</v>
      </c>
      <c r="C57">
        <v>22002281</v>
      </c>
      <c r="D57">
        <v>1205</v>
      </c>
      <c r="E57" s="11">
        <v>44776</v>
      </c>
      <c r="F57" t="s">
        <v>179</v>
      </c>
      <c r="G57" s="25">
        <v>0.16</v>
      </c>
      <c r="H57">
        <v>0.16</v>
      </c>
      <c r="I57" t="s">
        <v>56</v>
      </c>
      <c r="O57" t="s">
        <v>57</v>
      </c>
      <c r="Q57" t="s">
        <v>57</v>
      </c>
      <c r="R57" t="s">
        <v>137</v>
      </c>
      <c r="T57" t="s">
        <v>59</v>
      </c>
      <c r="U57" t="s">
        <v>60</v>
      </c>
      <c r="V57" t="s">
        <v>138</v>
      </c>
      <c r="W57" t="s">
        <v>139</v>
      </c>
      <c r="X57">
        <v>1927036</v>
      </c>
      <c r="Y57" s="11">
        <v>44776</v>
      </c>
      <c r="Z57" t="s">
        <v>57</v>
      </c>
      <c r="AA57">
        <v>18</v>
      </c>
      <c r="AB57" t="s">
        <v>57</v>
      </c>
      <c r="AD57" t="s">
        <v>57</v>
      </c>
      <c r="AE57" t="s">
        <v>57</v>
      </c>
      <c r="AF57" t="s">
        <v>57</v>
      </c>
      <c r="AG57">
        <v>1</v>
      </c>
      <c r="AH57" t="s">
        <v>57</v>
      </c>
      <c r="AL57" t="s">
        <v>57</v>
      </c>
      <c r="AM57" s="11">
        <v>44776</v>
      </c>
      <c r="AN57" t="s">
        <v>180</v>
      </c>
      <c r="AO57" t="s">
        <v>65</v>
      </c>
      <c r="AP57">
        <v>1205</v>
      </c>
      <c r="AQ57" t="s">
        <v>66</v>
      </c>
      <c r="AR57">
        <v>265891</v>
      </c>
      <c r="AU57" t="s">
        <v>57</v>
      </c>
      <c r="AV57" t="s">
        <v>68</v>
      </c>
      <c r="AX57" t="s">
        <v>57</v>
      </c>
      <c r="AY57">
        <v>631110</v>
      </c>
      <c r="AZ57">
        <v>1205.63111</v>
      </c>
      <c r="BA57" s="23" t="s">
        <v>13</v>
      </c>
    </row>
    <row r="58" spans="1:53" x14ac:dyDescent="0.25">
      <c r="A58" t="s">
        <v>134</v>
      </c>
      <c r="B58" t="s">
        <v>135</v>
      </c>
      <c r="C58">
        <v>22002291</v>
      </c>
      <c r="D58">
        <v>1205</v>
      </c>
      <c r="E58" s="11">
        <v>44777</v>
      </c>
      <c r="F58" t="s">
        <v>174</v>
      </c>
      <c r="G58" s="25">
        <v>0.16</v>
      </c>
      <c r="H58">
        <v>0.16</v>
      </c>
      <c r="I58" t="s">
        <v>56</v>
      </c>
      <c r="O58" t="s">
        <v>57</v>
      </c>
      <c r="Q58" t="s">
        <v>57</v>
      </c>
      <c r="R58" t="s">
        <v>137</v>
      </c>
      <c r="T58" t="s">
        <v>59</v>
      </c>
      <c r="U58" t="s">
        <v>60</v>
      </c>
      <c r="V58" t="s">
        <v>138</v>
      </c>
      <c r="W58" t="s">
        <v>139</v>
      </c>
      <c r="X58">
        <v>1927481</v>
      </c>
      <c r="Y58" s="11">
        <v>44777</v>
      </c>
      <c r="Z58" t="s">
        <v>57</v>
      </c>
      <c r="AA58">
        <v>2</v>
      </c>
      <c r="AB58" t="s">
        <v>57</v>
      </c>
      <c r="AD58" t="s">
        <v>57</v>
      </c>
      <c r="AE58" t="s">
        <v>57</v>
      </c>
      <c r="AF58" t="s">
        <v>57</v>
      </c>
      <c r="AG58">
        <v>1</v>
      </c>
      <c r="AH58" t="s">
        <v>57</v>
      </c>
      <c r="AL58" t="s">
        <v>57</v>
      </c>
      <c r="AM58" s="11">
        <v>44777</v>
      </c>
      <c r="AN58" t="s">
        <v>178</v>
      </c>
      <c r="AO58" t="s">
        <v>65</v>
      </c>
      <c r="AP58">
        <v>1205</v>
      </c>
      <c r="AQ58" t="s">
        <v>66</v>
      </c>
      <c r="AR58">
        <v>88760</v>
      </c>
      <c r="AU58" t="s">
        <v>57</v>
      </c>
      <c r="AV58" t="s">
        <v>68</v>
      </c>
      <c r="AX58" t="s">
        <v>57</v>
      </c>
      <c r="AY58">
        <v>631110</v>
      </c>
      <c r="AZ58">
        <v>1205.63111</v>
      </c>
      <c r="BA58" s="23" t="s">
        <v>13</v>
      </c>
    </row>
    <row r="59" spans="1:53" x14ac:dyDescent="0.25">
      <c r="A59" t="s">
        <v>134</v>
      </c>
      <c r="B59" t="s">
        <v>135</v>
      </c>
      <c r="C59">
        <v>22002311</v>
      </c>
      <c r="D59">
        <v>1205</v>
      </c>
      <c r="E59" s="11">
        <v>44781</v>
      </c>
      <c r="F59" t="s">
        <v>174</v>
      </c>
      <c r="G59" s="25">
        <v>0.16</v>
      </c>
      <c r="H59">
        <v>0.16</v>
      </c>
      <c r="I59" t="s">
        <v>56</v>
      </c>
      <c r="O59" t="s">
        <v>57</v>
      </c>
      <c r="Q59" t="s">
        <v>57</v>
      </c>
      <c r="R59" t="s">
        <v>137</v>
      </c>
      <c r="T59" t="s">
        <v>59</v>
      </c>
      <c r="U59" t="s">
        <v>60</v>
      </c>
      <c r="V59" t="s">
        <v>138</v>
      </c>
      <c r="W59" t="s">
        <v>139</v>
      </c>
      <c r="X59">
        <v>1928974</v>
      </c>
      <c r="Y59" s="11">
        <v>44781</v>
      </c>
      <c r="Z59" t="s">
        <v>57</v>
      </c>
      <c r="AA59">
        <v>12</v>
      </c>
      <c r="AB59" t="s">
        <v>57</v>
      </c>
      <c r="AD59" t="s">
        <v>57</v>
      </c>
      <c r="AE59" t="s">
        <v>57</v>
      </c>
      <c r="AF59" t="s">
        <v>57</v>
      </c>
      <c r="AG59">
        <v>1</v>
      </c>
      <c r="AH59" t="s">
        <v>57</v>
      </c>
      <c r="AL59" t="s">
        <v>57</v>
      </c>
      <c r="AM59" s="11">
        <v>44781</v>
      </c>
      <c r="AN59" t="s">
        <v>178</v>
      </c>
      <c r="AO59" t="s">
        <v>65</v>
      </c>
      <c r="AP59">
        <v>1205</v>
      </c>
      <c r="AQ59" t="s">
        <v>66</v>
      </c>
      <c r="AR59">
        <v>88760</v>
      </c>
      <c r="AU59" t="s">
        <v>57</v>
      </c>
      <c r="AV59" t="s">
        <v>68</v>
      </c>
      <c r="AX59" t="s">
        <v>57</v>
      </c>
      <c r="AY59">
        <v>631110</v>
      </c>
      <c r="AZ59">
        <v>1205.63111</v>
      </c>
      <c r="BA59" s="23" t="s">
        <v>13</v>
      </c>
    </row>
    <row r="60" spans="1:53" x14ac:dyDescent="0.25">
      <c r="A60" t="s">
        <v>134</v>
      </c>
      <c r="B60" t="s">
        <v>135</v>
      </c>
      <c r="C60">
        <v>22002318</v>
      </c>
      <c r="D60">
        <v>1205</v>
      </c>
      <c r="E60" s="11">
        <v>44782</v>
      </c>
      <c r="F60" t="s">
        <v>179</v>
      </c>
      <c r="G60" s="25">
        <v>0.16</v>
      </c>
      <c r="H60">
        <v>0.16</v>
      </c>
      <c r="I60" t="s">
        <v>56</v>
      </c>
      <c r="O60" t="s">
        <v>57</v>
      </c>
      <c r="Q60" t="s">
        <v>57</v>
      </c>
      <c r="R60" t="s">
        <v>137</v>
      </c>
      <c r="T60" t="s">
        <v>59</v>
      </c>
      <c r="U60" t="s">
        <v>60</v>
      </c>
      <c r="V60" t="s">
        <v>138</v>
      </c>
      <c r="W60" t="s">
        <v>139</v>
      </c>
      <c r="X60">
        <v>1929852</v>
      </c>
      <c r="Y60" s="11">
        <v>44782</v>
      </c>
      <c r="Z60" t="s">
        <v>57</v>
      </c>
      <c r="AA60">
        <v>36</v>
      </c>
      <c r="AB60" t="s">
        <v>57</v>
      </c>
      <c r="AD60" t="s">
        <v>57</v>
      </c>
      <c r="AE60" t="s">
        <v>57</v>
      </c>
      <c r="AF60" t="s">
        <v>57</v>
      </c>
      <c r="AG60">
        <v>1</v>
      </c>
      <c r="AH60" t="s">
        <v>57</v>
      </c>
      <c r="AL60" t="s">
        <v>57</v>
      </c>
      <c r="AM60" s="11">
        <v>44782</v>
      </c>
      <c r="AN60" t="s">
        <v>180</v>
      </c>
      <c r="AO60" t="s">
        <v>65</v>
      </c>
      <c r="AP60">
        <v>1205</v>
      </c>
      <c r="AQ60" t="s">
        <v>66</v>
      </c>
      <c r="AR60">
        <v>147840</v>
      </c>
      <c r="AU60" t="s">
        <v>57</v>
      </c>
      <c r="AV60" t="s">
        <v>68</v>
      </c>
      <c r="AX60" t="s">
        <v>57</v>
      </c>
      <c r="AY60">
        <v>631110</v>
      </c>
      <c r="AZ60">
        <v>1205.63111</v>
      </c>
      <c r="BA60" s="23" t="s">
        <v>13</v>
      </c>
    </row>
    <row r="61" spans="1:53" x14ac:dyDescent="0.25">
      <c r="A61" t="s">
        <v>134</v>
      </c>
      <c r="B61" t="s">
        <v>135</v>
      </c>
      <c r="C61">
        <v>22002323</v>
      </c>
      <c r="D61">
        <v>1205</v>
      </c>
      <c r="E61" s="11">
        <v>44783</v>
      </c>
      <c r="F61" t="s">
        <v>174</v>
      </c>
      <c r="G61" s="25">
        <v>0.16</v>
      </c>
      <c r="H61">
        <v>0.16</v>
      </c>
      <c r="I61" t="s">
        <v>56</v>
      </c>
      <c r="O61" t="s">
        <v>57</v>
      </c>
      <c r="Q61" t="s">
        <v>57</v>
      </c>
      <c r="R61" t="s">
        <v>137</v>
      </c>
      <c r="T61" t="s">
        <v>59</v>
      </c>
      <c r="U61" t="s">
        <v>60</v>
      </c>
      <c r="V61" t="s">
        <v>138</v>
      </c>
      <c r="W61" t="s">
        <v>139</v>
      </c>
      <c r="X61">
        <v>1930356</v>
      </c>
      <c r="Y61" s="11">
        <v>44783</v>
      </c>
      <c r="Z61" t="s">
        <v>57</v>
      </c>
      <c r="AA61">
        <v>12</v>
      </c>
      <c r="AB61" t="s">
        <v>57</v>
      </c>
      <c r="AD61" t="s">
        <v>57</v>
      </c>
      <c r="AE61" t="s">
        <v>57</v>
      </c>
      <c r="AF61" t="s">
        <v>57</v>
      </c>
      <c r="AG61">
        <v>1</v>
      </c>
      <c r="AH61" t="s">
        <v>57</v>
      </c>
      <c r="AL61" t="s">
        <v>57</v>
      </c>
      <c r="AM61" s="11">
        <v>44783</v>
      </c>
      <c r="AN61" t="s">
        <v>178</v>
      </c>
      <c r="AO61" t="s">
        <v>65</v>
      </c>
      <c r="AP61">
        <v>1205</v>
      </c>
      <c r="AQ61" t="s">
        <v>66</v>
      </c>
      <c r="AR61">
        <v>88760</v>
      </c>
      <c r="AU61" t="s">
        <v>57</v>
      </c>
      <c r="AV61" t="s">
        <v>68</v>
      </c>
      <c r="AX61" t="s">
        <v>57</v>
      </c>
      <c r="AY61">
        <v>631110</v>
      </c>
      <c r="AZ61">
        <v>1205.63111</v>
      </c>
      <c r="BA61" s="23" t="s">
        <v>13</v>
      </c>
    </row>
    <row r="62" spans="1:53" x14ac:dyDescent="0.25">
      <c r="A62" t="s">
        <v>134</v>
      </c>
      <c r="B62" t="s">
        <v>135</v>
      </c>
      <c r="C62">
        <v>22002325</v>
      </c>
      <c r="D62">
        <v>1205</v>
      </c>
      <c r="E62" s="11">
        <v>44783</v>
      </c>
      <c r="F62" t="s">
        <v>179</v>
      </c>
      <c r="G62" s="25">
        <v>0.16</v>
      </c>
      <c r="H62">
        <v>0.16</v>
      </c>
      <c r="I62" t="s">
        <v>56</v>
      </c>
      <c r="O62" t="s">
        <v>57</v>
      </c>
      <c r="Q62" t="s">
        <v>57</v>
      </c>
      <c r="R62" t="s">
        <v>137</v>
      </c>
      <c r="T62" t="s">
        <v>59</v>
      </c>
      <c r="U62" t="s">
        <v>60</v>
      </c>
      <c r="V62" t="s">
        <v>138</v>
      </c>
      <c r="W62" t="s">
        <v>139</v>
      </c>
      <c r="X62">
        <v>1930357</v>
      </c>
      <c r="Y62" s="11">
        <v>44783</v>
      </c>
      <c r="Z62" t="s">
        <v>57</v>
      </c>
      <c r="AA62">
        <v>22</v>
      </c>
      <c r="AB62" t="s">
        <v>57</v>
      </c>
      <c r="AD62" t="s">
        <v>57</v>
      </c>
      <c r="AE62" t="s">
        <v>57</v>
      </c>
      <c r="AF62" t="s">
        <v>57</v>
      </c>
      <c r="AG62">
        <v>2</v>
      </c>
      <c r="AH62" t="s">
        <v>57</v>
      </c>
      <c r="AL62" t="s">
        <v>57</v>
      </c>
      <c r="AM62" s="11">
        <v>44783</v>
      </c>
      <c r="AN62" t="s">
        <v>180</v>
      </c>
      <c r="AO62" t="s">
        <v>65</v>
      </c>
      <c r="AP62">
        <v>1205</v>
      </c>
      <c r="AQ62" t="s">
        <v>66</v>
      </c>
      <c r="AR62">
        <v>88642</v>
      </c>
      <c r="AU62" t="s">
        <v>57</v>
      </c>
      <c r="AV62" t="s">
        <v>68</v>
      </c>
      <c r="AX62" t="s">
        <v>57</v>
      </c>
      <c r="AY62">
        <v>631110</v>
      </c>
      <c r="AZ62">
        <v>1205.63111</v>
      </c>
      <c r="BA62" s="23" t="s">
        <v>13</v>
      </c>
    </row>
    <row r="63" spans="1:53" x14ac:dyDescent="0.25">
      <c r="A63" t="s">
        <v>134</v>
      </c>
      <c r="B63" t="s">
        <v>135</v>
      </c>
      <c r="C63">
        <v>22002342</v>
      </c>
      <c r="D63">
        <v>1205</v>
      </c>
      <c r="E63" s="11">
        <v>44785</v>
      </c>
      <c r="F63" t="s">
        <v>179</v>
      </c>
      <c r="G63" s="25">
        <v>0.16</v>
      </c>
      <c r="H63">
        <v>0.16</v>
      </c>
      <c r="I63" t="s">
        <v>56</v>
      </c>
      <c r="O63" t="s">
        <v>57</v>
      </c>
      <c r="Q63" t="s">
        <v>57</v>
      </c>
      <c r="R63" t="s">
        <v>137</v>
      </c>
      <c r="T63" t="s">
        <v>59</v>
      </c>
      <c r="U63" t="s">
        <v>60</v>
      </c>
      <c r="V63" t="s">
        <v>138</v>
      </c>
      <c r="W63" t="s">
        <v>139</v>
      </c>
      <c r="X63">
        <v>1930745</v>
      </c>
      <c r="Y63" s="11">
        <v>44785</v>
      </c>
      <c r="Z63" t="s">
        <v>57</v>
      </c>
      <c r="AA63">
        <v>22</v>
      </c>
      <c r="AB63" t="s">
        <v>57</v>
      </c>
      <c r="AD63" t="s">
        <v>57</v>
      </c>
      <c r="AE63" t="s">
        <v>57</v>
      </c>
      <c r="AF63" t="s">
        <v>57</v>
      </c>
      <c r="AG63">
        <v>2</v>
      </c>
      <c r="AH63" t="s">
        <v>57</v>
      </c>
      <c r="AL63" t="s">
        <v>57</v>
      </c>
      <c r="AM63" s="11">
        <v>44785</v>
      </c>
      <c r="AN63" t="s">
        <v>180</v>
      </c>
      <c r="AO63" t="s">
        <v>65</v>
      </c>
      <c r="AP63">
        <v>1205</v>
      </c>
      <c r="AQ63" t="s">
        <v>66</v>
      </c>
      <c r="AR63">
        <v>88642</v>
      </c>
      <c r="AU63" t="s">
        <v>57</v>
      </c>
      <c r="AV63" t="s">
        <v>68</v>
      </c>
      <c r="AX63" t="s">
        <v>57</v>
      </c>
      <c r="AY63">
        <v>631110</v>
      </c>
      <c r="AZ63">
        <v>1205.63111</v>
      </c>
      <c r="BA63" s="23" t="s">
        <v>13</v>
      </c>
    </row>
    <row r="64" spans="1:53" x14ac:dyDescent="0.25">
      <c r="A64" t="s">
        <v>134</v>
      </c>
      <c r="B64" t="s">
        <v>135</v>
      </c>
      <c r="C64">
        <v>22002360</v>
      </c>
      <c r="D64">
        <v>1205</v>
      </c>
      <c r="E64" s="11">
        <v>44789</v>
      </c>
      <c r="F64" t="s">
        <v>307</v>
      </c>
      <c r="G64" s="25">
        <v>0.16</v>
      </c>
      <c r="H64">
        <v>0.16</v>
      </c>
      <c r="I64" t="s">
        <v>56</v>
      </c>
      <c r="O64" t="s">
        <v>57</v>
      </c>
      <c r="Q64" t="s">
        <v>57</v>
      </c>
      <c r="R64" t="s">
        <v>137</v>
      </c>
      <c r="T64" t="s">
        <v>59</v>
      </c>
      <c r="U64" t="s">
        <v>60</v>
      </c>
      <c r="V64" t="s">
        <v>138</v>
      </c>
      <c r="W64" t="s">
        <v>139</v>
      </c>
      <c r="X64">
        <v>1933172</v>
      </c>
      <c r="Y64" s="11">
        <v>44789</v>
      </c>
      <c r="Z64" t="s">
        <v>57</v>
      </c>
      <c r="AA64">
        <v>22</v>
      </c>
      <c r="AB64" t="s">
        <v>57</v>
      </c>
      <c r="AD64" t="s">
        <v>57</v>
      </c>
      <c r="AE64" t="s">
        <v>57</v>
      </c>
      <c r="AF64" t="s">
        <v>57</v>
      </c>
      <c r="AG64">
        <v>2</v>
      </c>
      <c r="AH64" t="s">
        <v>57</v>
      </c>
      <c r="AL64" t="s">
        <v>57</v>
      </c>
      <c r="AM64" s="11">
        <v>44789</v>
      </c>
      <c r="AN64" t="s">
        <v>180</v>
      </c>
      <c r="AO64" t="s">
        <v>65</v>
      </c>
      <c r="AP64">
        <v>1205</v>
      </c>
      <c r="AQ64" t="s">
        <v>66</v>
      </c>
      <c r="AR64">
        <v>88642</v>
      </c>
      <c r="AU64" t="s">
        <v>57</v>
      </c>
      <c r="AV64" t="s">
        <v>68</v>
      </c>
      <c r="AX64" t="s">
        <v>57</v>
      </c>
      <c r="AY64">
        <v>631110</v>
      </c>
      <c r="AZ64">
        <v>1205.63111</v>
      </c>
      <c r="BA64" s="23" t="s">
        <v>13</v>
      </c>
    </row>
    <row r="65" spans="1:53" x14ac:dyDescent="0.25">
      <c r="A65" t="s">
        <v>134</v>
      </c>
      <c r="B65" t="s">
        <v>135</v>
      </c>
      <c r="C65">
        <v>22002372</v>
      </c>
      <c r="D65">
        <v>1205</v>
      </c>
      <c r="E65" s="11">
        <v>44791</v>
      </c>
      <c r="F65" t="s">
        <v>179</v>
      </c>
      <c r="G65" s="25">
        <v>0.16</v>
      </c>
      <c r="H65">
        <v>0.16</v>
      </c>
      <c r="I65" t="s">
        <v>56</v>
      </c>
      <c r="O65" t="s">
        <v>57</v>
      </c>
      <c r="Q65" t="s">
        <v>57</v>
      </c>
      <c r="R65" t="s">
        <v>137</v>
      </c>
      <c r="T65" t="s">
        <v>59</v>
      </c>
      <c r="U65" t="s">
        <v>60</v>
      </c>
      <c r="V65" t="s">
        <v>138</v>
      </c>
      <c r="W65" t="s">
        <v>139</v>
      </c>
      <c r="X65">
        <v>1933543</v>
      </c>
      <c r="Y65" s="11">
        <v>44791</v>
      </c>
      <c r="Z65" t="s">
        <v>57</v>
      </c>
      <c r="AA65">
        <v>22</v>
      </c>
      <c r="AB65" t="s">
        <v>57</v>
      </c>
      <c r="AD65" t="s">
        <v>57</v>
      </c>
      <c r="AE65" t="s">
        <v>57</v>
      </c>
      <c r="AF65" t="s">
        <v>57</v>
      </c>
      <c r="AG65">
        <v>2</v>
      </c>
      <c r="AH65" t="s">
        <v>57</v>
      </c>
      <c r="AL65" t="s">
        <v>57</v>
      </c>
      <c r="AM65" s="11">
        <v>44791</v>
      </c>
      <c r="AN65" t="s">
        <v>180</v>
      </c>
      <c r="AO65" t="s">
        <v>65</v>
      </c>
      <c r="AP65">
        <v>1205</v>
      </c>
      <c r="AQ65" t="s">
        <v>66</v>
      </c>
      <c r="AR65">
        <v>265517</v>
      </c>
      <c r="AU65" t="s">
        <v>57</v>
      </c>
      <c r="AV65" t="s">
        <v>68</v>
      </c>
      <c r="AX65" t="s">
        <v>57</v>
      </c>
      <c r="AY65">
        <v>631110</v>
      </c>
      <c r="AZ65">
        <v>1205.63111</v>
      </c>
      <c r="BA65" s="23" t="s">
        <v>13</v>
      </c>
    </row>
    <row r="66" spans="1:53" x14ac:dyDescent="0.25">
      <c r="A66" t="s">
        <v>134</v>
      </c>
      <c r="B66" t="s">
        <v>135</v>
      </c>
      <c r="C66">
        <v>22002372</v>
      </c>
      <c r="D66">
        <v>1205</v>
      </c>
      <c r="E66" s="11">
        <v>44791</v>
      </c>
      <c r="F66" t="s">
        <v>179</v>
      </c>
      <c r="G66" s="25">
        <v>0.16</v>
      </c>
      <c r="H66">
        <v>0.16</v>
      </c>
      <c r="I66" t="s">
        <v>56</v>
      </c>
      <c r="O66" t="s">
        <v>57</v>
      </c>
      <c r="Q66" t="s">
        <v>57</v>
      </c>
      <c r="R66" t="s">
        <v>137</v>
      </c>
      <c r="T66" t="s">
        <v>59</v>
      </c>
      <c r="U66" t="s">
        <v>60</v>
      </c>
      <c r="V66" t="s">
        <v>138</v>
      </c>
      <c r="W66" t="s">
        <v>139</v>
      </c>
      <c r="X66">
        <v>1933543</v>
      </c>
      <c r="Y66" s="11">
        <v>44791</v>
      </c>
      <c r="Z66" t="s">
        <v>57</v>
      </c>
      <c r="AA66">
        <v>30</v>
      </c>
      <c r="AB66" t="s">
        <v>57</v>
      </c>
      <c r="AD66" t="s">
        <v>57</v>
      </c>
      <c r="AE66" t="s">
        <v>57</v>
      </c>
      <c r="AF66" t="s">
        <v>57</v>
      </c>
      <c r="AG66">
        <v>1</v>
      </c>
      <c r="AH66" t="s">
        <v>57</v>
      </c>
      <c r="AL66" t="s">
        <v>57</v>
      </c>
      <c r="AM66" s="11">
        <v>44791</v>
      </c>
      <c r="AN66" t="s">
        <v>180</v>
      </c>
      <c r="AO66" t="s">
        <v>65</v>
      </c>
      <c r="AP66">
        <v>1205</v>
      </c>
      <c r="AQ66" t="s">
        <v>66</v>
      </c>
      <c r="AR66">
        <v>147840</v>
      </c>
      <c r="AU66" t="s">
        <v>57</v>
      </c>
      <c r="AV66" t="s">
        <v>68</v>
      </c>
      <c r="AX66" t="s">
        <v>57</v>
      </c>
      <c r="AY66">
        <v>631110</v>
      </c>
      <c r="AZ66">
        <v>1205.63111</v>
      </c>
      <c r="BA66" s="23" t="s">
        <v>13</v>
      </c>
    </row>
    <row r="67" spans="1:53" x14ac:dyDescent="0.25">
      <c r="A67" t="s">
        <v>134</v>
      </c>
      <c r="B67" t="s">
        <v>135</v>
      </c>
      <c r="C67">
        <v>22002374</v>
      </c>
      <c r="D67">
        <v>1205</v>
      </c>
      <c r="E67" s="11">
        <v>44792</v>
      </c>
      <c r="F67" t="s">
        <v>174</v>
      </c>
      <c r="G67" s="25">
        <v>0.16</v>
      </c>
      <c r="H67">
        <v>0.16</v>
      </c>
      <c r="I67" t="s">
        <v>56</v>
      </c>
      <c r="O67" t="s">
        <v>57</v>
      </c>
      <c r="Q67" t="s">
        <v>57</v>
      </c>
      <c r="R67" t="s">
        <v>137</v>
      </c>
      <c r="T67" t="s">
        <v>59</v>
      </c>
      <c r="U67" t="s">
        <v>60</v>
      </c>
      <c r="V67" t="s">
        <v>138</v>
      </c>
      <c r="W67" t="s">
        <v>139</v>
      </c>
      <c r="X67">
        <v>1934079</v>
      </c>
      <c r="Y67" s="11">
        <v>44792</v>
      </c>
      <c r="Z67" t="s">
        <v>57</v>
      </c>
      <c r="AA67">
        <v>8</v>
      </c>
      <c r="AB67" t="s">
        <v>57</v>
      </c>
      <c r="AD67" t="s">
        <v>57</v>
      </c>
      <c r="AE67" t="s">
        <v>57</v>
      </c>
      <c r="AF67" t="s">
        <v>57</v>
      </c>
      <c r="AG67">
        <v>1</v>
      </c>
      <c r="AH67" t="s">
        <v>57</v>
      </c>
      <c r="AL67" t="s">
        <v>57</v>
      </c>
      <c r="AM67" s="11">
        <v>44792</v>
      </c>
      <c r="AN67" t="s">
        <v>178</v>
      </c>
      <c r="AO67" t="s">
        <v>65</v>
      </c>
      <c r="AP67">
        <v>1205</v>
      </c>
      <c r="AQ67" t="s">
        <v>66</v>
      </c>
      <c r="AR67">
        <v>90357</v>
      </c>
      <c r="AU67" t="s">
        <v>57</v>
      </c>
      <c r="AV67" t="s">
        <v>68</v>
      </c>
      <c r="AX67" t="s">
        <v>57</v>
      </c>
      <c r="AY67">
        <v>631110</v>
      </c>
      <c r="AZ67">
        <v>1205.63111</v>
      </c>
      <c r="BA67" s="23" t="s">
        <v>13</v>
      </c>
    </row>
    <row r="68" spans="1:53" x14ac:dyDescent="0.25">
      <c r="A68" t="s">
        <v>134</v>
      </c>
      <c r="B68" t="s">
        <v>135</v>
      </c>
      <c r="C68">
        <v>22002338</v>
      </c>
      <c r="D68">
        <v>1205</v>
      </c>
      <c r="E68" s="11">
        <v>44784</v>
      </c>
      <c r="F68" t="s">
        <v>174</v>
      </c>
      <c r="G68" s="25">
        <v>0.17</v>
      </c>
      <c r="H68">
        <v>0.17</v>
      </c>
      <c r="I68" t="s">
        <v>56</v>
      </c>
      <c r="O68" t="s">
        <v>57</v>
      </c>
      <c r="Q68" t="s">
        <v>57</v>
      </c>
      <c r="R68" t="s">
        <v>137</v>
      </c>
      <c r="T68" t="s">
        <v>59</v>
      </c>
      <c r="U68" t="s">
        <v>60</v>
      </c>
      <c r="V68" t="s">
        <v>138</v>
      </c>
      <c r="W68" t="s">
        <v>139</v>
      </c>
      <c r="X68">
        <v>1930521</v>
      </c>
      <c r="Y68" s="11">
        <v>44784</v>
      </c>
      <c r="Z68" t="s">
        <v>57</v>
      </c>
      <c r="AA68">
        <v>22</v>
      </c>
      <c r="AB68" t="s">
        <v>57</v>
      </c>
      <c r="AD68" t="s">
        <v>57</v>
      </c>
      <c r="AE68" t="s">
        <v>57</v>
      </c>
      <c r="AF68" t="s">
        <v>57</v>
      </c>
      <c r="AG68">
        <v>1</v>
      </c>
      <c r="AH68" t="s">
        <v>57</v>
      </c>
      <c r="AL68" t="s">
        <v>57</v>
      </c>
      <c r="AM68" s="11">
        <v>44784</v>
      </c>
      <c r="AN68" t="s">
        <v>178</v>
      </c>
      <c r="AO68" t="s">
        <v>65</v>
      </c>
      <c r="AP68">
        <v>1205</v>
      </c>
      <c r="AQ68" t="s">
        <v>66</v>
      </c>
      <c r="AR68">
        <v>88762</v>
      </c>
      <c r="AU68" t="s">
        <v>57</v>
      </c>
      <c r="AV68" t="s">
        <v>68</v>
      </c>
      <c r="AX68" t="s">
        <v>57</v>
      </c>
      <c r="AY68">
        <v>631110</v>
      </c>
      <c r="AZ68">
        <v>1205.63111</v>
      </c>
      <c r="BA68" s="23" t="s">
        <v>13</v>
      </c>
    </row>
    <row r="69" spans="1:53" x14ac:dyDescent="0.25">
      <c r="A69" t="s">
        <v>134</v>
      </c>
      <c r="B69" t="s">
        <v>135</v>
      </c>
      <c r="C69">
        <v>22002297</v>
      </c>
      <c r="D69">
        <v>1205</v>
      </c>
      <c r="E69" s="11">
        <v>44778</v>
      </c>
      <c r="F69" t="s">
        <v>174</v>
      </c>
      <c r="G69" s="25">
        <v>0.2</v>
      </c>
      <c r="H69">
        <v>0.2</v>
      </c>
      <c r="I69" t="s">
        <v>56</v>
      </c>
      <c r="O69" t="s">
        <v>57</v>
      </c>
      <c r="Q69" t="s">
        <v>57</v>
      </c>
      <c r="R69" t="s">
        <v>137</v>
      </c>
      <c r="T69" t="s">
        <v>59</v>
      </c>
      <c r="U69" t="s">
        <v>60</v>
      </c>
      <c r="V69" t="s">
        <v>138</v>
      </c>
      <c r="W69" t="s">
        <v>139</v>
      </c>
      <c r="X69">
        <v>1928656</v>
      </c>
      <c r="Y69" s="11">
        <v>44778</v>
      </c>
      <c r="Z69" t="s">
        <v>57</v>
      </c>
      <c r="AA69">
        <v>2</v>
      </c>
      <c r="AB69" t="s">
        <v>57</v>
      </c>
      <c r="AD69" t="s">
        <v>57</v>
      </c>
      <c r="AE69" t="s">
        <v>57</v>
      </c>
      <c r="AF69" t="s">
        <v>57</v>
      </c>
      <c r="AG69">
        <v>3</v>
      </c>
      <c r="AH69" t="s">
        <v>57</v>
      </c>
      <c r="AL69" t="s">
        <v>57</v>
      </c>
      <c r="AM69" s="11">
        <v>44778</v>
      </c>
      <c r="AN69" t="s">
        <v>178</v>
      </c>
      <c r="AO69" t="s">
        <v>65</v>
      </c>
      <c r="AP69">
        <v>1205</v>
      </c>
      <c r="AQ69" t="s">
        <v>66</v>
      </c>
      <c r="AR69">
        <v>90182</v>
      </c>
      <c r="AU69" t="s">
        <v>57</v>
      </c>
      <c r="AV69" t="s">
        <v>68</v>
      </c>
      <c r="AX69" t="s">
        <v>57</v>
      </c>
      <c r="AY69">
        <v>631110</v>
      </c>
      <c r="AZ69">
        <v>1205.63111</v>
      </c>
      <c r="BA69" s="23" t="s">
        <v>13</v>
      </c>
    </row>
    <row r="70" spans="1:53" x14ac:dyDescent="0.25">
      <c r="A70" t="s">
        <v>134</v>
      </c>
      <c r="B70" t="s">
        <v>135</v>
      </c>
      <c r="C70">
        <v>22002261</v>
      </c>
      <c r="D70">
        <v>1205</v>
      </c>
      <c r="E70" s="11">
        <v>44774</v>
      </c>
      <c r="F70" t="s">
        <v>174</v>
      </c>
      <c r="G70" s="25">
        <v>0.21</v>
      </c>
      <c r="H70">
        <v>0.21</v>
      </c>
      <c r="I70" t="s">
        <v>56</v>
      </c>
      <c r="O70" t="s">
        <v>57</v>
      </c>
      <c r="Q70" t="s">
        <v>57</v>
      </c>
      <c r="R70" t="s">
        <v>137</v>
      </c>
      <c r="T70" t="s">
        <v>59</v>
      </c>
      <c r="U70" t="s">
        <v>60</v>
      </c>
      <c r="V70" t="s">
        <v>138</v>
      </c>
      <c r="W70" t="s">
        <v>139</v>
      </c>
      <c r="X70">
        <v>1925596</v>
      </c>
      <c r="Y70" s="11">
        <v>44774</v>
      </c>
      <c r="Z70" t="s">
        <v>57</v>
      </c>
      <c r="AA70">
        <v>14</v>
      </c>
      <c r="AB70" t="s">
        <v>57</v>
      </c>
      <c r="AD70" t="s">
        <v>57</v>
      </c>
      <c r="AE70" t="s">
        <v>57</v>
      </c>
      <c r="AF70" t="s">
        <v>57</v>
      </c>
      <c r="AG70">
        <v>1</v>
      </c>
      <c r="AH70" t="s">
        <v>57</v>
      </c>
      <c r="AL70" t="s">
        <v>57</v>
      </c>
      <c r="AM70" s="11">
        <v>44774</v>
      </c>
      <c r="AN70" t="s">
        <v>178</v>
      </c>
      <c r="AO70" t="s">
        <v>65</v>
      </c>
      <c r="AP70">
        <v>1205</v>
      </c>
      <c r="AQ70" t="s">
        <v>66</v>
      </c>
      <c r="AR70">
        <v>88778</v>
      </c>
      <c r="AU70" t="s">
        <v>57</v>
      </c>
      <c r="AV70" t="s">
        <v>68</v>
      </c>
      <c r="AX70" t="s">
        <v>57</v>
      </c>
      <c r="AY70">
        <v>631110</v>
      </c>
      <c r="AZ70">
        <v>1205.63111</v>
      </c>
      <c r="BA70" s="23" t="s">
        <v>13</v>
      </c>
    </row>
    <row r="71" spans="1:53" x14ac:dyDescent="0.25">
      <c r="A71" t="s">
        <v>134</v>
      </c>
      <c r="B71" t="s">
        <v>135</v>
      </c>
      <c r="C71">
        <v>22002264</v>
      </c>
      <c r="D71">
        <v>1205</v>
      </c>
      <c r="E71" s="11">
        <v>44774</v>
      </c>
      <c r="F71" t="s">
        <v>179</v>
      </c>
      <c r="G71" s="25">
        <v>0.21</v>
      </c>
      <c r="H71">
        <v>0.21</v>
      </c>
      <c r="I71" t="s">
        <v>56</v>
      </c>
      <c r="O71" t="s">
        <v>57</v>
      </c>
      <c r="Q71" t="s">
        <v>57</v>
      </c>
      <c r="R71" t="s">
        <v>137</v>
      </c>
      <c r="T71" t="s">
        <v>59</v>
      </c>
      <c r="U71" t="s">
        <v>60</v>
      </c>
      <c r="V71" t="s">
        <v>138</v>
      </c>
      <c r="W71" t="s">
        <v>139</v>
      </c>
      <c r="X71">
        <v>1925601</v>
      </c>
      <c r="Y71" s="11">
        <v>44774</v>
      </c>
      <c r="Z71" t="s">
        <v>57</v>
      </c>
      <c r="AA71">
        <v>24</v>
      </c>
      <c r="AB71" t="s">
        <v>57</v>
      </c>
      <c r="AD71" t="s">
        <v>57</v>
      </c>
      <c r="AE71" t="s">
        <v>57</v>
      </c>
      <c r="AF71" t="s">
        <v>57</v>
      </c>
      <c r="AG71">
        <v>1</v>
      </c>
      <c r="AH71" t="s">
        <v>57</v>
      </c>
      <c r="AL71" t="s">
        <v>57</v>
      </c>
      <c r="AM71" s="11">
        <v>44774</v>
      </c>
      <c r="AN71" t="s">
        <v>180</v>
      </c>
      <c r="AO71" t="s">
        <v>65</v>
      </c>
      <c r="AP71">
        <v>1205</v>
      </c>
      <c r="AQ71" t="s">
        <v>66</v>
      </c>
      <c r="AR71">
        <v>89727</v>
      </c>
      <c r="AU71" t="s">
        <v>57</v>
      </c>
      <c r="AV71" t="s">
        <v>68</v>
      </c>
      <c r="AX71" t="s">
        <v>57</v>
      </c>
      <c r="AY71">
        <v>631110</v>
      </c>
      <c r="AZ71">
        <v>1205.63111</v>
      </c>
      <c r="BA71" s="23" t="s">
        <v>13</v>
      </c>
    </row>
    <row r="72" spans="1:53" x14ac:dyDescent="0.25">
      <c r="A72" t="s">
        <v>134</v>
      </c>
      <c r="B72" t="s">
        <v>135</v>
      </c>
      <c r="C72">
        <v>22002298</v>
      </c>
      <c r="D72">
        <v>1205</v>
      </c>
      <c r="E72" s="11">
        <v>44778</v>
      </c>
      <c r="F72" t="s">
        <v>174</v>
      </c>
      <c r="G72" s="25">
        <v>0.21</v>
      </c>
      <c r="H72">
        <v>0.21</v>
      </c>
      <c r="I72" t="s">
        <v>56</v>
      </c>
      <c r="O72" t="s">
        <v>57</v>
      </c>
      <c r="Q72" t="s">
        <v>57</v>
      </c>
      <c r="R72" t="s">
        <v>137</v>
      </c>
      <c r="T72" t="s">
        <v>59</v>
      </c>
      <c r="U72" t="s">
        <v>60</v>
      </c>
      <c r="V72" t="s">
        <v>138</v>
      </c>
      <c r="W72" t="s">
        <v>139</v>
      </c>
      <c r="X72">
        <v>1928707</v>
      </c>
      <c r="Y72" s="11">
        <v>44778</v>
      </c>
      <c r="Z72" t="s">
        <v>57</v>
      </c>
      <c r="AA72">
        <v>6</v>
      </c>
      <c r="AB72" t="s">
        <v>57</v>
      </c>
      <c r="AD72" t="s">
        <v>57</v>
      </c>
      <c r="AE72" t="s">
        <v>57</v>
      </c>
      <c r="AF72" t="s">
        <v>57</v>
      </c>
      <c r="AG72">
        <v>1</v>
      </c>
      <c r="AH72" t="s">
        <v>57</v>
      </c>
      <c r="AL72" t="s">
        <v>57</v>
      </c>
      <c r="AM72" s="11">
        <v>44778</v>
      </c>
      <c r="AN72" t="s">
        <v>178</v>
      </c>
      <c r="AO72" t="s">
        <v>65</v>
      </c>
      <c r="AP72">
        <v>1205</v>
      </c>
      <c r="AQ72" t="s">
        <v>66</v>
      </c>
      <c r="AR72">
        <v>88778</v>
      </c>
      <c r="AU72" t="s">
        <v>57</v>
      </c>
      <c r="AV72" t="s">
        <v>68</v>
      </c>
      <c r="AX72" t="s">
        <v>57</v>
      </c>
      <c r="AY72">
        <v>631110</v>
      </c>
      <c r="AZ72">
        <v>1205.63111</v>
      </c>
      <c r="BA72" s="23" t="s">
        <v>13</v>
      </c>
    </row>
    <row r="73" spans="1:53" x14ac:dyDescent="0.25">
      <c r="A73" t="s">
        <v>134</v>
      </c>
      <c r="B73" t="s">
        <v>135</v>
      </c>
      <c r="C73">
        <v>22002316</v>
      </c>
      <c r="D73">
        <v>1205</v>
      </c>
      <c r="E73" s="11">
        <v>44782</v>
      </c>
      <c r="F73" t="s">
        <v>174</v>
      </c>
      <c r="G73" s="25">
        <v>0.21</v>
      </c>
      <c r="H73">
        <v>0.21</v>
      </c>
      <c r="I73" t="s">
        <v>56</v>
      </c>
      <c r="O73" t="s">
        <v>57</v>
      </c>
      <c r="Q73" t="s">
        <v>57</v>
      </c>
      <c r="R73" t="s">
        <v>137</v>
      </c>
      <c r="T73" t="s">
        <v>59</v>
      </c>
      <c r="U73" t="s">
        <v>60</v>
      </c>
      <c r="V73" t="s">
        <v>138</v>
      </c>
      <c r="W73" t="s">
        <v>139</v>
      </c>
      <c r="X73">
        <v>1929847</v>
      </c>
      <c r="Y73" s="11">
        <v>44782</v>
      </c>
      <c r="Z73" t="s">
        <v>57</v>
      </c>
      <c r="AA73">
        <v>36</v>
      </c>
      <c r="AB73" t="s">
        <v>57</v>
      </c>
      <c r="AD73" t="s">
        <v>57</v>
      </c>
      <c r="AE73" t="s">
        <v>57</v>
      </c>
      <c r="AF73" t="s">
        <v>57</v>
      </c>
      <c r="AG73">
        <v>1</v>
      </c>
      <c r="AH73" t="s">
        <v>57</v>
      </c>
      <c r="AL73" t="s">
        <v>57</v>
      </c>
      <c r="AM73" s="11">
        <v>44782</v>
      </c>
      <c r="AN73" t="s">
        <v>178</v>
      </c>
      <c r="AO73" t="s">
        <v>65</v>
      </c>
      <c r="AP73">
        <v>1205</v>
      </c>
      <c r="AQ73" t="s">
        <v>66</v>
      </c>
      <c r="AR73">
        <v>88778</v>
      </c>
      <c r="AU73" t="s">
        <v>57</v>
      </c>
      <c r="AV73" t="s">
        <v>68</v>
      </c>
      <c r="AX73" t="s">
        <v>57</v>
      </c>
      <c r="AY73">
        <v>631110</v>
      </c>
      <c r="AZ73">
        <v>1205.63111</v>
      </c>
      <c r="BA73" s="23" t="s">
        <v>13</v>
      </c>
    </row>
    <row r="74" spans="1:53" x14ac:dyDescent="0.25">
      <c r="A74" t="s">
        <v>134</v>
      </c>
      <c r="B74" t="s">
        <v>135</v>
      </c>
      <c r="C74">
        <v>22002356</v>
      </c>
      <c r="D74">
        <v>1205</v>
      </c>
      <c r="E74" s="11">
        <v>44789</v>
      </c>
      <c r="F74" t="s">
        <v>174</v>
      </c>
      <c r="G74" s="25">
        <v>0.21</v>
      </c>
      <c r="H74">
        <v>0.21</v>
      </c>
      <c r="I74" t="s">
        <v>56</v>
      </c>
      <c r="O74" t="s">
        <v>57</v>
      </c>
      <c r="Q74" t="s">
        <v>57</v>
      </c>
      <c r="R74" t="s">
        <v>137</v>
      </c>
      <c r="T74" t="s">
        <v>59</v>
      </c>
      <c r="U74" t="s">
        <v>60</v>
      </c>
      <c r="V74" t="s">
        <v>138</v>
      </c>
      <c r="W74" t="s">
        <v>139</v>
      </c>
      <c r="X74">
        <v>1933128</v>
      </c>
      <c r="Y74" s="11">
        <v>44789</v>
      </c>
      <c r="Z74" t="s">
        <v>57</v>
      </c>
      <c r="AA74">
        <v>16</v>
      </c>
      <c r="AB74" t="s">
        <v>57</v>
      </c>
      <c r="AD74" t="s">
        <v>57</v>
      </c>
      <c r="AE74" t="s">
        <v>57</v>
      </c>
      <c r="AF74" t="s">
        <v>57</v>
      </c>
      <c r="AG74">
        <v>1</v>
      </c>
      <c r="AH74" t="s">
        <v>57</v>
      </c>
      <c r="AL74" t="s">
        <v>57</v>
      </c>
      <c r="AM74" s="11">
        <v>44789</v>
      </c>
      <c r="AN74" t="s">
        <v>178</v>
      </c>
      <c r="AO74" t="s">
        <v>65</v>
      </c>
      <c r="AP74">
        <v>1205</v>
      </c>
      <c r="AQ74" t="s">
        <v>66</v>
      </c>
      <c r="AR74">
        <v>89653</v>
      </c>
      <c r="AU74" t="s">
        <v>57</v>
      </c>
      <c r="AV74" t="s">
        <v>68</v>
      </c>
      <c r="AX74" t="s">
        <v>57</v>
      </c>
      <c r="AY74">
        <v>631110</v>
      </c>
      <c r="AZ74">
        <v>1205.63111</v>
      </c>
      <c r="BA74" s="23" t="s">
        <v>13</v>
      </c>
    </row>
    <row r="75" spans="1:53" x14ac:dyDescent="0.25">
      <c r="A75" t="s">
        <v>134</v>
      </c>
      <c r="B75" t="s">
        <v>135</v>
      </c>
      <c r="C75">
        <v>22002359</v>
      </c>
      <c r="D75">
        <v>1205</v>
      </c>
      <c r="E75" s="11">
        <v>44789</v>
      </c>
      <c r="F75" t="s">
        <v>174</v>
      </c>
      <c r="G75" s="25">
        <v>0.21</v>
      </c>
      <c r="H75">
        <v>0.21</v>
      </c>
      <c r="I75" t="s">
        <v>56</v>
      </c>
      <c r="O75" t="s">
        <v>57</v>
      </c>
      <c r="Q75" t="s">
        <v>57</v>
      </c>
      <c r="R75" t="s">
        <v>137</v>
      </c>
      <c r="T75" t="s">
        <v>59</v>
      </c>
      <c r="U75" t="s">
        <v>60</v>
      </c>
      <c r="V75" t="s">
        <v>138</v>
      </c>
      <c r="W75" t="s">
        <v>139</v>
      </c>
      <c r="X75">
        <v>1933171</v>
      </c>
      <c r="Y75" s="11">
        <v>44789</v>
      </c>
      <c r="Z75" t="s">
        <v>57</v>
      </c>
      <c r="AA75">
        <v>2</v>
      </c>
      <c r="AB75" t="s">
        <v>57</v>
      </c>
      <c r="AD75" t="s">
        <v>57</v>
      </c>
      <c r="AE75" t="s">
        <v>57</v>
      </c>
      <c r="AF75" t="s">
        <v>57</v>
      </c>
      <c r="AG75">
        <v>1</v>
      </c>
      <c r="AH75" t="s">
        <v>57</v>
      </c>
      <c r="AL75" t="s">
        <v>57</v>
      </c>
      <c r="AM75" s="11">
        <v>44789</v>
      </c>
      <c r="AN75" t="s">
        <v>178</v>
      </c>
      <c r="AO75" t="s">
        <v>65</v>
      </c>
      <c r="AP75">
        <v>1205</v>
      </c>
      <c r="AQ75" t="s">
        <v>66</v>
      </c>
      <c r="AR75">
        <v>90569</v>
      </c>
      <c r="AU75" t="s">
        <v>57</v>
      </c>
      <c r="AV75" t="s">
        <v>68</v>
      </c>
      <c r="AX75" t="s">
        <v>57</v>
      </c>
      <c r="AY75">
        <v>631110</v>
      </c>
      <c r="AZ75">
        <v>1205.63111</v>
      </c>
      <c r="BA75" s="23" t="s">
        <v>13</v>
      </c>
    </row>
    <row r="76" spans="1:53" x14ac:dyDescent="0.25">
      <c r="A76" t="s">
        <v>134</v>
      </c>
      <c r="B76" t="s">
        <v>135</v>
      </c>
      <c r="C76">
        <v>22002374</v>
      </c>
      <c r="D76">
        <v>1205</v>
      </c>
      <c r="E76" s="11">
        <v>44792</v>
      </c>
      <c r="F76" t="s">
        <v>174</v>
      </c>
      <c r="G76" s="25">
        <v>0.21</v>
      </c>
      <c r="H76">
        <v>0.21</v>
      </c>
      <c r="I76" t="s">
        <v>56</v>
      </c>
      <c r="O76" t="s">
        <v>57</v>
      </c>
      <c r="Q76" t="s">
        <v>57</v>
      </c>
      <c r="R76" t="s">
        <v>137</v>
      </c>
      <c r="T76" t="s">
        <v>59</v>
      </c>
      <c r="U76" t="s">
        <v>60</v>
      </c>
      <c r="V76" t="s">
        <v>138</v>
      </c>
      <c r="W76" t="s">
        <v>139</v>
      </c>
      <c r="X76">
        <v>1934079</v>
      </c>
      <c r="Y76" s="11">
        <v>44792</v>
      </c>
      <c r="Z76" t="s">
        <v>57</v>
      </c>
      <c r="AA76">
        <v>14</v>
      </c>
      <c r="AB76" t="s">
        <v>57</v>
      </c>
      <c r="AD76" t="s">
        <v>57</v>
      </c>
      <c r="AE76" t="s">
        <v>57</v>
      </c>
      <c r="AF76" t="s">
        <v>57</v>
      </c>
      <c r="AG76">
        <v>1</v>
      </c>
      <c r="AH76" t="s">
        <v>57</v>
      </c>
      <c r="AL76" t="s">
        <v>57</v>
      </c>
      <c r="AM76" s="11">
        <v>44792</v>
      </c>
      <c r="AN76" t="s">
        <v>178</v>
      </c>
      <c r="AO76" t="s">
        <v>65</v>
      </c>
      <c r="AP76">
        <v>1205</v>
      </c>
      <c r="AQ76" t="s">
        <v>66</v>
      </c>
      <c r="AR76">
        <v>88778</v>
      </c>
      <c r="AU76" t="s">
        <v>57</v>
      </c>
      <c r="AV76" t="s">
        <v>68</v>
      </c>
      <c r="AX76" t="s">
        <v>57</v>
      </c>
      <c r="AY76">
        <v>631110</v>
      </c>
      <c r="AZ76">
        <v>1205.63111</v>
      </c>
      <c r="BA76" s="23" t="s">
        <v>13</v>
      </c>
    </row>
    <row r="77" spans="1:53" x14ac:dyDescent="0.25">
      <c r="A77" t="s">
        <v>134</v>
      </c>
      <c r="B77" t="s">
        <v>135</v>
      </c>
      <c r="C77">
        <v>22002281</v>
      </c>
      <c r="D77">
        <v>1205</v>
      </c>
      <c r="E77" s="11">
        <v>44776</v>
      </c>
      <c r="F77" t="s">
        <v>179</v>
      </c>
      <c r="G77" s="25">
        <v>0.23</v>
      </c>
      <c r="H77">
        <v>0.23</v>
      </c>
      <c r="I77" t="s">
        <v>56</v>
      </c>
      <c r="O77" t="s">
        <v>57</v>
      </c>
      <c r="Q77" t="s">
        <v>57</v>
      </c>
      <c r="R77" t="s">
        <v>137</v>
      </c>
      <c r="T77" t="s">
        <v>59</v>
      </c>
      <c r="U77" t="s">
        <v>60</v>
      </c>
      <c r="V77" t="s">
        <v>138</v>
      </c>
      <c r="W77" t="s">
        <v>139</v>
      </c>
      <c r="X77">
        <v>1927036</v>
      </c>
      <c r="Y77" s="11">
        <v>44776</v>
      </c>
      <c r="Z77" t="s">
        <v>57</v>
      </c>
      <c r="AA77">
        <v>10</v>
      </c>
      <c r="AB77" t="s">
        <v>57</v>
      </c>
      <c r="AD77" t="s">
        <v>57</v>
      </c>
      <c r="AE77" t="s">
        <v>57</v>
      </c>
      <c r="AF77" t="s">
        <v>57</v>
      </c>
      <c r="AG77">
        <v>2</v>
      </c>
      <c r="AH77" t="s">
        <v>57</v>
      </c>
      <c r="AL77" t="s">
        <v>57</v>
      </c>
      <c r="AM77" s="11">
        <v>44776</v>
      </c>
      <c r="AN77" t="s">
        <v>180</v>
      </c>
      <c r="AO77" t="s">
        <v>65</v>
      </c>
      <c r="AP77">
        <v>1205</v>
      </c>
      <c r="AQ77" t="s">
        <v>66</v>
      </c>
      <c r="AR77">
        <v>265889</v>
      </c>
      <c r="AU77" t="s">
        <v>57</v>
      </c>
      <c r="AV77" t="s">
        <v>68</v>
      </c>
      <c r="AX77" t="s">
        <v>57</v>
      </c>
      <c r="AY77">
        <v>631110</v>
      </c>
      <c r="AZ77">
        <v>1205.63111</v>
      </c>
      <c r="BA77" s="23" t="s">
        <v>13</v>
      </c>
    </row>
    <row r="78" spans="1:53" x14ac:dyDescent="0.25">
      <c r="A78" t="s">
        <v>134</v>
      </c>
      <c r="B78" t="s">
        <v>135</v>
      </c>
      <c r="C78">
        <v>22002323</v>
      </c>
      <c r="D78">
        <v>1205</v>
      </c>
      <c r="E78" s="11">
        <v>44783</v>
      </c>
      <c r="F78" t="s">
        <v>174</v>
      </c>
      <c r="G78" s="25">
        <v>0.23</v>
      </c>
      <c r="H78">
        <v>0.23</v>
      </c>
      <c r="I78" t="s">
        <v>56</v>
      </c>
      <c r="O78" t="s">
        <v>57</v>
      </c>
      <c r="Q78" t="s">
        <v>57</v>
      </c>
      <c r="R78" t="s">
        <v>137</v>
      </c>
      <c r="T78" t="s">
        <v>59</v>
      </c>
      <c r="U78" t="s">
        <v>60</v>
      </c>
      <c r="V78" t="s">
        <v>138</v>
      </c>
      <c r="W78" t="s">
        <v>139</v>
      </c>
      <c r="X78">
        <v>1930356</v>
      </c>
      <c r="Y78" s="11">
        <v>44783</v>
      </c>
      <c r="Z78" t="s">
        <v>57</v>
      </c>
      <c r="AA78">
        <v>6</v>
      </c>
      <c r="AB78" t="s">
        <v>57</v>
      </c>
      <c r="AD78" t="s">
        <v>57</v>
      </c>
      <c r="AE78" t="s">
        <v>57</v>
      </c>
      <c r="AF78" t="s">
        <v>57</v>
      </c>
      <c r="AG78">
        <v>2</v>
      </c>
      <c r="AH78" t="s">
        <v>57</v>
      </c>
      <c r="AL78" t="s">
        <v>57</v>
      </c>
      <c r="AM78" s="11">
        <v>44783</v>
      </c>
      <c r="AN78" t="s">
        <v>178</v>
      </c>
      <c r="AO78" t="s">
        <v>65</v>
      </c>
      <c r="AP78">
        <v>1205</v>
      </c>
      <c r="AQ78" t="s">
        <v>66</v>
      </c>
      <c r="AR78">
        <v>226150</v>
      </c>
      <c r="AU78" t="s">
        <v>57</v>
      </c>
      <c r="AV78" t="s">
        <v>68</v>
      </c>
      <c r="AX78" t="s">
        <v>57</v>
      </c>
      <c r="AY78">
        <v>631110</v>
      </c>
      <c r="AZ78">
        <v>1205.63111</v>
      </c>
      <c r="BA78" s="23" t="s">
        <v>13</v>
      </c>
    </row>
    <row r="79" spans="1:53" x14ac:dyDescent="0.25">
      <c r="A79" t="s">
        <v>134</v>
      </c>
      <c r="B79" t="s">
        <v>135</v>
      </c>
      <c r="C79">
        <v>22002325</v>
      </c>
      <c r="D79">
        <v>1205</v>
      </c>
      <c r="E79" s="11">
        <v>44783</v>
      </c>
      <c r="F79" t="s">
        <v>179</v>
      </c>
      <c r="G79" s="25">
        <v>0.23</v>
      </c>
      <c r="H79">
        <v>0.23</v>
      </c>
      <c r="I79" t="s">
        <v>56</v>
      </c>
      <c r="O79" t="s">
        <v>57</v>
      </c>
      <c r="Q79" t="s">
        <v>57</v>
      </c>
      <c r="R79" t="s">
        <v>137</v>
      </c>
      <c r="T79" t="s">
        <v>59</v>
      </c>
      <c r="U79" t="s">
        <v>60</v>
      </c>
      <c r="V79" t="s">
        <v>138</v>
      </c>
      <c r="W79" t="s">
        <v>139</v>
      </c>
      <c r="X79">
        <v>1930357</v>
      </c>
      <c r="Y79" s="11">
        <v>44783</v>
      </c>
      <c r="Z79" t="s">
        <v>57</v>
      </c>
      <c r="AA79">
        <v>14</v>
      </c>
      <c r="AB79" t="s">
        <v>57</v>
      </c>
      <c r="AD79" t="s">
        <v>57</v>
      </c>
      <c r="AE79" t="s">
        <v>57</v>
      </c>
      <c r="AF79" t="s">
        <v>57</v>
      </c>
      <c r="AG79">
        <v>2</v>
      </c>
      <c r="AH79" t="s">
        <v>57</v>
      </c>
      <c r="AL79" t="s">
        <v>57</v>
      </c>
      <c r="AM79" s="11">
        <v>44783</v>
      </c>
      <c r="AN79" t="s">
        <v>180</v>
      </c>
      <c r="AO79" t="s">
        <v>65</v>
      </c>
      <c r="AP79">
        <v>1205</v>
      </c>
      <c r="AQ79" t="s">
        <v>66</v>
      </c>
      <c r="AR79">
        <v>265889</v>
      </c>
      <c r="AU79" t="s">
        <v>57</v>
      </c>
      <c r="AV79" t="s">
        <v>68</v>
      </c>
      <c r="AX79" t="s">
        <v>57</v>
      </c>
      <c r="AY79">
        <v>631110</v>
      </c>
      <c r="AZ79">
        <v>1205.63111</v>
      </c>
      <c r="BA79" s="23" t="s">
        <v>13</v>
      </c>
    </row>
    <row r="80" spans="1:53" x14ac:dyDescent="0.25">
      <c r="A80" t="s">
        <v>134</v>
      </c>
      <c r="B80" t="s">
        <v>135</v>
      </c>
      <c r="C80">
        <v>22002264</v>
      </c>
      <c r="D80">
        <v>1205</v>
      </c>
      <c r="E80" s="11">
        <v>44774</v>
      </c>
      <c r="F80" t="s">
        <v>179</v>
      </c>
      <c r="G80" s="25">
        <v>0.25</v>
      </c>
      <c r="H80">
        <v>0.25</v>
      </c>
      <c r="I80" t="s">
        <v>56</v>
      </c>
      <c r="O80" t="s">
        <v>57</v>
      </c>
      <c r="Q80" t="s">
        <v>57</v>
      </c>
      <c r="R80" t="s">
        <v>137</v>
      </c>
      <c r="T80" t="s">
        <v>59</v>
      </c>
      <c r="U80" t="s">
        <v>60</v>
      </c>
      <c r="V80" t="s">
        <v>138</v>
      </c>
      <c r="W80" t="s">
        <v>139</v>
      </c>
      <c r="X80">
        <v>1925601</v>
      </c>
      <c r="Y80" s="11">
        <v>44774</v>
      </c>
      <c r="Z80" t="s">
        <v>57</v>
      </c>
      <c r="AA80">
        <v>12</v>
      </c>
      <c r="AB80" t="s">
        <v>57</v>
      </c>
      <c r="AD80" t="s">
        <v>57</v>
      </c>
      <c r="AE80" t="s">
        <v>57</v>
      </c>
      <c r="AF80" t="s">
        <v>57</v>
      </c>
      <c r="AG80">
        <v>2</v>
      </c>
      <c r="AH80" t="s">
        <v>57</v>
      </c>
      <c r="AL80" t="s">
        <v>57</v>
      </c>
      <c r="AM80" s="11">
        <v>44774</v>
      </c>
      <c r="AN80" t="s">
        <v>180</v>
      </c>
      <c r="AO80" t="s">
        <v>65</v>
      </c>
      <c r="AP80">
        <v>1205</v>
      </c>
      <c r="AQ80" t="s">
        <v>66</v>
      </c>
      <c r="AR80">
        <v>265216</v>
      </c>
      <c r="AU80" t="s">
        <v>57</v>
      </c>
      <c r="AV80" t="s">
        <v>68</v>
      </c>
      <c r="AX80" t="s">
        <v>57</v>
      </c>
      <c r="AY80">
        <v>631110</v>
      </c>
      <c r="AZ80">
        <v>1205.63111</v>
      </c>
      <c r="BA80" s="23" t="s">
        <v>13</v>
      </c>
    </row>
    <row r="81" spans="1:53" x14ac:dyDescent="0.25">
      <c r="A81" t="s">
        <v>134</v>
      </c>
      <c r="B81" t="s">
        <v>135</v>
      </c>
      <c r="C81">
        <v>22002281</v>
      </c>
      <c r="D81">
        <v>1205</v>
      </c>
      <c r="E81" s="11">
        <v>44776</v>
      </c>
      <c r="F81" t="s">
        <v>179</v>
      </c>
      <c r="G81" s="25">
        <v>0.25</v>
      </c>
      <c r="H81">
        <v>0.25</v>
      </c>
      <c r="I81" t="s">
        <v>56</v>
      </c>
      <c r="O81" t="s">
        <v>57</v>
      </c>
      <c r="Q81" t="s">
        <v>57</v>
      </c>
      <c r="R81" t="s">
        <v>137</v>
      </c>
      <c r="T81" t="s">
        <v>59</v>
      </c>
      <c r="U81" t="s">
        <v>60</v>
      </c>
      <c r="V81" t="s">
        <v>138</v>
      </c>
      <c r="W81" t="s">
        <v>139</v>
      </c>
      <c r="X81">
        <v>1927036</v>
      </c>
      <c r="Y81" s="11">
        <v>44776</v>
      </c>
      <c r="Z81" t="s">
        <v>57</v>
      </c>
      <c r="AA81">
        <v>16</v>
      </c>
      <c r="AB81" t="s">
        <v>57</v>
      </c>
      <c r="AD81" t="s">
        <v>57</v>
      </c>
      <c r="AE81" t="s">
        <v>57</v>
      </c>
      <c r="AF81" t="s">
        <v>57</v>
      </c>
      <c r="AG81">
        <v>2</v>
      </c>
      <c r="AH81" t="s">
        <v>57</v>
      </c>
      <c r="AL81" t="s">
        <v>57</v>
      </c>
      <c r="AM81" s="11">
        <v>44776</v>
      </c>
      <c r="AN81" t="s">
        <v>180</v>
      </c>
      <c r="AO81" t="s">
        <v>65</v>
      </c>
      <c r="AP81">
        <v>1205</v>
      </c>
      <c r="AQ81" t="s">
        <v>66</v>
      </c>
      <c r="AR81">
        <v>265216</v>
      </c>
      <c r="AU81" t="s">
        <v>57</v>
      </c>
      <c r="AV81" t="s">
        <v>68</v>
      </c>
      <c r="AX81" t="s">
        <v>57</v>
      </c>
      <c r="AY81">
        <v>631110</v>
      </c>
      <c r="AZ81">
        <v>1205.63111</v>
      </c>
      <c r="BA81" s="23" t="s">
        <v>13</v>
      </c>
    </row>
    <row r="82" spans="1:53" x14ac:dyDescent="0.25">
      <c r="A82" t="s">
        <v>134</v>
      </c>
      <c r="B82" t="s">
        <v>135</v>
      </c>
      <c r="C82">
        <v>22002342</v>
      </c>
      <c r="D82">
        <v>1205</v>
      </c>
      <c r="E82" s="11">
        <v>44785</v>
      </c>
      <c r="F82" t="s">
        <v>179</v>
      </c>
      <c r="G82" s="25">
        <v>0.25</v>
      </c>
      <c r="H82">
        <v>0.25</v>
      </c>
      <c r="I82" t="s">
        <v>56</v>
      </c>
      <c r="O82" t="s">
        <v>57</v>
      </c>
      <c r="Q82" t="s">
        <v>57</v>
      </c>
      <c r="R82" t="s">
        <v>137</v>
      </c>
      <c r="T82" t="s">
        <v>59</v>
      </c>
      <c r="U82" t="s">
        <v>60</v>
      </c>
      <c r="V82" t="s">
        <v>138</v>
      </c>
      <c r="W82" t="s">
        <v>139</v>
      </c>
      <c r="X82">
        <v>1930745</v>
      </c>
      <c r="Y82" s="11">
        <v>44785</v>
      </c>
      <c r="Z82" t="s">
        <v>57</v>
      </c>
      <c r="AA82">
        <v>24</v>
      </c>
      <c r="AB82" t="s">
        <v>57</v>
      </c>
      <c r="AD82" t="s">
        <v>57</v>
      </c>
      <c r="AE82" t="s">
        <v>57</v>
      </c>
      <c r="AF82" t="s">
        <v>57</v>
      </c>
      <c r="AG82">
        <v>2</v>
      </c>
      <c r="AH82" t="s">
        <v>57</v>
      </c>
      <c r="AL82" t="s">
        <v>57</v>
      </c>
      <c r="AM82" s="11">
        <v>44785</v>
      </c>
      <c r="AN82" t="s">
        <v>180</v>
      </c>
      <c r="AO82" t="s">
        <v>65</v>
      </c>
      <c r="AP82">
        <v>1205</v>
      </c>
      <c r="AQ82" t="s">
        <v>66</v>
      </c>
      <c r="AR82">
        <v>265217</v>
      </c>
      <c r="AU82" t="s">
        <v>57</v>
      </c>
      <c r="AV82" t="s">
        <v>68</v>
      </c>
      <c r="AX82" t="s">
        <v>57</v>
      </c>
      <c r="AY82">
        <v>631110</v>
      </c>
      <c r="AZ82">
        <v>1205.63111</v>
      </c>
      <c r="BA82" s="23" t="s">
        <v>13</v>
      </c>
    </row>
    <row r="83" spans="1:53" x14ac:dyDescent="0.25">
      <c r="A83" t="s">
        <v>134</v>
      </c>
      <c r="B83" t="s">
        <v>135</v>
      </c>
      <c r="C83">
        <v>22002372</v>
      </c>
      <c r="D83">
        <v>1205</v>
      </c>
      <c r="E83" s="11">
        <v>44791</v>
      </c>
      <c r="F83" t="s">
        <v>179</v>
      </c>
      <c r="G83" s="25">
        <v>0.25</v>
      </c>
      <c r="H83">
        <v>0.25</v>
      </c>
      <c r="I83" t="s">
        <v>56</v>
      </c>
      <c r="O83" t="s">
        <v>57</v>
      </c>
      <c r="Q83" t="s">
        <v>57</v>
      </c>
      <c r="R83" t="s">
        <v>137</v>
      </c>
      <c r="T83" t="s">
        <v>59</v>
      </c>
      <c r="U83" t="s">
        <v>60</v>
      </c>
      <c r="V83" t="s">
        <v>138</v>
      </c>
      <c r="W83" t="s">
        <v>139</v>
      </c>
      <c r="X83">
        <v>1933543</v>
      </c>
      <c r="Y83" s="11">
        <v>44791</v>
      </c>
      <c r="Z83" t="s">
        <v>57</v>
      </c>
      <c r="AA83">
        <v>24</v>
      </c>
      <c r="AB83" t="s">
        <v>57</v>
      </c>
      <c r="AD83" t="s">
        <v>57</v>
      </c>
      <c r="AE83" t="s">
        <v>57</v>
      </c>
      <c r="AF83" t="s">
        <v>57</v>
      </c>
      <c r="AG83">
        <v>2</v>
      </c>
      <c r="AH83" t="s">
        <v>57</v>
      </c>
      <c r="AL83" t="s">
        <v>57</v>
      </c>
      <c r="AM83" s="11">
        <v>44791</v>
      </c>
      <c r="AN83" t="s">
        <v>180</v>
      </c>
      <c r="AO83" t="s">
        <v>65</v>
      </c>
      <c r="AP83">
        <v>1205</v>
      </c>
      <c r="AQ83" t="s">
        <v>66</v>
      </c>
      <c r="AR83">
        <v>265217</v>
      </c>
      <c r="AU83" t="s">
        <v>57</v>
      </c>
      <c r="AV83" t="s">
        <v>68</v>
      </c>
      <c r="AX83" t="s">
        <v>57</v>
      </c>
      <c r="AY83">
        <v>631110</v>
      </c>
      <c r="AZ83">
        <v>1205.63111</v>
      </c>
      <c r="BA83" s="23" t="s">
        <v>13</v>
      </c>
    </row>
    <row r="84" spans="1:53" x14ac:dyDescent="0.25">
      <c r="A84" t="s">
        <v>134</v>
      </c>
      <c r="B84" t="s">
        <v>135</v>
      </c>
      <c r="C84">
        <v>22002341</v>
      </c>
      <c r="D84">
        <v>1205</v>
      </c>
      <c r="E84" s="11">
        <v>44785</v>
      </c>
      <c r="F84" t="s">
        <v>174</v>
      </c>
      <c r="G84" s="25">
        <v>0.28000000000000003</v>
      </c>
      <c r="H84">
        <v>0.28000000000000003</v>
      </c>
      <c r="I84" t="s">
        <v>56</v>
      </c>
      <c r="O84" t="s">
        <v>57</v>
      </c>
      <c r="Q84" t="s">
        <v>57</v>
      </c>
      <c r="R84" t="s">
        <v>137</v>
      </c>
      <c r="T84" t="s">
        <v>59</v>
      </c>
      <c r="U84" t="s">
        <v>60</v>
      </c>
      <c r="V84" t="s">
        <v>138</v>
      </c>
      <c r="W84" t="s">
        <v>139</v>
      </c>
      <c r="X84">
        <v>1930742</v>
      </c>
      <c r="Y84" s="11">
        <v>44785</v>
      </c>
      <c r="Z84" t="s">
        <v>57</v>
      </c>
      <c r="AA84">
        <v>22</v>
      </c>
      <c r="AB84" t="s">
        <v>57</v>
      </c>
      <c r="AD84" t="s">
        <v>57</v>
      </c>
      <c r="AE84" t="s">
        <v>57</v>
      </c>
      <c r="AF84" t="s">
        <v>57</v>
      </c>
      <c r="AG84">
        <v>4</v>
      </c>
      <c r="AH84" t="s">
        <v>57</v>
      </c>
      <c r="AL84" t="s">
        <v>57</v>
      </c>
      <c r="AM84" s="11">
        <v>44785</v>
      </c>
      <c r="AN84" t="s">
        <v>178</v>
      </c>
      <c r="AO84" t="s">
        <v>65</v>
      </c>
      <c r="AP84">
        <v>1205</v>
      </c>
      <c r="AQ84" t="s">
        <v>66</v>
      </c>
      <c r="AR84">
        <v>89908</v>
      </c>
      <c r="AU84" t="s">
        <v>57</v>
      </c>
      <c r="AV84" t="s">
        <v>68</v>
      </c>
      <c r="AX84" t="s">
        <v>57</v>
      </c>
      <c r="AY84">
        <v>631110</v>
      </c>
      <c r="AZ84">
        <v>1205.63111</v>
      </c>
      <c r="BA84" s="23" t="s">
        <v>13</v>
      </c>
    </row>
    <row r="85" spans="1:53" x14ac:dyDescent="0.25">
      <c r="A85" t="s">
        <v>134</v>
      </c>
      <c r="B85" t="s">
        <v>135</v>
      </c>
      <c r="C85">
        <v>22002264</v>
      </c>
      <c r="D85">
        <v>1205</v>
      </c>
      <c r="E85" s="11">
        <v>44774</v>
      </c>
      <c r="F85" t="s">
        <v>179</v>
      </c>
      <c r="G85" s="25">
        <v>0.31</v>
      </c>
      <c r="H85">
        <v>0.31</v>
      </c>
      <c r="I85" t="s">
        <v>56</v>
      </c>
      <c r="O85" t="s">
        <v>57</v>
      </c>
      <c r="Q85" t="s">
        <v>57</v>
      </c>
      <c r="R85" t="s">
        <v>137</v>
      </c>
      <c r="T85" t="s">
        <v>59</v>
      </c>
      <c r="U85" t="s">
        <v>60</v>
      </c>
      <c r="V85" t="s">
        <v>138</v>
      </c>
      <c r="W85" t="s">
        <v>139</v>
      </c>
      <c r="X85">
        <v>1925601</v>
      </c>
      <c r="Y85" s="11">
        <v>44774</v>
      </c>
      <c r="Z85" t="s">
        <v>57</v>
      </c>
      <c r="AA85">
        <v>28</v>
      </c>
      <c r="AB85" t="s">
        <v>57</v>
      </c>
      <c r="AD85" t="s">
        <v>57</v>
      </c>
      <c r="AE85" t="s">
        <v>57</v>
      </c>
      <c r="AF85" t="s">
        <v>57</v>
      </c>
      <c r="AG85">
        <v>2</v>
      </c>
      <c r="AH85" t="s">
        <v>57</v>
      </c>
      <c r="AL85" t="s">
        <v>57</v>
      </c>
      <c r="AM85" s="11">
        <v>44774</v>
      </c>
      <c r="AN85" t="s">
        <v>180</v>
      </c>
      <c r="AO85" t="s">
        <v>65</v>
      </c>
      <c r="AP85">
        <v>1205</v>
      </c>
      <c r="AQ85" t="s">
        <v>66</v>
      </c>
      <c r="AR85">
        <v>265528</v>
      </c>
      <c r="AU85" t="s">
        <v>57</v>
      </c>
      <c r="AV85" t="s">
        <v>68</v>
      </c>
      <c r="AX85" t="s">
        <v>57</v>
      </c>
      <c r="AY85">
        <v>631110</v>
      </c>
      <c r="AZ85">
        <v>1205.63111</v>
      </c>
      <c r="BA85" s="23" t="s">
        <v>13</v>
      </c>
    </row>
    <row r="86" spans="1:53" x14ac:dyDescent="0.25">
      <c r="A86" t="s">
        <v>134</v>
      </c>
      <c r="B86" t="s">
        <v>135</v>
      </c>
      <c r="C86">
        <v>22002316</v>
      </c>
      <c r="D86">
        <v>1205</v>
      </c>
      <c r="E86" s="11">
        <v>44782</v>
      </c>
      <c r="F86" t="s">
        <v>174</v>
      </c>
      <c r="G86" s="25">
        <v>0.31</v>
      </c>
      <c r="H86">
        <v>0.31</v>
      </c>
      <c r="I86" t="s">
        <v>56</v>
      </c>
      <c r="O86" t="s">
        <v>57</v>
      </c>
      <c r="Q86" t="s">
        <v>57</v>
      </c>
      <c r="R86" t="s">
        <v>137</v>
      </c>
      <c r="T86" t="s">
        <v>59</v>
      </c>
      <c r="U86" t="s">
        <v>60</v>
      </c>
      <c r="V86" t="s">
        <v>138</v>
      </c>
      <c r="W86" t="s">
        <v>139</v>
      </c>
      <c r="X86">
        <v>1929847</v>
      </c>
      <c r="Y86" s="11">
        <v>44782</v>
      </c>
      <c r="Z86" t="s">
        <v>57</v>
      </c>
      <c r="AA86">
        <v>22</v>
      </c>
      <c r="AB86" t="s">
        <v>57</v>
      </c>
      <c r="AD86" t="s">
        <v>57</v>
      </c>
      <c r="AE86" t="s">
        <v>57</v>
      </c>
      <c r="AF86" t="s">
        <v>57</v>
      </c>
      <c r="AG86">
        <v>1</v>
      </c>
      <c r="AH86" t="s">
        <v>57</v>
      </c>
      <c r="AL86" t="s">
        <v>57</v>
      </c>
      <c r="AM86" s="11">
        <v>44782</v>
      </c>
      <c r="AN86" t="s">
        <v>178</v>
      </c>
      <c r="AO86" t="s">
        <v>65</v>
      </c>
      <c r="AP86">
        <v>1205</v>
      </c>
      <c r="AQ86" t="s">
        <v>66</v>
      </c>
      <c r="AR86">
        <v>170553</v>
      </c>
      <c r="AU86" t="s">
        <v>57</v>
      </c>
      <c r="AV86" t="s">
        <v>68</v>
      </c>
      <c r="AX86" t="s">
        <v>57</v>
      </c>
      <c r="AY86">
        <v>631110</v>
      </c>
      <c r="AZ86">
        <v>1205.63111</v>
      </c>
      <c r="BA86" s="23" t="s">
        <v>13</v>
      </c>
    </row>
    <row r="87" spans="1:53" x14ac:dyDescent="0.25">
      <c r="A87" t="s">
        <v>134</v>
      </c>
      <c r="B87" t="s">
        <v>135</v>
      </c>
      <c r="C87">
        <v>22002318</v>
      </c>
      <c r="D87">
        <v>1205</v>
      </c>
      <c r="E87" s="11">
        <v>44782</v>
      </c>
      <c r="F87" t="s">
        <v>179</v>
      </c>
      <c r="G87" s="25">
        <v>0.31</v>
      </c>
      <c r="H87">
        <v>0.31</v>
      </c>
      <c r="I87" t="s">
        <v>56</v>
      </c>
      <c r="O87" t="s">
        <v>57</v>
      </c>
      <c r="Q87" t="s">
        <v>57</v>
      </c>
      <c r="R87" t="s">
        <v>137</v>
      </c>
      <c r="T87" t="s">
        <v>59</v>
      </c>
      <c r="U87" t="s">
        <v>60</v>
      </c>
      <c r="V87" t="s">
        <v>138</v>
      </c>
      <c r="W87" t="s">
        <v>139</v>
      </c>
      <c r="X87">
        <v>1929852</v>
      </c>
      <c r="Y87" s="11">
        <v>44782</v>
      </c>
      <c r="Z87" t="s">
        <v>57</v>
      </c>
      <c r="AA87">
        <v>42</v>
      </c>
      <c r="AB87" t="s">
        <v>57</v>
      </c>
      <c r="AD87" t="s">
        <v>57</v>
      </c>
      <c r="AE87" t="s">
        <v>57</v>
      </c>
      <c r="AF87" t="s">
        <v>57</v>
      </c>
      <c r="AG87">
        <v>2</v>
      </c>
      <c r="AH87" t="s">
        <v>57</v>
      </c>
      <c r="AL87" t="s">
        <v>57</v>
      </c>
      <c r="AM87" s="11">
        <v>44782</v>
      </c>
      <c r="AN87" t="s">
        <v>180</v>
      </c>
      <c r="AO87" t="s">
        <v>65</v>
      </c>
      <c r="AP87">
        <v>1205</v>
      </c>
      <c r="AQ87" t="s">
        <v>66</v>
      </c>
      <c r="AR87">
        <v>265528</v>
      </c>
      <c r="AU87" t="s">
        <v>57</v>
      </c>
      <c r="AV87" t="s">
        <v>68</v>
      </c>
      <c r="AX87" t="s">
        <v>57</v>
      </c>
      <c r="AY87">
        <v>631110</v>
      </c>
      <c r="AZ87">
        <v>1205.63111</v>
      </c>
      <c r="BA87" s="23" t="s">
        <v>13</v>
      </c>
    </row>
    <row r="88" spans="1:53" x14ac:dyDescent="0.25">
      <c r="A88" t="s">
        <v>134</v>
      </c>
      <c r="B88" t="s">
        <v>135</v>
      </c>
      <c r="C88">
        <v>22002325</v>
      </c>
      <c r="D88">
        <v>1205</v>
      </c>
      <c r="E88" s="11">
        <v>44783</v>
      </c>
      <c r="F88" t="s">
        <v>179</v>
      </c>
      <c r="G88" s="25">
        <v>0.31</v>
      </c>
      <c r="H88">
        <v>0.31</v>
      </c>
      <c r="I88" t="s">
        <v>56</v>
      </c>
      <c r="O88" t="s">
        <v>57</v>
      </c>
      <c r="Q88" t="s">
        <v>57</v>
      </c>
      <c r="R88" t="s">
        <v>137</v>
      </c>
      <c r="T88" t="s">
        <v>59</v>
      </c>
      <c r="U88" t="s">
        <v>60</v>
      </c>
      <c r="V88" t="s">
        <v>138</v>
      </c>
      <c r="W88" t="s">
        <v>139</v>
      </c>
      <c r="X88">
        <v>1930357</v>
      </c>
      <c r="Y88" s="11">
        <v>44783</v>
      </c>
      <c r="Z88" t="s">
        <v>57</v>
      </c>
      <c r="AA88">
        <v>28</v>
      </c>
      <c r="AB88" t="s">
        <v>57</v>
      </c>
      <c r="AD88" t="s">
        <v>57</v>
      </c>
      <c r="AE88" t="s">
        <v>57</v>
      </c>
      <c r="AF88" t="s">
        <v>57</v>
      </c>
      <c r="AG88">
        <v>2</v>
      </c>
      <c r="AH88" t="s">
        <v>57</v>
      </c>
      <c r="AL88" t="s">
        <v>57</v>
      </c>
      <c r="AM88" s="11">
        <v>44783</v>
      </c>
      <c r="AN88" t="s">
        <v>180</v>
      </c>
      <c r="AO88" t="s">
        <v>65</v>
      </c>
      <c r="AP88">
        <v>1205</v>
      </c>
      <c r="AQ88" t="s">
        <v>66</v>
      </c>
      <c r="AR88">
        <v>265891</v>
      </c>
      <c r="AU88" t="s">
        <v>57</v>
      </c>
      <c r="AV88" t="s">
        <v>68</v>
      </c>
      <c r="AX88" t="s">
        <v>57</v>
      </c>
      <c r="AY88">
        <v>631110</v>
      </c>
      <c r="AZ88">
        <v>1205.63111</v>
      </c>
      <c r="BA88" s="23" t="s">
        <v>13</v>
      </c>
    </row>
    <row r="89" spans="1:53" x14ac:dyDescent="0.25">
      <c r="A89" t="s">
        <v>134</v>
      </c>
      <c r="B89" t="s">
        <v>135</v>
      </c>
      <c r="C89">
        <v>22002325</v>
      </c>
      <c r="D89">
        <v>1205</v>
      </c>
      <c r="E89" s="11">
        <v>44783</v>
      </c>
      <c r="F89" t="s">
        <v>179</v>
      </c>
      <c r="G89" s="25">
        <v>0.31</v>
      </c>
      <c r="H89">
        <v>0.31</v>
      </c>
      <c r="I89" t="s">
        <v>56</v>
      </c>
      <c r="O89" t="s">
        <v>57</v>
      </c>
      <c r="Q89" t="s">
        <v>57</v>
      </c>
      <c r="R89" t="s">
        <v>137</v>
      </c>
      <c r="T89" t="s">
        <v>59</v>
      </c>
      <c r="U89" t="s">
        <v>60</v>
      </c>
      <c r="V89" t="s">
        <v>138</v>
      </c>
      <c r="W89" t="s">
        <v>139</v>
      </c>
      <c r="X89">
        <v>1930357</v>
      </c>
      <c r="Y89" s="11">
        <v>44783</v>
      </c>
      <c r="Z89" t="s">
        <v>57</v>
      </c>
      <c r="AA89">
        <v>38</v>
      </c>
      <c r="AB89" t="s">
        <v>57</v>
      </c>
      <c r="AD89" t="s">
        <v>57</v>
      </c>
      <c r="AE89" t="s">
        <v>57</v>
      </c>
      <c r="AF89" t="s">
        <v>57</v>
      </c>
      <c r="AG89">
        <v>2</v>
      </c>
      <c r="AH89" t="s">
        <v>57</v>
      </c>
      <c r="AL89" t="s">
        <v>57</v>
      </c>
      <c r="AM89" s="11">
        <v>44783</v>
      </c>
      <c r="AN89" t="s">
        <v>180</v>
      </c>
      <c r="AO89" t="s">
        <v>65</v>
      </c>
      <c r="AP89">
        <v>1205</v>
      </c>
      <c r="AQ89" t="s">
        <v>66</v>
      </c>
      <c r="AR89">
        <v>265528</v>
      </c>
      <c r="AU89" t="s">
        <v>57</v>
      </c>
      <c r="AV89" t="s">
        <v>68</v>
      </c>
      <c r="AX89" t="s">
        <v>57</v>
      </c>
      <c r="AY89">
        <v>631110</v>
      </c>
      <c r="AZ89">
        <v>1205.63111</v>
      </c>
      <c r="BA89" s="23" t="s">
        <v>13</v>
      </c>
    </row>
    <row r="90" spans="1:53" x14ac:dyDescent="0.25">
      <c r="A90" t="s">
        <v>134</v>
      </c>
      <c r="B90" t="s">
        <v>135</v>
      </c>
      <c r="C90">
        <v>22002368</v>
      </c>
      <c r="D90">
        <v>1205</v>
      </c>
      <c r="E90" s="11">
        <v>44791</v>
      </c>
      <c r="F90" t="s">
        <v>159</v>
      </c>
      <c r="G90" s="25">
        <v>0.31</v>
      </c>
      <c r="H90">
        <v>0.31</v>
      </c>
      <c r="I90" t="s">
        <v>56</v>
      </c>
      <c r="O90" t="s">
        <v>57</v>
      </c>
      <c r="Q90" t="s">
        <v>57</v>
      </c>
      <c r="R90" t="s">
        <v>137</v>
      </c>
      <c r="T90" t="s">
        <v>59</v>
      </c>
      <c r="U90" t="s">
        <v>60</v>
      </c>
      <c r="V90" t="s">
        <v>138</v>
      </c>
      <c r="W90" t="s">
        <v>139</v>
      </c>
      <c r="X90">
        <v>1933538</v>
      </c>
      <c r="Y90" s="11">
        <v>44791</v>
      </c>
      <c r="Z90" t="s">
        <v>57</v>
      </c>
      <c r="AA90">
        <v>2</v>
      </c>
      <c r="AB90" t="s">
        <v>57</v>
      </c>
      <c r="AD90" t="s">
        <v>57</v>
      </c>
      <c r="AE90" t="s">
        <v>57</v>
      </c>
      <c r="AF90" t="s">
        <v>57</v>
      </c>
      <c r="AG90">
        <v>1</v>
      </c>
      <c r="AH90" t="s">
        <v>57</v>
      </c>
      <c r="AL90" t="s">
        <v>57</v>
      </c>
      <c r="AM90" s="11">
        <v>44791</v>
      </c>
      <c r="AN90" t="s">
        <v>178</v>
      </c>
      <c r="AO90" t="s">
        <v>65</v>
      </c>
      <c r="AP90">
        <v>1205</v>
      </c>
      <c r="AQ90" t="s">
        <v>66</v>
      </c>
      <c r="AR90">
        <v>89830</v>
      </c>
      <c r="AU90" t="s">
        <v>57</v>
      </c>
      <c r="AV90" t="s">
        <v>68</v>
      </c>
      <c r="AX90" t="s">
        <v>57</v>
      </c>
      <c r="AY90">
        <v>631110</v>
      </c>
      <c r="AZ90">
        <v>1205.63111</v>
      </c>
      <c r="BA90" s="23" t="s">
        <v>13</v>
      </c>
    </row>
    <row r="91" spans="1:53" x14ac:dyDescent="0.25">
      <c r="A91" t="s">
        <v>134</v>
      </c>
      <c r="B91" t="s">
        <v>135</v>
      </c>
      <c r="C91">
        <v>22002372</v>
      </c>
      <c r="D91">
        <v>1205</v>
      </c>
      <c r="E91" s="11">
        <v>44791</v>
      </c>
      <c r="F91" t="s">
        <v>179</v>
      </c>
      <c r="G91" s="25">
        <v>0.31</v>
      </c>
      <c r="H91">
        <v>0.31</v>
      </c>
      <c r="I91" t="s">
        <v>56</v>
      </c>
      <c r="O91" t="s">
        <v>57</v>
      </c>
      <c r="Q91" t="s">
        <v>57</v>
      </c>
      <c r="R91" t="s">
        <v>137</v>
      </c>
      <c r="T91" t="s">
        <v>59</v>
      </c>
      <c r="U91" t="s">
        <v>60</v>
      </c>
      <c r="V91" t="s">
        <v>138</v>
      </c>
      <c r="W91" t="s">
        <v>139</v>
      </c>
      <c r="X91">
        <v>1933543</v>
      </c>
      <c r="Y91" s="11">
        <v>44791</v>
      </c>
      <c r="Z91" t="s">
        <v>57</v>
      </c>
      <c r="AA91">
        <v>32</v>
      </c>
      <c r="AB91" t="s">
        <v>57</v>
      </c>
      <c r="AD91" t="s">
        <v>57</v>
      </c>
      <c r="AE91" t="s">
        <v>57</v>
      </c>
      <c r="AF91" t="s">
        <v>57</v>
      </c>
      <c r="AG91">
        <v>2</v>
      </c>
      <c r="AH91" t="s">
        <v>57</v>
      </c>
      <c r="AL91" t="s">
        <v>57</v>
      </c>
      <c r="AM91" s="11">
        <v>44791</v>
      </c>
      <c r="AN91" t="s">
        <v>180</v>
      </c>
      <c r="AO91" t="s">
        <v>65</v>
      </c>
      <c r="AP91">
        <v>1205</v>
      </c>
      <c r="AQ91" t="s">
        <v>66</v>
      </c>
      <c r="AR91">
        <v>89712</v>
      </c>
      <c r="AU91" t="s">
        <v>57</v>
      </c>
      <c r="AV91" t="s">
        <v>68</v>
      </c>
      <c r="AX91" t="s">
        <v>57</v>
      </c>
      <c r="AY91">
        <v>631110</v>
      </c>
      <c r="AZ91">
        <v>1205.63111</v>
      </c>
      <c r="BA91" s="23" t="s">
        <v>13</v>
      </c>
    </row>
    <row r="92" spans="1:53" x14ac:dyDescent="0.25">
      <c r="A92" t="s">
        <v>134</v>
      </c>
      <c r="B92" t="s">
        <v>135</v>
      </c>
      <c r="C92">
        <v>22002262</v>
      </c>
      <c r="D92">
        <v>1205</v>
      </c>
      <c r="E92" s="11">
        <v>44774</v>
      </c>
      <c r="F92" t="s">
        <v>174</v>
      </c>
      <c r="G92" s="25">
        <v>0.32</v>
      </c>
      <c r="H92">
        <v>0.32</v>
      </c>
      <c r="I92" t="s">
        <v>56</v>
      </c>
      <c r="O92" t="s">
        <v>57</v>
      </c>
      <c r="Q92" t="s">
        <v>57</v>
      </c>
      <c r="R92" t="s">
        <v>137</v>
      </c>
      <c r="T92" t="s">
        <v>59</v>
      </c>
      <c r="U92" t="s">
        <v>60</v>
      </c>
      <c r="V92" t="s">
        <v>138</v>
      </c>
      <c r="W92" t="s">
        <v>139</v>
      </c>
      <c r="X92">
        <v>1925596</v>
      </c>
      <c r="Y92" s="11">
        <v>44774</v>
      </c>
      <c r="Z92" t="s">
        <v>57</v>
      </c>
      <c r="AA92">
        <v>14</v>
      </c>
      <c r="AB92" t="s">
        <v>57</v>
      </c>
      <c r="AD92" t="s">
        <v>57</v>
      </c>
      <c r="AE92" t="s">
        <v>57</v>
      </c>
      <c r="AF92" t="s">
        <v>57</v>
      </c>
      <c r="AG92">
        <v>2</v>
      </c>
      <c r="AH92" t="s">
        <v>57</v>
      </c>
      <c r="AL92" t="s">
        <v>57</v>
      </c>
      <c r="AM92" s="11">
        <v>44774</v>
      </c>
      <c r="AN92" t="s">
        <v>178</v>
      </c>
      <c r="AO92" t="s">
        <v>65</v>
      </c>
      <c r="AP92">
        <v>1205</v>
      </c>
      <c r="AQ92" t="s">
        <v>66</v>
      </c>
      <c r="AR92">
        <v>88760</v>
      </c>
      <c r="AU92" t="s">
        <v>57</v>
      </c>
      <c r="AV92" t="s">
        <v>68</v>
      </c>
      <c r="AX92" t="s">
        <v>57</v>
      </c>
      <c r="AY92">
        <v>631110</v>
      </c>
      <c r="AZ92">
        <v>1205.63111</v>
      </c>
      <c r="BA92" s="23" t="s">
        <v>13</v>
      </c>
    </row>
    <row r="93" spans="1:53" x14ac:dyDescent="0.25">
      <c r="A93" t="s">
        <v>134</v>
      </c>
      <c r="B93" t="s">
        <v>135</v>
      </c>
      <c r="C93">
        <v>22002307</v>
      </c>
      <c r="D93">
        <v>1205</v>
      </c>
      <c r="E93" s="11">
        <v>44778</v>
      </c>
      <c r="F93" t="s">
        <v>179</v>
      </c>
      <c r="G93" s="25">
        <v>0.32</v>
      </c>
      <c r="H93">
        <v>0.32</v>
      </c>
      <c r="I93" t="s">
        <v>56</v>
      </c>
      <c r="O93" t="s">
        <v>57</v>
      </c>
      <c r="Q93" t="s">
        <v>57</v>
      </c>
      <c r="R93" t="s">
        <v>137</v>
      </c>
      <c r="T93" t="s">
        <v>59</v>
      </c>
      <c r="U93" t="s">
        <v>60</v>
      </c>
      <c r="V93" t="s">
        <v>138</v>
      </c>
      <c r="W93" t="s">
        <v>139</v>
      </c>
      <c r="X93">
        <v>1928768</v>
      </c>
      <c r="Y93" s="11">
        <v>44778</v>
      </c>
      <c r="Z93" t="s">
        <v>57</v>
      </c>
      <c r="AA93">
        <v>14</v>
      </c>
      <c r="AB93" t="s">
        <v>57</v>
      </c>
      <c r="AD93" t="s">
        <v>57</v>
      </c>
      <c r="AE93" t="s">
        <v>57</v>
      </c>
      <c r="AF93" t="s">
        <v>57</v>
      </c>
      <c r="AG93">
        <v>4</v>
      </c>
      <c r="AH93" t="s">
        <v>57</v>
      </c>
      <c r="AL93" t="s">
        <v>57</v>
      </c>
      <c r="AM93" s="11">
        <v>44778</v>
      </c>
      <c r="AN93" t="s">
        <v>180</v>
      </c>
      <c r="AO93" t="s">
        <v>65</v>
      </c>
      <c r="AP93">
        <v>1205</v>
      </c>
      <c r="AQ93" t="s">
        <v>66</v>
      </c>
      <c r="AR93">
        <v>88642</v>
      </c>
      <c r="AU93" t="s">
        <v>57</v>
      </c>
      <c r="AV93" t="s">
        <v>68</v>
      </c>
      <c r="AX93" t="s">
        <v>57</v>
      </c>
      <c r="AY93">
        <v>631110</v>
      </c>
      <c r="AZ93">
        <v>1205.63111</v>
      </c>
      <c r="BA93" s="23" t="s">
        <v>13</v>
      </c>
    </row>
    <row r="94" spans="1:53" x14ac:dyDescent="0.25">
      <c r="A94" t="s">
        <v>134</v>
      </c>
      <c r="B94" t="s">
        <v>135</v>
      </c>
      <c r="C94">
        <v>22002338</v>
      </c>
      <c r="D94">
        <v>1205</v>
      </c>
      <c r="E94" s="11">
        <v>44784</v>
      </c>
      <c r="F94" t="s">
        <v>174</v>
      </c>
      <c r="G94" s="25">
        <v>0.32</v>
      </c>
      <c r="H94">
        <v>0.32</v>
      </c>
      <c r="I94" t="s">
        <v>56</v>
      </c>
      <c r="O94" t="s">
        <v>57</v>
      </c>
      <c r="Q94" t="s">
        <v>57</v>
      </c>
      <c r="R94" t="s">
        <v>137</v>
      </c>
      <c r="T94" t="s">
        <v>59</v>
      </c>
      <c r="U94" t="s">
        <v>60</v>
      </c>
      <c r="V94" t="s">
        <v>138</v>
      </c>
      <c r="W94" t="s">
        <v>139</v>
      </c>
      <c r="X94">
        <v>1930521</v>
      </c>
      <c r="Y94" s="11">
        <v>44784</v>
      </c>
      <c r="Z94" t="s">
        <v>57</v>
      </c>
      <c r="AA94">
        <v>20</v>
      </c>
      <c r="AB94" t="s">
        <v>57</v>
      </c>
      <c r="AD94" t="s">
        <v>57</v>
      </c>
      <c r="AE94" t="s">
        <v>57</v>
      </c>
      <c r="AF94" t="s">
        <v>57</v>
      </c>
      <c r="AG94">
        <v>2</v>
      </c>
      <c r="AH94" t="s">
        <v>57</v>
      </c>
      <c r="AL94" t="s">
        <v>57</v>
      </c>
      <c r="AM94" s="11">
        <v>44784</v>
      </c>
      <c r="AN94" t="s">
        <v>178</v>
      </c>
      <c r="AO94" t="s">
        <v>65</v>
      </c>
      <c r="AP94">
        <v>1205</v>
      </c>
      <c r="AQ94" t="s">
        <v>66</v>
      </c>
      <c r="AR94">
        <v>88760</v>
      </c>
      <c r="AU94" t="s">
        <v>57</v>
      </c>
      <c r="AV94" t="s">
        <v>68</v>
      </c>
      <c r="AX94" t="s">
        <v>57</v>
      </c>
      <c r="AY94">
        <v>631110</v>
      </c>
      <c r="AZ94">
        <v>1205.63111</v>
      </c>
      <c r="BA94" s="23" t="s">
        <v>13</v>
      </c>
    </row>
    <row r="95" spans="1:53" x14ac:dyDescent="0.25">
      <c r="A95" t="s">
        <v>134</v>
      </c>
      <c r="B95" t="s">
        <v>135</v>
      </c>
      <c r="C95">
        <v>22002295</v>
      </c>
      <c r="D95">
        <v>1205</v>
      </c>
      <c r="E95" s="11">
        <v>44777</v>
      </c>
      <c r="F95" t="s">
        <v>179</v>
      </c>
      <c r="G95" s="25">
        <v>0.33</v>
      </c>
      <c r="H95">
        <v>0.33</v>
      </c>
      <c r="I95" t="s">
        <v>56</v>
      </c>
      <c r="O95" t="s">
        <v>57</v>
      </c>
      <c r="Q95" t="s">
        <v>57</v>
      </c>
      <c r="R95" t="s">
        <v>137</v>
      </c>
      <c r="T95" t="s">
        <v>59</v>
      </c>
      <c r="U95" t="s">
        <v>60</v>
      </c>
      <c r="V95" t="s">
        <v>138</v>
      </c>
      <c r="W95" t="s">
        <v>139</v>
      </c>
      <c r="X95">
        <v>1927636</v>
      </c>
      <c r="Y95" s="11">
        <v>44777</v>
      </c>
      <c r="Z95" t="s">
        <v>57</v>
      </c>
      <c r="AA95">
        <v>12</v>
      </c>
      <c r="AB95" t="s">
        <v>57</v>
      </c>
      <c r="AD95" t="s">
        <v>57</v>
      </c>
      <c r="AE95" t="s">
        <v>57</v>
      </c>
      <c r="AF95" t="s">
        <v>57</v>
      </c>
      <c r="AG95">
        <v>3</v>
      </c>
      <c r="AH95" t="s">
        <v>57</v>
      </c>
      <c r="AL95" t="s">
        <v>57</v>
      </c>
      <c r="AM95" s="11">
        <v>44777</v>
      </c>
      <c r="AN95" t="s">
        <v>180</v>
      </c>
      <c r="AO95" t="s">
        <v>65</v>
      </c>
      <c r="AP95">
        <v>1205</v>
      </c>
      <c r="AQ95" t="s">
        <v>66</v>
      </c>
      <c r="AR95">
        <v>90435</v>
      </c>
      <c r="AU95" t="s">
        <v>57</v>
      </c>
      <c r="AV95" t="s">
        <v>68</v>
      </c>
      <c r="AX95" t="s">
        <v>57</v>
      </c>
      <c r="AY95">
        <v>631110</v>
      </c>
      <c r="AZ95">
        <v>1205.63111</v>
      </c>
      <c r="BA95" s="23" t="s">
        <v>13</v>
      </c>
    </row>
    <row r="96" spans="1:53" x14ac:dyDescent="0.25">
      <c r="A96" t="s">
        <v>134</v>
      </c>
      <c r="B96" t="s">
        <v>135</v>
      </c>
      <c r="C96">
        <v>22002292</v>
      </c>
      <c r="D96">
        <v>1205</v>
      </c>
      <c r="E96" s="11">
        <v>44777</v>
      </c>
      <c r="F96" t="s">
        <v>174</v>
      </c>
      <c r="G96" s="25">
        <v>0.34</v>
      </c>
      <c r="H96">
        <v>0.34</v>
      </c>
      <c r="I96" t="s">
        <v>56</v>
      </c>
      <c r="O96" t="s">
        <v>57</v>
      </c>
      <c r="Q96" t="s">
        <v>57</v>
      </c>
      <c r="R96" t="s">
        <v>137</v>
      </c>
      <c r="T96" t="s">
        <v>59</v>
      </c>
      <c r="U96" t="s">
        <v>60</v>
      </c>
      <c r="V96" t="s">
        <v>138</v>
      </c>
      <c r="W96" t="s">
        <v>139</v>
      </c>
      <c r="X96">
        <v>1927517</v>
      </c>
      <c r="Y96" s="11">
        <v>44777</v>
      </c>
      <c r="Z96" t="s">
        <v>57</v>
      </c>
      <c r="AA96">
        <v>2</v>
      </c>
      <c r="AB96" t="s">
        <v>57</v>
      </c>
      <c r="AD96" t="s">
        <v>57</v>
      </c>
      <c r="AE96" t="s">
        <v>57</v>
      </c>
      <c r="AF96" t="s">
        <v>57</v>
      </c>
      <c r="AG96">
        <v>1</v>
      </c>
      <c r="AH96" t="s">
        <v>57</v>
      </c>
      <c r="AL96" t="s">
        <v>57</v>
      </c>
      <c r="AM96" s="11">
        <v>44777</v>
      </c>
      <c r="AN96" t="s">
        <v>178</v>
      </c>
      <c r="AO96" t="s">
        <v>65</v>
      </c>
      <c r="AP96">
        <v>1205</v>
      </c>
      <c r="AQ96" t="s">
        <v>66</v>
      </c>
      <c r="AR96">
        <v>239312</v>
      </c>
      <c r="AU96" t="s">
        <v>57</v>
      </c>
      <c r="AV96" t="s">
        <v>68</v>
      </c>
      <c r="AX96" t="s">
        <v>57</v>
      </c>
      <c r="AY96">
        <v>631110</v>
      </c>
      <c r="AZ96">
        <v>1205.63111</v>
      </c>
      <c r="BA96" s="23" t="s">
        <v>13</v>
      </c>
    </row>
    <row r="97" spans="1:53" x14ac:dyDescent="0.25">
      <c r="A97" t="s">
        <v>134</v>
      </c>
      <c r="B97" t="s">
        <v>135</v>
      </c>
      <c r="C97">
        <v>22002299</v>
      </c>
      <c r="D97">
        <v>1205</v>
      </c>
      <c r="E97" s="11">
        <v>44778</v>
      </c>
      <c r="F97" t="s">
        <v>174</v>
      </c>
      <c r="G97" s="25">
        <v>0.34</v>
      </c>
      <c r="H97">
        <v>0.34</v>
      </c>
      <c r="I97" t="s">
        <v>56</v>
      </c>
      <c r="O97" t="s">
        <v>57</v>
      </c>
      <c r="Q97" t="s">
        <v>57</v>
      </c>
      <c r="R97" t="s">
        <v>137</v>
      </c>
      <c r="T97" t="s">
        <v>59</v>
      </c>
      <c r="U97" t="s">
        <v>60</v>
      </c>
      <c r="V97" t="s">
        <v>138</v>
      </c>
      <c r="W97" t="s">
        <v>139</v>
      </c>
      <c r="X97">
        <v>1928751</v>
      </c>
      <c r="Y97" s="11">
        <v>44778</v>
      </c>
      <c r="Z97" t="s">
        <v>57</v>
      </c>
      <c r="AA97">
        <v>6</v>
      </c>
      <c r="AB97" t="s">
        <v>57</v>
      </c>
      <c r="AD97" t="s">
        <v>57</v>
      </c>
      <c r="AE97" t="s">
        <v>57</v>
      </c>
      <c r="AF97" t="s">
        <v>57</v>
      </c>
      <c r="AG97">
        <v>1</v>
      </c>
      <c r="AH97" t="s">
        <v>57</v>
      </c>
      <c r="AL97" t="s">
        <v>57</v>
      </c>
      <c r="AM97" s="11">
        <v>44778</v>
      </c>
      <c r="AN97" t="s">
        <v>178</v>
      </c>
      <c r="AO97" t="s">
        <v>65</v>
      </c>
      <c r="AP97">
        <v>1205</v>
      </c>
      <c r="AQ97" t="s">
        <v>66</v>
      </c>
      <c r="AR97">
        <v>239312</v>
      </c>
      <c r="AU97" t="s">
        <v>57</v>
      </c>
      <c r="AV97" t="s">
        <v>68</v>
      </c>
      <c r="AX97" t="s">
        <v>57</v>
      </c>
      <c r="AY97">
        <v>631110</v>
      </c>
      <c r="AZ97">
        <v>1205.63111</v>
      </c>
      <c r="BA97" s="23" t="s">
        <v>13</v>
      </c>
    </row>
    <row r="98" spans="1:53" x14ac:dyDescent="0.25">
      <c r="A98" t="s">
        <v>134</v>
      </c>
      <c r="B98" t="s">
        <v>135</v>
      </c>
      <c r="C98">
        <v>22002311</v>
      </c>
      <c r="D98">
        <v>1205</v>
      </c>
      <c r="E98" s="11">
        <v>44781</v>
      </c>
      <c r="F98" t="s">
        <v>174</v>
      </c>
      <c r="G98" s="25">
        <v>0.34</v>
      </c>
      <c r="H98">
        <v>0.34</v>
      </c>
      <c r="I98" t="s">
        <v>56</v>
      </c>
      <c r="O98" t="s">
        <v>57</v>
      </c>
      <c r="Q98" t="s">
        <v>57</v>
      </c>
      <c r="R98" t="s">
        <v>137</v>
      </c>
      <c r="T98" t="s">
        <v>59</v>
      </c>
      <c r="U98" t="s">
        <v>60</v>
      </c>
      <c r="V98" t="s">
        <v>138</v>
      </c>
      <c r="W98" t="s">
        <v>139</v>
      </c>
      <c r="X98">
        <v>1928974</v>
      </c>
      <c r="Y98" s="11">
        <v>44781</v>
      </c>
      <c r="Z98" t="s">
        <v>57</v>
      </c>
      <c r="AA98">
        <v>22</v>
      </c>
      <c r="AB98" t="s">
        <v>57</v>
      </c>
      <c r="AD98" t="s">
        <v>57</v>
      </c>
      <c r="AE98" t="s">
        <v>57</v>
      </c>
      <c r="AF98" t="s">
        <v>57</v>
      </c>
      <c r="AG98">
        <v>1</v>
      </c>
      <c r="AH98" t="s">
        <v>57</v>
      </c>
      <c r="AL98" t="s">
        <v>57</v>
      </c>
      <c r="AM98" s="11">
        <v>44781</v>
      </c>
      <c r="AN98" t="s">
        <v>178</v>
      </c>
      <c r="AO98" t="s">
        <v>65</v>
      </c>
      <c r="AP98">
        <v>1205</v>
      </c>
      <c r="AQ98" t="s">
        <v>66</v>
      </c>
      <c r="AR98">
        <v>239312</v>
      </c>
      <c r="AU98" t="s">
        <v>57</v>
      </c>
      <c r="AV98" t="s">
        <v>68</v>
      </c>
      <c r="AX98" t="s">
        <v>57</v>
      </c>
      <c r="AY98">
        <v>631110</v>
      </c>
      <c r="AZ98">
        <v>1205.63111</v>
      </c>
      <c r="BA98" s="23" t="s">
        <v>13</v>
      </c>
    </row>
    <row r="99" spans="1:53" x14ac:dyDescent="0.25">
      <c r="A99" t="s">
        <v>134</v>
      </c>
      <c r="B99" t="s">
        <v>135</v>
      </c>
      <c r="C99">
        <v>22002366</v>
      </c>
      <c r="D99">
        <v>1205</v>
      </c>
      <c r="E99" s="11">
        <v>44791</v>
      </c>
      <c r="F99" t="s">
        <v>174</v>
      </c>
      <c r="G99" s="25">
        <v>0.34</v>
      </c>
      <c r="H99">
        <v>0.34</v>
      </c>
      <c r="I99" t="s">
        <v>56</v>
      </c>
      <c r="O99" t="s">
        <v>57</v>
      </c>
      <c r="Q99" t="s">
        <v>57</v>
      </c>
      <c r="R99" t="s">
        <v>137</v>
      </c>
      <c r="T99" t="s">
        <v>59</v>
      </c>
      <c r="U99" t="s">
        <v>60</v>
      </c>
      <c r="V99" t="s">
        <v>138</v>
      </c>
      <c r="W99" t="s">
        <v>139</v>
      </c>
      <c r="X99">
        <v>1933538</v>
      </c>
      <c r="Y99" s="11">
        <v>44791</v>
      </c>
      <c r="Z99" t="s">
        <v>57</v>
      </c>
      <c r="AA99">
        <v>18</v>
      </c>
      <c r="AB99" t="s">
        <v>57</v>
      </c>
      <c r="AD99" t="s">
        <v>57</v>
      </c>
      <c r="AE99" t="s">
        <v>57</v>
      </c>
      <c r="AF99" t="s">
        <v>57</v>
      </c>
      <c r="AG99">
        <v>1</v>
      </c>
      <c r="AH99" t="s">
        <v>57</v>
      </c>
      <c r="AL99" t="s">
        <v>57</v>
      </c>
      <c r="AM99" s="11">
        <v>44791</v>
      </c>
      <c r="AN99" t="s">
        <v>178</v>
      </c>
      <c r="AO99" t="s">
        <v>65</v>
      </c>
      <c r="AP99">
        <v>1205</v>
      </c>
      <c r="AQ99" t="s">
        <v>66</v>
      </c>
      <c r="AR99">
        <v>239312</v>
      </c>
      <c r="AU99" t="s">
        <v>57</v>
      </c>
      <c r="AV99" t="s">
        <v>68</v>
      </c>
      <c r="AX99" t="s">
        <v>57</v>
      </c>
      <c r="AY99">
        <v>631110</v>
      </c>
      <c r="AZ99">
        <v>1205.63111</v>
      </c>
      <c r="BA99" s="23" t="s">
        <v>13</v>
      </c>
    </row>
    <row r="100" spans="1:53" x14ac:dyDescent="0.25">
      <c r="A100" t="s">
        <v>134</v>
      </c>
      <c r="B100" t="s">
        <v>135</v>
      </c>
      <c r="C100">
        <v>22002262</v>
      </c>
      <c r="D100">
        <v>1205</v>
      </c>
      <c r="E100" s="11">
        <v>44774</v>
      </c>
      <c r="F100" t="s">
        <v>174</v>
      </c>
      <c r="G100" s="25">
        <v>0.35</v>
      </c>
      <c r="H100">
        <v>0.35</v>
      </c>
      <c r="I100" t="s">
        <v>56</v>
      </c>
      <c r="O100" t="s">
        <v>57</v>
      </c>
      <c r="Q100" t="s">
        <v>57</v>
      </c>
      <c r="R100" t="s">
        <v>137</v>
      </c>
      <c r="T100" t="s">
        <v>59</v>
      </c>
      <c r="U100" t="s">
        <v>60</v>
      </c>
      <c r="V100" t="s">
        <v>138</v>
      </c>
      <c r="W100" t="s">
        <v>139</v>
      </c>
      <c r="X100">
        <v>1925596</v>
      </c>
      <c r="Y100" s="11">
        <v>44774</v>
      </c>
      <c r="Z100" t="s">
        <v>57</v>
      </c>
      <c r="AA100">
        <v>10</v>
      </c>
      <c r="AB100" t="s">
        <v>57</v>
      </c>
      <c r="AD100" t="s">
        <v>57</v>
      </c>
      <c r="AE100" t="s">
        <v>57</v>
      </c>
      <c r="AF100" t="s">
        <v>57</v>
      </c>
      <c r="AG100">
        <v>3</v>
      </c>
      <c r="AH100" t="s">
        <v>57</v>
      </c>
      <c r="AL100" t="s">
        <v>57</v>
      </c>
      <c r="AM100" s="11">
        <v>44774</v>
      </c>
      <c r="AN100" t="s">
        <v>178</v>
      </c>
      <c r="AO100" t="s">
        <v>65</v>
      </c>
      <c r="AP100">
        <v>1205</v>
      </c>
      <c r="AQ100" t="s">
        <v>66</v>
      </c>
      <c r="AR100">
        <v>226150</v>
      </c>
      <c r="AU100" t="s">
        <v>57</v>
      </c>
      <c r="AV100" t="s">
        <v>68</v>
      </c>
      <c r="AX100" t="s">
        <v>57</v>
      </c>
      <c r="AY100">
        <v>631110</v>
      </c>
      <c r="AZ100">
        <v>1205.63111</v>
      </c>
      <c r="BA100" s="23" t="s">
        <v>13</v>
      </c>
    </row>
    <row r="101" spans="1:53" x14ac:dyDescent="0.25">
      <c r="A101" t="s">
        <v>134</v>
      </c>
      <c r="B101" t="s">
        <v>135</v>
      </c>
      <c r="C101">
        <v>22002322</v>
      </c>
      <c r="D101">
        <v>1205</v>
      </c>
      <c r="E101" s="11">
        <v>44783</v>
      </c>
      <c r="F101" t="s">
        <v>174</v>
      </c>
      <c r="G101" s="25">
        <v>0.35</v>
      </c>
      <c r="H101">
        <v>0.35</v>
      </c>
      <c r="I101" t="s">
        <v>56</v>
      </c>
      <c r="O101" t="s">
        <v>57</v>
      </c>
      <c r="Q101" t="s">
        <v>57</v>
      </c>
      <c r="R101" t="s">
        <v>137</v>
      </c>
      <c r="T101" t="s">
        <v>59</v>
      </c>
      <c r="U101" t="s">
        <v>60</v>
      </c>
      <c r="V101" t="s">
        <v>138</v>
      </c>
      <c r="W101" t="s">
        <v>139</v>
      </c>
      <c r="X101">
        <v>1930191</v>
      </c>
      <c r="Y101" s="11">
        <v>44783</v>
      </c>
      <c r="Z101" t="s">
        <v>57</v>
      </c>
      <c r="AA101">
        <v>2</v>
      </c>
      <c r="AB101" t="s">
        <v>57</v>
      </c>
      <c r="AD101" t="s">
        <v>57</v>
      </c>
      <c r="AE101" t="s">
        <v>57</v>
      </c>
      <c r="AF101" t="s">
        <v>57</v>
      </c>
      <c r="AG101">
        <v>3</v>
      </c>
      <c r="AH101" t="s">
        <v>57</v>
      </c>
      <c r="AL101" t="s">
        <v>57</v>
      </c>
      <c r="AM101" s="11">
        <v>44783</v>
      </c>
      <c r="AN101" t="s">
        <v>178</v>
      </c>
      <c r="AO101" t="s">
        <v>65</v>
      </c>
      <c r="AP101">
        <v>1205</v>
      </c>
      <c r="AQ101" t="s">
        <v>66</v>
      </c>
      <c r="AR101">
        <v>226150</v>
      </c>
      <c r="AU101" t="s">
        <v>57</v>
      </c>
      <c r="AV101" t="s">
        <v>68</v>
      </c>
      <c r="AX101" t="s">
        <v>57</v>
      </c>
      <c r="AY101">
        <v>631110</v>
      </c>
      <c r="AZ101">
        <v>1205.63111</v>
      </c>
      <c r="BA101" s="23" t="s">
        <v>13</v>
      </c>
    </row>
    <row r="102" spans="1:53" x14ac:dyDescent="0.25">
      <c r="A102" t="s">
        <v>134</v>
      </c>
      <c r="B102" t="s">
        <v>135</v>
      </c>
      <c r="C102">
        <v>22002369</v>
      </c>
      <c r="D102">
        <v>1205</v>
      </c>
      <c r="E102" s="11">
        <v>44791</v>
      </c>
      <c r="F102" t="s">
        <v>174</v>
      </c>
      <c r="G102" s="25">
        <v>0.36</v>
      </c>
      <c r="H102">
        <v>0.36</v>
      </c>
      <c r="I102" t="s">
        <v>56</v>
      </c>
      <c r="O102" t="s">
        <v>57</v>
      </c>
      <c r="Q102" t="s">
        <v>57</v>
      </c>
      <c r="R102" t="s">
        <v>137</v>
      </c>
      <c r="T102" t="s">
        <v>59</v>
      </c>
      <c r="U102" t="s">
        <v>60</v>
      </c>
      <c r="V102" t="s">
        <v>138</v>
      </c>
      <c r="W102" t="s">
        <v>139</v>
      </c>
      <c r="X102">
        <v>1933539</v>
      </c>
      <c r="Y102" s="11">
        <v>44791</v>
      </c>
      <c r="Z102" t="s">
        <v>57</v>
      </c>
      <c r="AA102">
        <v>2</v>
      </c>
      <c r="AB102" t="s">
        <v>57</v>
      </c>
      <c r="AD102" t="s">
        <v>57</v>
      </c>
      <c r="AE102" t="s">
        <v>57</v>
      </c>
      <c r="AF102" t="s">
        <v>57</v>
      </c>
      <c r="AG102">
        <v>1</v>
      </c>
      <c r="AH102" t="s">
        <v>57</v>
      </c>
      <c r="AL102" t="s">
        <v>57</v>
      </c>
      <c r="AM102" s="11">
        <v>44791</v>
      </c>
      <c r="AN102" t="s">
        <v>178</v>
      </c>
      <c r="AO102" t="s">
        <v>65</v>
      </c>
      <c r="AP102">
        <v>1205</v>
      </c>
      <c r="AQ102" t="s">
        <v>66</v>
      </c>
      <c r="AR102">
        <v>227903</v>
      </c>
      <c r="AU102" t="s">
        <v>57</v>
      </c>
      <c r="AV102" t="s">
        <v>68</v>
      </c>
      <c r="AX102" t="s">
        <v>57</v>
      </c>
      <c r="AY102">
        <v>631110</v>
      </c>
      <c r="AZ102">
        <v>1205.63111</v>
      </c>
      <c r="BA102" s="23" t="s">
        <v>13</v>
      </c>
    </row>
    <row r="103" spans="1:53" x14ac:dyDescent="0.25">
      <c r="A103" t="s">
        <v>134</v>
      </c>
      <c r="B103" t="s">
        <v>135</v>
      </c>
      <c r="C103">
        <v>22002318</v>
      </c>
      <c r="D103">
        <v>1205</v>
      </c>
      <c r="E103" s="11">
        <v>44782</v>
      </c>
      <c r="F103" t="s">
        <v>179</v>
      </c>
      <c r="G103" s="25">
        <v>0.37</v>
      </c>
      <c r="H103">
        <v>0.37</v>
      </c>
      <c r="I103" t="s">
        <v>56</v>
      </c>
      <c r="O103" t="s">
        <v>57</v>
      </c>
      <c r="Q103" t="s">
        <v>57</v>
      </c>
      <c r="R103" t="s">
        <v>137</v>
      </c>
      <c r="T103" t="s">
        <v>59</v>
      </c>
      <c r="U103" t="s">
        <v>60</v>
      </c>
      <c r="V103" t="s">
        <v>138</v>
      </c>
      <c r="W103" t="s">
        <v>139</v>
      </c>
      <c r="X103">
        <v>1929852</v>
      </c>
      <c r="Y103" s="11">
        <v>44782</v>
      </c>
      <c r="Z103" t="s">
        <v>57</v>
      </c>
      <c r="AA103">
        <v>28</v>
      </c>
      <c r="AB103" t="s">
        <v>57</v>
      </c>
      <c r="AD103" t="s">
        <v>57</v>
      </c>
      <c r="AE103" t="s">
        <v>57</v>
      </c>
      <c r="AF103" t="s">
        <v>57</v>
      </c>
      <c r="AG103">
        <v>3</v>
      </c>
      <c r="AH103" t="s">
        <v>57</v>
      </c>
      <c r="AL103" t="s">
        <v>57</v>
      </c>
      <c r="AM103" s="11">
        <v>44782</v>
      </c>
      <c r="AN103" t="s">
        <v>180</v>
      </c>
      <c r="AO103" t="s">
        <v>65</v>
      </c>
      <c r="AP103">
        <v>1205</v>
      </c>
      <c r="AQ103" t="s">
        <v>66</v>
      </c>
      <c r="AR103">
        <v>265217</v>
      </c>
      <c r="AU103" t="s">
        <v>57</v>
      </c>
      <c r="AV103" t="s">
        <v>68</v>
      </c>
      <c r="AX103" t="s">
        <v>57</v>
      </c>
      <c r="AY103">
        <v>631110</v>
      </c>
      <c r="AZ103">
        <v>1205.63111</v>
      </c>
      <c r="BA103" s="23" t="s">
        <v>13</v>
      </c>
    </row>
    <row r="104" spans="1:53" x14ac:dyDescent="0.25">
      <c r="A104" t="s">
        <v>134</v>
      </c>
      <c r="B104" t="s">
        <v>135</v>
      </c>
      <c r="C104">
        <v>22002267</v>
      </c>
      <c r="D104">
        <v>1205</v>
      </c>
      <c r="E104" s="11">
        <v>44775</v>
      </c>
      <c r="F104" t="s">
        <v>179</v>
      </c>
      <c r="G104" s="25">
        <v>0.38</v>
      </c>
      <c r="H104">
        <v>0.38</v>
      </c>
      <c r="I104" t="s">
        <v>56</v>
      </c>
      <c r="O104" t="s">
        <v>57</v>
      </c>
      <c r="Q104" t="s">
        <v>57</v>
      </c>
      <c r="R104" t="s">
        <v>137</v>
      </c>
      <c r="T104" t="s">
        <v>59</v>
      </c>
      <c r="U104" t="s">
        <v>60</v>
      </c>
      <c r="V104" t="s">
        <v>138</v>
      </c>
      <c r="W104" t="s">
        <v>139</v>
      </c>
      <c r="X104">
        <v>1926658</v>
      </c>
      <c r="Y104" s="11">
        <v>44775</v>
      </c>
      <c r="Z104" t="s">
        <v>57</v>
      </c>
      <c r="AA104">
        <v>16</v>
      </c>
      <c r="AB104" t="s">
        <v>57</v>
      </c>
      <c r="AD104" t="s">
        <v>57</v>
      </c>
      <c r="AE104" t="s">
        <v>57</v>
      </c>
      <c r="AF104" t="s">
        <v>57</v>
      </c>
      <c r="AG104">
        <v>3</v>
      </c>
      <c r="AH104" t="s">
        <v>57</v>
      </c>
      <c r="AL104" t="s">
        <v>57</v>
      </c>
      <c r="AM104" s="11">
        <v>44775</v>
      </c>
      <c r="AN104" t="s">
        <v>180</v>
      </c>
      <c r="AO104" t="s">
        <v>65</v>
      </c>
      <c r="AP104">
        <v>1205</v>
      </c>
      <c r="AQ104" t="s">
        <v>66</v>
      </c>
      <c r="AR104">
        <v>265216</v>
      </c>
      <c r="AU104" t="s">
        <v>57</v>
      </c>
      <c r="AV104" t="s">
        <v>68</v>
      </c>
      <c r="AX104" t="s">
        <v>57</v>
      </c>
      <c r="AY104">
        <v>631110</v>
      </c>
      <c r="AZ104">
        <v>1205.63111</v>
      </c>
      <c r="BA104" s="23" t="s">
        <v>13</v>
      </c>
    </row>
    <row r="105" spans="1:53" x14ac:dyDescent="0.25">
      <c r="A105" t="s">
        <v>134</v>
      </c>
      <c r="B105" t="s">
        <v>135</v>
      </c>
      <c r="C105">
        <v>22002295</v>
      </c>
      <c r="D105">
        <v>1205</v>
      </c>
      <c r="E105" s="11">
        <v>44777</v>
      </c>
      <c r="F105" t="s">
        <v>179</v>
      </c>
      <c r="G105" s="25">
        <v>0.38</v>
      </c>
      <c r="H105">
        <v>0.38</v>
      </c>
      <c r="I105" t="s">
        <v>56</v>
      </c>
      <c r="O105" t="s">
        <v>57</v>
      </c>
      <c r="Q105" t="s">
        <v>57</v>
      </c>
      <c r="R105" t="s">
        <v>137</v>
      </c>
      <c r="T105" t="s">
        <v>59</v>
      </c>
      <c r="U105" t="s">
        <v>60</v>
      </c>
      <c r="V105" t="s">
        <v>138</v>
      </c>
      <c r="W105" t="s">
        <v>139</v>
      </c>
      <c r="X105">
        <v>1927636</v>
      </c>
      <c r="Y105" s="11">
        <v>44777</v>
      </c>
      <c r="Z105" t="s">
        <v>57</v>
      </c>
      <c r="AA105">
        <v>14</v>
      </c>
      <c r="AB105" t="s">
        <v>57</v>
      </c>
      <c r="AD105" t="s">
        <v>57</v>
      </c>
      <c r="AE105" t="s">
        <v>57</v>
      </c>
      <c r="AF105" t="s">
        <v>57</v>
      </c>
      <c r="AG105">
        <v>3</v>
      </c>
      <c r="AH105" t="s">
        <v>57</v>
      </c>
      <c r="AL105" t="s">
        <v>57</v>
      </c>
      <c r="AM105" s="11">
        <v>44777</v>
      </c>
      <c r="AN105" t="s">
        <v>180</v>
      </c>
      <c r="AO105" t="s">
        <v>65</v>
      </c>
      <c r="AP105">
        <v>1205</v>
      </c>
      <c r="AQ105" t="s">
        <v>66</v>
      </c>
      <c r="AR105">
        <v>265216</v>
      </c>
      <c r="AU105" t="s">
        <v>57</v>
      </c>
      <c r="AV105" t="s">
        <v>68</v>
      </c>
      <c r="AX105" t="s">
        <v>57</v>
      </c>
      <c r="AY105">
        <v>631110</v>
      </c>
      <c r="AZ105">
        <v>1205.63111</v>
      </c>
      <c r="BA105" s="23" t="s">
        <v>13</v>
      </c>
    </row>
    <row r="106" spans="1:53" x14ac:dyDescent="0.25">
      <c r="A106" t="s">
        <v>134</v>
      </c>
      <c r="B106" t="s">
        <v>135</v>
      </c>
      <c r="C106">
        <v>22002342</v>
      </c>
      <c r="D106">
        <v>1205</v>
      </c>
      <c r="E106" s="11">
        <v>44785</v>
      </c>
      <c r="F106" t="s">
        <v>179</v>
      </c>
      <c r="G106" s="25">
        <v>0.38</v>
      </c>
      <c r="H106">
        <v>0.38</v>
      </c>
      <c r="I106" t="s">
        <v>56</v>
      </c>
      <c r="O106" t="s">
        <v>57</v>
      </c>
      <c r="Q106" t="s">
        <v>57</v>
      </c>
      <c r="R106" t="s">
        <v>137</v>
      </c>
      <c r="T106" t="s">
        <v>59</v>
      </c>
      <c r="U106" t="s">
        <v>60</v>
      </c>
      <c r="V106" t="s">
        <v>138</v>
      </c>
      <c r="W106" t="s">
        <v>139</v>
      </c>
      <c r="X106">
        <v>1930745</v>
      </c>
      <c r="Y106" s="11">
        <v>44785</v>
      </c>
      <c r="Z106" t="s">
        <v>57</v>
      </c>
      <c r="AA106">
        <v>2</v>
      </c>
      <c r="AB106" t="s">
        <v>57</v>
      </c>
      <c r="AD106" t="s">
        <v>57</v>
      </c>
      <c r="AE106" t="s">
        <v>57</v>
      </c>
      <c r="AF106" t="s">
        <v>57</v>
      </c>
      <c r="AG106">
        <v>5</v>
      </c>
      <c r="AH106" t="s">
        <v>57</v>
      </c>
      <c r="AL106" t="s">
        <v>57</v>
      </c>
      <c r="AM106" s="11">
        <v>44785</v>
      </c>
      <c r="AN106" t="s">
        <v>180</v>
      </c>
      <c r="AO106" t="s">
        <v>65</v>
      </c>
      <c r="AP106">
        <v>1205</v>
      </c>
      <c r="AQ106" t="s">
        <v>66</v>
      </c>
      <c r="AR106">
        <v>92908</v>
      </c>
      <c r="AU106" t="s">
        <v>57</v>
      </c>
      <c r="AV106" t="s">
        <v>68</v>
      </c>
      <c r="AX106" t="s">
        <v>57</v>
      </c>
      <c r="AY106">
        <v>631110</v>
      </c>
      <c r="AZ106">
        <v>1205.63111</v>
      </c>
      <c r="BA106" s="23" t="s">
        <v>13</v>
      </c>
    </row>
    <row r="107" spans="1:53" x14ac:dyDescent="0.25">
      <c r="A107" t="s">
        <v>134</v>
      </c>
      <c r="B107" t="s">
        <v>135</v>
      </c>
      <c r="C107">
        <v>22002360</v>
      </c>
      <c r="D107">
        <v>1205</v>
      </c>
      <c r="E107" s="11">
        <v>44789</v>
      </c>
      <c r="F107" t="s">
        <v>307</v>
      </c>
      <c r="G107" s="25">
        <v>0.38</v>
      </c>
      <c r="H107">
        <v>0.38</v>
      </c>
      <c r="I107" t="s">
        <v>56</v>
      </c>
      <c r="O107" t="s">
        <v>57</v>
      </c>
      <c r="Q107" t="s">
        <v>57</v>
      </c>
      <c r="R107" t="s">
        <v>137</v>
      </c>
      <c r="T107" t="s">
        <v>59</v>
      </c>
      <c r="U107" t="s">
        <v>60</v>
      </c>
      <c r="V107" t="s">
        <v>138</v>
      </c>
      <c r="W107" t="s">
        <v>139</v>
      </c>
      <c r="X107">
        <v>1933172</v>
      </c>
      <c r="Y107" s="11">
        <v>44789</v>
      </c>
      <c r="Z107" t="s">
        <v>57</v>
      </c>
      <c r="AA107">
        <v>20</v>
      </c>
      <c r="AB107" t="s">
        <v>57</v>
      </c>
      <c r="AD107" t="s">
        <v>57</v>
      </c>
      <c r="AE107" t="s">
        <v>57</v>
      </c>
      <c r="AF107" t="s">
        <v>57</v>
      </c>
      <c r="AG107">
        <v>3</v>
      </c>
      <c r="AH107" t="s">
        <v>57</v>
      </c>
      <c r="AL107" t="s">
        <v>57</v>
      </c>
      <c r="AM107" s="11">
        <v>44789</v>
      </c>
      <c r="AN107" t="s">
        <v>180</v>
      </c>
      <c r="AO107" t="s">
        <v>65</v>
      </c>
      <c r="AP107">
        <v>1205</v>
      </c>
      <c r="AQ107" t="s">
        <v>66</v>
      </c>
      <c r="AR107">
        <v>265216</v>
      </c>
      <c r="AU107" t="s">
        <v>57</v>
      </c>
      <c r="AV107" t="s">
        <v>68</v>
      </c>
      <c r="AX107" t="s">
        <v>57</v>
      </c>
      <c r="AY107">
        <v>631110</v>
      </c>
      <c r="AZ107">
        <v>1205.63111</v>
      </c>
      <c r="BA107" s="23" t="s">
        <v>13</v>
      </c>
    </row>
    <row r="108" spans="1:53" x14ac:dyDescent="0.25">
      <c r="A108" t="s">
        <v>134</v>
      </c>
      <c r="B108" t="s">
        <v>135</v>
      </c>
      <c r="C108">
        <v>22002318</v>
      </c>
      <c r="D108">
        <v>1205</v>
      </c>
      <c r="E108" s="11">
        <v>44782</v>
      </c>
      <c r="F108" t="s">
        <v>179</v>
      </c>
      <c r="G108" s="25">
        <v>0.41</v>
      </c>
      <c r="H108">
        <v>0.41</v>
      </c>
      <c r="I108" t="s">
        <v>56</v>
      </c>
      <c r="O108" t="s">
        <v>57</v>
      </c>
      <c r="Q108" t="s">
        <v>57</v>
      </c>
      <c r="R108" t="s">
        <v>137</v>
      </c>
      <c r="T108" t="s">
        <v>59</v>
      </c>
      <c r="U108" t="s">
        <v>60</v>
      </c>
      <c r="V108" t="s">
        <v>138</v>
      </c>
      <c r="W108" t="s">
        <v>139</v>
      </c>
      <c r="X108">
        <v>1929852</v>
      </c>
      <c r="Y108" s="11">
        <v>44782</v>
      </c>
      <c r="Z108" t="s">
        <v>57</v>
      </c>
      <c r="AA108">
        <v>22</v>
      </c>
      <c r="AB108" t="s">
        <v>57</v>
      </c>
      <c r="AD108" t="s">
        <v>57</v>
      </c>
      <c r="AE108" t="s">
        <v>57</v>
      </c>
      <c r="AF108" t="s">
        <v>57</v>
      </c>
      <c r="AG108">
        <v>5</v>
      </c>
      <c r="AH108" t="s">
        <v>57</v>
      </c>
      <c r="AL108" t="s">
        <v>57</v>
      </c>
      <c r="AM108" s="11">
        <v>44782</v>
      </c>
      <c r="AN108" t="s">
        <v>180</v>
      </c>
      <c r="AO108" t="s">
        <v>65</v>
      </c>
      <c r="AP108">
        <v>1205</v>
      </c>
      <c r="AQ108" t="s">
        <v>66</v>
      </c>
      <c r="AR108">
        <v>88642</v>
      </c>
      <c r="AU108" t="s">
        <v>57</v>
      </c>
      <c r="AV108" t="s">
        <v>68</v>
      </c>
      <c r="AX108" t="s">
        <v>57</v>
      </c>
      <c r="AY108">
        <v>631110</v>
      </c>
      <c r="AZ108">
        <v>1205.63111</v>
      </c>
      <c r="BA108" s="23" t="s">
        <v>13</v>
      </c>
    </row>
    <row r="109" spans="1:53" x14ac:dyDescent="0.25">
      <c r="A109" t="s">
        <v>134</v>
      </c>
      <c r="B109" t="s">
        <v>135</v>
      </c>
      <c r="C109">
        <v>22002267</v>
      </c>
      <c r="D109">
        <v>1205</v>
      </c>
      <c r="E109" s="11">
        <v>44775</v>
      </c>
      <c r="F109" t="s">
        <v>179</v>
      </c>
      <c r="G109" s="25">
        <v>0.44</v>
      </c>
      <c r="H109">
        <v>0.44</v>
      </c>
      <c r="I109" t="s">
        <v>56</v>
      </c>
      <c r="O109" t="s">
        <v>57</v>
      </c>
      <c r="Q109" t="s">
        <v>57</v>
      </c>
      <c r="R109" t="s">
        <v>137</v>
      </c>
      <c r="T109" t="s">
        <v>59</v>
      </c>
      <c r="U109" t="s">
        <v>60</v>
      </c>
      <c r="V109" t="s">
        <v>138</v>
      </c>
      <c r="W109" t="s">
        <v>139</v>
      </c>
      <c r="X109">
        <v>1926658</v>
      </c>
      <c r="Y109" s="11">
        <v>44775</v>
      </c>
      <c r="Z109" t="s">
        <v>57</v>
      </c>
      <c r="AA109">
        <v>14</v>
      </c>
      <c r="AB109" t="s">
        <v>57</v>
      </c>
      <c r="AD109" t="s">
        <v>57</v>
      </c>
      <c r="AE109" t="s">
        <v>57</v>
      </c>
      <c r="AF109" t="s">
        <v>57</v>
      </c>
      <c r="AG109">
        <v>4</v>
      </c>
      <c r="AH109" t="s">
        <v>57</v>
      </c>
      <c r="AL109" t="s">
        <v>57</v>
      </c>
      <c r="AM109" s="11">
        <v>44775</v>
      </c>
      <c r="AN109" t="s">
        <v>180</v>
      </c>
      <c r="AO109" t="s">
        <v>65</v>
      </c>
      <c r="AP109">
        <v>1205</v>
      </c>
      <c r="AQ109" t="s">
        <v>66</v>
      </c>
      <c r="AR109">
        <v>90435</v>
      </c>
      <c r="AU109" t="s">
        <v>57</v>
      </c>
      <c r="AV109" t="s">
        <v>68</v>
      </c>
      <c r="AX109" t="s">
        <v>57</v>
      </c>
      <c r="AY109">
        <v>631110</v>
      </c>
      <c r="AZ109">
        <v>1205.63111</v>
      </c>
      <c r="BA109" s="23" t="s">
        <v>13</v>
      </c>
    </row>
    <row r="110" spans="1:53" x14ac:dyDescent="0.25">
      <c r="A110" t="s">
        <v>134</v>
      </c>
      <c r="B110" t="s">
        <v>135</v>
      </c>
      <c r="C110">
        <v>22002356</v>
      </c>
      <c r="D110">
        <v>1205</v>
      </c>
      <c r="E110" s="11">
        <v>44789</v>
      </c>
      <c r="F110" t="s">
        <v>174</v>
      </c>
      <c r="G110" s="25">
        <v>0.45</v>
      </c>
      <c r="H110">
        <v>0.45</v>
      </c>
      <c r="I110" t="s">
        <v>56</v>
      </c>
      <c r="O110" t="s">
        <v>57</v>
      </c>
      <c r="Q110" t="s">
        <v>57</v>
      </c>
      <c r="R110" t="s">
        <v>137</v>
      </c>
      <c r="T110" t="s">
        <v>59</v>
      </c>
      <c r="U110" t="s">
        <v>60</v>
      </c>
      <c r="V110" t="s">
        <v>138</v>
      </c>
      <c r="W110" t="s">
        <v>139</v>
      </c>
      <c r="X110">
        <v>1933128</v>
      </c>
      <c r="Y110" s="11">
        <v>44789</v>
      </c>
      <c r="Z110" t="s">
        <v>57</v>
      </c>
      <c r="AA110">
        <v>6</v>
      </c>
      <c r="AB110" t="s">
        <v>57</v>
      </c>
      <c r="AD110" t="s">
        <v>57</v>
      </c>
      <c r="AE110" t="s">
        <v>57</v>
      </c>
      <c r="AF110" t="s">
        <v>57</v>
      </c>
      <c r="AG110">
        <v>1</v>
      </c>
      <c r="AH110" t="s">
        <v>57</v>
      </c>
      <c r="AL110" t="s">
        <v>57</v>
      </c>
      <c r="AM110" s="11">
        <v>44789</v>
      </c>
      <c r="AN110" t="s">
        <v>178</v>
      </c>
      <c r="AO110" t="s">
        <v>65</v>
      </c>
      <c r="AP110">
        <v>1205</v>
      </c>
      <c r="AQ110" t="s">
        <v>66</v>
      </c>
      <c r="AR110">
        <v>89866</v>
      </c>
      <c r="AU110" t="s">
        <v>57</v>
      </c>
      <c r="AV110" t="s">
        <v>68</v>
      </c>
      <c r="AX110" t="s">
        <v>57</v>
      </c>
      <c r="AY110">
        <v>631110</v>
      </c>
      <c r="AZ110">
        <v>1205.63111</v>
      </c>
      <c r="BA110" s="23" t="s">
        <v>13</v>
      </c>
    </row>
    <row r="111" spans="1:53" x14ac:dyDescent="0.25">
      <c r="A111" t="s">
        <v>134</v>
      </c>
      <c r="B111" t="s">
        <v>135</v>
      </c>
      <c r="C111">
        <v>22002360</v>
      </c>
      <c r="D111">
        <v>1205</v>
      </c>
      <c r="E111" s="11">
        <v>44789</v>
      </c>
      <c r="F111" t="s">
        <v>307</v>
      </c>
      <c r="G111" s="25">
        <v>0.45</v>
      </c>
      <c r="H111">
        <v>0.45</v>
      </c>
      <c r="I111" t="s">
        <v>56</v>
      </c>
      <c r="O111" t="s">
        <v>57</v>
      </c>
      <c r="Q111" t="s">
        <v>57</v>
      </c>
      <c r="R111" t="s">
        <v>137</v>
      </c>
      <c r="T111" t="s">
        <v>59</v>
      </c>
      <c r="U111" t="s">
        <v>60</v>
      </c>
      <c r="V111" t="s">
        <v>138</v>
      </c>
      <c r="W111" t="s">
        <v>139</v>
      </c>
      <c r="X111">
        <v>1933172</v>
      </c>
      <c r="Y111" s="11">
        <v>44789</v>
      </c>
      <c r="Z111" t="s">
        <v>57</v>
      </c>
      <c r="AA111">
        <v>14</v>
      </c>
      <c r="AB111" t="s">
        <v>57</v>
      </c>
      <c r="AD111" t="s">
        <v>57</v>
      </c>
      <c r="AE111" t="s">
        <v>57</v>
      </c>
      <c r="AF111" t="s">
        <v>57</v>
      </c>
      <c r="AG111">
        <v>4</v>
      </c>
      <c r="AH111" t="s">
        <v>57</v>
      </c>
      <c r="AL111" t="s">
        <v>57</v>
      </c>
      <c r="AM111" s="11">
        <v>44789</v>
      </c>
      <c r="AN111" t="s">
        <v>180</v>
      </c>
      <c r="AO111" t="s">
        <v>65</v>
      </c>
      <c r="AP111">
        <v>1205</v>
      </c>
      <c r="AQ111" t="s">
        <v>66</v>
      </c>
      <c r="AR111">
        <v>265889</v>
      </c>
      <c r="AU111" t="s">
        <v>57</v>
      </c>
      <c r="AV111" t="s">
        <v>68</v>
      </c>
      <c r="AX111" t="s">
        <v>57</v>
      </c>
      <c r="AY111">
        <v>631110</v>
      </c>
      <c r="AZ111">
        <v>1205.63111</v>
      </c>
      <c r="BA111" s="23" t="s">
        <v>13</v>
      </c>
    </row>
    <row r="112" spans="1:53" x14ac:dyDescent="0.25">
      <c r="A112" t="s">
        <v>134</v>
      </c>
      <c r="B112" t="s">
        <v>135</v>
      </c>
      <c r="C112">
        <v>22002307</v>
      </c>
      <c r="D112">
        <v>1205</v>
      </c>
      <c r="E112" s="11">
        <v>44778</v>
      </c>
      <c r="F112" t="s">
        <v>179</v>
      </c>
      <c r="G112" s="25">
        <v>0.46</v>
      </c>
      <c r="H112">
        <v>0.46</v>
      </c>
      <c r="I112" t="s">
        <v>56</v>
      </c>
      <c r="O112" t="s">
        <v>57</v>
      </c>
      <c r="Q112" t="s">
        <v>57</v>
      </c>
      <c r="R112" t="s">
        <v>137</v>
      </c>
      <c r="T112" t="s">
        <v>59</v>
      </c>
      <c r="U112" t="s">
        <v>60</v>
      </c>
      <c r="V112" t="s">
        <v>138</v>
      </c>
      <c r="W112" t="s">
        <v>139</v>
      </c>
      <c r="X112">
        <v>1928768</v>
      </c>
      <c r="Y112" s="11">
        <v>44778</v>
      </c>
      <c r="Z112" t="s">
        <v>57</v>
      </c>
      <c r="AA112">
        <v>2</v>
      </c>
      <c r="AB112" t="s">
        <v>57</v>
      </c>
      <c r="AD112" t="s">
        <v>57</v>
      </c>
      <c r="AE112" t="s">
        <v>57</v>
      </c>
      <c r="AF112" t="s">
        <v>57</v>
      </c>
      <c r="AG112">
        <v>6</v>
      </c>
      <c r="AH112" t="s">
        <v>57</v>
      </c>
      <c r="AL112" t="s">
        <v>57</v>
      </c>
      <c r="AM112" s="11">
        <v>44778</v>
      </c>
      <c r="AN112" t="s">
        <v>180</v>
      </c>
      <c r="AO112" t="s">
        <v>65</v>
      </c>
      <c r="AP112">
        <v>1205</v>
      </c>
      <c r="AQ112" t="s">
        <v>66</v>
      </c>
      <c r="AR112">
        <v>264688</v>
      </c>
      <c r="AU112" t="s">
        <v>57</v>
      </c>
      <c r="AV112" t="s">
        <v>68</v>
      </c>
      <c r="AX112" t="s">
        <v>57</v>
      </c>
      <c r="AY112">
        <v>631110</v>
      </c>
      <c r="AZ112">
        <v>1205.63111</v>
      </c>
      <c r="BA112" s="23" t="s">
        <v>13</v>
      </c>
    </row>
    <row r="113" spans="1:53" x14ac:dyDescent="0.25">
      <c r="A113" t="s">
        <v>134</v>
      </c>
      <c r="B113" t="s">
        <v>135</v>
      </c>
      <c r="C113">
        <v>22002325</v>
      </c>
      <c r="D113">
        <v>1205</v>
      </c>
      <c r="E113" s="11">
        <v>44783</v>
      </c>
      <c r="F113" t="s">
        <v>179</v>
      </c>
      <c r="G113" s="25">
        <v>0.46</v>
      </c>
      <c r="H113">
        <v>0.46</v>
      </c>
      <c r="I113" t="s">
        <v>56</v>
      </c>
      <c r="O113" t="s">
        <v>57</v>
      </c>
      <c r="Q113" t="s">
        <v>57</v>
      </c>
      <c r="R113" t="s">
        <v>137</v>
      </c>
      <c r="T113" t="s">
        <v>59</v>
      </c>
      <c r="U113" t="s">
        <v>60</v>
      </c>
      <c r="V113" t="s">
        <v>138</v>
      </c>
      <c r="W113" t="s">
        <v>139</v>
      </c>
      <c r="X113">
        <v>1930357</v>
      </c>
      <c r="Y113" s="11">
        <v>44783</v>
      </c>
      <c r="Z113" t="s">
        <v>57</v>
      </c>
      <c r="AA113">
        <v>6</v>
      </c>
      <c r="AB113" t="s">
        <v>57</v>
      </c>
      <c r="AD113" t="s">
        <v>57</v>
      </c>
      <c r="AE113" t="s">
        <v>57</v>
      </c>
      <c r="AF113" t="s">
        <v>57</v>
      </c>
      <c r="AG113">
        <v>6</v>
      </c>
      <c r="AH113" t="s">
        <v>57</v>
      </c>
      <c r="AL113" t="s">
        <v>57</v>
      </c>
      <c r="AM113" s="11">
        <v>44783</v>
      </c>
      <c r="AN113" t="s">
        <v>180</v>
      </c>
      <c r="AO113" t="s">
        <v>65</v>
      </c>
      <c r="AP113">
        <v>1205</v>
      </c>
      <c r="AQ113" t="s">
        <v>66</v>
      </c>
      <c r="AR113">
        <v>264688</v>
      </c>
      <c r="AU113" t="s">
        <v>57</v>
      </c>
      <c r="AV113" t="s">
        <v>68</v>
      </c>
      <c r="AX113" t="s">
        <v>57</v>
      </c>
      <c r="AY113">
        <v>631110</v>
      </c>
      <c r="AZ113">
        <v>1205.63111</v>
      </c>
      <c r="BA113" s="23" t="s">
        <v>13</v>
      </c>
    </row>
    <row r="114" spans="1:53" x14ac:dyDescent="0.25">
      <c r="A114" t="s">
        <v>134</v>
      </c>
      <c r="B114" t="s">
        <v>135</v>
      </c>
      <c r="C114">
        <v>22002356</v>
      </c>
      <c r="D114">
        <v>1205</v>
      </c>
      <c r="E114" s="11">
        <v>44789</v>
      </c>
      <c r="F114" t="s">
        <v>174</v>
      </c>
      <c r="G114" s="25">
        <v>0.46</v>
      </c>
      <c r="H114">
        <v>0.46</v>
      </c>
      <c r="I114" t="s">
        <v>56</v>
      </c>
      <c r="O114" t="s">
        <v>57</v>
      </c>
      <c r="Q114" t="s">
        <v>57</v>
      </c>
      <c r="R114" t="s">
        <v>137</v>
      </c>
      <c r="T114" t="s">
        <v>59</v>
      </c>
      <c r="U114" t="s">
        <v>60</v>
      </c>
      <c r="V114" t="s">
        <v>138</v>
      </c>
      <c r="W114" t="s">
        <v>139</v>
      </c>
      <c r="X114">
        <v>1933128</v>
      </c>
      <c r="Y114" s="11">
        <v>44789</v>
      </c>
      <c r="Z114" t="s">
        <v>57</v>
      </c>
      <c r="AA114">
        <v>8</v>
      </c>
      <c r="AB114" t="s">
        <v>57</v>
      </c>
      <c r="AD114" t="s">
        <v>57</v>
      </c>
      <c r="AE114" t="s">
        <v>57</v>
      </c>
      <c r="AF114" t="s">
        <v>57</v>
      </c>
      <c r="AG114">
        <v>1</v>
      </c>
      <c r="AH114" t="s">
        <v>57</v>
      </c>
      <c r="AL114" t="s">
        <v>57</v>
      </c>
      <c r="AM114" s="11">
        <v>44789</v>
      </c>
      <c r="AN114" t="s">
        <v>178</v>
      </c>
      <c r="AO114" t="s">
        <v>65</v>
      </c>
      <c r="AP114">
        <v>1205</v>
      </c>
      <c r="AQ114" t="s">
        <v>66</v>
      </c>
      <c r="AR114">
        <v>89868</v>
      </c>
      <c r="AU114" t="s">
        <v>57</v>
      </c>
      <c r="AV114" t="s">
        <v>68</v>
      </c>
      <c r="AX114" t="s">
        <v>57</v>
      </c>
      <c r="AY114">
        <v>631110</v>
      </c>
      <c r="AZ114">
        <v>1205.63111</v>
      </c>
      <c r="BA114" s="23" t="s">
        <v>13</v>
      </c>
    </row>
    <row r="115" spans="1:53" x14ac:dyDescent="0.25">
      <c r="A115" t="s">
        <v>134</v>
      </c>
      <c r="B115" t="s">
        <v>135</v>
      </c>
      <c r="C115">
        <v>22002352</v>
      </c>
      <c r="D115">
        <v>1205</v>
      </c>
      <c r="E115" s="11">
        <v>44788</v>
      </c>
      <c r="F115" t="s">
        <v>174</v>
      </c>
      <c r="G115" s="25">
        <v>0.48</v>
      </c>
      <c r="H115">
        <v>0.48</v>
      </c>
      <c r="I115" t="s">
        <v>56</v>
      </c>
      <c r="O115" t="s">
        <v>57</v>
      </c>
      <c r="Q115" t="s">
        <v>57</v>
      </c>
      <c r="R115" t="s">
        <v>137</v>
      </c>
      <c r="T115" t="s">
        <v>59</v>
      </c>
      <c r="U115" t="s">
        <v>60</v>
      </c>
      <c r="V115" t="s">
        <v>138</v>
      </c>
      <c r="W115" t="s">
        <v>139</v>
      </c>
      <c r="X115">
        <v>1932181</v>
      </c>
      <c r="Y115" s="11">
        <v>44788</v>
      </c>
      <c r="Z115" t="s">
        <v>57</v>
      </c>
      <c r="AA115">
        <v>2</v>
      </c>
      <c r="AB115" t="s">
        <v>57</v>
      </c>
      <c r="AD115" t="s">
        <v>57</v>
      </c>
      <c r="AE115" t="s">
        <v>57</v>
      </c>
      <c r="AF115" t="s">
        <v>57</v>
      </c>
      <c r="AG115">
        <v>1</v>
      </c>
      <c r="AH115" t="s">
        <v>57</v>
      </c>
      <c r="AL115" t="s">
        <v>57</v>
      </c>
      <c r="AM115" s="11">
        <v>44788</v>
      </c>
      <c r="AN115" t="s">
        <v>178</v>
      </c>
      <c r="AO115" t="s">
        <v>65</v>
      </c>
      <c r="AP115">
        <v>1205</v>
      </c>
      <c r="AQ115" t="s">
        <v>66</v>
      </c>
      <c r="AR115">
        <v>90122</v>
      </c>
      <c r="AU115" t="s">
        <v>57</v>
      </c>
      <c r="AV115" t="s">
        <v>68</v>
      </c>
      <c r="AX115" t="s">
        <v>57</v>
      </c>
      <c r="AY115">
        <v>631110</v>
      </c>
      <c r="AZ115">
        <v>1205.63111</v>
      </c>
      <c r="BA115" s="23" t="s">
        <v>13</v>
      </c>
    </row>
    <row r="116" spans="1:53" x14ac:dyDescent="0.25">
      <c r="A116" t="s">
        <v>134</v>
      </c>
      <c r="B116" t="s">
        <v>135</v>
      </c>
      <c r="C116">
        <v>22002265</v>
      </c>
      <c r="D116">
        <v>1205</v>
      </c>
      <c r="E116" s="11">
        <v>44775</v>
      </c>
      <c r="F116" t="s">
        <v>174</v>
      </c>
      <c r="G116" s="25">
        <v>0.49</v>
      </c>
      <c r="H116">
        <v>0.49</v>
      </c>
      <c r="I116" t="s">
        <v>56</v>
      </c>
      <c r="O116" t="s">
        <v>57</v>
      </c>
      <c r="Q116" t="s">
        <v>57</v>
      </c>
      <c r="R116" t="s">
        <v>137</v>
      </c>
      <c r="T116" t="s">
        <v>59</v>
      </c>
      <c r="U116" t="s">
        <v>60</v>
      </c>
      <c r="V116" t="s">
        <v>138</v>
      </c>
      <c r="W116" t="s">
        <v>139</v>
      </c>
      <c r="X116">
        <v>1926568</v>
      </c>
      <c r="Y116" s="11">
        <v>44775</v>
      </c>
      <c r="Z116" t="s">
        <v>57</v>
      </c>
      <c r="AA116">
        <v>8</v>
      </c>
      <c r="AB116" t="s">
        <v>57</v>
      </c>
      <c r="AD116" t="s">
        <v>57</v>
      </c>
      <c r="AE116" t="s">
        <v>57</v>
      </c>
      <c r="AF116" t="s">
        <v>57</v>
      </c>
      <c r="AG116">
        <v>1</v>
      </c>
      <c r="AH116" t="s">
        <v>57</v>
      </c>
      <c r="AL116" t="s">
        <v>57</v>
      </c>
      <c r="AM116" s="11">
        <v>44775</v>
      </c>
      <c r="AN116" t="s">
        <v>178</v>
      </c>
      <c r="AO116" t="s">
        <v>65</v>
      </c>
      <c r="AP116">
        <v>1205</v>
      </c>
      <c r="AQ116" t="s">
        <v>66</v>
      </c>
      <c r="AR116">
        <v>228050</v>
      </c>
      <c r="AU116" t="s">
        <v>57</v>
      </c>
      <c r="AV116" t="s">
        <v>68</v>
      </c>
      <c r="AX116" t="s">
        <v>57</v>
      </c>
      <c r="AY116">
        <v>631110</v>
      </c>
      <c r="AZ116">
        <v>1205.63111</v>
      </c>
      <c r="BA116" s="23" t="s">
        <v>13</v>
      </c>
    </row>
    <row r="117" spans="1:53" x14ac:dyDescent="0.25">
      <c r="A117" t="s">
        <v>134</v>
      </c>
      <c r="B117" t="s">
        <v>135</v>
      </c>
      <c r="C117">
        <v>22002276</v>
      </c>
      <c r="D117">
        <v>1205</v>
      </c>
      <c r="E117" s="11">
        <v>44776</v>
      </c>
      <c r="F117" t="s">
        <v>174</v>
      </c>
      <c r="G117" s="25">
        <v>0.49</v>
      </c>
      <c r="H117">
        <v>0.49</v>
      </c>
      <c r="I117" t="s">
        <v>56</v>
      </c>
      <c r="O117" t="s">
        <v>57</v>
      </c>
      <c r="Q117" t="s">
        <v>57</v>
      </c>
      <c r="R117" t="s">
        <v>137</v>
      </c>
      <c r="T117" t="s">
        <v>59</v>
      </c>
      <c r="U117" t="s">
        <v>60</v>
      </c>
      <c r="V117" t="s">
        <v>138</v>
      </c>
      <c r="W117" t="s">
        <v>139</v>
      </c>
      <c r="X117">
        <v>1927010</v>
      </c>
      <c r="Y117" s="11">
        <v>44776</v>
      </c>
      <c r="Z117" t="s">
        <v>57</v>
      </c>
      <c r="AA117">
        <v>6</v>
      </c>
      <c r="AB117" t="s">
        <v>57</v>
      </c>
      <c r="AD117" t="s">
        <v>57</v>
      </c>
      <c r="AE117" t="s">
        <v>57</v>
      </c>
      <c r="AF117" t="s">
        <v>57</v>
      </c>
      <c r="AG117">
        <v>1</v>
      </c>
      <c r="AH117" t="s">
        <v>57</v>
      </c>
      <c r="AL117" t="s">
        <v>57</v>
      </c>
      <c r="AM117" s="11">
        <v>44776</v>
      </c>
      <c r="AN117" t="s">
        <v>178</v>
      </c>
      <c r="AO117" t="s">
        <v>65</v>
      </c>
      <c r="AP117">
        <v>1205</v>
      </c>
      <c r="AQ117" t="s">
        <v>66</v>
      </c>
      <c r="AR117">
        <v>228050</v>
      </c>
      <c r="AU117" t="s">
        <v>57</v>
      </c>
      <c r="AV117" t="s">
        <v>68</v>
      </c>
      <c r="AX117" t="s">
        <v>57</v>
      </c>
      <c r="AY117">
        <v>631110</v>
      </c>
      <c r="AZ117">
        <v>1205.63111</v>
      </c>
      <c r="BA117" s="23" t="s">
        <v>13</v>
      </c>
    </row>
    <row r="118" spans="1:53" x14ac:dyDescent="0.25">
      <c r="A118" t="s">
        <v>134</v>
      </c>
      <c r="B118" t="s">
        <v>135</v>
      </c>
      <c r="C118">
        <v>22002316</v>
      </c>
      <c r="D118">
        <v>1205</v>
      </c>
      <c r="E118" s="11">
        <v>44782</v>
      </c>
      <c r="F118" t="s">
        <v>174</v>
      </c>
      <c r="G118" s="25">
        <v>0.49</v>
      </c>
      <c r="H118">
        <v>0.49</v>
      </c>
      <c r="I118" t="s">
        <v>56</v>
      </c>
      <c r="O118" t="s">
        <v>57</v>
      </c>
      <c r="Q118" t="s">
        <v>57</v>
      </c>
      <c r="R118" t="s">
        <v>137</v>
      </c>
      <c r="T118" t="s">
        <v>59</v>
      </c>
      <c r="U118" t="s">
        <v>60</v>
      </c>
      <c r="V118" t="s">
        <v>138</v>
      </c>
      <c r="W118" t="s">
        <v>139</v>
      </c>
      <c r="X118">
        <v>1929847</v>
      </c>
      <c r="Y118" s="11">
        <v>44782</v>
      </c>
      <c r="Z118" t="s">
        <v>57</v>
      </c>
      <c r="AA118">
        <v>2</v>
      </c>
      <c r="AB118" t="s">
        <v>57</v>
      </c>
      <c r="AD118" t="s">
        <v>57</v>
      </c>
      <c r="AE118" t="s">
        <v>57</v>
      </c>
      <c r="AF118" t="s">
        <v>57</v>
      </c>
      <c r="AG118">
        <v>3</v>
      </c>
      <c r="AH118" t="s">
        <v>57</v>
      </c>
      <c r="AL118" t="s">
        <v>57</v>
      </c>
      <c r="AM118" s="11">
        <v>44782</v>
      </c>
      <c r="AN118" t="s">
        <v>178</v>
      </c>
      <c r="AO118" t="s">
        <v>65</v>
      </c>
      <c r="AP118">
        <v>1205</v>
      </c>
      <c r="AQ118" t="s">
        <v>66</v>
      </c>
      <c r="AR118">
        <v>88760</v>
      </c>
      <c r="AU118" t="s">
        <v>57</v>
      </c>
      <c r="AV118" t="s">
        <v>68</v>
      </c>
      <c r="AX118" t="s">
        <v>57</v>
      </c>
      <c r="AY118">
        <v>631110</v>
      </c>
      <c r="AZ118">
        <v>1205.63111</v>
      </c>
      <c r="BA118" s="23" t="s">
        <v>13</v>
      </c>
    </row>
    <row r="119" spans="1:53" x14ac:dyDescent="0.25">
      <c r="A119" t="s">
        <v>134</v>
      </c>
      <c r="B119" t="s">
        <v>135</v>
      </c>
      <c r="C119">
        <v>22002316</v>
      </c>
      <c r="D119">
        <v>1205</v>
      </c>
      <c r="E119" s="11">
        <v>44782</v>
      </c>
      <c r="F119" t="s">
        <v>174</v>
      </c>
      <c r="G119" s="25">
        <v>0.49</v>
      </c>
      <c r="H119">
        <v>0.49</v>
      </c>
      <c r="I119" t="s">
        <v>56</v>
      </c>
      <c r="O119" t="s">
        <v>57</v>
      </c>
      <c r="Q119" t="s">
        <v>57</v>
      </c>
      <c r="R119" t="s">
        <v>137</v>
      </c>
      <c r="T119" t="s">
        <v>59</v>
      </c>
      <c r="U119" t="s">
        <v>60</v>
      </c>
      <c r="V119" t="s">
        <v>138</v>
      </c>
      <c r="W119" t="s">
        <v>139</v>
      </c>
      <c r="X119">
        <v>1929847</v>
      </c>
      <c r="Y119" s="11">
        <v>44782</v>
      </c>
      <c r="Z119" t="s">
        <v>57</v>
      </c>
      <c r="AA119">
        <v>38</v>
      </c>
      <c r="AB119" t="s">
        <v>57</v>
      </c>
      <c r="AD119" t="s">
        <v>57</v>
      </c>
      <c r="AE119" t="s">
        <v>57</v>
      </c>
      <c r="AF119" t="s">
        <v>57</v>
      </c>
      <c r="AG119">
        <v>1</v>
      </c>
      <c r="AH119" t="s">
        <v>57</v>
      </c>
      <c r="AL119" t="s">
        <v>57</v>
      </c>
      <c r="AM119" s="11">
        <v>44782</v>
      </c>
      <c r="AN119" t="s">
        <v>178</v>
      </c>
      <c r="AO119" t="s">
        <v>65</v>
      </c>
      <c r="AP119">
        <v>1205</v>
      </c>
      <c r="AQ119" t="s">
        <v>66</v>
      </c>
      <c r="AR119">
        <v>228050</v>
      </c>
      <c r="AU119" t="s">
        <v>57</v>
      </c>
      <c r="AV119" t="s">
        <v>68</v>
      </c>
      <c r="AX119" t="s">
        <v>57</v>
      </c>
      <c r="AY119">
        <v>631110</v>
      </c>
      <c r="AZ119">
        <v>1205.63111</v>
      </c>
      <c r="BA119" s="23" t="s">
        <v>13</v>
      </c>
    </row>
    <row r="120" spans="1:53" x14ac:dyDescent="0.25">
      <c r="A120" t="s">
        <v>134</v>
      </c>
      <c r="B120" t="s">
        <v>135</v>
      </c>
      <c r="C120">
        <v>22002323</v>
      </c>
      <c r="D120">
        <v>1205</v>
      </c>
      <c r="E120" s="11">
        <v>44783</v>
      </c>
      <c r="F120" t="s">
        <v>174</v>
      </c>
      <c r="G120" s="25">
        <v>0.49</v>
      </c>
      <c r="H120">
        <v>0.49</v>
      </c>
      <c r="I120" t="s">
        <v>56</v>
      </c>
      <c r="O120" t="s">
        <v>57</v>
      </c>
      <c r="Q120" t="s">
        <v>57</v>
      </c>
      <c r="R120" t="s">
        <v>137</v>
      </c>
      <c r="T120" t="s">
        <v>59</v>
      </c>
      <c r="U120" t="s">
        <v>60</v>
      </c>
      <c r="V120" t="s">
        <v>138</v>
      </c>
      <c r="W120" t="s">
        <v>139</v>
      </c>
      <c r="X120">
        <v>1930356</v>
      </c>
      <c r="Y120" s="11">
        <v>44783</v>
      </c>
      <c r="Z120" t="s">
        <v>57</v>
      </c>
      <c r="AA120">
        <v>18</v>
      </c>
      <c r="AB120" t="s">
        <v>57</v>
      </c>
      <c r="AD120" t="s">
        <v>57</v>
      </c>
      <c r="AE120" t="s">
        <v>57</v>
      </c>
      <c r="AF120" t="s">
        <v>57</v>
      </c>
      <c r="AG120">
        <v>1</v>
      </c>
      <c r="AH120" t="s">
        <v>57</v>
      </c>
      <c r="AL120" t="s">
        <v>57</v>
      </c>
      <c r="AM120" s="11">
        <v>44783</v>
      </c>
      <c r="AN120" t="s">
        <v>178</v>
      </c>
      <c r="AO120" t="s">
        <v>65</v>
      </c>
      <c r="AP120">
        <v>1205</v>
      </c>
      <c r="AQ120" t="s">
        <v>66</v>
      </c>
      <c r="AR120">
        <v>228050</v>
      </c>
      <c r="AU120" t="s">
        <v>57</v>
      </c>
      <c r="AV120" t="s">
        <v>68</v>
      </c>
      <c r="AX120" t="s">
        <v>57</v>
      </c>
      <c r="AY120">
        <v>631110</v>
      </c>
      <c r="AZ120">
        <v>1205.63111</v>
      </c>
      <c r="BA120" s="23" t="s">
        <v>13</v>
      </c>
    </row>
    <row r="121" spans="1:53" x14ac:dyDescent="0.25">
      <c r="A121" t="s">
        <v>134</v>
      </c>
      <c r="B121" t="s">
        <v>135</v>
      </c>
      <c r="C121">
        <v>22002341</v>
      </c>
      <c r="D121">
        <v>1205</v>
      </c>
      <c r="E121" s="11">
        <v>44785</v>
      </c>
      <c r="F121" t="s">
        <v>174</v>
      </c>
      <c r="G121" s="25">
        <v>0.49</v>
      </c>
      <c r="H121">
        <v>0.49</v>
      </c>
      <c r="I121" t="s">
        <v>56</v>
      </c>
      <c r="O121" t="s">
        <v>57</v>
      </c>
      <c r="Q121" t="s">
        <v>57</v>
      </c>
      <c r="R121" t="s">
        <v>137</v>
      </c>
      <c r="T121" t="s">
        <v>59</v>
      </c>
      <c r="U121" t="s">
        <v>60</v>
      </c>
      <c r="V121" t="s">
        <v>138</v>
      </c>
      <c r="W121" t="s">
        <v>139</v>
      </c>
      <c r="X121">
        <v>1930742</v>
      </c>
      <c r="Y121" s="11">
        <v>44785</v>
      </c>
      <c r="Z121" t="s">
        <v>57</v>
      </c>
      <c r="AA121">
        <v>8</v>
      </c>
      <c r="AB121" t="s">
        <v>57</v>
      </c>
      <c r="AD121" t="s">
        <v>57</v>
      </c>
      <c r="AE121" t="s">
        <v>57</v>
      </c>
      <c r="AF121" t="s">
        <v>57</v>
      </c>
      <c r="AG121">
        <v>3</v>
      </c>
      <c r="AH121" t="s">
        <v>57</v>
      </c>
      <c r="AL121" t="s">
        <v>57</v>
      </c>
      <c r="AM121" s="11">
        <v>44785</v>
      </c>
      <c r="AN121" t="s">
        <v>178</v>
      </c>
      <c r="AO121" t="s">
        <v>65</v>
      </c>
      <c r="AP121">
        <v>1205</v>
      </c>
      <c r="AQ121" t="s">
        <v>66</v>
      </c>
      <c r="AR121">
        <v>88760</v>
      </c>
      <c r="AU121" t="s">
        <v>57</v>
      </c>
      <c r="AV121" t="s">
        <v>68</v>
      </c>
      <c r="AX121" t="s">
        <v>57</v>
      </c>
      <c r="AY121">
        <v>631110</v>
      </c>
      <c r="AZ121">
        <v>1205.63111</v>
      </c>
      <c r="BA121" s="23" t="s">
        <v>13</v>
      </c>
    </row>
    <row r="122" spans="1:53" x14ac:dyDescent="0.25">
      <c r="A122" t="s">
        <v>134</v>
      </c>
      <c r="B122" t="s">
        <v>135</v>
      </c>
      <c r="C122">
        <v>22002267</v>
      </c>
      <c r="D122">
        <v>1205</v>
      </c>
      <c r="E122" s="11">
        <v>44775</v>
      </c>
      <c r="F122" t="s">
        <v>179</v>
      </c>
      <c r="G122" s="25">
        <v>0.5</v>
      </c>
      <c r="H122">
        <v>0.5</v>
      </c>
      <c r="I122" t="s">
        <v>56</v>
      </c>
      <c r="O122" t="s">
        <v>57</v>
      </c>
      <c r="Q122" t="s">
        <v>57</v>
      </c>
      <c r="R122" t="s">
        <v>137</v>
      </c>
      <c r="T122" t="s">
        <v>59</v>
      </c>
      <c r="U122" t="s">
        <v>60</v>
      </c>
      <c r="V122" t="s">
        <v>138</v>
      </c>
      <c r="W122" t="s">
        <v>139</v>
      </c>
      <c r="X122">
        <v>1926658</v>
      </c>
      <c r="Y122" s="11">
        <v>44775</v>
      </c>
      <c r="Z122" t="s">
        <v>57</v>
      </c>
      <c r="AA122">
        <v>26</v>
      </c>
      <c r="AB122" t="s">
        <v>57</v>
      </c>
      <c r="AD122" t="s">
        <v>57</v>
      </c>
      <c r="AE122" t="s">
        <v>57</v>
      </c>
      <c r="AF122" t="s">
        <v>57</v>
      </c>
      <c r="AG122">
        <v>2</v>
      </c>
      <c r="AH122" t="s">
        <v>57</v>
      </c>
      <c r="AL122" t="s">
        <v>57</v>
      </c>
      <c r="AM122" s="11">
        <v>44775</v>
      </c>
      <c r="AN122" t="s">
        <v>180</v>
      </c>
      <c r="AO122" t="s">
        <v>65</v>
      </c>
      <c r="AP122">
        <v>1205</v>
      </c>
      <c r="AQ122" t="s">
        <v>66</v>
      </c>
      <c r="AR122">
        <v>265536</v>
      </c>
      <c r="AU122" t="s">
        <v>57</v>
      </c>
      <c r="AV122" t="s">
        <v>68</v>
      </c>
      <c r="AX122" t="s">
        <v>57</v>
      </c>
      <c r="AY122">
        <v>631110</v>
      </c>
      <c r="AZ122">
        <v>1205.63111</v>
      </c>
      <c r="BA122" s="23" t="s">
        <v>13</v>
      </c>
    </row>
    <row r="123" spans="1:53" x14ac:dyDescent="0.25">
      <c r="A123" t="s">
        <v>134</v>
      </c>
      <c r="B123" t="s">
        <v>135</v>
      </c>
      <c r="C123">
        <v>22002307</v>
      </c>
      <c r="D123">
        <v>1205</v>
      </c>
      <c r="E123" s="11">
        <v>44778</v>
      </c>
      <c r="F123" t="s">
        <v>179</v>
      </c>
      <c r="G123" s="25">
        <v>0.5</v>
      </c>
      <c r="H123">
        <v>0.5</v>
      </c>
      <c r="I123" t="s">
        <v>56</v>
      </c>
      <c r="O123" t="s">
        <v>57</v>
      </c>
      <c r="Q123" t="s">
        <v>57</v>
      </c>
      <c r="R123" t="s">
        <v>137</v>
      </c>
      <c r="T123" t="s">
        <v>59</v>
      </c>
      <c r="U123" t="s">
        <v>60</v>
      </c>
      <c r="V123" t="s">
        <v>138</v>
      </c>
      <c r="W123" t="s">
        <v>139</v>
      </c>
      <c r="X123">
        <v>1928768</v>
      </c>
      <c r="Y123" s="11">
        <v>44778</v>
      </c>
      <c r="Z123" t="s">
        <v>57</v>
      </c>
      <c r="AA123">
        <v>20</v>
      </c>
      <c r="AB123" t="s">
        <v>57</v>
      </c>
      <c r="AD123" t="s">
        <v>57</v>
      </c>
      <c r="AE123" t="s">
        <v>57</v>
      </c>
      <c r="AF123" t="s">
        <v>57</v>
      </c>
      <c r="AG123">
        <v>2</v>
      </c>
      <c r="AH123" t="s">
        <v>57</v>
      </c>
      <c r="AL123" t="s">
        <v>57</v>
      </c>
      <c r="AM123" s="11">
        <v>44778</v>
      </c>
      <c r="AN123" t="s">
        <v>180</v>
      </c>
      <c r="AO123" t="s">
        <v>65</v>
      </c>
      <c r="AP123">
        <v>1205</v>
      </c>
      <c r="AQ123" t="s">
        <v>66</v>
      </c>
      <c r="AR123">
        <v>265536</v>
      </c>
      <c r="AU123" t="s">
        <v>57</v>
      </c>
      <c r="AV123" t="s">
        <v>68</v>
      </c>
      <c r="AX123" t="s">
        <v>57</v>
      </c>
      <c r="AY123">
        <v>631110</v>
      </c>
      <c r="AZ123">
        <v>1205.63111</v>
      </c>
      <c r="BA123" s="23" t="s">
        <v>13</v>
      </c>
    </row>
    <row r="124" spans="1:53" x14ac:dyDescent="0.25">
      <c r="A124" t="s">
        <v>134</v>
      </c>
      <c r="B124" t="s">
        <v>135</v>
      </c>
      <c r="C124">
        <v>22002325</v>
      </c>
      <c r="D124">
        <v>1205</v>
      </c>
      <c r="E124" s="11">
        <v>44783</v>
      </c>
      <c r="F124" t="s">
        <v>179</v>
      </c>
      <c r="G124" s="25">
        <v>0.5</v>
      </c>
      <c r="H124">
        <v>0.5</v>
      </c>
      <c r="I124" t="s">
        <v>56</v>
      </c>
      <c r="O124" t="s">
        <v>57</v>
      </c>
      <c r="Q124" t="s">
        <v>57</v>
      </c>
      <c r="R124" t="s">
        <v>137</v>
      </c>
      <c r="T124" t="s">
        <v>59</v>
      </c>
      <c r="U124" t="s">
        <v>60</v>
      </c>
      <c r="V124" t="s">
        <v>138</v>
      </c>
      <c r="W124" t="s">
        <v>139</v>
      </c>
      <c r="X124">
        <v>1930357</v>
      </c>
      <c r="Y124" s="11">
        <v>44783</v>
      </c>
      <c r="Z124" t="s">
        <v>57</v>
      </c>
      <c r="AA124">
        <v>20</v>
      </c>
      <c r="AB124" t="s">
        <v>57</v>
      </c>
      <c r="AD124" t="s">
        <v>57</v>
      </c>
      <c r="AE124" t="s">
        <v>57</v>
      </c>
      <c r="AF124" t="s">
        <v>57</v>
      </c>
      <c r="AG124">
        <v>4</v>
      </c>
      <c r="AH124" t="s">
        <v>57</v>
      </c>
      <c r="AL124" t="s">
        <v>57</v>
      </c>
      <c r="AM124" s="11">
        <v>44783</v>
      </c>
      <c r="AN124" t="s">
        <v>180</v>
      </c>
      <c r="AO124" t="s">
        <v>65</v>
      </c>
      <c r="AP124">
        <v>1205</v>
      </c>
      <c r="AQ124" t="s">
        <v>66</v>
      </c>
      <c r="AR124">
        <v>265216</v>
      </c>
      <c r="AU124" t="s">
        <v>57</v>
      </c>
      <c r="AV124" t="s">
        <v>68</v>
      </c>
      <c r="AX124" t="s">
        <v>57</v>
      </c>
      <c r="AY124">
        <v>631110</v>
      </c>
      <c r="AZ124">
        <v>1205.63111</v>
      </c>
      <c r="BA124" s="23" t="s">
        <v>13</v>
      </c>
    </row>
    <row r="125" spans="1:53" x14ac:dyDescent="0.25">
      <c r="A125" t="s">
        <v>134</v>
      </c>
      <c r="B125" t="s">
        <v>135</v>
      </c>
      <c r="C125">
        <v>22002342</v>
      </c>
      <c r="D125">
        <v>1205</v>
      </c>
      <c r="E125" s="11">
        <v>44785</v>
      </c>
      <c r="F125" t="s">
        <v>179</v>
      </c>
      <c r="G125" s="25">
        <v>0.5</v>
      </c>
      <c r="H125">
        <v>0.5</v>
      </c>
      <c r="I125" t="s">
        <v>56</v>
      </c>
      <c r="O125" t="s">
        <v>57</v>
      </c>
      <c r="Q125" t="s">
        <v>57</v>
      </c>
      <c r="R125" t="s">
        <v>137</v>
      </c>
      <c r="T125" t="s">
        <v>59</v>
      </c>
      <c r="U125" t="s">
        <v>60</v>
      </c>
      <c r="V125" t="s">
        <v>138</v>
      </c>
      <c r="W125" t="s">
        <v>139</v>
      </c>
      <c r="X125">
        <v>1930745</v>
      </c>
      <c r="Y125" s="11">
        <v>44785</v>
      </c>
      <c r="Z125" t="s">
        <v>57</v>
      </c>
      <c r="AA125">
        <v>30</v>
      </c>
      <c r="AB125" t="s">
        <v>57</v>
      </c>
      <c r="AD125" t="s">
        <v>57</v>
      </c>
      <c r="AE125" t="s">
        <v>57</v>
      </c>
      <c r="AF125" t="s">
        <v>57</v>
      </c>
      <c r="AG125">
        <v>2</v>
      </c>
      <c r="AH125" t="s">
        <v>57</v>
      </c>
      <c r="AL125" t="s">
        <v>57</v>
      </c>
      <c r="AM125" s="11">
        <v>44785</v>
      </c>
      <c r="AN125" t="s">
        <v>180</v>
      </c>
      <c r="AO125" t="s">
        <v>65</v>
      </c>
      <c r="AP125">
        <v>1205</v>
      </c>
      <c r="AQ125" t="s">
        <v>66</v>
      </c>
      <c r="AR125">
        <v>265536</v>
      </c>
      <c r="AU125" t="s">
        <v>57</v>
      </c>
      <c r="AV125" t="s">
        <v>68</v>
      </c>
      <c r="AX125" t="s">
        <v>57</v>
      </c>
      <c r="AY125">
        <v>631110</v>
      </c>
      <c r="AZ125">
        <v>1205.63111</v>
      </c>
      <c r="BA125" s="23" t="s">
        <v>13</v>
      </c>
    </row>
    <row r="126" spans="1:53" x14ac:dyDescent="0.25">
      <c r="A126" t="s">
        <v>134</v>
      </c>
      <c r="B126" t="s">
        <v>135</v>
      </c>
      <c r="C126">
        <v>22002372</v>
      </c>
      <c r="D126">
        <v>1205</v>
      </c>
      <c r="E126" s="11">
        <v>44791</v>
      </c>
      <c r="F126" t="s">
        <v>179</v>
      </c>
      <c r="G126" s="25">
        <v>0.5</v>
      </c>
      <c r="H126">
        <v>0.5</v>
      </c>
      <c r="I126" t="s">
        <v>56</v>
      </c>
      <c r="O126" t="s">
        <v>57</v>
      </c>
      <c r="Q126" t="s">
        <v>57</v>
      </c>
      <c r="R126" t="s">
        <v>137</v>
      </c>
      <c r="T126" t="s">
        <v>59</v>
      </c>
      <c r="U126" t="s">
        <v>60</v>
      </c>
      <c r="V126" t="s">
        <v>138</v>
      </c>
      <c r="W126" t="s">
        <v>139</v>
      </c>
      <c r="X126">
        <v>1933543</v>
      </c>
      <c r="Y126" s="11">
        <v>44791</v>
      </c>
      <c r="Z126" t="s">
        <v>57</v>
      </c>
      <c r="AA126">
        <v>8</v>
      </c>
      <c r="AB126" t="s">
        <v>57</v>
      </c>
      <c r="AD126" t="s">
        <v>57</v>
      </c>
      <c r="AE126" t="s">
        <v>57</v>
      </c>
      <c r="AF126" t="s">
        <v>57</v>
      </c>
      <c r="AG126">
        <v>6</v>
      </c>
      <c r="AH126" t="s">
        <v>57</v>
      </c>
      <c r="AL126" t="s">
        <v>57</v>
      </c>
      <c r="AM126" s="11">
        <v>44791</v>
      </c>
      <c r="AN126" t="s">
        <v>180</v>
      </c>
      <c r="AO126" t="s">
        <v>65</v>
      </c>
      <c r="AP126">
        <v>1205</v>
      </c>
      <c r="AQ126" t="s">
        <v>66</v>
      </c>
      <c r="AR126">
        <v>265878</v>
      </c>
      <c r="AU126" t="s">
        <v>57</v>
      </c>
      <c r="AV126" t="s">
        <v>68</v>
      </c>
      <c r="AX126" t="s">
        <v>57</v>
      </c>
      <c r="AY126">
        <v>631110</v>
      </c>
      <c r="AZ126">
        <v>1205.63111</v>
      </c>
      <c r="BA126" s="23" t="s">
        <v>13</v>
      </c>
    </row>
    <row r="127" spans="1:53" x14ac:dyDescent="0.25">
      <c r="A127" t="s">
        <v>134</v>
      </c>
      <c r="B127" t="s">
        <v>135</v>
      </c>
      <c r="C127">
        <v>22002261</v>
      </c>
      <c r="D127">
        <v>1205</v>
      </c>
      <c r="E127" s="11">
        <v>44774</v>
      </c>
      <c r="F127" t="s">
        <v>174</v>
      </c>
      <c r="G127" s="25">
        <v>0.54</v>
      </c>
      <c r="H127">
        <v>0.54</v>
      </c>
      <c r="I127" t="s">
        <v>56</v>
      </c>
      <c r="O127" t="s">
        <v>57</v>
      </c>
      <c r="Q127" t="s">
        <v>57</v>
      </c>
      <c r="R127" t="s">
        <v>137</v>
      </c>
      <c r="T127" t="s">
        <v>59</v>
      </c>
      <c r="U127" t="s">
        <v>60</v>
      </c>
      <c r="V127" t="s">
        <v>138</v>
      </c>
      <c r="W127" t="s">
        <v>139</v>
      </c>
      <c r="X127">
        <v>1925596</v>
      </c>
      <c r="Y127" s="11">
        <v>44774</v>
      </c>
      <c r="Z127" t="s">
        <v>57</v>
      </c>
      <c r="AA127">
        <v>10</v>
      </c>
      <c r="AB127" t="s">
        <v>57</v>
      </c>
      <c r="AD127" t="s">
        <v>57</v>
      </c>
      <c r="AE127" t="s">
        <v>57</v>
      </c>
      <c r="AF127" t="s">
        <v>57</v>
      </c>
      <c r="AG127">
        <v>1</v>
      </c>
      <c r="AH127" t="s">
        <v>57</v>
      </c>
      <c r="AL127" t="s">
        <v>57</v>
      </c>
      <c r="AM127" s="11">
        <v>44774</v>
      </c>
      <c r="AN127" t="s">
        <v>178</v>
      </c>
      <c r="AO127" t="s">
        <v>65</v>
      </c>
      <c r="AP127">
        <v>1205</v>
      </c>
      <c r="AQ127" t="s">
        <v>66</v>
      </c>
      <c r="AR127">
        <v>89777</v>
      </c>
      <c r="AU127" t="s">
        <v>57</v>
      </c>
      <c r="AV127" t="s">
        <v>68</v>
      </c>
      <c r="AX127" t="s">
        <v>57</v>
      </c>
      <c r="AY127">
        <v>631110</v>
      </c>
      <c r="AZ127">
        <v>1205.63111</v>
      </c>
      <c r="BA127" s="23" t="s">
        <v>13</v>
      </c>
    </row>
    <row r="128" spans="1:53" x14ac:dyDescent="0.25">
      <c r="A128" t="s">
        <v>134</v>
      </c>
      <c r="B128" t="s">
        <v>135</v>
      </c>
      <c r="C128">
        <v>22002276</v>
      </c>
      <c r="D128">
        <v>1205</v>
      </c>
      <c r="E128" s="11">
        <v>44776</v>
      </c>
      <c r="F128" t="s">
        <v>174</v>
      </c>
      <c r="G128" s="25">
        <v>0.54</v>
      </c>
      <c r="H128">
        <v>0.54</v>
      </c>
      <c r="I128" t="s">
        <v>56</v>
      </c>
      <c r="O128" t="s">
        <v>57</v>
      </c>
      <c r="Q128" t="s">
        <v>57</v>
      </c>
      <c r="R128" t="s">
        <v>137</v>
      </c>
      <c r="T128" t="s">
        <v>59</v>
      </c>
      <c r="U128" t="s">
        <v>60</v>
      </c>
      <c r="V128" t="s">
        <v>138</v>
      </c>
      <c r="W128" t="s">
        <v>139</v>
      </c>
      <c r="X128">
        <v>1927010</v>
      </c>
      <c r="Y128" s="11">
        <v>44776</v>
      </c>
      <c r="Z128" t="s">
        <v>57</v>
      </c>
      <c r="AA128">
        <v>12</v>
      </c>
      <c r="AB128" t="s">
        <v>57</v>
      </c>
      <c r="AD128" t="s">
        <v>57</v>
      </c>
      <c r="AE128" t="s">
        <v>57</v>
      </c>
      <c r="AF128" t="s">
        <v>57</v>
      </c>
      <c r="AG128">
        <v>1</v>
      </c>
      <c r="AH128" t="s">
        <v>57</v>
      </c>
      <c r="AL128" t="s">
        <v>57</v>
      </c>
      <c r="AM128" s="11">
        <v>44776</v>
      </c>
      <c r="AN128" t="s">
        <v>178</v>
      </c>
      <c r="AO128" t="s">
        <v>65</v>
      </c>
      <c r="AP128">
        <v>1205</v>
      </c>
      <c r="AQ128" t="s">
        <v>66</v>
      </c>
      <c r="AR128">
        <v>89777</v>
      </c>
      <c r="AU128" t="s">
        <v>57</v>
      </c>
      <c r="AV128" t="s">
        <v>68</v>
      </c>
      <c r="AX128" t="s">
        <v>57</v>
      </c>
      <c r="AY128">
        <v>631110</v>
      </c>
      <c r="AZ128">
        <v>1205.63111</v>
      </c>
      <c r="BA128" s="23" t="s">
        <v>13</v>
      </c>
    </row>
    <row r="129" spans="1:53" x14ac:dyDescent="0.25">
      <c r="A129" t="s">
        <v>134</v>
      </c>
      <c r="B129" t="s">
        <v>135</v>
      </c>
      <c r="C129">
        <v>22002281</v>
      </c>
      <c r="D129">
        <v>1205</v>
      </c>
      <c r="E129" s="11">
        <v>44776</v>
      </c>
      <c r="F129" t="s">
        <v>179</v>
      </c>
      <c r="G129" s="25">
        <v>0.54</v>
      </c>
      <c r="H129">
        <v>0.54</v>
      </c>
      <c r="I129" t="s">
        <v>56</v>
      </c>
      <c r="O129" t="s">
        <v>57</v>
      </c>
      <c r="Q129" t="s">
        <v>57</v>
      </c>
      <c r="R129" t="s">
        <v>137</v>
      </c>
      <c r="T129" t="s">
        <v>59</v>
      </c>
      <c r="U129" t="s">
        <v>60</v>
      </c>
      <c r="V129" t="s">
        <v>138</v>
      </c>
      <c r="W129" t="s">
        <v>139</v>
      </c>
      <c r="X129">
        <v>1927036</v>
      </c>
      <c r="Y129" s="11">
        <v>44776</v>
      </c>
      <c r="Z129" t="s">
        <v>57</v>
      </c>
      <c r="AA129">
        <v>6</v>
      </c>
      <c r="AB129" t="s">
        <v>57</v>
      </c>
      <c r="AD129" t="s">
        <v>57</v>
      </c>
      <c r="AE129" t="s">
        <v>57</v>
      </c>
      <c r="AF129" t="s">
        <v>57</v>
      </c>
      <c r="AG129">
        <v>7</v>
      </c>
      <c r="AH129" t="s">
        <v>57</v>
      </c>
      <c r="AL129" t="s">
        <v>57</v>
      </c>
      <c r="AM129" s="11">
        <v>44776</v>
      </c>
      <c r="AN129" t="s">
        <v>180</v>
      </c>
      <c r="AO129" t="s">
        <v>65</v>
      </c>
      <c r="AP129">
        <v>1205</v>
      </c>
      <c r="AQ129" t="s">
        <v>66</v>
      </c>
      <c r="AR129">
        <v>264688</v>
      </c>
      <c r="AU129" t="s">
        <v>57</v>
      </c>
      <c r="AV129" t="s">
        <v>68</v>
      </c>
      <c r="AX129" t="s">
        <v>57</v>
      </c>
      <c r="AY129">
        <v>631110</v>
      </c>
      <c r="AZ129">
        <v>1205.63111</v>
      </c>
      <c r="BA129" s="23" t="s">
        <v>13</v>
      </c>
    </row>
    <row r="130" spans="1:53" x14ac:dyDescent="0.25">
      <c r="A130" t="s">
        <v>134</v>
      </c>
      <c r="B130" t="s">
        <v>135</v>
      </c>
      <c r="C130">
        <v>22002307</v>
      </c>
      <c r="D130">
        <v>1205</v>
      </c>
      <c r="E130" s="11">
        <v>44778</v>
      </c>
      <c r="F130" t="s">
        <v>179</v>
      </c>
      <c r="G130" s="25">
        <v>0.54</v>
      </c>
      <c r="H130">
        <v>0.54</v>
      </c>
      <c r="I130" t="s">
        <v>56</v>
      </c>
      <c r="O130" t="s">
        <v>57</v>
      </c>
      <c r="Q130" t="s">
        <v>57</v>
      </c>
      <c r="R130" t="s">
        <v>137</v>
      </c>
      <c r="T130" t="s">
        <v>59</v>
      </c>
      <c r="U130" t="s">
        <v>60</v>
      </c>
      <c r="V130" t="s">
        <v>138</v>
      </c>
      <c r="W130" t="s">
        <v>139</v>
      </c>
      <c r="X130">
        <v>1928768</v>
      </c>
      <c r="Y130" s="11">
        <v>44778</v>
      </c>
      <c r="Z130" t="s">
        <v>57</v>
      </c>
      <c r="AA130">
        <v>10</v>
      </c>
      <c r="AB130" t="s">
        <v>57</v>
      </c>
      <c r="AD130" t="s">
        <v>57</v>
      </c>
      <c r="AE130" t="s">
        <v>57</v>
      </c>
      <c r="AF130" t="s">
        <v>57</v>
      </c>
      <c r="AG130">
        <v>5</v>
      </c>
      <c r="AH130" t="s">
        <v>57</v>
      </c>
      <c r="AL130" t="s">
        <v>57</v>
      </c>
      <c r="AM130" s="11">
        <v>44778</v>
      </c>
      <c r="AN130" t="s">
        <v>180</v>
      </c>
      <c r="AO130" t="s">
        <v>65</v>
      </c>
      <c r="AP130">
        <v>1205</v>
      </c>
      <c r="AQ130" t="s">
        <v>66</v>
      </c>
      <c r="AR130">
        <v>90435</v>
      </c>
      <c r="AU130" t="s">
        <v>57</v>
      </c>
      <c r="AV130" t="s">
        <v>68</v>
      </c>
      <c r="AX130" t="s">
        <v>57</v>
      </c>
      <c r="AY130">
        <v>631110</v>
      </c>
      <c r="AZ130">
        <v>1205.63111</v>
      </c>
      <c r="BA130" s="23" t="s">
        <v>13</v>
      </c>
    </row>
    <row r="131" spans="1:53" x14ac:dyDescent="0.25">
      <c r="A131" t="s">
        <v>134</v>
      </c>
      <c r="B131" t="s">
        <v>135</v>
      </c>
      <c r="C131">
        <v>22002311</v>
      </c>
      <c r="D131">
        <v>1205</v>
      </c>
      <c r="E131" s="11">
        <v>44781</v>
      </c>
      <c r="F131" t="s">
        <v>174</v>
      </c>
      <c r="G131" s="25">
        <v>0.54</v>
      </c>
      <c r="H131">
        <v>0.54</v>
      </c>
      <c r="I131" t="s">
        <v>56</v>
      </c>
      <c r="O131" t="s">
        <v>57</v>
      </c>
      <c r="Q131" t="s">
        <v>57</v>
      </c>
      <c r="R131" t="s">
        <v>137</v>
      </c>
      <c r="T131" t="s">
        <v>59</v>
      </c>
      <c r="U131" t="s">
        <v>60</v>
      </c>
      <c r="V131" t="s">
        <v>138</v>
      </c>
      <c r="W131" t="s">
        <v>139</v>
      </c>
      <c r="X131">
        <v>1928974</v>
      </c>
      <c r="Y131" s="11">
        <v>44781</v>
      </c>
      <c r="Z131" t="s">
        <v>57</v>
      </c>
      <c r="AA131">
        <v>10</v>
      </c>
      <c r="AB131" t="s">
        <v>57</v>
      </c>
      <c r="AD131" t="s">
        <v>57</v>
      </c>
      <c r="AE131" t="s">
        <v>57</v>
      </c>
      <c r="AF131" t="s">
        <v>57</v>
      </c>
      <c r="AG131">
        <v>1</v>
      </c>
      <c r="AH131" t="s">
        <v>57</v>
      </c>
      <c r="AL131" t="s">
        <v>57</v>
      </c>
      <c r="AM131" s="11">
        <v>44781</v>
      </c>
      <c r="AN131" t="s">
        <v>178</v>
      </c>
      <c r="AO131" t="s">
        <v>65</v>
      </c>
      <c r="AP131">
        <v>1205</v>
      </c>
      <c r="AQ131" t="s">
        <v>66</v>
      </c>
      <c r="AR131">
        <v>89777</v>
      </c>
      <c r="AU131" t="s">
        <v>57</v>
      </c>
      <c r="AV131" t="s">
        <v>68</v>
      </c>
      <c r="AX131" t="s">
        <v>57</v>
      </c>
      <c r="AY131">
        <v>631110</v>
      </c>
      <c r="AZ131">
        <v>1205.63111</v>
      </c>
      <c r="BA131" s="23" t="s">
        <v>13</v>
      </c>
    </row>
    <row r="132" spans="1:53" x14ac:dyDescent="0.25">
      <c r="A132" t="s">
        <v>134</v>
      </c>
      <c r="B132" t="s">
        <v>135</v>
      </c>
      <c r="C132">
        <v>22002316</v>
      </c>
      <c r="D132">
        <v>1205</v>
      </c>
      <c r="E132" s="11">
        <v>44782</v>
      </c>
      <c r="F132" t="s">
        <v>174</v>
      </c>
      <c r="G132" s="25">
        <v>0.54</v>
      </c>
      <c r="H132">
        <v>0.54</v>
      </c>
      <c r="I132" t="s">
        <v>56</v>
      </c>
      <c r="O132" t="s">
        <v>57</v>
      </c>
      <c r="Q132" t="s">
        <v>57</v>
      </c>
      <c r="R132" t="s">
        <v>137</v>
      </c>
      <c r="T132" t="s">
        <v>59</v>
      </c>
      <c r="U132" t="s">
        <v>60</v>
      </c>
      <c r="V132" t="s">
        <v>138</v>
      </c>
      <c r="W132" t="s">
        <v>139</v>
      </c>
      <c r="X132">
        <v>1929847</v>
      </c>
      <c r="Y132" s="11">
        <v>44782</v>
      </c>
      <c r="Z132" t="s">
        <v>57</v>
      </c>
      <c r="AA132">
        <v>34</v>
      </c>
      <c r="AB132" t="s">
        <v>57</v>
      </c>
      <c r="AD132" t="s">
        <v>57</v>
      </c>
      <c r="AE132" t="s">
        <v>57</v>
      </c>
      <c r="AF132" t="s">
        <v>57</v>
      </c>
      <c r="AG132">
        <v>1</v>
      </c>
      <c r="AH132" t="s">
        <v>57</v>
      </c>
      <c r="AL132" t="s">
        <v>57</v>
      </c>
      <c r="AM132" s="11">
        <v>44782</v>
      </c>
      <c r="AN132" t="s">
        <v>178</v>
      </c>
      <c r="AO132" t="s">
        <v>65</v>
      </c>
      <c r="AP132">
        <v>1205</v>
      </c>
      <c r="AQ132" t="s">
        <v>66</v>
      </c>
      <c r="AR132">
        <v>89777</v>
      </c>
      <c r="AU132" t="s">
        <v>57</v>
      </c>
      <c r="AV132" t="s">
        <v>68</v>
      </c>
      <c r="AX132" t="s">
        <v>57</v>
      </c>
      <c r="AY132">
        <v>631110</v>
      </c>
      <c r="AZ132">
        <v>1205.63111</v>
      </c>
      <c r="BA132" s="23" t="s">
        <v>13</v>
      </c>
    </row>
    <row r="133" spans="1:53" x14ac:dyDescent="0.25">
      <c r="A133" t="s">
        <v>134</v>
      </c>
      <c r="B133" t="s">
        <v>135</v>
      </c>
      <c r="C133">
        <v>22002318</v>
      </c>
      <c r="D133">
        <v>1205</v>
      </c>
      <c r="E133" s="11">
        <v>44782</v>
      </c>
      <c r="F133" t="s">
        <v>179</v>
      </c>
      <c r="G133" s="25">
        <v>0.54</v>
      </c>
      <c r="H133">
        <v>0.54</v>
      </c>
      <c r="I133" t="s">
        <v>56</v>
      </c>
      <c r="O133" t="s">
        <v>57</v>
      </c>
      <c r="Q133" t="s">
        <v>57</v>
      </c>
      <c r="R133" t="s">
        <v>137</v>
      </c>
      <c r="T133" t="s">
        <v>59</v>
      </c>
      <c r="U133" t="s">
        <v>60</v>
      </c>
      <c r="V133" t="s">
        <v>138</v>
      </c>
      <c r="W133" t="s">
        <v>139</v>
      </c>
      <c r="X133">
        <v>1929852</v>
      </c>
      <c r="Y133" s="11">
        <v>44782</v>
      </c>
      <c r="Z133" t="s">
        <v>57</v>
      </c>
      <c r="AA133">
        <v>18</v>
      </c>
      <c r="AB133" t="s">
        <v>57</v>
      </c>
      <c r="AD133" t="s">
        <v>57</v>
      </c>
      <c r="AE133" t="s">
        <v>57</v>
      </c>
      <c r="AF133" t="s">
        <v>57</v>
      </c>
      <c r="AG133">
        <v>5</v>
      </c>
      <c r="AH133" t="s">
        <v>57</v>
      </c>
      <c r="AL133" t="s">
        <v>57</v>
      </c>
      <c r="AM133" s="11">
        <v>44782</v>
      </c>
      <c r="AN133" t="s">
        <v>180</v>
      </c>
      <c r="AO133" t="s">
        <v>65</v>
      </c>
      <c r="AP133">
        <v>1205</v>
      </c>
      <c r="AQ133" t="s">
        <v>66</v>
      </c>
      <c r="AR133">
        <v>90435</v>
      </c>
      <c r="AU133" t="s">
        <v>57</v>
      </c>
      <c r="AV133" t="s">
        <v>68</v>
      </c>
      <c r="AX133" t="s">
        <v>57</v>
      </c>
      <c r="AY133">
        <v>631110</v>
      </c>
      <c r="AZ133">
        <v>1205.63111</v>
      </c>
      <c r="BA133" s="23" t="s">
        <v>13</v>
      </c>
    </row>
    <row r="134" spans="1:53" x14ac:dyDescent="0.25">
      <c r="A134" t="s">
        <v>134</v>
      </c>
      <c r="B134" t="s">
        <v>135</v>
      </c>
      <c r="C134">
        <v>22002323</v>
      </c>
      <c r="D134">
        <v>1205</v>
      </c>
      <c r="E134" s="11">
        <v>44783</v>
      </c>
      <c r="F134" t="s">
        <v>174</v>
      </c>
      <c r="G134" s="25">
        <v>0.54</v>
      </c>
      <c r="H134">
        <v>0.54</v>
      </c>
      <c r="I134" t="s">
        <v>56</v>
      </c>
      <c r="O134" t="s">
        <v>57</v>
      </c>
      <c r="Q134" t="s">
        <v>57</v>
      </c>
      <c r="R134" t="s">
        <v>137</v>
      </c>
      <c r="T134" t="s">
        <v>59</v>
      </c>
      <c r="U134" t="s">
        <v>60</v>
      </c>
      <c r="V134" t="s">
        <v>138</v>
      </c>
      <c r="W134" t="s">
        <v>139</v>
      </c>
      <c r="X134">
        <v>1930356</v>
      </c>
      <c r="Y134" s="11">
        <v>44783</v>
      </c>
      <c r="Z134" t="s">
        <v>57</v>
      </c>
      <c r="AA134">
        <v>10</v>
      </c>
      <c r="AB134" t="s">
        <v>57</v>
      </c>
      <c r="AD134" t="s">
        <v>57</v>
      </c>
      <c r="AE134" t="s">
        <v>57</v>
      </c>
      <c r="AF134" t="s">
        <v>57</v>
      </c>
      <c r="AG134">
        <v>1</v>
      </c>
      <c r="AH134" t="s">
        <v>57</v>
      </c>
      <c r="AL134" t="s">
        <v>57</v>
      </c>
      <c r="AM134" s="11">
        <v>44783</v>
      </c>
      <c r="AN134" t="s">
        <v>178</v>
      </c>
      <c r="AO134" t="s">
        <v>65</v>
      </c>
      <c r="AP134">
        <v>1205</v>
      </c>
      <c r="AQ134" t="s">
        <v>66</v>
      </c>
      <c r="AR134">
        <v>89777</v>
      </c>
      <c r="AU134" t="s">
        <v>57</v>
      </c>
      <c r="AV134" t="s">
        <v>68</v>
      </c>
      <c r="AX134" t="s">
        <v>57</v>
      </c>
      <c r="AY134">
        <v>631110</v>
      </c>
      <c r="AZ134">
        <v>1205.63111</v>
      </c>
      <c r="BA134" s="23" t="s">
        <v>13</v>
      </c>
    </row>
    <row r="135" spans="1:53" x14ac:dyDescent="0.25">
      <c r="A135" t="s">
        <v>134</v>
      </c>
      <c r="B135" t="s">
        <v>135</v>
      </c>
      <c r="C135">
        <v>22002325</v>
      </c>
      <c r="D135">
        <v>1205</v>
      </c>
      <c r="E135" s="11">
        <v>44783</v>
      </c>
      <c r="F135" t="s">
        <v>179</v>
      </c>
      <c r="G135" s="25">
        <v>0.54</v>
      </c>
      <c r="H135">
        <v>0.54</v>
      </c>
      <c r="I135" t="s">
        <v>56</v>
      </c>
      <c r="O135" t="s">
        <v>57</v>
      </c>
      <c r="Q135" t="s">
        <v>57</v>
      </c>
      <c r="R135" t="s">
        <v>137</v>
      </c>
      <c r="T135" t="s">
        <v>59</v>
      </c>
      <c r="U135" t="s">
        <v>60</v>
      </c>
      <c r="V135" t="s">
        <v>138</v>
      </c>
      <c r="W135" t="s">
        <v>139</v>
      </c>
      <c r="X135">
        <v>1930357</v>
      </c>
      <c r="Y135" s="11">
        <v>44783</v>
      </c>
      <c r="Z135" t="s">
        <v>57</v>
      </c>
      <c r="AA135">
        <v>18</v>
      </c>
      <c r="AB135" t="s">
        <v>57</v>
      </c>
      <c r="AD135" t="s">
        <v>57</v>
      </c>
      <c r="AE135" t="s">
        <v>57</v>
      </c>
      <c r="AF135" t="s">
        <v>57</v>
      </c>
      <c r="AG135">
        <v>5</v>
      </c>
      <c r="AH135" t="s">
        <v>57</v>
      </c>
      <c r="AL135" t="s">
        <v>57</v>
      </c>
      <c r="AM135" s="11">
        <v>44783</v>
      </c>
      <c r="AN135" t="s">
        <v>180</v>
      </c>
      <c r="AO135" t="s">
        <v>65</v>
      </c>
      <c r="AP135">
        <v>1205</v>
      </c>
      <c r="AQ135" t="s">
        <v>66</v>
      </c>
      <c r="AR135">
        <v>90435</v>
      </c>
      <c r="AU135" t="s">
        <v>57</v>
      </c>
      <c r="AV135" t="s">
        <v>68</v>
      </c>
      <c r="AX135" t="s">
        <v>57</v>
      </c>
      <c r="AY135">
        <v>631110</v>
      </c>
      <c r="AZ135">
        <v>1205.63111</v>
      </c>
      <c r="BA135" s="23" t="s">
        <v>13</v>
      </c>
    </row>
    <row r="136" spans="1:53" x14ac:dyDescent="0.25">
      <c r="A136" t="s">
        <v>134</v>
      </c>
      <c r="B136" t="s">
        <v>135</v>
      </c>
      <c r="C136">
        <v>22002281</v>
      </c>
      <c r="D136">
        <v>1205</v>
      </c>
      <c r="E136" s="11">
        <v>44776</v>
      </c>
      <c r="F136" t="s">
        <v>179</v>
      </c>
      <c r="G136" s="25">
        <v>0.55000000000000004</v>
      </c>
      <c r="H136">
        <v>0.55000000000000004</v>
      </c>
      <c r="I136" t="s">
        <v>56</v>
      </c>
      <c r="O136" t="s">
        <v>57</v>
      </c>
      <c r="Q136" t="s">
        <v>57</v>
      </c>
      <c r="R136" t="s">
        <v>137</v>
      </c>
      <c r="T136" t="s">
        <v>59</v>
      </c>
      <c r="U136" t="s">
        <v>60</v>
      </c>
      <c r="V136" t="s">
        <v>138</v>
      </c>
      <c r="W136" t="s">
        <v>139</v>
      </c>
      <c r="X136">
        <v>1927036</v>
      </c>
      <c r="Y136" s="11">
        <v>44776</v>
      </c>
      <c r="Z136" t="s">
        <v>57</v>
      </c>
      <c r="AA136">
        <v>14</v>
      </c>
      <c r="AB136" t="s">
        <v>57</v>
      </c>
      <c r="AD136" t="s">
        <v>57</v>
      </c>
      <c r="AE136" t="s">
        <v>57</v>
      </c>
      <c r="AF136" t="s">
        <v>57</v>
      </c>
      <c r="AG136">
        <v>5</v>
      </c>
      <c r="AH136" t="s">
        <v>57</v>
      </c>
      <c r="AL136" t="s">
        <v>57</v>
      </c>
      <c r="AM136" s="11">
        <v>44776</v>
      </c>
      <c r="AN136" t="s">
        <v>180</v>
      </c>
      <c r="AO136" t="s">
        <v>65</v>
      </c>
      <c r="AP136">
        <v>1205</v>
      </c>
      <c r="AQ136" t="s">
        <v>66</v>
      </c>
      <c r="AR136">
        <v>90435</v>
      </c>
      <c r="AU136" t="s">
        <v>57</v>
      </c>
      <c r="AV136" t="s">
        <v>68</v>
      </c>
      <c r="AX136" t="s">
        <v>57</v>
      </c>
      <c r="AY136">
        <v>631110</v>
      </c>
      <c r="AZ136">
        <v>1205.63111</v>
      </c>
      <c r="BA136" s="23" t="s">
        <v>13</v>
      </c>
    </row>
    <row r="137" spans="1:53" x14ac:dyDescent="0.25">
      <c r="A137" t="s">
        <v>134</v>
      </c>
      <c r="B137" t="s">
        <v>135</v>
      </c>
      <c r="C137">
        <v>22002311</v>
      </c>
      <c r="D137">
        <v>1205</v>
      </c>
      <c r="E137" s="11">
        <v>44781</v>
      </c>
      <c r="F137" t="s">
        <v>174</v>
      </c>
      <c r="G137" s="25">
        <v>0.56000000000000005</v>
      </c>
      <c r="H137">
        <v>0.56000000000000005</v>
      </c>
      <c r="I137" t="s">
        <v>56</v>
      </c>
      <c r="O137" t="s">
        <v>57</v>
      </c>
      <c r="Q137" t="s">
        <v>57</v>
      </c>
      <c r="R137" t="s">
        <v>137</v>
      </c>
      <c r="T137" t="s">
        <v>59</v>
      </c>
      <c r="U137" t="s">
        <v>60</v>
      </c>
      <c r="V137" t="s">
        <v>138</v>
      </c>
      <c r="W137" t="s">
        <v>139</v>
      </c>
      <c r="X137">
        <v>1928974</v>
      </c>
      <c r="Y137" s="11">
        <v>44781</v>
      </c>
      <c r="Z137" t="s">
        <v>57</v>
      </c>
      <c r="AA137">
        <v>6</v>
      </c>
      <c r="AB137" t="s">
        <v>57</v>
      </c>
      <c r="AD137" t="s">
        <v>57</v>
      </c>
      <c r="AE137" t="s">
        <v>57</v>
      </c>
      <c r="AF137" t="s">
        <v>57</v>
      </c>
      <c r="AG137">
        <v>1</v>
      </c>
      <c r="AH137" t="s">
        <v>57</v>
      </c>
      <c r="AL137" t="s">
        <v>57</v>
      </c>
      <c r="AM137" s="11">
        <v>44781</v>
      </c>
      <c r="AN137" t="s">
        <v>178</v>
      </c>
      <c r="AO137" t="s">
        <v>65</v>
      </c>
      <c r="AP137">
        <v>1205</v>
      </c>
      <c r="AQ137" t="s">
        <v>66</v>
      </c>
      <c r="AR137">
        <v>89845</v>
      </c>
      <c r="AU137" t="s">
        <v>57</v>
      </c>
      <c r="AV137" t="s">
        <v>68</v>
      </c>
      <c r="AX137" t="s">
        <v>57</v>
      </c>
      <c r="AY137">
        <v>631110</v>
      </c>
      <c r="AZ137">
        <v>1205.63111</v>
      </c>
      <c r="BA137" s="23" t="s">
        <v>13</v>
      </c>
    </row>
    <row r="138" spans="1:53" x14ac:dyDescent="0.25">
      <c r="A138" t="s">
        <v>134</v>
      </c>
      <c r="B138" t="s">
        <v>135</v>
      </c>
      <c r="C138">
        <v>22002307</v>
      </c>
      <c r="D138">
        <v>1205</v>
      </c>
      <c r="E138" s="11">
        <v>44778</v>
      </c>
      <c r="F138" t="s">
        <v>179</v>
      </c>
      <c r="G138" s="25">
        <v>0.57999999999999996</v>
      </c>
      <c r="H138">
        <v>0.57999999999999996</v>
      </c>
      <c r="I138" t="s">
        <v>56</v>
      </c>
      <c r="O138" t="s">
        <v>57</v>
      </c>
      <c r="Q138" t="s">
        <v>57</v>
      </c>
      <c r="R138" t="s">
        <v>137</v>
      </c>
      <c r="T138" t="s">
        <v>59</v>
      </c>
      <c r="U138" t="s">
        <v>60</v>
      </c>
      <c r="V138" t="s">
        <v>138</v>
      </c>
      <c r="W138" t="s">
        <v>139</v>
      </c>
      <c r="X138">
        <v>1928768</v>
      </c>
      <c r="Y138" s="11">
        <v>44778</v>
      </c>
      <c r="Z138" t="s">
        <v>57</v>
      </c>
      <c r="AA138">
        <v>4</v>
      </c>
      <c r="AB138" t="s">
        <v>57</v>
      </c>
      <c r="AD138" t="s">
        <v>57</v>
      </c>
      <c r="AE138" t="s">
        <v>57</v>
      </c>
      <c r="AF138" t="s">
        <v>57</v>
      </c>
      <c r="AG138">
        <v>7</v>
      </c>
      <c r="AH138" t="s">
        <v>57</v>
      </c>
      <c r="AL138" t="s">
        <v>57</v>
      </c>
      <c r="AM138" s="11">
        <v>44778</v>
      </c>
      <c r="AN138" t="s">
        <v>180</v>
      </c>
      <c r="AO138" t="s">
        <v>65</v>
      </c>
      <c r="AP138">
        <v>1205</v>
      </c>
      <c r="AQ138" t="s">
        <v>66</v>
      </c>
      <c r="AR138">
        <v>265878</v>
      </c>
      <c r="AU138" t="s">
        <v>57</v>
      </c>
      <c r="AV138" t="s">
        <v>68</v>
      </c>
      <c r="AX138" t="s">
        <v>57</v>
      </c>
      <c r="AY138">
        <v>631110</v>
      </c>
      <c r="AZ138">
        <v>1205.63111</v>
      </c>
      <c r="BA138" s="23" t="s">
        <v>13</v>
      </c>
    </row>
    <row r="139" spans="1:53" x14ac:dyDescent="0.25">
      <c r="A139" t="s">
        <v>134</v>
      </c>
      <c r="B139" t="s">
        <v>135</v>
      </c>
      <c r="C139">
        <v>22002318</v>
      </c>
      <c r="D139">
        <v>1205</v>
      </c>
      <c r="E139" s="11">
        <v>44782</v>
      </c>
      <c r="F139" t="s">
        <v>179</v>
      </c>
      <c r="G139" s="25">
        <v>0.6</v>
      </c>
      <c r="H139">
        <v>0.6</v>
      </c>
      <c r="I139" t="s">
        <v>56</v>
      </c>
      <c r="O139" t="s">
        <v>57</v>
      </c>
      <c r="Q139" t="s">
        <v>57</v>
      </c>
      <c r="R139" t="s">
        <v>137</v>
      </c>
      <c r="T139" t="s">
        <v>59</v>
      </c>
      <c r="U139" t="s">
        <v>60</v>
      </c>
      <c r="V139" t="s">
        <v>138</v>
      </c>
      <c r="W139" t="s">
        <v>139</v>
      </c>
      <c r="X139">
        <v>1929852</v>
      </c>
      <c r="Y139" s="11">
        <v>44782</v>
      </c>
      <c r="Z139" t="s">
        <v>57</v>
      </c>
      <c r="AA139">
        <v>2</v>
      </c>
      <c r="AB139" t="s">
        <v>57</v>
      </c>
      <c r="AD139" t="s">
        <v>57</v>
      </c>
      <c r="AE139" t="s">
        <v>57</v>
      </c>
      <c r="AF139" t="s">
        <v>57</v>
      </c>
      <c r="AG139">
        <v>8</v>
      </c>
      <c r="AH139" t="s">
        <v>57</v>
      </c>
      <c r="AL139" t="s">
        <v>57</v>
      </c>
      <c r="AM139" s="11">
        <v>44782</v>
      </c>
      <c r="AN139" t="s">
        <v>180</v>
      </c>
      <c r="AO139" t="s">
        <v>65</v>
      </c>
      <c r="AP139">
        <v>1205</v>
      </c>
      <c r="AQ139" t="s">
        <v>66</v>
      </c>
      <c r="AR139">
        <v>92908</v>
      </c>
      <c r="AU139" t="s">
        <v>57</v>
      </c>
      <c r="AV139" t="s">
        <v>68</v>
      </c>
      <c r="AX139" t="s">
        <v>57</v>
      </c>
      <c r="AY139">
        <v>631110</v>
      </c>
      <c r="AZ139">
        <v>1205.63111</v>
      </c>
      <c r="BA139" s="23" t="s">
        <v>13</v>
      </c>
    </row>
    <row r="140" spans="1:53" x14ac:dyDescent="0.25">
      <c r="A140" t="s">
        <v>134</v>
      </c>
      <c r="B140" t="s">
        <v>135</v>
      </c>
      <c r="C140">
        <v>22002338</v>
      </c>
      <c r="D140">
        <v>1205</v>
      </c>
      <c r="E140" s="11">
        <v>44784</v>
      </c>
      <c r="F140" t="s">
        <v>174</v>
      </c>
      <c r="G140" s="25">
        <v>0.6</v>
      </c>
      <c r="H140">
        <v>0.6</v>
      </c>
      <c r="I140" t="s">
        <v>56</v>
      </c>
      <c r="O140" t="s">
        <v>57</v>
      </c>
      <c r="Q140" t="s">
        <v>57</v>
      </c>
      <c r="R140" t="s">
        <v>137</v>
      </c>
      <c r="T140" t="s">
        <v>59</v>
      </c>
      <c r="U140" t="s">
        <v>60</v>
      </c>
      <c r="V140" t="s">
        <v>138</v>
      </c>
      <c r="W140" t="s">
        <v>139</v>
      </c>
      <c r="X140">
        <v>1930521</v>
      </c>
      <c r="Y140" s="11">
        <v>44784</v>
      </c>
      <c r="Z140" t="s">
        <v>57</v>
      </c>
      <c r="AA140">
        <v>2</v>
      </c>
      <c r="AB140" t="s">
        <v>57</v>
      </c>
      <c r="AD140" t="s">
        <v>57</v>
      </c>
      <c r="AE140" t="s">
        <v>57</v>
      </c>
      <c r="AF140" t="s">
        <v>57</v>
      </c>
      <c r="AG140">
        <v>1</v>
      </c>
      <c r="AH140" t="s">
        <v>57</v>
      </c>
      <c r="AL140" t="s">
        <v>57</v>
      </c>
      <c r="AM140" s="11">
        <v>44784</v>
      </c>
      <c r="AN140" t="s">
        <v>178</v>
      </c>
      <c r="AO140" t="s">
        <v>65</v>
      </c>
      <c r="AP140">
        <v>1205</v>
      </c>
      <c r="AQ140" t="s">
        <v>66</v>
      </c>
      <c r="AR140">
        <v>208950</v>
      </c>
      <c r="AU140" t="s">
        <v>57</v>
      </c>
      <c r="AV140" t="s">
        <v>68</v>
      </c>
      <c r="AX140" t="s">
        <v>57</v>
      </c>
      <c r="AY140">
        <v>631110</v>
      </c>
      <c r="AZ140">
        <v>1205.63111</v>
      </c>
      <c r="BA140" s="23" t="s">
        <v>13</v>
      </c>
    </row>
    <row r="141" spans="1:53" x14ac:dyDescent="0.25">
      <c r="A141" t="s">
        <v>134</v>
      </c>
      <c r="B141" t="s">
        <v>135</v>
      </c>
      <c r="C141">
        <v>22002372</v>
      </c>
      <c r="D141">
        <v>1205</v>
      </c>
      <c r="E141" s="11">
        <v>44791</v>
      </c>
      <c r="F141" t="s">
        <v>179</v>
      </c>
      <c r="G141" s="25">
        <v>0.61</v>
      </c>
      <c r="H141">
        <v>0.61</v>
      </c>
      <c r="I141" t="s">
        <v>56</v>
      </c>
      <c r="O141" t="s">
        <v>57</v>
      </c>
      <c r="Q141" t="s">
        <v>57</v>
      </c>
      <c r="R141" t="s">
        <v>137</v>
      </c>
      <c r="T141" t="s">
        <v>59</v>
      </c>
      <c r="U141" t="s">
        <v>60</v>
      </c>
      <c r="V141" t="s">
        <v>138</v>
      </c>
      <c r="W141" t="s">
        <v>139</v>
      </c>
      <c r="X141">
        <v>1933543</v>
      </c>
      <c r="Y141" s="11">
        <v>44791</v>
      </c>
      <c r="Z141" t="s">
        <v>57</v>
      </c>
      <c r="AA141">
        <v>6</v>
      </c>
      <c r="AB141" t="s">
        <v>57</v>
      </c>
      <c r="AD141" t="s">
        <v>57</v>
      </c>
      <c r="AE141" t="s">
        <v>57</v>
      </c>
      <c r="AF141" t="s">
        <v>57</v>
      </c>
      <c r="AG141">
        <v>8</v>
      </c>
      <c r="AH141" t="s">
        <v>57</v>
      </c>
      <c r="AL141" t="s">
        <v>57</v>
      </c>
      <c r="AM141" s="11">
        <v>44791</v>
      </c>
      <c r="AN141" t="s">
        <v>180</v>
      </c>
      <c r="AO141" t="s">
        <v>65</v>
      </c>
      <c r="AP141">
        <v>1205</v>
      </c>
      <c r="AQ141" t="s">
        <v>66</v>
      </c>
      <c r="AR141">
        <v>264688</v>
      </c>
      <c r="AU141" t="s">
        <v>57</v>
      </c>
      <c r="AV141" t="s">
        <v>68</v>
      </c>
      <c r="AX141" t="s">
        <v>57</v>
      </c>
      <c r="AY141">
        <v>631110</v>
      </c>
      <c r="AZ141">
        <v>1205.63111</v>
      </c>
      <c r="BA141" s="23" t="s">
        <v>13</v>
      </c>
    </row>
    <row r="142" spans="1:53" x14ac:dyDescent="0.25">
      <c r="A142" t="s">
        <v>134</v>
      </c>
      <c r="B142" t="s">
        <v>135</v>
      </c>
      <c r="C142">
        <v>22002265</v>
      </c>
      <c r="D142">
        <v>1205</v>
      </c>
      <c r="E142" s="11">
        <v>44775</v>
      </c>
      <c r="F142" t="s">
        <v>174</v>
      </c>
      <c r="G142" s="25">
        <v>0.63</v>
      </c>
      <c r="H142">
        <v>0.63</v>
      </c>
      <c r="I142" t="s">
        <v>56</v>
      </c>
      <c r="O142" t="s">
        <v>57</v>
      </c>
      <c r="Q142" t="s">
        <v>57</v>
      </c>
      <c r="R142" t="s">
        <v>137</v>
      </c>
      <c r="T142" t="s">
        <v>59</v>
      </c>
      <c r="U142" t="s">
        <v>60</v>
      </c>
      <c r="V142" t="s">
        <v>138</v>
      </c>
      <c r="W142" t="s">
        <v>139</v>
      </c>
      <c r="X142">
        <v>1926568</v>
      </c>
      <c r="Y142" s="11">
        <v>44775</v>
      </c>
      <c r="Z142" t="s">
        <v>57</v>
      </c>
      <c r="AA142">
        <v>10</v>
      </c>
      <c r="AB142" t="s">
        <v>57</v>
      </c>
      <c r="AD142" t="s">
        <v>57</v>
      </c>
      <c r="AE142" t="s">
        <v>57</v>
      </c>
      <c r="AF142" t="s">
        <v>57</v>
      </c>
      <c r="AG142">
        <v>1</v>
      </c>
      <c r="AH142" t="s">
        <v>57</v>
      </c>
      <c r="AL142" t="s">
        <v>57</v>
      </c>
      <c r="AM142" s="11">
        <v>44775</v>
      </c>
      <c r="AN142" t="s">
        <v>178</v>
      </c>
      <c r="AO142" t="s">
        <v>65</v>
      </c>
      <c r="AP142">
        <v>1205</v>
      </c>
      <c r="AQ142" t="s">
        <v>66</v>
      </c>
      <c r="AR142">
        <v>220123</v>
      </c>
      <c r="AU142" t="s">
        <v>57</v>
      </c>
      <c r="AV142" t="s">
        <v>68</v>
      </c>
      <c r="AX142" t="s">
        <v>57</v>
      </c>
      <c r="AY142">
        <v>631110</v>
      </c>
      <c r="AZ142">
        <v>1205.63111</v>
      </c>
      <c r="BA142" s="23" t="s">
        <v>13</v>
      </c>
    </row>
    <row r="143" spans="1:53" x14ac:dyDescent="0.25">
      <c r="A143" t="s">
        <v>134</v>
      </c>
      <c r="B143" t="s">
        <v>135</v>
      </c>
      <c r="C143">
        <v>22002276</v>
      </c>
      <c r="D143">
        <v>1205</v>
      </c>
      <c r="E143" s="11">
        <v>44776</v>
      </c>
      <c r="F143" t="s">
        <v>174</v>
      </c>
      <c r="G143" s="25">
        <v>0.63</v>
      </c>
      <c r="H143">
        <v>0.63</v>
      </c>
      <c r="I143" t="s">
        <v>56</v>
      </c>
      <c r="O143" t="s">
        <v>57</v>
      </c>
      <c r="Q143" t="s">
        <v>57</v>
      </c>
      <c r="R143" t="s">
        <v>137</v>
      </c>
      <c r="T143" t="s">
        <v>59</v>
      </c>
      <c r="U143" t="s">
        <v>60</v>
      </c>
      <c r="V143" t="s">
        <v>138</v>
      </c>
      <c r="W143" t="s">
        <v>139</v>
      </c>
      <c r="X143">
        <v>1927010</v>
      </c>
      <c r="Y143" s="11">
        <v>44776</v>
      </c>
      <c r="Z143" t="s">
        <v>57</v>
      </c>
      <c r="AA143">
        <v>2</v>
      </c>
      <c r="AB143" t="s">
        <v>57</v>
      </c>
      <c r="AD143" t="s">
        <v>57</v>
      </c>
      <c r="AE143" t="s">
        <v>57</v>
      </c>
      <c r="AF143" t="s">
        <v>57</v>
      </c>
      <c r="AG143">
        <v>1</v>
      </c>
      <c r="AH143" t="s">
        <v>57</v>
      </c>
      <c r="AL143" t="s">
        <v>57</v>
      </c>
      <c r="AM143" s="11">
        <v>44776</v>
      </c>
      <c r="AN143" t="s">
        <v>178</v>
      </c>
      <c r="AO143" t="s">
        <v>65</v>
      </c>
      <c r="AP143">
        <v>1205</v>
      </c>
      <c r="AQ143" t="s">
        <v>66</v>
      </c>
      <c r="AR143">
        <v>220123</v>
      </c>
      <c r="AU143" t="s">
        <v>57</v>
      </c>
      <c r="AV143" t="s">
        <v>68</v>
      </c>
      <c r="AX143" t="s">
        <v>57</v>
      </c>
      <c r="AY143">
        <v>631110</v>
      </c>
      <c r="AZ143">
        <v>1205.63111</v>
      </c>
      <c r="BA143" s="23" t="s">
        <v>13</v>
      </c>
    </row>
    <row r="144" spans="1:53" x14ac:dyDescent="0.25">
      <c r="A144" t="s">
        <v>134</v>
      </c>
      <c r="B144" t="s">
        <v>135</v>
      </c>
      <c r="C144">
        <v>22002318</v>
      </c>
      <c r="D144">
        <v>1205</v>
      </c>
      <c r="E144" s="11">
        <v>44782</v>
      </c>
      <c r="F144" t="s">
        <v>179</v>
      </c>
      <c r="G144" s="25">
        <v>0.63</v>
      </c>
      <c r="H144">
        <v>0.63</v>
      </c>
      <c r="I144" t="s">
        <v>56</v>
      </c>
      <c r="O144" t="s">
        <v>57</v>
      </c>
      <c r="Q144" t="s">
        <v>57</v>
      </c>
      <c r="R144" t="s">
        <v>137</v>
      </c>
      <c r="T144" t="s">
        <v>59</v>
      </c>
      <c r="U144" t="s">
        <v>60</v>
      </c>
      <c r="V144" t="s">
        <v>138</v>
      </c>
      <c r="W144" t="s">
        <v>139</v>
      </c>
      <c r="X144">
        <v>1929852</v>
      </c>
      <c r="Y144" s="11">
        <v>44782</v>
      </c>
      <c r="Z144" t="s">
        <v>57</v>
      </c>
      <c r="AA144">
        <v>32</v>
      </c>
      <c r="AB144" t="s">
        <v>57</v>
      </c>
      <c r="AD144" t="s">
        <v>57</v>
      </c>
      <c r="AE144" t="s">
        <v>57</v>
      </c>
      <c r="AF144" t="s">
        <v>57</v>
      </c>
      <c r="AG144">
        <v>4</v>
      </c>
      <c r="AH144" t="s">
        <v>57</v>
      </c>
      <c r="AL144" t="s">
        <v>57</v>
      </c>
      <c r="AM144" s="11">
        <v>44782</v>
      </c>
      <c r="AN144" t="s">
        <v>180</v>
      </c>
      <c r="AO144" t="s">
        <v>65</v>
      </c>
      <c r="AP144">
        <v>1205</v>
      </c>
      <c r="AQ144" t="s">
        <v>66</v>
      </c>
      <c r="AR144">
        <v>265891</v>
      </c>
      <c r="AU144" t="s">
        <v>57</v>
      </c>
      <c r="AV144" t="s">
        <v>68</v>
      </c>
      <c r="AX144" t="s">
        <v>57</v>
      </c>
      <c r="AY144">
        <v>631110</v>
      </c>
      <c r="AZ144">
        <v>1205.63111</v>
      </c>
      <c r="BA144" s="23" t="s">
        <v>13</v>
      </c>
    </row>
    <row r="145" spans="1:53" x14ac:dyDescent="0.25">
      <c r="A145" t="s">
        <v>134</v>
      </c>
      <c r="B145" t="s">
        <v>135</v>
      </c>
      <c r="C145">
        <v>22002298</v>
      </c>
      <c r="D145">
        <v>1205</v>
      </c>
      <c r="E145" s="11">
        <v>44778</v>
      </c>
      <c r="F145" t="s">
        <v>174</v>
      </c>
      <c r="G145" s="25">
        <v>0.67</v>
      </c>
      <c r="H145">
        <v>0.67</v>
      </c>
      <c r="I145" t="s">
        <v>56</v>
      </c>
      <c r="O145" t="s">
        <v>57</v>
      </c>
      <c r="Q145" t="s">
        <v>57</v>
      </c>
      <c r="R145" t="s">
        <v>137</v>
      </c>
      <c r="T145" t="s">
        <v>59</v>
      </c>
      <c r="U145" t="s">
        <v>60</v>
      </c>
      <c r="V145" t="s">
        <v>138</v>
      </c>
      <c r="W145" t="s">
        <v>139</v>
      </c>
      <c r="X145">
        <v>1928707</v>
      </c>
      <c r="Y145" s="11">
        <v>44778</v>
      </c>
      <c r="Z145" t="s">
        <v>57</v>
      </c>
      <c r="AA145">
        <v>10</v>
      </c>
      <c r="AB145" t="s">
        <v>57</v>
      </c>
      <c r="AD145" t="s">
        <v>57</v>
      </c>
      <c r="AE145" t="s">
        <v>57</v>
      </c>
      <c r="AF145" t="s">
        <v>57</v>
      </c>
      <c r="AG145">
        <v>1</v>
      </c>
      <c r="AH145" t="s">
        <v>57</v>
      </c>
      <c r="AL145" t="s">
        <v>57</v>
      </c>
      <c r="AM145" s="11">
        <v>44778</v>
      </c>
      <c r="AN145" t="s">
        <v>178</v>
      </c>
      <c r="AO145" t="s">
        <v>65</v>
      </c>
      <c r="AP145">
        <v>1205</v>
      </c>
      <c r="AQ145" t="s">
        <v>66</v>
      </c>
      <c r="AR145">
        <v>88765</v>
      </c>
      <c r="AU145" t="s">
        <v>57</v>
      </c>
      <c r="AV145" t="s">
        <v>68</v>
      </c>
      <c r="AX145" t="s">
        <v>57</v>
      </c>
      <c r="AY145">
        <v>631110</v>
      </c>
      <c r="AZ145">
        <v>1205.63111</v>
      </c>
      <c r="BA145" s="23" t="s">
        <v>13</v>
      </c>
    </row>
    <row r="146" spans="1:53" x14ac:dyDescent="0.25">
      <c r="A146" t="s">
        <v>134</v>
      </c>
      <c r="B146" t="s">
        <v>135</v>
      </c>
      <c r="C146">
        <v>22002302</v>
      </c>
      <c r="D146">
        <v>1205</v>
      </c>
      <c r="E146" s="11">
        <v>44778</v>
      </c>
      <c r="F146" t="s">
        <v>174</v>
      </c>
      <c r="G146" s="25">
        <v>0.67</v>
      </c>
      <c r="H146">
        <v>0.67</v>
      </c>
      <c r="I146" t="s">
        <v>56</v>
      </c>
      <c r="O146" t="s">
        <v>57</v>
      </c>
      <c r="Q146" t="s">
        <v>57</v>
      </c>
      <c r="R146" t="s">
        <v>137</v>
      </c>
      <c r="T146" t="s">
        <v>59</v>
      </c>
      <c r="U146" t="s">
        <v>60</v>
      </c>
      <c r="V146" t="s">
        <v>138</v>
      </c>
      <c r="W146" t="s">
        <v>139</v>
      </c>
      <c r="X146">
        <v>1928762</v>
      </c>
      <c r="Y146" s="11">
        <v>44778</v>
      </c>
      <c r="Z146" t="s">
        <v>57</v>
      </c>
      <c r="AA146">
        <v>2</v>
      </c>
      <c r="AB146" t="s">
        <v>57</v>
      </c>
      <c r="AD146" t="s">
        <v>57</v>
      </c>
      <c r="AE146" t="s">
        <v>57</v>
      </c>
      <c r="AF146" t="s">
        <v>57</v>
      </c>
      <c r="AG146">
        <v>1</v>
      </c>
      <c r="AH146" t="s">
        <v>57</v>
      </c>
      <c r="AL146" t="s">
        <v>57</v>
      </c>
      <c r="AM146" s="11">
        <v>44778</v>
      </c>
      <c r="AN146" t="s">
        <v>178</v>
      </c>
      <c r="AO146" t="s">
        <v>65</v>
      </c>
      <c r="AP146">
        <v>1205</v>
      </c>
      <c r="AQ146" t="s">
        <v>66</v>
      </c>
      <c r="AR146">
        <v>88765</v>
      </c>
      <c r="AU146" t="s">
        <v>57</v>
      </c>
      <c r="AV146" t="s">
        <v>68</v>
      </c>
      <c r="AX146" t="s">
        <v>57</v>
      </c>
      <c r="AY146">
        <v>631110</v>
      </c>
      <c r="AZ146">
        <v>1205.63111</v>
      </c>
      <c r="BA146" s="23" t="s">
        <v>13</v>
      </c>
    </row>
    <row r="147" spans="1:53" x14ac:dyDescent="0.25">
      <c r="A147" t="s">
        <v>134</v>
      </c>
      <c r="B147" t="s">
        <v>135</v>
      </c>
      <c r="C147">
        <v>22002311</v>
      </c>
      <c r="D147">
        <v>1205</v>
      </c>
      <c r="E147" s="11">
        <v>44781</v>
      </c>
      <c r="F147" t="s">
        <v>174</v>
      </c>
      <c r="G147" s="25">
        <v>0.67</v>
      </c>
      <c r="H147">
        <v>0.67</v>
      </c>
      <c r="I147" t="s">
        <v>56</v>
      </c>
      <c r="O147" t="s">
        <v>57</v>
      </c>
      <c r="Q147" t="s">
        <v>57</v>
      </c>
      <c r="R147" t="s">
        <v>137</v>
      </c>
      <c r="T147" t="s">
        <v>59</v>
      </c>
      <c r="U147" t="s">
        <v>60</v>
      </c>
      <c r="V147" t="s">
        <v>138</v>
      </c>
      <c r="W147" t="s">
        <v>139</v>
      </c>
      <c r="X147">
        <v>1928974</v>
      </c>
      <c r="Y147" s="11">
        <v>44781</v>
      </c>
      <c r="Z147" t="s">
        <v>57</v>
      </c>
      <c r="AA147">
        <v>2</v>
      </c>
      <c r="AB147" t="s">
        <v>57</v>
      </c>
      <c r="AD147" t="s">
        <v>57</v>
      </c>
      <c r="AE147" t="s">
        <v>57</v>
      </c>
      <c r="AF147" t="s">
        <v>57</v>
      </c>
      <c r="AG147">
        <v>1</v>
      </c>
      <c r="AH147" t="s">
        <v>57</v>
      </c>
      <c r="AL147" t="s">
        <v>57</v>
      </c>
      <c r="AM147" s="11">
        <v>44781</v>
      </c>
      <c r="AN147" t="s">
        <v>178</v>
      </c>
      <c r="AO147" t="s">
        <v>65</v>
      </c>
      <c r="AP147">
        <v>1205</v>
      </c>
      <c r="AQ147" t="s">
        <v>66</v>
      </c>
      <c r="AR147">
        <v>88765</v>
      </c>
      <c r="AU147" t="s">
        <v>57</v>
      </c>
      <c r="AV147" t="s">
        <v>68</v>
      </c>
      <c r="AX147" t="s">
        <v>57</v>
      </c>
      <c r="AY147">
        <v>631110</v>
      </c>
      <c r="AZ147">
        <v>1205.63111</v>
      </c>
      <c r="BA147" s="23" t="s">
        <v>13</v>
      </c>
    </row>
    <row r="148" spans="1:53" x14ac:dyDescent="0.25">
      <c r="A148" t="s">
        <v>134</v>
      </c>
      <c r="B148" t="s">
        <v>135</v>
      </c>
      <c r="C148">
        <v>22002338</v>
      </c>
      <c r="D148">
        <v>1205</v>
      </c>
      <c r="E148" s="11">
        <v>44784</v>
      </c>
      <c r="F148" t="s">
        <v>174</v>
      </c>
      <c r="G148" s="25">
        <v>0.67</v>
      </c>
      <c r="H148">
        <v>0.67</v>
      </c>
      <c r="I148" t="s">
        <v>56</v>
      </c>
      <c r="O148" t="s">
        <v>57</v>
      </c>
      <c r="Q148" t="s">
        <v>57</v>
      </c>
      <c r="R148" t="s">
        <v>137</v>
      </c>
      <c r="T148" t="s">
        <v>59</v>
      </c>
      <c r="U148" t="s">
        <v>60</v>
      </c>
      <c r="V148" t="s">
        <v>138</v>
      </c>
      <c r="W148" t="s">
        <v>139</v>
      </c>
      <c r="X148">
        <v>1930521</v>
      </c>
      <c r="Y148" s="11">
        <v>44784</v>
      </c>
      <c r="Z148" t="s">
        <v>57</v>
      </c>
      <c r="AA148">
        <v>12</v>
      </c>
      <c r="AB148" t="s">
        <v>57</v>
      </c>
      <c r="AD148" t="s">
        <v>57</v>
      </c>
      <c r="AE148" t="s">
        <v>57</v>
      </c>
      <c r="AF148" t="s">
        <v>57</v>
      </c>
      <c r="AG148">
        <v>1</v>
      </c>
      <c r="AH148" t="s">
        <v>57</v>
      </c>
      <c r="AL148" t="s">
        <v>57</v>
      </c>
      <c r="AM148" s="11">
        <v>44784</v>
      </c>
      <c r="AN148" t="s">
        <v>178</v>
      </c>
      <c r="AO148" t="s">
        <v>65</v>
      </c>
      <c r="AP148">
        <v>1205</v>
      </c>
      <c r="AQ148" t="s">
        <v>66</v>
      </c>
      <c r="AR148">
        <v>88765</v>
      </c>
      <c r="AU148" t="s">
        <v>57</v>
      </c>
      <c r="AV148" t="s">
        <v>68</v>
      </c>
      <c r="AX148" t="s">
        <v>57</v>
      </c>
      <c r="AY148">
        <v>631110</v>
      </c>
      <c r="AZ148">
        <v>1205.63111</v>
      </c>
      <c r="BA148" s="23" t="s">
        <v>13</v>
      </c>
    </row>
    <row r="149" spans="1:53" x14ac:dyDescent="0.25">
      <c r="A149" t="s">
        <v>134</v>
      </c>
      <c r="B149" t="s">
        <v>135</v>
      </c>
      <c r="C149">
        <v>22002298</v>
      </c>
      <c r="D149">
        <v>1205</v>
      </c>
      <c r="E149" s="11">
        <v>44778</v>
      </c>
      <c r="F149" t="s">
        <v>174</v>
      </c>
      <c r="G149" s="25">
        <v>0.68</v>
      </c>
      <c r="H149">
        <v>0.68</v>
      </c>
      <c r="I149" t="s">
        <v>56</v>
      </c>
      <c r="O149" t="s">
        <v>57</v>
      </c>
      <c r="Q149" t="s">
        <v>57</v>
      </c>
      <c r="R149" t="s">
        <v>137</v>
      </c>
      <c r="T149" t="s">
        <v>59</v>
      </c>
      <c r="U149" t="s">
        <v>60</v>
      </c>
      <c r="V149" t="s">
        <v>138</v>
      </c>
      <c r="W149" t="s">
        <v>139</v>
      </c>
      <c r="X149">
        <v>1928707</v>
      </c>
      <c r="Y149" s="11">
        <v>44778</v>
      </c>
      <c r="Z149" t="s">
        <v>57</v>
      </c>
      <c r="AA149">
        <v>2</v>
      </c>
      <c r="AB149" t="s">
        <v>57</v>
      </c>
      <c r="AD149" t="s">
        <v>57</v>
      </c>
      <c r="AE149" t="s">
        <v>57</v>
      </c>
      <c r="AF149" t="s">
        <v>57</v>
      </c>
      <c r="AG149">
        <v>1</v>
      </c>
      <c r="AH149" t="s">
        <v>57</v>
      </c>
      <c r="AL149" t="s">
        <v>57</v>
      </c>
      <c r="AM149" s="11">
        <v>44778</v>
      </c>
      <c r="AN149" t="s">
        <v>178</v>
      </c>
      <c r="AO149" t="s">
        <v>65</v>
      </c>
      <c r="AP149">
        <v>1205</v>
      </c>
      <c r="AQ149" t="s">
        <v>66</v>
      </c>
      <c r="AR149">
        <v>89630</v>
      </c>
      <c r="AU149" t="s">
        <v>57</v>
      </c>
      <c r="AV149" t="s">
        <v>68</v>
      </c>
      <c r="AX149" t="s">
        <v>57</v>
      </c>
      <c r="AY149">
        <v>631110</v>
      </c>
      <c r="AZ149">
        <v>1205.63111</v>
      </c>
      <c r="BA149" s="23" t="s">
        <v>13</v>
      </c>
    </row>
    <row r="150" spans="1:53" x14ac:dyDescent="0.25">
      <c r="A150" t="s">
        <v>134</v>
      </c>
      <c r="B150" t="s">
        <v>135</v>
      </c>
      <c r="C150">
        <v>22002316</v>
      </c>
      <c r="D150">
        <v>1205</v>
      </c>
      <c r="E150" s="11">
        <v>44782</v>
      </c>
      <c r="F150" t="s">
        <v>174</v>
      </c>
      <c r="G150" s="25">
        <v>0.68</v>
      </c>
      <c r="H150">
        <v>0.68</v>
      </c>
      <c r="I150" t="s">
        <v>56</v>
      </c>
      <c r="O150" t="s">
        <v>57</v>
      </c>
      <c r="Q150" t="s">
        <v>57</v>
      </c>
      <c r="R150" t="s">
        <v>137</v>
      </c>
      <c r="T150" t="s">
        <v>59</v>
      </c>
      <c r="U150" t="s">
        <v>60</v>
      </c>
      <c r="V150" t="s">
        <v>138</v>
      </c>
      <c r="W150" t="s">
        <v>139</v>
      </c>
      <c r="X150">
        <v>1929847</v>
      </c>
      <c r="Y150" s="11">
        <v>44782</v>
      </c>
      <c r="Z150" t="s">
        <v>57</v>
      </c>
      <c r="AA150">
        <v>28</v>
      </c>
      <c r="AB150" t="s">
        <v>57</v>
      </c>
      <c r="AD150" t="s">
        <v>57</v>
      </c>
      <c r="AE150" t="s">
        <v>57</v>
      </c>
      <c r="AF150" t="s">
        <v>57</v>
      </c>
      <c r="AG150">
        <v>1</v>
      </c>
      <c r="AH150" t="s">
        <v>57</v>
      </c>
      <c r="AL150" t="s">
        <v>57</v>
      </c>
      <c r="AM150" s="11">
        <v>44782</v>
      </c>
      <c r="AN150" t="s">
        <v>178</v>
      </c>
      <c r="AO150" t="s">
        <v>65</v>
      </c>
      <c r="AP150">
        <v>1205</v>
      </c>
      <c r="AQ150" t="s">
        <v>66</v>
      </c>
      <c r="AR150">
        <v>270190</v>
      </c>
      <c r="AU150" t="s">
        <v>57</v>
      </c>
      <c r="AV150" t="s">
        <v>68</v>
      </c>
      <c r="AX150" t="s">
        <v>57</v>
      </c>
      <c r="AY150">
        <v>631110</v>
      </c>
      <c r="AZ150">
        <v>1205.63111</v>
      </c>
      <c r="BA150" s="23" t="s">
        <v>13</v>
      </c>
    </row>
    <row r="151" spans="1:53" x14ac:dyDescent="0.25">
      <c r="A151" t="s">
        <v>134</v>
      </c>
      <c r="B151" t="s">
        <v>135</v>
      </c>
      <c r="C151">
        <v>22002338</v>
      </c>
      <c r="D151">
        <v>1205</v>
      </c>
      <c r="E151" s="11">
        <v>44784</v>
      </c>
      <c r="F151" t="s">
        <v>174</v>
      </c>
      <c r="G151" s="25">
        <v>0.68</v>
      </c>
      <c r="H151">
        <v>0.68</v>
      </c>
      <c r="I151" t="s">
        <v>56</v>
      </c>
      <c r="O151" t="s">
        <v>57</v>
      </c>
      <c r="Q151" t="s">
        <v>57</v>
      </c>
      <c r="R151" t="s">
        <v>137</v>
      </c>
      <c r="T151" t="s">
        <v>59</v>
      </c>
      <c r="U151" t="s">
        <v>60</v>
      </c>
      <c r="V151" t="s">
        <v>138</v>
      </c>
      <c r="W151" t="s">
        <v>139</v>
      </c>
      <c r="X151">
        <v>1930521</v>
      </c>
      <c r="Y151" s="11">
        <v>44784</v>
      </c>
      <c r="Z151" t="s">
        <v>57</v>
      </c>
      <c r="AA151">
        <v>18</v>
      </c>
      <c r="AB151" t="s">
        <v>57</v>
      </c>
      <c r="AD151" t="s">
        <v>57</v>
      </c>
      <c r="AE151" t="s">
        <v>57</v>
      </c>
      <c r="AF151" t="s">
        <v>57</v>
      </c>
      <c r="AG151">
        <v>1</v>
      </c>
      <c r="AH151" t="s">
        <v>57</v>
      </c>
      <c r="AL151" t="s">
        <v>57</v>
      </c>
      <c r="AM151" s="11">
        <v>44784</v>
      </c>
      <c r="AN151" t="s">
        <v>178</v>
      </c>
      <c r="AO151" t="s">
        <v>65</v>
      </c>
      <c r="AP151">
        <v>1205</v>
      </c>
      <c r="AQ151" t="s">
        <v>66</v>
      </c>
      <c r="AR151">
        <v>89630</v>
      </c>
      <c r="AU151" t="s">
        <v>57</v>
      </c>
      <c r="AV151" t="s">
        <v>68</v>
      </c>
      <c r="AX151" t="s">
        <v>57</v>
      </c>
      <c r="AY151">
        <v>631110</v>
      </c>
      <c r="AZ151">
        <v>1205.63111</v>
      </c>
      <c r="BA151" s="23" t="s">
        <v>13</v>
      </c>
    </row>
    <row r="152" spans="1:53" x14ac:dyDescent="0.25">
      <c r="A152" t="s">
        <v>134</v>
      </c>
      <c r="B152" t="s">
        <v>135</v>
      </c>
      <c r="C152">
        <v>22002360</v>
      </c>
      <c r="D152">
        <v>1205</v>
      </c>
      <c r="E152" s="11">
        <v>44789</v>
      </c>
      <c r="F152" t="s">
        <v>307</v>
      </c>
      <c r="G152" s="25">
        <v>0.68</v>
      </c>
      <c r="H152">
        <v>0.68</v>
      </c>
      <c r="I152" t="s">
        <v>56</v>
      </c>
      <c r="O152" t="s">
        <v>57</v>
      </c>
      <c r="Q152" t="s">
        <v>57</v>
      </c>
      <c r="R152" t="s">
        <v>137</v>
      </c>
      <c r="T152" t="s">
        <v>59</v>
      </c>
      <c r="U152" t="s">
        <v>60</v>
      </c>
      <c r="V152" t="s">
        <v>138</v>
      </c>
      <c r="W152" t="s">
        <v>139</v>
      </c>
      <c r="X152">
        <v>1933172</v>
      </c>
      <c r="Y152" s="11">
        <v>44789</v>
      </c>
      <c r="Z152" t="s">
        <v>57</v>
      </c>
      <c r="AA152">
        <v>2</v>
      </c>
      <c r="AB152" t="s">
        <v>57</v>
      </c>
      <c r="AD152" t="s">
        <v>57</v>
      </c>
      <c r="AE152" t="s">
        <v>57</v>
      </c>
      <c r="AF152" t="s">
        <v>57</v>
      </c>
      <c r="AG152">
        <v>9</v>
      </c>
      <c r="AH152" t="s">
        <v>57</v>
      </c>
      <c r="AL152" t="s">
        <v>57</v>
      </c>
      <c r="AM152" s="11">
        <v>44789</v>
      </c>
      <c r="AN152" t="s">
        <v>180</v>
      </c>
      <c r="AO152" t="s">
        <v>65</v>
      </c>
      <c r="AP152">
        <v>1205</v>
      </c>
      <c r="AQ152" t="s">
        <v>66</v>
      </c>
      <c r="AR152">
        <v>92908</v>
      </c>
      <c r="AU152" t="s">
        <v>57</v>
      </c>
      <c r="AV152" t="s">
        <v>68</v>
      </c>
      <c r="AX152" t="s">
        <v>57</v>
      </c>
      <c r="AY152">
        <v>631110</v>
      </c>
      <c r="AZ152">
        <v>1205.63111</v>
      </c>
      <c r="BA152" s="23" t="s">
        <v>13</v>
      </c>
    </row>
    <row r="153" spans="1:53" x14ac:dyDescent="0.25">
      <c r="A153" t="s">
        <v>134</v>
      </c>
      <c r="B153" t="s">
        <v>135</v>
      </c>
      <c r="C153">
        <v>22002374</v>
      </c>
      <c r="D153">
        <v>1205</v>
      </c>
      <c r="E153" s="11">
        <v>44792</v>
      </c>
      <c r="F153" t="s">
        <v>174</v>
      </c>
      <c r="G153" s="25">
        <v>0.69</v>
      </c>
      <c r="H153">
        <v>0.69</v>
      </c>
      <c r="I153" t="s">
        <v>56</v>
      </c>
      <c r="O153" t="s">
        <v>57</v>
      </c>
      <c r="Q153" t="s">
        <v>57</v>
      </c>
      <c r="R153" t="s">
        <v>137</v>
      </c>
      <c r="T153" t="s">
        <v>59</v>
      </c>
      <c r="U153" t="s">
        <v>60</v>
      </c>
      <c r="V153" t="s">
        <v>138</v>
      </c>
      <c r="W153" t="s">
        <v>139</v>
      </c>
      <c r="X153">
        <v>1934079</v>
      </c>
      <c r="Y153" s="11">
        <v>44792</v>
      </c>
      <c r="Z153" t="s">
        <v>57</v>
      </c>
      <c r="AA153">
        <v>12</v>
      </c>
      <c r="AB153" t="s">
        <v>57</v>
      </c>
      <c r="AD153" t="s">
        <v>57</v>
      </c>
      <c r="AE153" t="s">
        <v>57</v>
      </c>
      <c r="AF153" t="s">
        <v>57</v>
      </c>
      <c r="AG153">
        <v>2</v>
      </c>
      <c r="AH153" t="s">
        <v>57</v>
      </c>
      <c r="AL153" t="s">
        <v>57</v>
      </c>
      <c r="AM153" s="11">
        <v>44792</v>
      </c>
      <c r="AN153" t="s">
        <v>178</v>
      </c>
      <c r="AO153" t="s">
        <v>65</v>
      </c>
      <c r="AP153">
        <v>1205</v>
      </c>
      <c r="AQ153" t="s">
        <v>66</v>
      </c>
      <c r="AR153">
        <v>239312</v>
      </c>
      <c r="AU153" t="s">
        <v>57</v>
      </c>
      <c r="AV153" t="s">
        <v>68</v>
      </c>
      <c r="AX153" t="s">
        <v>57</v>
      </c>
      <c r="AY153">
        <v>631110</v>
      </c>
      <c r="AZ153">
        <v>1205.63111</v>
      </c>
      <c r="BA153" s="23" t="s">
        <v>13</v>
      </c>
    </row>
    <row r="154" spans="1:53" x14ac:dyDescent="0.25">
      <c r="A154" t="s">
        <v>134</v>
      </c>
      <c r="B154" t="s">
        <v>135</v>
      </c>
      <c r="C154">
        <v>22002276</v>
      </c>
      <c r="D154">
        <v>1205</v>
      </c>
      <c r="E154" s="11">
        <v>44776</v>
      </c>
      <c r="F154" t="s">
        <v>174</v>
      </c>
      <c r="G154" s="25">
        <v>0.7</v>
      </c>
      <c r="H154">
        <v>0.7</v>
      </c>
      <c r="I154" t="s">
        <v>56</v>
      </c>
      <c r="O154" t="s">
        <v>57</v>
      </c>
      <c r="Q154" t="s">
        <v>57</v>
      </c>
      <c r="R154" t="s">
        <v>137</v>
      </c>
      <c r="T154" t="s">
        <v>59</v>
      </c>
      <c r="U154" t="s">
        <v>60</v>
      </c>
      <c r="V154" t="s">
        <v>138</v>
      </c>
      <c r="W154" t="s">
        <v>139</v>
      </c>
      <c r="X154">
        <v>1927010</v>
      </c>
      <c r="Y154" s="11">
        <v>44776</v>
      </c>
      <c r="Z154" t="s">
        <v>57</v>
      </c>
      <c r="AA154">
        <v>10</v>
      </c>
      <c r="AB154" t="s">
        <v>57</v>
      </c>
      <c r="AD154" t="s">
        <v>57</v>
      </c>
      <c r="AE154" t="s">
        <v>57</v>
      </c>
      <c r="AF154" t="s">
        <v>57</v>
      </c>
      <c r="AG154">
        <v>1</v>
      </c>
      <c r="AH154" t="s">
        <v>57</v>
      </c>
      <c r="AL154" t="s">
        <v>57</v>
      </c>
      <c r="AM154" s="11">
        <v>44776</v>
      </c>
      <c r="AN154" t="s">
        <v>178</v>
      </c>
      <c r="AO154" t="s">
        <v>65</v>
      </c>
      <c r="AP154">
        <v>1205</v>
      </c>
      <c r="AQ154" t="s">
        <v>66</v>
      </c>
      <c r="AR154">
        <v>89662</v>
      </c>
      <c r="AU154" t="s">
        <v>57</v>
      </c>
      <c r="AV154" t="s">
        <v>68</v>
      </c>
      <c r="AX154" t="s">
        <v>57</v>
      </c>
      <c r="AY154">
        <v>631110</v>
      </c>
      <c r="AZ154">
        <v>1205.63111</v>
      </c>
      <c r="BA154" s="23" t="s">
        <v>13</v>
      </c>
    </row>
    <row r="155" spans="1:53" x14ac:dyDescent="0.25">
      <c r="A155" t="s">
        <v>134</v>
      </c>
      <c r="B155" t="s">
        <v>135</v>
      </c>
      <c r="C155">
        <v>22002316</v>
      </c>
      <c r="D155">
        <v>1205</v>
      </c>
      <c r="E155" s="11">
        <v>44782</v>
      </c>
      <c r="F155" t="s">
        <v>174</v>
      </c>
      <c r="G155" s="25">
        <v>0.71</v>
      </c>
      <c r="H155">
        <v>0.71</v>
      </c>
      <c r="I155" t="s">
        <v>56</v>
      </c>
      <c r="O155" t="s">
        <v>57</v>
      </c>
      <c r="Q155" t="s">
        <v>57</v>
      </c>
      <c r="R155" t="s">
        <v>137</v>
      </c>
      <c r="T155" t="s">
        <v>59</v>
      </c>
      <c r="U155" t="s">
        <v>60</v>
      </c>
      <c r="V155" t="s">
        <v>138</v>
      </c>
      <c r="W155" t="s">
        <v>139</v>
      </c>
      <c r="X155">
        <v>1929847</v>
      </c>
      <c r="Y155" s="11">
        <v>44782</v>
      </c>
      <c r="Z155" t="s">
        <v>57</v>
      </c>
      <c r="AA155">
        <v>6</v>
      </c>
      <c r="AB155" t="s">
        <v>57</v>
      </c>
      <c r="AD155" t="s">
        <v>57</v>
      </c>
      <c r="AE155" t="s">
        <v>57</v>
      </c>
      <c r="AF155" t="s">
        <v>57</v>
      </c>
      <c r="AG155">
        <v>1</v>
      </c>
      <c r="AH155" t="s">
        <v>57</v>
      </c>
      <c r="AL155" t="s">
        <v>57</v>
      </c>
      <c r="AM155" s="11">
        <v>44782</v>
      </c>
      <c r="AN155" t="s">
        <v>178</v>
      </c>
      <c r="AO155" t="s">
        <v>65</v>
      </c>
      <c r="AP155">
        <v>1205</v>
      </c>
      <c r="AQ155" t="s">
        <v>66</v>
      </c>
      <c r="AR155">
        <v>236483</v>
      </c>
      <c r="AU155" t="s">
        <v>57</v>
      </c>
      <c r="AV155" t="s">
        <v>68</v>
      </c>
      <c r="AX155" t="s">
        <v>57</v>
      </c>
      <c r="AY155">
        <v>631110</v>
      </c>
      <c r="AZ155">
        <v>1205.63111</v>
      </c>
      <c r="BA155" s="23" t="s">
        <v>13</v>
      </c>
    </row>
    <row r="156" spans="1:53" x14ac:dyDescent="0.25">
      <c r="A156" t="s">
        <v>134</v>
      </c>
      <c r="B156" t="s">
        <v>135</v>
      </c>
      <c r="C156">
        <v>22002264</v>
      </c>
      <c r="D156">
        <v>1205</v>
      </c>
      <c r="E156" s="11">
        <v>44774</v>
      </c>
      <c r="F156" t="s">
        <v>179</v>
      </c>
      <c r="G156" s="25">
        <v>0.73</v>
      </c>
      <c r="H156">
        <v>0.73</v>
      </c>
      <c r="I156" t="s">
        <v>56</v>
      </c>
      <c r="O156" t="s">
        <v>57</v>
      </c>
      <c r="Q156" t="s">
        <v>57</v>
      </c>
      <c r="R156" t="s">
        <v>137</v>
      </c>
      <c r="T156" t="s">
        <v>59</v>
      </c>
      <c r="U156" t="s">
        <v>60</v>
      </c>
      <c r="V156" t="s">
        <v>138</v>
      </c>
      <c r="W156" t="s">
        <v>139</v>
      </c>
      <c r="X156">
        <v>1925601</v>
      </c>
      <c r="Y156" s="11">
        <v>44774</v>
      </c>
      <c r="Z156" t="s">
        <v>57</v>
      </c>
      <c r="AA156">
        <v>18</v>
      </c>
      <c r="AB156" t="s">
        <v>57</v>
      </c>
      <c r="AD156" t="s">
        <v>57</v>
      </c>
      <c r="AE156" t="s">
        <v>57</v>
      </c>
      <c r="AF156" t="s">
        <v>57</v>
      </c>
      <c r="AG156">
        <v>6</v>
      </c>
      <c r="AH156" t="s">
        <v>57</v>
      </c>
      <c r="AL156" t="s">
        <v>57</v>
      </c>
      <c r="AM156" s="11">
        <v>44774</v>
      </c>
      <c r="AN156" t="s">
        <v>180</v>
      </c>
      <c r="AO156" t="s">
        <v>65</v>
      </c>
      <c r="AP156">
        <v>1205</v>
      </c>
      <c r="AQ156" t="s">
        <v>66</v>
      </c>
      <c r="AR156">
        <v>88639</v>
      </c>
      <c r="AU156" t="s">
        <v>57</v>
      </c>
      <c r="AV156" t="s">
        <v>68</v>
      </c>
      <c r="AX156" t="s">
        <v>57</v>
      </c>
      <c r="AY156">
        <v>631110</v>
      </c>
      <c r="AZ156">
        <v>1205.63111</v>
      </c>
      <c r="BA156" s="23" t="s">
        <v>13</v>
      </c>
    </row>
    <row r="157" spans="1:53" x14ac:dyDescent="0.25">
      <c r="A157" t="s">
        <v>134</v>
      </c>
      <c r="B157" t="s">
        <v>135</v>
      </c>
      <c r="C157">
        <v>22002307</v>
      </c>
      <c r="D157">
        <v>1205</v>
      </c>
      <c r="E157" s="11">
        <v>44778</v>
      </c>
      <c r="F157" t="s">
        <v>179</v>
      </c>
      <c r="G157" s="25">
        <v>0.75</v>
      </c>
      <c r="H157">
        <v>0.75</v>
      </c>
      <c r="I157" t="s">
        <v>56</v>
      </c>
      <c r="O157" t="s">
        <v>57</v>
      </c>
      <c r="Q157" t="s">
        <v>57</v>
      </c>
      <c r="R157" t="s">
        <v>137</v>
      </c>
      <c r="T157" t="s">
        <v>59</v>
      </c>
      <c r="U157" t="s">
        <v>60</v>
      </c>
      <c r="V157" t="s">
        <v>138</v>
      </c>
      <c r="W157" t="s">
        <v>139</v>
      </c>
      <c r="X157">
        <v>1928768</v>
      </c>
      <c r="Y157" s="11">
        <v>44778</v>
      </c>
      <c r="Z157" t="s">
        <v>57</v>
      </c>
      <c r="AA157">
        <v>6</v>
      </c>
      <c r="AB157" t="s">
        <v>57</v>
      </c>
      <c r="AD157" t="s">
        <v>57</v>
      </c>
      <c r="AE157" t="s">
        <v>57</v>
      </c>
      <c r="AF157" t="s">
        <v>57</v>
      </c>
      <c r="AG157">
        <v>10</v>
      </c>
      <c r="AH157" t="s">
        <v>57</v>
      </c>
      <c r="AL157" t="s">
        <v>57</v>
      </c>
      <c r="AM157" s="11">
        <v>44778</v>
      </c>
      <c r="AN157" t="s">
        <v>180</v>
      </c>
      <c r="AO157" t="s">
        <v>65</v>
      </c>
      <c r="AP157">
        <v>1205</v>
      </c>
      <c r="AQ157" t="s">
        <v>66</v>
      </c>
      <c r="AR157">
        <v>91479</v>
      </c>
      <c r="AU157" t="s">
        <v>57</v>
      </c>
      <c r="AV157" t="s">
        <v>68</v>
      </c>
      <c r="AX157" t="s">
        <v>57</v>
      </c>
      <c r="AY157">
        <v>631110</v>
      </c>
      <c r="AZ157">
        <v>1205.63111</v>
      </c>
      <c r="BA157" s="23" t="s">
        <v>13</v>
      </c>
    </row>
    <row r="158" spans="1:53" x14ac:dyDescent="0.25">
      <c r="A158" t="s">
        <v>134</v>
      </c>
      <c r="B158" t="s">
        <v>135</v>
      </c>
      <c r="C158">
        <v>22002325</v>
      </c>
      <c r="D158">
        <v>1205</v>
      </c>
      <c r="E158" s="11">
        <v>44783</v>
      </c>
      <c r="F158" t="s">
        <v>179</v>
      </c>
      <c r="G158" s="25">
        <v>0.75</v>
      </c>
      <c r="H158">
        <v>0.75</v>
      </c>
      <c r="I158" t="s">
        <v>56</v>
      </c>
      <c r="O158" t="s">
        <v>57</v>
      </c>
      <c r="Q158" t="s">
        <v>57</v>
      </c>
      <c r="R158" t="s">
        <v>137</v>
      </c>
      <c r="T158" t="s">
        <v>59</v>
      </c>
      <c r="U158" t="s">
        <v>60</v>
      </c>
      <c r="V158" t="s">
        <v>138</v>
      </c>
      <c r="W158" t="s">
        <v>139</v>
      </c>
      <c r="X158">
        <v>1930357</v>
      </c>
      <c r="Y158" s="11">
        <v>44783</v>
      </c>
      <c r="Z158" t="s">
        <v>57</v>
      </c>
      <c r="AA158">
        <v>10</v>
      </c>
      <c r="AB158" t="s">
        <v>57</v>
      </c>
      <c r="AD158" t="s">
        <v>57</v>
      </c>
      <c r="AE158" t="s">
        <v>57</v>
      </c>
      <c r="AF158" t="s">
        <v>57</v>
      </c>
      <c r="AG158">
        <v>10</v>
      </c>
      <c r="AH158" t="s">
        <v>57</v>
      </c>
      <c r="AL158" t="s">
        <v>57</v>
      </c>
      <c r="AM158" s="11">
        <v>44783</v>
      </c>
      <c r="AN158" t="s">
        <v>180</v>
      </c>
      <c r="AO158" t="s">
        <v>65</v>
      </c>
      <c r="AP158">
        <v>1205</v>
      </c>
      <c r="AQ158" t="s">
        <v>66</v>
      </c>
      <c r="AR158">
        <v>91479</v>
      </c>
      <c r="AU158" t="s">
        <v>57</v>
      </c>
      <c r="AV158" t="s">
        <v>68</v>
      </c>
      <c r="AX158" t="s">
        <v>57</v>
      </c>
      <c r="AY158">
        <v>631110</v>
      </c>
      <c r="AZ158">
        <v>1205.63111</v>
      </c>
      <c r="BA158" s="23" t="s">
        <v>13</v>
      </c>
    </row>
    <row r="159" spans="1:53" x14ac:dyDescent="0.25">
      <c r="A159" t="s">
        <v>134</v>
      </c>
      <c r="B159" t="s">
        <v>135</v>
      </c>
      <c r="C159">
        <v>22002372</v>
      </c>
      <c r="D159">
        <v>1205</v>
      </c>
      <c r="E159" s="11">
        <v>44791</v>
      </c>
      <c r="F159" t="s">
        <v>179</v>
      </c>
      <c r="G159" s="25">
        <v>0.75</v>
      </c>
      <c r="H159">
        <v>0.75</v>
      </c>
      <c r="I159" t="s">
        <v>56</v>
      </c>
      <c r="O159" t="s">
        <v>57</v>
      </c>
      <c r="Q159" t="s">
        <v>57</v>
      </c>
      <c r="R159" t="s">
        <v>137</v>
      </c>
      <c r="T159" t="s">
        <v>59</v>
      </c>
      <c r="U159" t="s">
        <v>60</v>
      </c>
      <c r="V159" t="s">
        <v>138</v>
      </c>
      <c r="W159" t="s">
        <v>139</v>
      </c>
      <c r="X159">
        <v>1933543</v>
      </c>
      <c r="Y159" s="11">
        <v>44791</v>
      </c>
      <c r="Z159" t="s">
        <v>57</v>
      </c>
      <c r="AA159">
        <v>10</v>
      </c>
      <c r="AB159" t="s">
        <v>57</v>
      </c>
      <c r="AD159" t="s">
        <v>57</v>
      </c>
      <c r="AE159" t="s">
        <v>57</v>
      </c>
      <c r="AF159" t="s">
        <v>57</v>
      </c>
      <c r="AG159">
        <v>10</v>
      </c>
      <c r="AH159" t="s">
        <v>57</v>
      </c>
      <c r="AL159" t="s">
        <v>57</v>
      </c>
      <c r="AM159" s="11">
        <v>44791</v>
      </c>
      <c r="AN159" t="s">
        <v>180</v>
      </c>
      <c r="AO159" t="s">
        <v>65</v>
      </c>
      <c r="AP159">
        <v>1205</v>
      </c>
      <c r="AQ159" t="s">
        <v>66</v>
      </c>
      <c r="AR159">
        <v>91479</v>
      </c>
      <c r="AU159" t="s">
        <v>57</v>
      </c>
      <c r="AV159" t="s">
        <v>68</v>
      </c>
      <c r="AX159" t="s">
        <v>57</v>
      </c>
      <c r="AY159">
        <v>631110</v>
      </c>
      <c r="AZ159">
        <v>1205.63111</v>
      </c>
      <c r="BA159" s="23" t="s">
        <v>13</v>
      </c>
    </row>
    <row r="160" spans="1:53" x14ac:dyDescent="0.25">
      <c r="A160" t="s">
        <v>134</v>
      </c>
      <c r="B160" t="s">
        <v>135</v>
      </c>
      <c r="C160">
        <v>22002372</v>
      </c>
      <c r="D160">
        <v>1205</v>
      </c>
      <c r="E160" s="11">
        <v>44791</v>
      </c>
      <c r="F160" t="s">
        <v>179</v>
      </c>
      <c r="G160" s="25">
        <v>0.76</v>
      </c>
      <c r="H160">
        <v>0.76</v>
      </c>
      <c r="I160" t="s">
        <v>56</v>
      </c>
      <c r="O160" t="s">
        <v>57</v>
      </c>
      <c r="Q160" t="s">
        <v>57</v>
      </c>
      <c r="R160" t="s">
        <v>137</v>
      </c>
      <c r="T160" t="s">
        <v>59</v>
      </c>
      <c r="U160" t="s">
        <v>60</v>
      </c>
      <c r="V160" t="s">
        <v>138</v>
      </c>
      <c r="W160" t="s">
        <v>139</v>
      </c>
      <c r="X160">
        <v>1933543</v>
      </c>
      <c r="Y160" s="11">
        <v>44791</v>
      </c>
      <c r="Z160" t="s">
        <v>57</v>
      </c>
      <c r="AA160">
        <v>12</v>
      </c>
      <c r="AB160" t="s">
        <v>57</v>
      </c>
      <c r="AD160" t="s">
        <v>57</v>
      </c>
      <c r="AE160" t="s">
        <v>57</v>
      </c>
      <c r="AF160" t="s">
        <v>57</v>
      </c>
      <c r="AG160">
        <v>10</v>
      </c>
      <c r="AH160" t="s">
        <v>57</v>
      </c>
      <c r="AL160" t="s">
        <v>57</v>
      </c>
      <c r="AM160" s="11">
        <v>44791</v>
      </c>
      <c r="AN160" t="s">
        <v>180</v>
      </c>
      <c r="AO160" t="s">
        <v>65</v>
      </c>
      <c r="AP160">
        <v>1205</v>
      </c>
      <c r="AQ160" t="s">
        <v>66</v>
      </c>
      <c r="AR160">
        <v>271795</v>
      </c>
      <c r="AU160" t="s">
        <v>57</v>
      </c>
      <c r="AV160" t="s">
        <v>68</v>
      </c>
      <c r="AX160" t="s">
        <v>57</v>
      </c>
      <c r="AY160">
        <v>631110</v>
      </c>
      <c r="AZ160">
        <v>1205.63111</v>
      </c>
      <c r="BA160" s="23" t="s">
        <v>13</v>
      </c>
    </row>
    <row r="161" spans="1:53" x14ac:dyDescent="0.25">
      <c r="A161" t="s">
        <v>134</v>
      </c>
      <c r="B161" t="s">
        <v>135</v>
      </c>
      <c r="C161">
        <v>22002276</v>
      </c>
      <c r="D161">
        <v>1205</v>
      </c>
      <c r="E161" s="11">
        <v>44776</v>
      </c>
      <c r="F161" t="s">
        <v>174</v>
      </c>
      <c r="G161" s="25">
        <v>0.8</v>
      </c>
      <c r="H161">
        <v>0.8</v>
      </c>
      <c r="I161" t="s">
        <v>56</v>
      </c>
      <c r="O161" t="s">
        <v>57</v>
      </c>
      <c r="Q161" t="s">
        <v>57</v>
      </c>
      <c r="R161" t="s">
        <v>137</v>
      </c>
      <c r="T161" t="s">
        <v>59</v>
      </c>
      <c r="U161" t="s">
        <v>60</v>
      </c>
      <c r="V161" t="s">
        <v>138</v>
      </c>
      <c r="W161" t="s">
        <v>139</v>
      </c>
      <c r="X161">
        <v>1927010</v>
      </c>
      <c r="Y161" s="11">
        <v>44776</v>
      </c>
      <c r="Z161" t="s">
        <v>57</v>
      </c>
      <c r="AA161">
        <v>4</v>
      </c>
      <c r="AB161" t="s">
        <v>57</v>
      </c>
      <c r="AD161" t="s">
        <v>57</v>
      </c>
      <c r="AE161" t="s">
        <v>57</v>
      </c>
      <c r="AF161" t="s">
        <v>57</v>
      </c>
      <c r="AG161">
        <v>1</v>
      </c>
      <c r="AH161" t="s">
        <v>57</v>
      </c>
      <c r="AL161" t="s">
        <v>57</v>
      </c>
      <c r="AM161" s="11">
        <v>44776</v>
      </c>
      <c r="AN161" t="s">
        <v>178</v>
      </c>
      <c r="AO161" t="s">
        <v>65</v>
      </c>
      <c r="AP161">
        <v>1205</v>
      </c>
      <c r="AQ161" t="s">
        <v>66</v>
      </c>
      <c r="AR161">
        <v>220124</v>
      </c>
      <c r="AU161" t="s">
        <v>57</v>
      </c>
      <c r="AV161" t="s">
        <v>68</v>
      </c>
      <c r="AX161" t="s">
        <v>57</v>
      </c>
      <c r="AY161">
        <v>631110</v>
      </c>
      <c r="AZ161">
        <v>1205.63111</v>
      </c>
      <c r="BA161" s="23" t="s">
        <v>13</v>
      </c>
    </row>
    <row r="162" spans="1:53" x14ac:dyDescent="0.25">
      <c r="A162" t="s">
        <v>134</v>
      </c>
      <c r="B162" t="s">
        <v>135</v>
      </c>
      <c r="C162">
        <v>22002264</v>
      </c>
      <c r="D162">
        <v>1205</v>
      </c>
      <c r="E162" s="11">
        <v>44774</v>
      </c>
      <c r="F162" t="s">
        <v>179</v>
      </c>
      <c r="G162" s="25">
        <v>0.83</v>
      </c>
      <c r="H162">
        <v>0.83</v>
      </c>
      <c r="I162" t="s">
        <v>56</v>
      </c>
      <c r="O162" t="s">
        <v>57</v>
      </c>
      <c r="Q162" t="s">
        <v>57</v>
      </c>
      <c r="R162" t="s">
        <v>137</v>
      </c>
      <c r="T162" t="s">
        <v>59</v>
      </c>
      <c r="U162" t="s">
        <v>60</v>
      </c>
      <c r="V162" t="s">
        <v>138</v>
      </c>
      <c r="W162" t="s">
        <v>139</v>
      </c>
      <c r="X162">
        <v>1925601</v>
      </c>
      <c r="Y162" s="11">
        <v>44774</v>
      </c>
      <c r="Z162" t="s">
        <v>57</v>
      </c>
      <c r="AA162">
        <v>6</v>
      </c>
      <c r="AB162" t="s">
        <v>57</v>
      </c>
      <c r="AD162" t="s">
        <v>57</v>
      </c>
      <c r="AE162" t="s">
        <v>57</v>
      </c>
      <c r="AF162" t="s">
        <v>57</v>
      </c>
      <c r="AG162">
        <v>11</v>
      </c>
      <c r="AH162" t="s">
        <v>57</v>
      </c>
      <c r="AL162" t="s">
        <v>57</v>
      </c>
      <c r="AM162" s="11">
        <v>44774</v>
      </c>
      <c r="AN162" t="s">
        <v>180</v>
      </c>
      <c r="AO162" t="s">
        <v>65</v>
      </c>
      <c r="AP162">
        <v>1205</v>
      </c>
      <c r="AQ162" t="s">
        <v>66</v>
      </c>
      <c r="AR162">
        <v>271795</v>
      </c>
      <c r="AU162" t="s">
        <v>57</v>
      </c>
      <c r="AV162" t="s">
        <v>68</v>
      </c>
      <c r="AX162" t="s">
        <v>57</v>
      </c>
      <c r="AY162">
        <v>631110</v>
      </c>
      <c r="AZ162">
        <v>1205.63111</v>
      </c>
      <c r="BA162" s="23" t="s">
        <v>13</v>
      </c>
    </row>
    <row r="163" spans="1:53" x14ac:dyDescent="0.25">
      <c r="A163" t="s">
        <v>134</v>
      </c>
      <c r="B163" t="s">
        <v>135</v>
      </c>
      <c r="C163">
        <v>22002267</v>
      </c>
      <c r="D163">
        <v>1205</v>
      </c>
      <c r="E163" s="11">
        <v>44775</v>
      </c>
      <c r="F163" t="s">
        <v>179</v>
      </c>
      <c r="G163" s="25">
        <v>0.83</v>
      </c>
      <c r="H163">
        <v>0.83</v>
      </c>
      <c r="I163" t="s">
        <v>56</v>
      </c>
      <c r="O163" t="s">
        <v>57</v>
      </c>
      <c r="Q163" t="s">
        <v>57</v>
      </c>
      <c r="R163" t="s">
        <v>137</v>
      </c>
      <c r="T163" t="s">
        <v>59</v>
      </c>
      <c r="U163" t="s">
        <v>60</v>
      </c>
      <c r="V163" t="s">
        <v>138</v>
      </c>
      <c r="W163" t="s">
        <v>139</v>
      </c>
      <c r="X163">
        <v>1926658</v>
      </c>
      <c r="Y163" s="11">
        <v>44775</v>
      </c>
      <c r="Z163" t="s">
        <v>57</v>
      </c>
      <c r="AA163">
        <v>8</v>
      </c>
      <c r="AB163" t="s">
        <v>57</v>
      </c>
      <c r="AD163" t="s">
        <v>57</v>
      </c>
      <c r="AE163" t="s">
        <v>57</v>
      </c>
      <c r="AF163" t="s">
        <v>57</v>
      </c>
      <c r="AG163">
        <v>11</v>
      </c>
      <c r="AH163" t="s">
        <v>57</v>
      </c>
      <c r="AL163" t="s">
        <v>57</v>
      </c>
      <c r="AM163" s="11">
        <v>44775</v>
      </c>
      <c r="AN163" t="s">
        <v>180</v>
      </c>
      <c r="AO163" t="s">
        <v>65</v>
      </c>
      <c r="AP163">
        <v>1205</v>
      </c>
      <c r="AQ163" t="s">
        <v>66</v>
      </c>
      <c r="AR163">
        <v>91479</v>
      </c>
      <c r="AU163" t="s">
        <v>57</v>
      </c>
      <c r="AV163" t="s">
        <v>68</v>
      </c>
      <c r="AX163" t="s">
        <v>57</v>
      </c>
      <c r="AY163">
        <v>631110</v>
      </c>
      <c r="AZ163">
        <v>1205.63111</v>
      </c>
      <c r="BA163" s="23" t="s">
        <v>13</v>
      </c>
    </row>
    <row r="164" spans="1:53" x14ac:dyDescent="0.25">
      <c r="A164" t="s">
        <v>134</v>
      </c>
      <c r="B164" t="s">
        <v>135</v>
      </c>
      <c r="C164">
        <v>22002281</v>
      </c>
      <c r="D164">
        <v>1205</v>
      </c>
      <c r="E164" s="11">
        <v>44776</v>
      </c>
      <c r="F164" t="s">
        <v>179</v>
      </c>
      <c r="G164" s="25">
        <v>0.83</v>
      </c>
      <c r="H164">
        <v>0.83</v>
      </c>
      <c r="I164" t="s">
        <v>56</v>
      </c>
      <c r="O164" t="s">
        <v>57</v>
      </c>
      <c r="Q164" t="s">
        <v>57</v>
      </c>
      <c r="R164" t="s">
        <v>137</v>
      </c>
      <c r="T164" t="s">
        <v>59</v>
      </c>
      <c r="U164" t="s">
        <v>60</v>
      </c>
      <c r="V164" t="s">
        <v>138</v>
      </c>
      <c r="W164" t="s">
        <v>139</v>
      </c>
      <c r="X164">
        <v>1927036</v>
      </c>
      <c r="Y164" s="11">
        <v>44776</v>
      </c>
      <c r="Z164" t="s">
        <v>57</v>
      </c>
      <c r="AA164">
        <v>8</v>
      </c>
      <c r="AB164" t="s">
        <v>57</v>
      </c>
      <c r="AD164" t="s">
        <v>57</v>
      </c>
      <c r="AE164" t="s">
        <v>57</v>
      </c>
      <c r="AF164" t="s">
        <v>57</v>
      </c>
      <c r="AG164">
        <v>11</v>
      </c>
      <c r="AH164" t="s">
        <v>57</v>
      </c>
      <c r="AL164" t="s">
        <v>57</v>
      </c>
      <c r="AM164" s="11">
        <v>44776</v>
      </c>
      <c r="AN164" t="s">
        <v>180</v>
      </c>
      <c r="AO164" t="s">
        <v>65</v>
      </c>
      <c r="AP164">
        <v>1205</v>
      </c>
      <c r="AQ164" t="s">
        <v>66</v>
      </c>
      <c r="AR164">
        <v>91479</v>
      </c>
      <c r="AU164" t="s">
        <v>57</v>
      </c>
      <c r="AV164" t="s">
        <v>68</v>
      </c>
      <c r="AX164" t="s">
        <v>57</v>
      </c>
      <c r="AY164">
        <v>631110</v>
      </c>
      <c r="AZ164">
        <v>1205.63111</v>
      </c>
      <c r="BA164" s="23" t="s">
        <v>13</v>
      </c>
    </row>
    <row r="165" spans="1:53" x14ac:dyDescent="0.25">
      <c r="A165" t="s">
        <v>134</v>
      </c>
      <c r="B165" t="s">
        <v>135</v>
      </c>
      <c r="C165">
        <v>22002318</v>
      </c>
      <c r="D165">
        <v>1205</v>
      </c>
      <c r="E165" s="11">
        <v>44782</v>
      </c>
      <c r="F165" t="s">
        <v>179</v>
      </c>
      <c r="G165" s="25">
        <v>0.83</v>
      </c>
      <c r="H165">
        <v>0.83</v>
      </c>
      <c r="I165" t="s">
        <v>56</v>
      </c>
      <c r="O165" t="s">
        <v>57</v>
      </c>
      <c r="Q165" t="s">
        <v>57</v>
      </c>
      <c r="R165" t="s">
        <v>137</v>
      </c>
      <c r="T165" t="s">
        <v>59</v>
      </c>
      <c r="U165" t="s">
        <v>60</v>
      </c>
      <c r="V165" t="s">
        <v>138</v>
      </c>
      <c r="W165" t="s">
        <v>139</v>
      </c>
      <c r="X165">
        <v>1929852</v>
      </c>
      <c r="Y165" s="11">
        <v>44782</v>
      </c>
      <c r="Z165" t="s">
        <v>57</v>
      </c>
      <c r="AA165">
        <v>10</v>
      </c>
      <c r="AB165" t="s">
        <v>57</v>
      </c>
      <c r="AD165" t="s">
        <v>57</v>
      </c>
      <c r="AE165" t="s">
        <v>57</v>
      </c>
      <c r="AF165" t="s">
        <v>57</v>
      </c>
      <c r="AG165">
        <v>11</v>
      </c>
      <c r="AH165" t="s">
        <v>57</v>
      </c>
      <c r="AL165" t="s">
        <v>57</v>
      </c>
      <c r="AM165" s="11">
        <v>44782</v>
      </c>
      <c r="AN165" t="s">
        <v>180</v>
      </c>
      <c r="AO165" t="s">
        <v>65</v>
      </c>
      <c r="AP165">
        <v>1205</v>
      </c>
      <c r="AQ165" t="s">
        <v>66</v>
      </c>
      <c r="AR165">
        <v>91479</v>
      </c>
      <c r="AU165" t="s">
        <v>57</v>
      </c>
      <c r="AV165" t="s">
        <v>68</v>
      </c>
      <c r="AX165" t="s">
        <v>57</v>
      </c>
      <c r="AY165">
        <v>631110</v>
      </c>
      <c r="AZ165">
        <v>1205.63111</v>
      </c>
      <c r="BA165" s="23" t="s">
        <v>13</v>
      </c>
    </row>
    <row r="166" spans="1:53" x14ac:dyDescent="0.25">
      <c r="A166" t="s">
        <v>134</v>
      </c>
      <c r="B166" t="s">
        <v>135</v>
      </c>
      <c r="C166">
        <v>22002360</v>
      </c>
      <c r="D166">
        <v>1205</v>
      </c>
      <c r="E166" s="11">
        <v>44789</v>
      </c>
      <c r="F166" t="s">
        <v>307</v>
      </c>
      <c r="G166" s="25">
        <v>0.83</v>
      </c>
      <c r="H166">
        <v>0.83</v>
      </c>
      <c r="I166" t="s">
        <v>56</v>
      </c>
      <c r="O166" t="s">
        <v>57</v>
      </c>
      <c r="Q166" t="s">
        <v>57</v>
      </c>
      <c r="R166" t="s">
        <v>137</v>
      </c>
      <c r="T166" t="s">
        <v>59</v>
      </c>
      <c r="U166" t="s">
        <v>60</v>
      </c>
      <c r="V166" t="s">
        <v>138</v>
      </c>
      <c r="W166" t="s">
        <v>139</v>
      </c>
      <c r="X166">
        <v>1933172</v>
      </c>
      <c r="Y166" s="11">
        <v>44789</v>
      </c>
      <c r="Z166" t="s">
        <v>57</v>
      </c>
      <c r="AA166">
        <v>10</v>
      </c>
      <c r="AB166" t="s">
        <v>57</v>
      </c>
      <c r="AD166" t="s">
        <v>57</v>
      </c>
      <c r="AE166" t="s">
        <v>57</v>
      </c>
      <c r="AF166" t="s">
        <v>57</v>
      </c>
      <c r="AG166">
        <v>11</v>
      </c>
      <c r="AH166" t="s">
        <v>57</v>
      </c>
      <c r="AL166" t="s">
        <v>57</v>
      </c>
      <c r="AM166" s="11">
        <v>44789</v>
      </c>
      <c r="AN166" t="s">
        <v>180</v>
      </c>
      <c r="AO166" t="s">
        <v>65</v>
      </c>
      <c r="AP166">
        <v>1205</v>
      </c>
      <c r="AQ166" t="s">
        <v>66</v>
      </c>
      <c r="AR166">
        <v>91479</v>
      </c>
      <c r="AU166" t="s">
        <v>57</v>
      </c>
      <c r="AV166" t="s">
        <v>68</v>
      </c>
      <c r="AX166" t="s">
        <v>57</v>
      </c>
      <c r="AY166">
        <v>631110</v>
      </c>
      <c r="AZ166">
        <v>1205.63111</v>
      </c>
      <c r="BA166" s="23" t="s">
        <v>13</v>
      </c>
    </row>
    <row r="167" spans="1:53" x14ac:dyDescent="0.25">
      <c r="A167" t="s">
        <v>134</v>
      </c>
      <c r="B167" t="s">
        <v>135</v>
      </c>
      <c r="C167">
        <v>22002276</v>
      </c>
      <c r="D167">
        <v>1205</v>
      </c>
      <c r="E167" s="11">
        <v>44776</v>
      </c>
      <c r="F167" t="s">
        <v>174</v>
      </c>
      <c r="G167" s="25">
        <v>0.87</v>
      </c>
      <c r="H167">
        <v>0.87</v>
      </c>
      <c r="I167" t="s">
        <v>56</v>
      </c>
      <c r="O167" t="s">
        <v>57</v>
      </c>
      <c r="Q167" t="s">
        <v>57</v>
      </c>
      <c r="R167" t="s">
        <v>137</v>
      </c>
      <c r="T167" t="s">
        <v>59</v>
      </c>
      <c r="U167" t="s">
        <v>60</v>
      </c>
      <c r="V167" t="s">
        <v>138</v>
      </c>
      <c r="W167" t="s">
        <v>139</v>
      </c>
      <c r="X167">
        <v>1927010</v>
      </c>
      <c r="Y167" s="11">
        <v>44776</v>
      </c>
      <c r="Z167" t="s">
        <v>57</v>
      </c>
      <c r="AA167">
        <v>14</v>
      </c>
      <c r="AB167" t="s">
        <v>57</v>
      </c>
      <c r="AD167" t="s">
        <v>57</v>
      </c>
      <c r="AE167" t="s">
        <v>57</v>
      </c>
      <c r="AF167" t="s">
        <v>57</v>
      </c>
      <c r="AG167">
        <v>1</v>
      </c>
      <c r="AH167" t="s">
        <v>57</v>
      </c>
      <c r="AL167" t="s">
        <v>57</v>
      </c>
      <c r="AM167" s="11">
        <v>44776</v>
      </c>
      <c r="AN167" t="s">
        <v>178</v>
      </c>
      <c r="AO167" t="s">
        <v>65</v>
      </c>
      <c r="AP167">
        <v>1205</v>
      </c>
      <c r="AQ167" t="s">
        <v>66</v>
      </c>
      <c r="AR167">
        <v>88703</v>
      </c>
      <c r="AU167" t="s">
        <v>57</v>
      </c>
      <c r="AV167" t="s">
        <v>68</v>
      </c>
      <c r="AX167" t="s">
        <v>57</v>
      </c>
      <c r="AY167">
        <v>631110</v>
      </c>
      <c r="AZ167">
        <v>1205.63111</v>
      </c>
      <c r="BA167" s="23" t="s">
        <v>13</v>
      </c>
    </row>
    <row r="168" spans="1:53" x14ac:dyDescent="0.25">
      <c r="A168" t="s">
        <v>134</v>
      </c>
      <c r="B168" t="s">
        <v>135</v>
      </c>
      <c r="C168">
        <v>22002325</v>
      </c>
      <c r="D168">
        <v>1205</v>
      </c>
      <c r="E168" s="11">
        <v>44783</v>
      </c>
      <c r="F168" t="s">
        <v>179</v>
      </c>
      <c r="G168" s="25">
        <v>0.87</v>
      </c>
      <c r="H168">
        <v>0.87</v>
      </c>
      <c r="I168" t="s">
        <v>56</v>
      </c>
      <c r="O168" t="s">
        <v>57</v>
      </c>
      <c r="Q168" t="s">
        <v>57</v>
      </c>
      <c r="R168" t="s">
        <v>137</v>
      </c>
      <c r="T168" t="s">
        <v>59</v>
      </c>
      <c r="U168" t="s">
        <v>60</v>
      </c>
      <c r="V168" t="s">
        <v>138</v>
      </c>
      <c r="W168" t="s">
        <v>139</v>
      </c>
      <c r="X168">
        <v>1930357</v>
      </c>
      <c r="Y168" s="11">
        <v>44783</v>
      </c>
      <c r="Z168" t="s">
        <v>57</v>
      </c>
      <c r="AA168">
        <v>24</v>
      </c>
      <c r="AB168" t="s">
        <v>57</v>
      </c>
      <c r="AD168" t="s">
        <v>57</v>
      </c>
      <c r="AE168" t="s">
        <v>57</v>
      </c>
      <c r="AF168" t="s">
        <v>57</v>
      </c>
      <c r="AG168">
        <v>7</v>
      </c>
      <c r="AH168" t="s">
        <v>57</v>
      </c>
      <c r="AL168" t="s">
        <v>57</v>
      </c>
      <c r="AM168" s="11">
        <v>44783</v>
      </c>
      <c r="AN168" t="s">
        <v>180</v>
      </c>
      <c r="AO168" t="s">
        <v>65</v>
      </c>
      <c r="AP168">
        <v>1205</v>
      </c>
      <c r="AQ168" t="s">
        <v>66</v>
      </c>
      <c r="AR168">
        <v>265217</v>
      </c>
      <c r="AU168" t="s">
        <v>57</v>
      </c>
      <c r="AV168" t="s">
        <v>68</v>
      </c>
      <c r="AX168" t="s">
        <v>57</v>
      </c>
      <c r="AY168">
        <v>631110</v>
      </c>
      <c r="AZ168">
        <v>1205.63111</v>
      </c>
      <c r="BA168" s="23" t="s">
        <v>13</v>
      </c>
    </row>
    <row r="169" spans="1:53" x14ac:dyDescent="0.25">
      <c r="A169" t="s">
        <v>134</v>
      </c>
      <c r="B169" t="s">
        <v>135</v>
      </c>
      <c r="C169">
        <v>22002318</v>
      </c>
      <c r="D169">
        <v>1205</v>
      </c>
      <c r="E169" s="11">
        <v>44782</v>
      </c>
      <c r="F169" t="s">
        <v>179</v>
      </c>
      <c r="G169" s="25">
        <v>0.88</v>
      </c>
      <c r="H169">
        <v>0.88</v>
      </c>
      <c r="I169" t="s">
        <v>56</v>
      </c>
      <c r="O169" t="s">
        <v>57</v>
      </c>
      <c r="Q169" t="s">
        <v>57</v>
      </c>
      <c r="R169" t="s">
        <v>137</v>
      </c>
      <c r="T169" t="s">
        <v>59</v>
      </c>
      <c r="U169" t="s">
        <v>60</v>
      </c>
      <c r="V169" t="s">
        <v>138</v>
      </c>
      <c r="W169" t="s">
        <v>139</v>
      </c>
      <c r="X169">
        <v>1929852</v>
      </c>
      <c r="Y169" s="11">
        <v>44782</v>
      </c>
      <c r="Z169" t="s">
        <v>57</v>
      </c>
      <c r="AA169">
        <v>20</v>
      </c>
      <c r="AB169" t="s">
        <v>57</v>
      </c>
      <c r="AD169" t="s">
        <v>57</v>
      </c>
      <c r="AE169" t="s">
        <v>57</v>
      </c>
      <c r="AF169" t="s">
        <v>57</v>
      </c>
      <c r="AG169">
        <v>7</v>
      </c>
      <c r="AH169" t="s">
        <v>57</v>
      </c>
      <c r="AL169" t="s">
        <v>57</v>
      </c>
      <c r="AM169" s="11">
        <v>44782</v>
      </c>
      <c r="AN169" t="s">
        <v>180</v>
      </c>
      <c r="AO169" t="s">
        <v>65</v>
      </c>
      <c r="AP169">
        <v>1205</v>
      </c>
      <c r="AQ169" t="s">
        <v>66</v>
      </c>
      <c r="AR169">
        <v>265216</v>
      </c>
      <c r="AU169" t="s">
        <v>57</v>
      </c>
      <c r="AV169" t="s">
        <v>68</v>
      </c>
      <c r="AX169" t="s">
        <v>57</v>
      </c>
      <c r="AY169">
        <v>631110</v>
      </c>
      <c r="AZ169">
        <v>1205.63111</v>
      </c>
      <c r="BA169" s="23" t="s">
        <v>13</v>
      </c>
    </row>
    <row r="170" spans="1:53" x14ac:dyDescent="0.25">
      <c r="A170" t="s">
        <v>134</v>
      </c>
      <c r="B170" t="s">
        <v>135</v>
      </c>
      <c r="C170">
        <v>22002342</v>
      </c>
      <c r="D170">
        <v>1205</v>
      </c>
      <c r="E170" s="11">
        <v>44785</v>
      </c>
      <c r="F170" t="s">
        <v>179</v>
      </c>
      <c r="G170" s="25">
        <v>0.88</v>
      </c>
      <c r="H170">
        <v>0.88</v>
      </c>
      <c r="I170" t="s">
        <v>56</v>
      </c>
      <c r="O170" t="s">
        <v>57</v>
      </c>
      <c r="Q170" t="s">
        <v>57</v>
      </c>
      <c r="R170" t="s">
        <v>137</v>
      </c>
      <c r="T170" t="s">
        <v>59</v>
      </c>
      <c r="U170" t="s">
        <v>60</v>
      </c>
      <c r="V170" t="s">
        <v>138</v>
      </c>
      <c r="W170" t="s">
        <v>139</v>
      </c>
      <c r="X170">
        <v>1930745</v>
      </c>
      <c r="Y170" s="11">
        <v>44785</v>
      </c>
      <c r="Z170" t="s">
        <v>57</v>
      </c>
      <c r="AA170">
        <v>20</v>
      </c>
      <c r="AB170" t="s">
        <v>57</v>
      </c>
      <c r="AD170" t="s">
        <v>57</v>
      </c>
      <c r="AE170" t="s">
        <v>57</v>
      </c>
      <c r="AF170" t="s">
        <v>57</v>
      </c>
      <c r="AG170">
        <v>7</v>
      </c>
      <c r="AH170" t="s">
        <v>57</v>
      </c>
      <c r="AL170" t="s">
        <v>57</v>
      </c>
      <c r="AM170" s="11">
        <v>44785</v>
      </c>
      <c r="AN170" t="s">
        <v>180</v>
      </c>
      <c r="AO170" t="s">
        <v>65</v>
      </c>
      <c r="AP170">
        <v>1205</v>
      </c>
      <c r="AQ170" t="s">
        <v>66</v>
      </c>
      <c r="AR170">
        <v>265216</v>
      </c>
      <c r="AU170" t="s">
        <v>57</v>
      </c>
      <c r="AV170" t="s">
        <v>68</v>
      </c>
      <c r="AX170" t="s">
        <v>57</v>
      </c>
      <c r="AY170">
        <v>631110</v>
      </c>
      <c r="AZ170">
        <v>1205.63111</v>
      </c>
      <c r="BA170" s="23" t="s">
        <v>13</v>
      </c>
    </row>
    <row r="171" spans="1:53" x14ac:dyDescent="0.25">
      <c r="A171" t="s">
        <v>134</v>
      </c>
      <c r="B171" t="s">
        <v>135</v>
      </c>
      <c r="C171">
        <v>22002267</v>
      </c>
      <c r="D171">
        <v>1205</v>
      </c>
      <c r="E171" s="11">
        <v>44775</v>
      </c>
      <c r="F171" t="s">
        <v>179</v>
      </c>
      <c r="G171" s="25">
        <v>0.91</v>
      </c>
      <c r="H171">
        <v>0.91</v>
      </c>
      <c r="I171" t="s">
        <v>56</v>
      </c>
      <c r="O171" t="s">
        <v>57</v>
      </c>
      <c r="Q171" t="s">
        <v>57</v>
      </c>
      <c r="R171" t="s">
        <v>137</v>
      </c>
      <c r="T171" t="s">
        <v>59</v>
      </c>
      <c r="U171" t="s">
        <v>60</v>
      </c>
      <c r="V171" t="s">
        <v>138</v>
      </c>
      <c r="W171" t="s">
        <v>139</v>
      </c>
      <c r="X171">
        <v>1926658</v>
      </c>
      <c r="Y171" s="11">
        <v>44775</v>
      </c>
      <c r="Z171" t="s">
        <v>57</v>
      </c>
      <c r="AA171">
        <v>10</v>
      </c>
      <c r="AB171" t="s">
        <v>57</v>
      </c>
      <c r="AD171" t="s">
        <v>57</v>
      </c>
      <c r="AE171" t="s">
        <v>57</v>
      </c>
      <c r="AF171" t="s">
        <v>57</v>
      </c>
      <c r="AG171">
        <v>12</v>
      </c>
      <c r="AH171" t="s">
        <v>57</v>
      </c>
      <c r="AL171" t="s">
        <v>57</v>
      </c>
      <c r="AM171" s="11">
        <v>44775</v>
      </c>
      <c r="AN171" t="s">
        <v>180</v>
      </c>
      <c r="AO171" t="s">
        <v>65</v>
      </c>
      <c r="AP171">
        <v>1205</v>
      </c>
      <c r="AQ171" t="s">
        <v>66</v>
      </c>
      <c r="AR171">
        <v>271795</v>
      </c>
      <c r="AU171" t="s">
        <v>57</v>
      </c>
      <c r="AV171" t="s">
        <v>68</v>
      </c>
      <c r="AX171" t="s">
        <v>57</v>
      </c>
      <c r="AY171">
        <v>631110</v>
      </c>
      <c r="AZ171">
        <v>1205.63111</v>
      </c>
      <c r="BA171" s="23" t="s">
        <v>13</v>
      </c>
    </row>
    <row r="172" spans="1:53" x14ac:dyDescent="0.25">
      <c r="A172" t="s">
        <v>134</v>
      </c>
      <c r="B172" t="s">
        <v>135</v>
      </c>
      <c r="C172">
        <v>22002307</v>
      </c>
      <c r="D172">
        <v>1205</v>
      </c>
      <c r="E172" s="11">
        <v>44778</v>
      </c>
      <c r="F172" t="s">
        <v>179</v>
      </c>
      <c r="G172" s="25">
        <v>0.91</v>
      </c>
      <c r="H172">
        <v>0.91</v>
      </c>
      <c r="I172" t="s">
        <v>56</v>
      </c>
      <c r="O172" t="s">
        <v>57</v>
      </c>
      <c r="Q172" t="s">
        <v>57</v>
      </c>
      <c r="R172" t="s">
        <v>137</v>
      </c>
      <c r="T172" t="s">
        <v>59</v>
      </c>
      <c r="U172" t="s">
        <v>60</v>
      </c>
      <c r="V172" t="s">
        <v>138</v>
      </c>
      <c r="W172" t="s">
        <v>139</v>
      </c>
      <c r="X172">
        <v>1928768</v>
      </c>
      <c r="Y172" s="11">
        <v>44778</v>
      </c>
      <c r="Z172" t="s">
        <v>57</v>
      </c>
      <c r="AA172">
        <v>8</v>
      </c>
      <c r="AB172" t="s">
        <v>57</v>
      </c>
      <c r="AD172" t="s">
        <v>57</v>
      </c>
      <c r="AE172" t="s">
        <v>57</v>
      </c>
      <c r="AF172" t="s">
        <v>57</v>
      </c>
      <c r="AG172">
        <v>8</v>
      </c>
      <c r="AH172" t="s">
        <v>57</v>
      </c>
      <c r="AL172" t="s">
        <v>57</v>
      </c>
      <c r="AM172" s="11">
        <v>44778</v>
      </c>
      <c r="AN172" t="s">
        <v>180</v>
      </c>
      <c r="AO172" t="s">
        <v>65</v>
      </c>
      <c r="AP172">
        <v>1205</v>
      </c>
      <c r="AQ172" t="s">
        <v>66</v>
      </c>
      <c r="AR172">
        <v>265889</v>
      </c>
      <c r="AU172" t="s">
        <v>57</v>
      </c>
      <c r="AV172" t="s">
        <v>68</v>
      </c>
      <c r="AX172" t="s">
        <v>57</v>
      </c>
      <c r="AY172">
        <v>631110</v>
      </c>
      <c r="AZ172">
        <v>1205.63111</v>
      </c>
      <c r="BA172" s="23" t="s">
        <v>13</v>
      </c>
    </row>
    <row r="173" spans="1:53" x14ac:dyDescent="0.25">
      <c r="A173" t="s">
        <v>134</v>
      </c>
      <c r="B173" t="s">
        <v>135</v>
      </c>
      <c r="C173">
        <v>22002342</v>
      </c>
      <c r="D173">
        <v>1205</v>
      </c>
      <c r="E173" s="11">
        <v>44785</v>
      </c>
      <c r="F173" t="s">
        <v>179</v>
      </c>
      <c r="G173" s="25">
        <v>0.91</v>
      </c>
      <c r="H173">
        <v>0.91</v>
      </c>
      <c r="I173" t="s">
        <v>56</v>
      </c>
      <c r="O173" t="s">
        <v>57</v>
      </c>
      <c r="Q173" t="s">
        <v>57</v>
      </c>
      <c r="R173" t="s">
        <v>137</v>
      </c>
      <c r="T173" t="s">
        <v>59</v>
      </c>
      <c r="U173" t="s">
        <v>60</v>
      </c>
      <c r="V173" t="s">
        <v>138</v>
      </c>
      <c r="W173" t="s">
        <v>139</v>
      </c>
      <c r="X173">
        <v>1930745</v>
      </c>
      <c r="Y173" s="11">
        <v>44785</v>
      </c>
      <c r="Z173" t="s">
        <v>57</v>
      </c>
      <c r="AA173">
        <v>12</v>
      </c>
      <c r="AB173" t="s">
        <v>57</v>
      </c>
      <c r="AD173" t="s">
        <v>57</v>
      </c>
      <c r="AE173" t="s">
        <v>57</v>
      </c>
      <c r="AF173" t="s">
        <v>57</v>
      </c>
      <c r="AG173">
        <v>12</v>
      </c>
      <c r="AH173" t="s">
        <v>57</v>
      </c>
      <c r="AL173" t="s">
        <v>57</v>
      </c>
      <c r="AM173" s="11">
        <v>44785</v>
      </c>
      <c r="AN173" t="s">
        <v>180</v>
      </c>
      <c r="AO173" t="s">
        <v>65</v>
      </c>
      <c r="AP173">
        <v>1205</v>
      </c>
      <c r="AQ173" t="s">
        <v>66</v>
      </c>
      <c r="AR173">
        <v>271795</v>
      </c>
      <c r="AU173" t="s">
        <v>57</v>
      </c>
      <c r="AV173" t="s">
        <v>68</v>
      </c>
      <c r="AX173" t="s">
        <v>57</v>
      </c>
      <c r="AY173">
        <v>631110</v>
      </c>
      <c r="AZ173">
        <v>1205.63111</v>
      </c>
      <c r="BA173" s="23" t="s">
        <v>13</v>
      </c>
    </row>
    <row r="174" spans="1:53" x14ac:dyDescent="0.25">
      <c r="A174" t="s">
        <v>134</v>
      </c>
      <c r="B174" t="s">
        <v>135</v>
      </c>
      <c r="C174">
        <v>22002360</v>
      </c>
      <c r="D174">
        <v>1205</v>
      </c>
      <c r="E174" s="11">
        <v>44789</v>
      </c>
      <c r="F174" t="s">
        <v>307</v>
      </c>
      <c r="G174" s="25">
        <v>0.93</v>
      </c>
      <c r="H174">
        <v>0.93</v>
      </c>
      <c r="I174" t="s">
        <v>56</v>
      </c>
      <c r="O174" t="s">
        <v>57</v>
      </c>
      <c r="Q174" t="s">
        <v>57</v>
      </c>
      <c r="R174" t="s">
        <v>137</v>
      </c>
      <c r="T174" t="s">
        <v>59</v>
      </c>
      <c r="U174" t="s">
        <v>60</v>
      </c>
      <c r="V174" t="s">
        <v>138</v>
      </c>
      <c r="W174" t="s">
        <v>139</v>
      </c>
      <c r="X174">
        <v>1933172</v>
      </c>
      <c r="Y174" s="11">
        <v>44789</v>
      </c>
      <c r="Z174" t="s">
        <v>57</v>
      </c>
      <c r="AA174">
        <v>36</v>
      </c>
      <c r="AB174" t="s">
        <v>57</v>
      </c>
      <c r="AD174" t="s">
        <v>57</v>
      </c>
      <c r="AE174" t="s">
        <v>57</v>
      </c>
      <c r="AF174" t="s">
        <v>57</v>
      </c>
      <c r="AG174">
        <v>6</v>
      </c>
      <c r="AH174" t="s">
        <v>57</v>
      </c>
      <c r="AL174" t="s">
        <v>57</v>
      </c>
      <c r="AM174" s="11">
        <v>44789</v>
      </c>
      <c r="AN174" t="s">
        <v>180</v>
      </c>
      <c r="AO174" t="s">
        <v>65</v>
      </c>
      <c r="AP174">
        <v>1205</v>
      </c>
      <c r="AQ174" t="s">
        <v>66</v>
      </c>
      <c r="AR174">
        <v>89712</v>
      </c>
      <c r="AU174" t="s">
        <v>57</v>
      </c>
      <c r="AV174" t="s">
        <v>68</v>
      </c>
      <c r="AX174" t="s">
        <v>57</v>
      </c>
      <c r="AY174">
        <v>631110</v>
      </c>
      <c r="AZ174">
        <v>1205.63111</v>
      </c>
      <c r="BA174" s="23" t="s">
        <v>13</v>
      </c>
    </row>
    <row r="175" spans="1:53" x14ac:dyDescent="0.25">
      <c r="A175" t="s">
        <v>134</v>
      </c>
      <c r="B175" t="s">
        <v>135</v>
      </c>
      <c r="C175">
        <v>22002281</v>
      </c>
      <c r="D175">
        <v>1205</v>
      </c>
      <c r="E175" s="11">
        <v>44776</v>
      </c>
      <c r="F175" t="s">
        <v>179</v>
      </c>
      <c r="G175" s="25">
        <v>0.96</v>
      </c>
      <c r="H175">
        <v>0.96</v>
      </c>
      <c r="I175" t="s">
        <v>56</v>
      </c>
      <c r="O175" t="s">
        <v>57</v>
      </c>
      <c r="Q175" t="s">
        <v>57</v>
      </c>
      <c r="R175" t="s">
        <v>137</v>
      </c>
      <c r="T175" t="s">
        <v>59</v>
      </c>
      <c r="U175" t="s">
        <v>60</v>
      </c>
      <c r="V175" t="s">
        <v>138</v>
      </c>
      <c r="W175" t="s">
        <v>139</v>
      </c>
      <c r="X175">
        <v>1927036</v>
      </c>
      <c r="Y175" s="11">
        <v>44776</v>
      </c>
      <c r="Z175" t="s">
        <v>57</v>
      </c>
      <c r="AA175">
        <v>24</v>
      </c>
      <c r="AB175" t="s">
        <v>57</v>
      </c>
      <c r="AD175" t="s">
        <v>57</v>
      </c>
      <c r="AE175" t="s">
        <v>57</v>
      </c>
      <c r="AF175" t="s">
        <v>57</v>
      </c>
      <c r="AG175">
        <v>6</v>
      </c>
      <c r="AH175" t="s">
        <v>57</v>
      </c>
      <c r="AL175" t="s">
        <v>57</v>
      </c>
      <c r="AM175" s="11">
        <v>44776</v>
      </c>
      <c r="AN175" t="s">
        <v>180</v>
      </c>
      <c r="AO175" t="s">
        <v>65</v>
      </c>
      <c r="AP175">
        <v>1205</v>
      </c>
      <c r="AQ175" t="s">
        <v>66</v>
      </c>
      <c r="AR175">
        <v>147840</v>
      </c>
      <c r="AU175" t="s">
        <v>57</v>
      </c>
      <c r="AV175" t="s">
        <v>68</v>
      </c>
      <c r="AX175" t="s">
        <v>57</v>
      </c>
      <c r="AY175">
        <v>631110</v>
      </c>
      <c r="AZ175">
        <v>1205.63111</v>
      </c>
      <c r="BA175" s="23" t="s">
        <v>13</v>
      </c>
    </row>
    <row r="176" spans="1:53" x14ac:dyDescent="0.25">
      <c r="A176" t="s">
        <v>134</v>
      </c>
      <c r="B176" t="s">
        <v>135</v>
      </c>
      <c r="C176">
        <v>22002276</v>
      </c>
      <c r="D176">
        <v>1205</v>
      </c>
      <c r="E176" s="11">
        <v>44776</v>
      </c>
      <c r="F176" t="s">
        <v>174</v>
      </c>
      <c r="G176" s="25">
        <v>0.97</v>
      </c>
      <c r="H176">
        <v>0.97</v>
      </c>
      <c r="I176" t="s">
        <v>56</v>
      </c>
      <c r="O176" t="s">
        <v>57</v>
      </c>
      <c r="Q176" t="s">
        <v>57</v>
      </c>
      <c r="R176" t="s">
        <v>137</v>
      </c>
      <c r="T176" t="s">
        <v>59</v>
      </c>
      <c r="U176" t="s">
        <v>60</v>
      </c>
      <c r="V176" t="s">
        <v>138</v>
      </c>
      <c r="W176" t="s">
        <v>139</v>
      </c>
      <c r="X176">
        <v>1927010</v>
      </c>
      <c r="Y176" s="11">
        <v>44776</v>
      </c>
      <c r="Z176" t="s">
        <v>57</v>
      </c>
      <c r="AA176">
        <v>18</v>
      </c>
      <c r="AB176" t="s">
        <v>57</v>
      </c>
      <c r="AD176" t="s">
        <v>57</v>
      </c>
      <c r="AE176" t="s">
        <v>57</v>
      </c>
      <c r="AF176" t="s">
        <v>57</v>
      </c>
      <c r="AG176">
        <v>1</v>
      </c>
      <c r="AH176" t="s">
        <v>57</v>
      </c>
      <c r="AL176" t="s">
        <v>57</v>
      </c>
      <c r="AM176" s="11">
        <v>44776</v>
      </c>
      <c r="AN176" t="s">
        <v>178</v>
      </c>
      <c r="AO176" t="s">
        <v>65</v>
      </c>
      <c r="AP176">
        <v>1205</v>
      </c>
      <c r="AQ176" t="s">
        <v>66</v>
      </c>
      <c r="AR176">
        <v>89486</v>
      </c>
      <c r="AU176" t="s">
        <v>57</v>
      </c>
      <c r="AV176" t="s">
        <v>68</v>
      </c>
      <c r="AX176" t="s">
        <v>57</v>
      </c>
      <c r="AY176">
        <v>631110</v>
      </c>
      <c r="AZ176">
        <v>1205.63111</v>
      </c>
      <c r="BA176" s="23" t="s">
        <v>13</v>
      </c>
    </row>
    <row r="177" spans="1:53" x14ac:dyDescent="0.25">
      <c r="A177" t="s">
        <v>134</v>
      </c>
      <c r="B177" t="s">
        <v>135</v>
      </c>
      <c r="C177">
        <v>22002288</v>
      </c>
      <c r="D177">
        <v>1205</v>
      </c>
      <c r="E177" s="11">
        <v>44777</v>
      </c>
      <c r="F177" t="s">
        <v>174</v>
      </c>
      <c r="G177" s="25">
        <v>0.97</v>
      </c>
      <c r="H177">
        <v>0.97</v>
      </c>
      <c r="I177" t="s">
        <v>56</v>
      </c>
      <c r="O177" t="s">
        <v>57</v>
      </c>
      <c r="Q177" t="s">
        <v>57</v>
      </c>
      <c r="R177" t="s">
        <v>137</v>
      </c>
      <c r="T177" t="s">
        <v>59</v>
      </c>
      <c r="U177" t="s">
        <v>60</v>
      </c>
      <c r="V177" t="s">
        <v>138</v>
      </c>
      <c r="W177" t="s">
        <v>139</v>
      </c>
      <c r="X177">
        <v>1927363</v>
      </c>
      <c r="Y177" s="11">
        <v>44777</v>
      </c>
      <c r="Z177" t="s">
        <v>57</v>
      </c>
      <c r="AA177">
        <v>2</v>
      </c>
      <c r="AB177" t="s">
        <v>57</v>
      </c>
      <c r="AD177" t="s">
        <v>57</v>
      </c>
      <c r="AE177" t="s">
        <v>57</v>
      </c>
      <c r="AF177" t="s">
        <v>57</v>
      </c>
      <c r="AG177">
        <v>1</v>
      </c>
      <c r="AH177" t="s">
        <v>57</v>
      </c>
      <c r="AL177" t="s">
        <v>57</v>
      </c>
      <c r="AM177" s="11">
        <v>44777</v>
      </c>
      <c r="AN177" t="s">
        <v>178</v>
      </c>
      <c r="AO177" t="s">
        <v>65</v>
      </c>
      <c r="AP177">
        <v>1205</v>
      </c>
      <c r="AQ177" t="s">
        <v>66</v>
      </c>
      <c r="AR177">
        <v>89486</v>
      </c>
      <c r="AU177" t="s">
        <v>57</v>
      </c>
      <c r="AV177" t="s">
        <v>68</v>
      </c>
      <c r="AX177" t="s">
        <v>57</v>
      </c>
      <c r="AY177">
        <v>631110</v>
      </c>
      <c r="AZ177">
        <v>1205.63111</v>
      </c>
      <c r="BA177" s="23" t="s">
        <v>13</v>
      </c>
    </row>
    <row r="178" spans="1:53" x14ac:dyDescent="0.25">
      <c r="A178" t="s">
        <v>134</v>
      </c>
      <c r="B178" t="s">
        <v>135</v>
      </c>
      <c r="C178">
        <v>22002265</v>
      </c>
      <c r="D178">
        <v>1205</v>
      </c>
      <c r="E178" s="11">
        <v>44775</v>
      </c>
      <c r="F178" t="s">
        <v>174</v>
      </c>
      <c r="G178" s="25">
        <v>0.98</v>
      </c>
      <c r="H178">
        <v>0.98</v>
      </c>
      <c r="I178" t="s">
        <v>56</v>
      </c>
      <c r="O178" t="s">
        <v>57</v>
      </c>
      <c r="Q178" t="s">
        <v>57</v>
      </c>
      <c r="R178" t="s">
        <v>137</v>
      </c>
      <c r="T178" t="s">
        <v>59</v>
      </c>
      <c r="U178" t="s">
        <v>60</v>
      </c>
      <c r="V178" t="s">
        <v>138</v>
      </c>
      <c r="W178" t="s">
        <v>139</v>
      </c>
      <c r="X178">
        <v>1926568</v>
      </c>
      <c r="Y178" s="11">
        <v>44775</v>
      </c>
      <c r="Z178" t="s">
        <v>57</v>
      </c>
      <c r="AA178">
        <v>4</v>
      </c>
      <c r="AB178" t="s">
        <v>57</v>
      </c>
      <c r="AD178" t="s">
        <v>57</v>
      </c>
      <c r="AE178" t="s">
        <v>57</v>
      </c>
      <c r="AF178" t="s">
        <v>57</v>
      </c>
      <c r="AG178">
        <v>2</v>
      </c>
      <c r="AH178" t="s">
        <v>57</v>
      </c>
      <c r="AL178" t="s">
        <v>57</v>
      </c>
      <c r="AM178" s="11">
        <v>44775</v>
      </c>
      <c r="AN178" t="s">
        <v>178</v>
      </c>
      <c r="AO178" t="s">
        <v>65</v>
      </c>
      <c r="AP178">
        <v>1205</v>
      </c>
      <c r="AQ178" t="s">
        <v>66</v>
      </c>
      <c r="AR178">
        <v>121863</v>
      </c>
      <c r="AU178" t="s">
        <v>57</v>
      </c>
      <c r="AV178" t="s">
        <v>68</v>
      </c>
      <c r="AX178" t="s">
        <v>57</v>
      </c>
      <c r="AY178">
        <v>631110</v>
      </c>
      <c r="AZ178">
        <v>1205.63111</v>
      </c>
      <c r="BA178" s="23" t="s">
        <v>13</v>
      </c>
    </row>
    <row r="179" spans="1:53" x14ac:dyDescent="0.25">
      <c r="A179" t="s">
        <v>134</v>
      </c>
      <c r="B179" t="s">
        <v>135</v>
      </c>
      <c r="C179">
        <v>22002318</v>
      </c>
      <c r="D179">
        <v>1205</v>
      </c>
      <c r="E179" s="11">
        <v>44782</v>
      </c>
      <c r="F179" t="s">
        <v>179</v>
      </c>
      <c r="G179" s="25">
        <v>0.99</v>
      </c>
      <c r="H179">
        <v>0.99</v>
      </c>
      <c r="I179" t="s">
        <v>56</v>
      </c>
      <c r="O179" t="s">
        <v>57</v>
      </c>
      <c r="Q179" t="s">
        <v>57</v>
      </c>
      <c r="R179" t="s">
        <v>137</v>
      </c>
      <c r="T179" t="s">
        <v>59</v>
      </c>
      <c r="U179" t="s">
        <v>60</v>
      </c>
      <c r="V179" t="s">
        <v>138</v>
      </c>
      <c r="W179" t="s">
        <v>139</v>
      </c>
      <c r="X179">
        <v>1929852</v>
      </c>
      <c r="Y179" s="11">
        <v>44782</v>
      </c>
      <c r="Z179" t="s">
        <v>57</v>
      </c>
      <c r="AA179">
        <v>12</v>
      </c>
      <c r="AB179" t="s">
        <v>57</v>
      </c>
      <c r="AD179" t="s">
        <v>57</v>
      </c>
      <c r="AE179" t="s">
        <v>57</v>
      </c>
      <c r="AF179" t="s">
        <v>57</v>
      </c>
      <c r="AG179">
        <v>13</v>
      </c>
      <c r="AH179" t="s">
        <v>57</v>
      </c>
      <c r="AL179" t="s">
        <v>57</v>
      </c>
      <c r="AM179" s="11">
        <v>44782</v>
      </c>
      <c r="AN179" t="s">
        <v>180</v>
      </c>
      <c r="AO179" t="s">
        <v>65</v>
      </c>
      <c r="AP179">
        <v>1205</v>
      </c>
      <c r="AQ179" t="s">
        <v>66</v>
      </c>
      <c r="AR179">
        <v>271795</v>
      </c>
      <c r="AU179" t="s">
        <v>57</v>
      </c>
      <c r="AV179" t="s">
        <v>68</v>
      </c>
      <c r="AX179" t="s">
        <v>57</v>
      </c>
      <c r="AY179">
        <v>631110</v>
      </c>
      <c r="AZ179">
        <v>1205.63111</v>
      </c>
      <c r="BA179" s="23" t="s">
        <v>13</v>
      </c>
    </row>
    <row r="180" spans="1:53" x14ac:dyDescent="0.25">
      <c r="A180" t="s">
        <v>134</v>
      </c>
      <c r="B180" t="s">
        <v>135</v>
      </c>
      <c r="C180">
        <v>22002360</v>
      </c>
      <c r="D180">
        <v>1205</v>
      </c>
      <c r="E180" s="11">
        <v>44789</v>
      </c>
      <c r="F180" t="s">
        <v>307</v>
      </c>
      <c r="G180" s="25">
        <v>1</v>
      </c>
      <c r="H180">
        <v>1</v>
      </c>
      <c r="I180" t="s">
        <v>56</v>
      </c>
      <c r="O180" t="s">
        <v>57</v>
      </c>
      <c r="Q180" t="s">
        <v>57</v>
      </c>
      <c r="R180" t="s">
        <v>137</v>
      </c>
      <c r="T180" t="s">
        <v>59</v>
      </c>
      <c r="U180" t="s">
        <v>60</v>
      </c>
      <c r="V180" t="s">
        <v>138</v>
      </c>
      <c r="W180" t="s">
        <v>139</v>
      </c>
      <c r="X180">
        <v>1933172</v>
      </c>
      <c r="Y180" s="11">
        <v>44789</v>
      </c>
      <c r="Z180" t="s">
        <v>57</v>
      </c>
      <c r="AA180">
        <v>8</v>
      </c>
      <c r="AB180" t="s">
        <v>57</v>
      </c>
      <c r="AD180" t="s">
        <v>57</v>
      </c>
      <c r="AE180" t="s">
        <v>57</v>
      </c>
      <c r="AF180" t="s">
        <v>57</v>
      </c>
      <c r="AG180">
        <v>12</v>
      </c>
      <c r="AH180" t="s">
        <v>57</v>
      </c>
      <c r="AL180" t="s">
        <v>57</v>
      </c>
      <c r="AM180" s="11">
        <v>44789</v>
      </c>
      <c r="AN180" t="s">
        <v>180</v>
      </c>
      <c r="AO180" t="s">
        <v>65</v>
      </c>
      <c r="AP180">
        <v>1205</v>
      </c>
      <c r="AQ180" t="s">
        <v>66</v>
      </c>
      <c r="AR180">
        <v>265878</v>
      </c>
      <c r="AU180" t="s">
        <v>57</v>
      </c>
      <c r="AV180" t="s">
        <v>68</v>
      </c>
      <c r="AX180" t="s">
        <v>57</v>
      </c>
      <c r="AY180">
        <v>631110</v>
      </c>
      <c r="AZ180">
        <v>1205.63111</v>
      </c>
      <c r="BA180" s="23" t="s">
        <v>13</v>
      </c>
    </row>
    <row r="181" spans="1:53" x14ac:dyDescent="0.25">
      <c r="A181" t="s">
        <v>134</v>
      </c>
      <c r="B181" t="s">
        <v>135</v>
      </c>
      <c r="C181">
        <v>22002360</v>
      </c>
      <c r="D181">
        <v>1205</v>
      </c>
      <c r="E181" s="11">
        <v>44789</v>
      </c>
      <c r="F181" t="s">
        <v>307</v>
      </c>
      <c r="G181" s="25">
        <v>1</v>
      </c>
      <c r="H181">
        <v>1</v>
      </c>
      <c r="I181" t="s">
        <v>56</v>
      </c>
      <c r="O181" t="s">
        <v>57</v>
      </c>
      <c r="Q181" t="s">
        <v>57</v>
      </c>
      <c r="R181" t="s">
        <v>137</v>
      </c>
      <c r="T181" t="s">
        <v>59</v>
      </c>
      <c r="U181" t="s">
        <v>60</v>
      </c>
      <c r="V181" t="s">
        <v>138</v>
      </c>
      <c r="W181" t="s">
        <v>139</v>
      </c>
      <c r="X181">
        <v>1933172</v>
      </c>
      <c r="Y181" s="11">
        <v>44789</v>
      </c>
      <c r="Z181" t="s">
        <v>57</v>
      </c>
      <c r="AA181">
        <v>26</v>
      </c>
      <c r="AB181" t="s">
        <v>57</v>
      </c>
      <c r="AD181" t="s">
        <v>57</v>
      </c>
      <c r="AE181" t="s">
        <v>57</v>
      </c>
      <c r="AF181" t="s">
        <v>57</v>
      </c>
      <c r="AG181">
        <v>8</v>
      </c>
      <c r="AH181" t="s">
        <v>57</v>
      </c>
      <c r="AL181" t="s">
        <v>57</v>
      </c>
      <c r="AM181" s="11">
        <v>44789</v>
      </c>
      <c r="AN181" t="s">
        <v>180</v>
      </c>
      <c r="AO181" t="s">
        <v>65</v>
      </c>
      <c r="AP181">
        <v>1205</v>
      </c>
      <c r="AQ181" t="s">
        <v>66</v>
      </c>
      <c r="AR181">
        <v>265217</v>
      </c>
      <c r="AU181" t="s">
        <v>57</v>
      </c>
      <c r="AV181" t="s">
        <v>68</v>
      </c>
      <c r="AX181" t="s">
        <v>57</v>
      </c>
      <c r="AY181">
        <v>631110</v>
      </c>
      <c r="AZ181">
        <v>1205.63111</v>
      </c>
      <c r="BA181" s="23" t="s">
        <v>13</v>
      </c>
    </row>
    <row r="182" spans="1:53" x14ac:dyDescent="0.25">
      <c r="A182" t="s">
        <v>134</v>
      </c>
      <c r="B182" t="s">
        <v>135</v>
      </c>
      <c r="C182">
        <v>22002264</v>
      </c>
      <c r="D182">
        <v>1205</v>
      </c>
      <c r="E182" s="11">
        <v>44774</v>
      </c>
      <c r="F182" t="s">
        <v>179</v>
      </c>
      <c r="G182" s="25">
        <v>1.01</v>
      </c>
      <c r="H182">
        <v>1.01</v>
      </c>
      <c r="I182" t="s">
        <v>56</v>
      </c>
      <c r="O182" t="s">
        <v>57</v>
      </c>
      <c r="Q182" t="s">
        <v>57</v>
      </c>
      <c r="R182" t="s">
        <v>137</v>
      </c>
      <c r="T182" t="s">
        <v>59</v>
      </c>
      <c r="U182" t="s">
        <v>60</v>
      </c>
      <c r="V182" t="s">
        <v>138</v>
      </c>
      <c r="W182" t="s">
        <v>139</v>
      </c>
      <c r="X182">
        <v>1925601</v>
      </c>
      <c r="Y182" s="11">
        <v>44774</v>
      </c>
      <c r="Z182" t="s">
        <v>57</v>
      </c>
      <c r="AA182">
        <v>22</v>
      </c>
      <c r="AB182" t="s">
        <v>57</v>
      </c>
      <c r="AD182" t="s">
        <v>57</v>
      </c>
      <c r="AE182" t="s">
        <v>57</v>
      </c>
      <c r="AF182" t="s">
        <v>57</v>
      </c>
      <c r="AG182">
        <v>4</v>
      </c>
      <c r="AH182" t="s">
        <v>57</v>
      </c>
      <c r="AL182" t="s">
        <v>57</v>
      </c>
      <c r="AM182" s="11">
        <v>44774</v>
      </c>
      <c r="AN182" t="s">
        <v>180</v>
      </c>
      <c r="AO182" t="s">
        <v>65</v>
      </c>
      <c r="AP182">
        <v>1205</v>
      </c>
      <c r="AQ182" t="s">
        <v>66</v>
      </c>
      <c r="AR182">
        <v>265536</v>
      </c>
      <c r="AU182" t="s">
        <v>57</v>
      </c>
      <c r="AV182" t="s">
        <v>68</v>
      </c>
      <c r="AX182" t="s">
        <v>57</v>
      </c>
      <c r="AY182">
        <v>631110</v>
      </c>
      <c r="AZ182">
        <v>1205.63111</v>
      </c>
      <c r="BA182" s="23" t="s">
        <v>13</v>
      </c>
    </row>
    <row r="183" spans="1:53" x14ac:dyDescent="0.25">
      <c r="A183" t="s">
        <v>134</v>
      </c>
      <c r="B183" t="s">
        <v>135</v>
      </c>
      <c r="C183">
        <v>22002341</v>
      </c>
      <c r="D183">
        <v>1205</v>
      </c>
      <c r="E183" s="11">
        <v>44785</v>
      </c>
      <c r="F183" t="s">
        <v>174</v>
      </c>
      <c r="G183" s="25">
        <v>1.01</v>
      </c>
      <c r="H183">
        <v>1.01</v>
      </c>
      <c r="I183" t="s">
        <v>56</v>
      </c>
      <c r="O183" t="s">
        <v>57</v>
      </c>
      <c r="Q183" t="s">
        <v>57</v>
      </c>
      <c r="R183" t="s">
        <v>137</v>
      </c>
      <c r="T183" t="s">
        <v>59</v>
      </c>
      <c r="U183" t="s">
        <v>60</v>
      </c>
      <c r="V183" t="s">
        <v>138</v>
      </c>
      <c r="W183" t="s">
        <v>139</v>
      </c>
      <c r="X183">
        <v>1930742</v>
      </c>
      <c r="Y183" s="11">
        <v>44785</v>
      </c>
      <c r="Z183" t="s">
        <v>57</v>
      </c>
      <c r="AA183">
        <v>12</v>
      </c>
      <c r="AB183" t="s">
        <v>57</v>
      </c>
      <c r="AD183" t="s">
        <v>57</v>
      </c>
      <c r="AE183" t="s">
        <v>57</v>
      </c>
      <c r="AF183" t="s">
        <v>57</v>
      </c>
      <c r="AG183">
        <v>2</v>
      </c>
      <c r="AH183" t="s">
        <v>57</v>
      </c>
      <c r="AL183" t="s">
        <v>57</v>
      </c>
      <c r="AM183" s="11">
        <v>44785</v>
      </c>
      <c r="AN183" t="s">
        <v>178</v>
      </c>
      <c r="AO183" t="s">
        <v>65</v>
      </c>
      <c r="AP183">
        <v>1205</v>
      </c>
      <c r="AQ183" t="s">
        <v>66</v>
      </c>
      <c r="AR183">
        <v>88702</v>
      </c>
      <c r="AU183" t="s">
        <v>57</v>
      </c>
      <c r="AV183" t="s">
        <v>68</v>
      </c>
      <c r="AX183" t="s">
        <v>57</v>
      </c>
      <c r="AY183">
        <v>631110</v>
      </c>
      <c r="AZ183">
        <v>1205.63111</v>
      </c>
      <c r="BA183" s="23" t="s">
        <v>13</v>
      </c>
    </row>
    <row r="184" spans="1:53" x14ac:dyDescent="0.25">
      <c r="A184" t="s">
        <v>134</v>
      </c>
      <c r="B184" t="s">
        <v>135</v>
      </c>
      <c r="C184">
        <v>22002262</v>
      </c>
      <c r="D184">
        <v>1205</v>
      </c>
      <c r="E184" s="11">
        <v>44774</v>
      </c>
      <c r="F184" t="s">
        <v>174</v>
      </c>
      <c r="G184" s="25">
        <v>1.03</v>
      </c>
      <c r="H184">
        <v>1.03</v>
      </c>
      <c r="I184" t="s">
        <v>56</v>
      </c>
      <c r="O184" t="s">
        <v>57</v>
      </c>
      <c r="Q184" t="s">
        <v>57</v>
      </c>
      <c r="R184" t="s">
        <v>137</v>
      </c>
      <c r="T184" t="s">
        <v>59</v>
      </c>
      <c r="U184" t="s">
        <v>60</v>
      </c>
      <c r="V184" t="s">
        <v>138</v>
      </c>
      <c r="W184" t="s">
        <v>139</v>
      </c>
      <c r="X184">
        <v>1925596</v>
      </c>
      <c r="Y184" s="11">
        <v>44774</v>
      </c>
      <c r="Z184" t="s">
        <v>57</v>
      </c>
      <c r="AA184">
        <v>16</v>
      </c>
      <c r="AB184" t="s">
        <v>57</v>
      </c>
      <c r="AD184" t="s">
        <v>57</v>
      </c>
      <c r="AE184" t="s">
        <v>57</v>
      </c>
      <c r="AF184" t="s">
        <v>57</v>
      </c>
      <c r="AG184">
        <v>1</v>
      </c>
      <c r="AH184" t="s">
        <v>57</v>
      </c>
      <c r="AL184" t="s">
        <v>57</v>
      </c>
      <c r="AM184" s="11">
        <v>44774</v>
      </c>
      <c r="AN184" t="s">
        <v>178</v>
      </c>
      <c r="AO184" t="s">
        <v>65</v>
      </c>
      <c r="AP184">
        <v>1205</v>
      </c>
      <c r="AQ184" t="s">
        <v>66</v>
      </c>
      <c r="AR184">
        <v>88592</v>
      </c>
      <c r="AU184" t="s">
        <v>57</v>
      </c>
      <c r="AV184" t="s">
        <v>68</v>
      </c>
      <c r="AX184" t="s">
        <v>57</v>
      </c>
      <c r="AY184">
        <v>631110</v>
      </c>
      <c r="AZ184">
        <v>1205.63111</v>
      </c>
      <c r="BA184" s="23" t="s">
        <v>13</v>
      </c>
    </row>
    <row r="185" spans="1:53" x14ac:dyDescent="0.25">
      <c r="A185" t="s">
        <v>134</v>
      </c>
      <c r="B185" t="s">
        <v>135</v>
      </c>
      <c r="C185">
        <v>22002298</v>
      </c>
      <c r="D185">
        <v>1205</v>
      </c>
      <c r="E185" s="11">
        <v>44778</v>
      </c>
      <c r="F185" t="s">
        <v>174</v>
      </c>
      <c r="G185" s="25">
        <v>1.03</v>
      </c>
      <c r="H185">
        <v>1.03</v>
      </c>
      <c r="I185" t="s">
        <v>56</v>
      </c>
      <c r="O185" t="s">
        <v>57</v>
      </c>
      <c r="Q185" t="s">
        <v>57</v>
      </c>
      <c r="R185" t="s">
        <v>137</v>
      </c>
      <c r="T185" t="s">
        <v>59</v>
      </c>
      <c r="U185" t="s">
        <v>60</v>
      </c>
      <c r="V185" t="s">
        <v>138</v>
      </c>
      <c r="W185" t="s">
        <v>139</v>
      </c>
      <c r="X185">
        <v>1928707</v>
      </c>
      <c r="Y185" s="11">
        <v>44778</v>
      </c>
      <c r="Z185" t="s">
        <v>57</v>
      </c>
      <c r="AA185">
        <v>4</v>
      </c>
      <c r="AB185" t="s">
        <v>57</v>
      </c>
      <c r="AD185" t="s">
        <v>57</v>
      </c>
      <c r="AE185" t="s">
        <v>57</v>
      </c>
      <c r="AF185" t="s">
        <v>57</v>
      </c>
      <c r="AG185">
        <v>1</v>
      </c>
      <c r="AH185" t="s">
        <v>57</v>
      </c>
      <c r="AL185" t="s">
        <v>57</v>
      </c>
      <c r="AM185" s="11">
        <v>44778</v>
      </c>
      <c r="AN185" t="s">
        <v>178</v>
      </c>
      <c r="AO185" t="s">
        <v>65</v>
      </c>
      <c r="AP185">
        <v>1205</v>
      </c>
      <c r="AQ185" t="s">
        <v>66</v>
      </c>
      <c r="AR185">
        <v>267456</v>
      </c>
      <c r="AU185" t="s">
        <v>57</v>
      </c>
      <c r="AV185" t="s">
        <v>68</v>
      </c>
      <c r="AX185" t="s">
        <v>57</v>
      </c>
      <c r="AY185">
        <v>631110</v>
      </c>
      <c r="AZ185">
        <v>1205.63111</v>
      </c>
      <c r="BA185" s="23" t="s">
        <v>13</v>
      </c>
    </row>
    <row r="186" spans="1:53" x14ac:dyDescent="0.25">
      <c r="A186" t="s">
        <v>134</v>
      </c>
      <c r="B186" t="s">
        <v>135</v>
      </c>
      <c r="C186">
        <v>22002299</v>
      </c>
      <c r="D186">
        <v>1205</v>
      </c>
      <c r="E186" s="11">
        <v>44778</v>
      </c>
      <c r="F186" t="s">
        <v>174</v>
      </c>
      <c r="G186" s="25">
        <v>1.03</v>
      </c>
      <c r="H186">
        <v>1.03</v>
      </c>
      <c r="I186" t="s">
        <v>56</v>
      </c>
      <c r="O186" t="s">
        <v>57</v>
      </c>
      <c r="Q186" t="s">
        <v>57</v>
      </c>
      <c r="R186" t="s">
        <v>137</v>
      </c>
      <c r="T186" t="s">
        <v>59</v>
      </c>
      <c r="U186" t="s">
        <v>60</v>
      </c>
      <c r="V186" t="s">
        <v>138</v>
      </c>
      <c r="W186" t="s">
        <v>139</v>
      </c>
      <c r="X186">
        <v>1928751</v>
      </c>
      <c r="Y186" s="11">
        <v>44778</v>
      </c>
      <c r="Z186" t="s">
        <v>57</v>
      </c>
      <c r="AA186">
        <v>4</v>
      </c>
      <c r="AB186" t="s">
        <v>57</v>
      </c>
      <c r="AD186" t="s">
        <v>57</v>
      </c>
      <c r="AE186" t="s">
        <v>57</v>
      </c>
      <c r="AF186" t="s">
        <v>57</v>
      </c>
      <c r="AG186">
        <v>1</v>
      </c>
      <c r="AH186" t="s">
        <v>57</v>
      </c>
      <c r="AL186" t="s">
        <v>57</v>
      </c>
      <c r="AM186" s="11">
        <v>44778</v>
      </c>
      <c r="AN186" t="s">
        <v>178</v>
      </c>
      <c r="AO186" t="s">
        <v>65</v>
      </c>
      <c r="AP186">
        <v>1205</v>
      </c>
      <c r="AQ186" t="s">
        <v>66</v>
      </c>
      <c r="AR186">
        <v>267456</v>
      </c>
      <c r="AU186" t="s">
        <v>57</v>
      </c>
      <c r="AV186" t="s">
        <v>68</v>
      </c>
      <c r="AX186" t="s">
        <v>57</v>
      </c>
      <c r="AY186">
        <v>631110</v>
      </c>
      <c r="AZ186">
        <v>1205.63111</v>
      </c>
      <c r="BA186" s="23" t="s">
        <v>13</v>
      </c>
    </row>
    <row r="187" spans="1:53" x14ac:dyDescent="0.25">
      <c r="A187" t="s">
        <v>134</v>
      </c>
      <c r="B187" t="s">
        <v>135</v>
      </c>
      <c r="C187">
        <v>22002300</v>
      </c>
      <c r="D187">
        <v>1205</v>
      </c>
      <c r="E187" s="11">
        <v>44778</v>
      </c>
      <c r="F187" t="s">
        <v>174</v>
      </c>
      <c r="G187" s="25">
        <v>1.03</v>
      </c>
      <c r="H187">
        <v>1.03</v>
      </c>
      <c r="I187" t="s">
        <v>56</v>
      </c>
      <c r="O187" t="s">
        <v>57</v>
      </c>
      <c r="Q187" t="s">
        <v>57</v>
      </c>
      <c r="R187" t="s">
        <v>137</v>
      </c>
      <c r="T187" t="s">
        <v>59</v>
      </c>
      <c r="U187" t="s">
        <v>60</v>
      </c>
      <c r="V187" t="s">
        <v>138</v>
      </c>
      <c r="W187" t="s">
        <v>139</v>
      </c>
      <c r="X187">
        <v>1928762</v>
      </c>
      <c r="Y187" s="11">
        <v>44778</v>
      </c>
      <c r="Z187" t="s">
        <v>57</v>
      </c>
      <c r="AA187">
        <v>2</v>
      </c>
      <c r="AB187" t="s">
        <v>57</v>
      </c>
      <c r="AD187" t="s">
        <v>57</v>
      </c>
      <c r="AE187" t="s">
        <v>57</v>
      </c>
      <c r="AF187" t="s">
        <v>57</v>
      </c>
      <c r="AG187">
        <v>1</v>
      </c>
      <c r="AH187" t="s">
        <v>57</v>
      </c>
      <c r="AL187" t="s">
        <v>57</v>
      </c>
      <c r="AM187" s="11">
        <v>44778</v>
      </c>
      <c r="AN187" t="s">
        <v>178</v>
      </c>
      <c r="AO187" t="s">
        <v>65</v>
      </c>
      <c r="AP187">
        <v>1205</v>
      </c>
      <c r="AQ187" t="s">
        <v>66</v>
      </c>
      <c r="AR187">
        <v>267456</v>
      </c>
      <c r="AU187" t="s">
        <v>57</v>
      </c>
      <c r="AV187" t="s">
        <v>68</v>
      </c>
      <c r="AX187" t="s">
        <v>57</v>
      </c>
      <c r="AY187">
        <v>631110</v>
      </c>
      <c r="AZ187">
        <v>1205.63111</v>
      </c>
      <c r="BA187" s="23" t="s">
        <v>13</v>
      </c>
    </row>
    <row r="188" spans="1:53" x14ac:dyDescent="0.25">
      <c r="A188" t="s">
        <v>134</v>
      </c>
      <c r="B188" t="s">
        <v>135</v>
      </c>
      <c r="C188">
        <v>22002301</v>
      </c>
      <c r="D188">
        <v>1205</v>
      </c>
      <c r="E188" s="11">
        <v>44778</v>
      </c>
      <c r="F188" t="s">
        <v>174</v>
      </c>
      <c r="G188" s="25">
        <v>1.03</v>
      </c>
      <c r="H188">
        <v>1.03</v>
      </c>
      <c r="I188" t="s">
        <v>56</v>
      </c>
      <c r="O188" t="s">
        <v>57</v>
      </c>
      <c r="Q188" t="s">
        <v>57</v>
      </c>
      <c r="R188" t="s">
        <v>137</v>
      </c>
      <c r="T188" t="s">
        <v>59</v>
      </c>
      <c r="U188" t="s">
        <v>60</v>
      </c>
      <c r="V188" t="s">
        <v>138</v>
      </c>
      <c r="W188" t="s">
        <v>139</v>
      </c>
      <c r="X188">
        <v>1928762</v>
      </c>
      <c r="Y188" s="11">
        <v>44778</v>
      </c>
      <c r="Z188" t="s">
        <v>57</v>
      </c>
      <c r="AA188">
        <v>2</v>
      </c>
      <c r="AB188" t="s">
        <v>57</v>
      </c>
      <c r="AD188" t="s">
        <v>57</v>
      </c>
      <c r="AE188" t="s">
        <v>57</v>
      </c>
      <c r="AF188" t="s">
        <v>57</v>
      </c>
      <c r="AG188">
        <v>1</v>
      </c>
      <c r="AH188" t="s">
        <v>57</v>
      </c>
      <c r="AL188" t="s">
        <v>57</v>
      </c>
      <c r="AM188" s="11">
        <v>44778</v>
      </c>
      <c r="AN188" t="s">
        <v>178</v>
      </c>
      <c r="AO188" t="s">
        <v>65</v>
      </c>
      <c r="AP188">
        <v>1205</v>
      </c>
      <c r="AQ188" t="s">
        <v>66</v>
      </c>
      <c r="AR188">
        <v>267456</v>
      </c>
      <c r="AU188" t="s">
        <v>57</v>
      </c>
      <c r="AV188" t="s">
        <v>68</v>
      </c>
      <c r="AX188" t="s">
        <v>57</v>
      </c>
      <c r="AY188">
        <v>631110</v>
      </c>
      <c r="AZ188">
        <v>1205.63111</v>
      </c>
      <c r="BA188" s="23" t="s">
        <v>13</v>
      </c>
    </row>
    <row r="189" spans="1:53" x14ac:dyDescent="0.25">
      <c r="A189" t="s">
        <v>134</v>
      </c>
      <c r="B189" t="s">
        <v>135</v>
      </c>
      <c r="C189">
        <v>22002316</v>
      </c>
      <c r="D189">
        <v>1205</v>
      </c>
      <c r="E189" s="11">
        <v>44782</v>
      </c>
      <c r="F189" t="s">
        <v>174</v>
      </c>
      <c r="G189" s="25">
        <v>1.03</v>
      </c>
      <c r="H189">
        <v>1.03</v>
      </c>
      <c r="I189" t="s">
        <v>56</v>
      </c>
      <c r="O189" t="s">
        <v>57</v>
      </c>
      <c r="Q189" t="s">
        <v>57</v>
      </c>
      <c r="R189" t="s">
        <v>137</v>
      </c>
      <c r="T189" t="s">
        <v>59</v>
      </c>
      <c r="U189" t="s">
        <v>60</v>
      </c>
      <c r="V189" t="s">
        <v>138</v>
      </c>
      <c r="W189" t="s">
        <v>139</v>
      </c>
      <c r="X189">
        <v>1929847</v>
      </c>
      <c r="Y189" s="11">
        <v>44782</v>
      </c>
      <c r="Z189" t="s">
        <v>57</v>
      </c>
      <c r="AA189">
        <v>24</v>
      </c>
      <c r="AB189" t="s">
        <v>57</v>
      </c>
      <c r="AD189" t="s">
        <v>57</v>
      </c>
      <c r="AE189" t="s">
        <v>57</v>
      </c>
      <c r="AF189" t="s">
        <v>57</v>
      </c>
      <c r="AG189">
        <v>1</v>
      </c>
      <c r="AH189" t="s">
        <v>57</v>
      </c>
      <c r="AL189" t="s">
        <v>57</v>
      </c>
      <c r="AM189" s="11">
        <v>44782</v>
      </c>
      <c r="AN189" t="s">
        <v>178</v>
      </c>
      <c r="AO189" t="s">
        <v>65</v>
      </c>
      <c r="AP189">
        <v>1205</v>
      </c>
      <c r="AQ189" t="s">
        <v>66</v>
      </c>
      <c r="AR189">
        <v>267456</v>
      </c>
      <c r="AU189" t="s">
        <v>57</v>
      </c>
      <c r="AV189" t="s">
        <v>68</v>
      </c>
      <c r="AX189" t="s">
        <v>57</v>
      </c>
      <c r="AY189">
        <v>631110</v>
      </c>
      <c r="AZ189">
        <v>1205.63111</v>
      </c>
      <c r="BA189" s="23" t="s">
        <v>13</v>
      </c>
    </row>
    <row r="190" spans="1:53" x14ac:dyDescent="0.25">
      <c r="A190" t="s">
        <v>134</v>
      </c>
      <c r="B190" t="s">
        <v>135</v>
      </c>
      <c r="C190">
        <v>22002366</v>
      </c>
      <c r="D190">
        <v>1205</v>
      </c>
      <c r="E190" s="11">
        <v>44791</v>
      </c>
      <c r="F190" t="s">
        <v>174</v>
      </c>
      <c r="G190" s="25">
        <v>1.03</v>
      </c>
      <c r="H190">
        <v>1.03</v>
      </c>
      <c r="I190" t="s">
        <v>56</v>
      </c>
      <c r="O190" t="s">
        <v>57</v>
      </c>
      <c r="Q190" t="s">
        <v>57</v>
      </c>
      <c r="R190" t="s">
        <v>137</v>
      </c>
      <c r="T190" t="s">
        <v>59</v>
      </c>
      <c r="U190" t="s">
        <v>60</v>
      </c>
      <c r="V190" t="s">
        <v>138</v>
      </c>
      <c r="W190" t="s">
        <v>139</v>
      </c>
      <c r="X190">
        <v>1933538</v>
      </c>
      <c r="Y190" s="11">
        <v>44791</v>
      </c>
      <c r="Z190" t="s">
        <v>57</v>
      </c>
      <c r="AA190">
        <v>4</v>
      </c>
      <c r="AB190" t="s">
        <v>57</v>
      </c>
      <c r="AD190" t="s">
        <v>57</v>
      </c>
      <c r="AE190" t="s">
        <v>57</v>
      </c>
      <c r="AF190" t="s">
        <v>57</v>
      </c>
      <c r="AG190">
        <v>1</v>
      </c>
      <c r="AH190" t="s">
        <v>57</v>
      </c>
      <c r="AL190" t="s">
        <v>57</v>
      </c>
      <c r="AM190" s="11">
        <v>44791</v>
      </c>
      <c r="AN190" t="s">
        <v>178</v>
      </c>
      <c r="AO190" t="s">
        <v>65</v>
      </c>
      <c r="AP190">
        <v>1205</v>
      </c>
      <c r="AQ190" t="s">
        <v>66</v>
      </c>
      <c r="AR190">
        <v>88592</v>
      </c>
      <c r="AU190" t="s">
        <v>57</v>
      </c>
      <c r="AV190" t="s">
        <v>68</v>
      </c>
      <c r="AX190" t="s">
        <v>57</v>
      </c>
      <c r="AY190">
        <v>631110</v>
      </c>
      <c r="AZ190">
        <v>1205.63111</v>
      </c>
      <c r="BA190" s="23" t="s">
        <v>13</v>
      </c>
    </row>
    <row r="191" spans="1:53" x14ac:dyDescent="0.25">
      <c r="A191" t="s">
        <v>134</v>
      </c>
      <c r="B191" t="s">
        <v>135</v>
      </c>
      <c r="C191">
        <v>22002261</v>
      </c>
      <c r="D191">
        <v>1205</v>
      </c>
      <c r="E191" s="11">
        <v>44774</v>
      </c>
      <c r="F191" t="s">
        <v>174</v>
      </c>
      <c r="G191" s="25">
        <v>1.04</v>
      </c>
      <c r="H191">
        <v>1.04</v>
      </c>
      <c r="I191" t="s">
        <v>56</v>
      </c>
      <c r="O191" t="s">
        <v>57</v>
      </c>
      <c r="Q191" t="s">
        <v>57</v>
      </c>
      <c r="R191" t="s">
        <v>137</v>
      </c>
      <c r="T191" t="s">
        <v>59</v>
      </c>
      <c r="U191" t="s">
        <v>60</v>
      </c>
      <c r="V191" t="s">
        <v>138</v>
      </c>
      <c r="W191" t="s">
        <v>139</v>
      </c>
      <c r="X191">
        <v>1925596</v>
      </c>
      <c r="Y191" s="11">
        <v>44774</v>
      </c>
      <c r="Z191" t="s">
        <v>57</v>
      </c>
      <c r="AA191">
        <v>16</v>
      </c>
      <c r="AB191" t="s">
        <v>57</v>
      </c>
      <c r="AD191" t="s">
        <v>57</v>
      </c>
      <c r="AE191" t="s">
        <v>57</v>
      </c>
      <c r="AF191" t="s">
        <v>57</v>
      </c>
      <c r="AG191">
        <v>1</v>
      </c>
      <c r="AH191" t="s">
        <v>57</v>
      </c>
      <c r="AL191" t="s">
        <v>57</v>
      </c>
      <c r="AM191" s="11">
        <v>44774</v>
      </c>
      <c r="AN191" t="s">
        <v>178</v>
      </c>
      <c r="AO191" t="s">
        <v>65</v>
      </c>
      <c r="AP191">
        <v>1205</v>
      </c>
      <c r="AQ191" t="s">
        <v>66</v>
      </c>
      <c r="AR191">
        <v>88720</v>
      </c>
      <c r="AU191" t="s">
        <v>57</v>
      </c>
      <c r="AV191" t="s">
        <v>68</v>
      </c>
      <c r="AX191" t="s">
        <v>57</v>
      </c>
      <c r="AY191">
        <v>631110</v>
      </c>
      <c r="AZ191">
        <v>1205.63111</v>
      </c>
      <c r="BA191" s="23" t="s">
        <v>13</v>
      </c>
    </row>
    <row r="192" spans="1:53" x14ac:dyDescent="0.25">
      <c r="A192" t="s">
        <v>134</v>
      </c>
      <c r="B192" t="s">
        <v>135</v>
      </c>
      <c r="C192">
        <v>22002295</v>
      </c>
      <c r="D192">
        <v>1205</v>
      </c>
      <c r="E192" s="11">
        <v>44777</v>
      </c>
      <c r="F192" t="s">
        <v>179</v>
      </c>
      <c r="G192" s="25">
        <v>1.08</v>
      </c>
      <c r="H192">
        <v>1.08</v>
      </c>
      <c r="I192" t="s">
        <v>56</v>
      </c>
      <c r="O192" t="s">
        <v>57</v>
      </c>
      <c r="Q192" t="s">
        <v>57</v>
      </c>
      <c r="R192" t="s">
        <v>137</v>
      </c>
      <c r="T192" t="s">
        <v>59</v>
      </c>
      <c r="U192" t="s">
        <v>60</v>
      </c>
      <c r="V192" t="s">
        <v>138</v>
      </c>
      <c r="W192" t="s">
        <v>139</v>
      </c>
      <c r="X192">
        <v>1927636</v>
      </c>
      <c r="Y192" s="11">
        <v>44777</v>
      </c>
      <c r="Z192" t="s">
        <v>57</v>
      </c>
      <c r="AA192">
        <v>26</v>
      </c>
      <c r="AB192" t="s">
        <v>57</v>
      </c>
      <c r="AD192" t="s">
        <v>57</v>
      </c>
      <c r="AE192" t="s">
        <v>57</v>
      </c>
      <c r="AF192" t="s">
        <v>57</v>
      </c>
      <c r="AG192">
        <v>7</v>
      </c>
      <c r="AH192" t="s">
        <v>57</v>
      </c>
      <c r="AL192" t="s">
        <v>57</v>
      </c>
      <c r="AM192" s="11">
        <v>44777</v>
      </c>
      <c r="AN192" t="s">
        <v>180</v>
      </c>
      <c r="AO192" t="s">
        <v>65</v>
      </c>
      <c r="AP192">
        <v>1205</v>
      </c>
      <c r="AQ192" t="s">
        <v>66</v>
      </c>
      <c r="AR192">
        <v>89712</v>
      </c>
      <c r="AU192" t="s">
        <v>57</v>
      </c>
      <c r="AV192" t="s">
        <v>68</v>
      </c>
      <c r="AX192" t="s">
        <v>57</v>
      </c>
      <c r="AY192">
        <v>631110</v>
      </c>
      <c r="AZ192">
        <v>1205.63111</v>
      </c>
      <c r="BA192" s="23" t="s">
        <v>13</v>
      </c>
    </row>
    <row r="193" spans="1:53" x14ac:dyDescent="0.25">
      <c r="A193" t="s">
        <v>134</v>
      </c>
      <c r="B193" t="s">
        <v>135</v>
      </c>
      <c r="C193">
        <v>22002342</v>
      </c>
      <c r="D193">
        <v>1205</v>
      </c>
      <c r="E193" s="11">
        <v>44785</v>
      </c>
      <c r="F193" t="s">
        <v>179</v>
      </c>
      <c r="G193" s="25">
        <v>1.08</v>
      </c>
      <c r="H193">
        <v>1.08</v>
      </c>
      <c r="I193" t="s">
        <v>56</v>
      </c>
      <c r="O193" t="s">
        <v>57</v>
      </c>
      <c r="Q193" t="s">
        <v>57</v>
      </c>
      <c r="R193" t="s">
        <v>137</v>
      </c>
      <c r="T193" t="s">
        <v>59</v>
      </c>
      <c r="U193" t="s">
        <v>60</v>
      </c>
      <c r="V193" t="s">
        <v>138</v>
      </c>
      <c r="W193" t="s">
        <v>139</v>
      </c>
      <c r="X193">
        <v>1930745</v>
      </c>
      <c r="Y193" s="11">
        <v>44785</v>
      </c>
      <c r="Z193" t="s">
        <v>57</v>
      </c>
      <c r="AA193">
        <v>8</v>
      </c>
      <c r="AB193" t="s">
        <v>57</v>
      </c>
      <c r="AD193" t="s">
        <v>57</v>
      </c>
      <c r="AE193" t="s">
        <v>57</v>
      </c>
      <c r="AF193" t="s">
        <v>57</v>
      </c>
      <c r="AG193">
        <v>13</v>
      </c>
      <c r="AH193" t="s">
        <v>57</v>
      </c>
      <c r="AL193" t="s">
        <v>57</v>
      </c>
      <c r="AM193" s="11">
        <v>44785</v>
      </c>
      <c r="AN193" t="s">
        <v>180</v>
      </c>
      <c r="AO193" t="s">
        <v>65</v>
      </c>
      <c r="AP193">
        <v>1205</v>
      </c>
      <c r="AQ193" t="s">
        <v>66</v>
      </c>
      <c r="AR193">
        <v>265878</v>
      </c>
      <c r="AU193" t="s">
        <v>57</v>
      </c>
      <c r="AV193" t="s">
        <v>68</v>
      </c>
      <c r="AX193" t="s">
        <v>57</v>
      </c>
      <c r="AY193">
        <v>631110</v>
      </c>
      <c r="AZ193">
        <v>1205.63111</v>
      </c>
      <c r="BA193" s="23" t="s">
        <v>13</v>
      </c>
    </row>
    <row r="194" spans="1:53" x14ac:dyDescent="0.25">
      <c r="A194" t="s">
        <v>134</v>
      </c>
      <c r="B194" t="s">
        <v>135</v>
      </c>
      <c r="C194">
        <v>22002372</v>
      </c>
      <c r="D194">
        <v>1205</v>
      </c>
      <c r="E194" s="11">
        <v>44791</v>
      </c>
      <c r="F194" t="s">
        <v>179</v>
      </c>
      <c r="G194" s="25">
        <v>1.08</v>
      </c>
      <c r="H194">
        <v>1.08</v>
      </c>
      <c r="I194" t="s">
        <v>56</v>
      </c>
      <c r="O194" t="s">
        <v>57</v>
      </c>
      <c r="Q194" t="s">
        <v>57</v>
      </c>
      <c r="R194" t="s">
        <v>137</v>
      </c>
      <c r="T194" t="s">
        <v>59</v>
      </c>
      <c r="U194" t="s">
        <v>60</v>
      </c>
      <c r="V194" t="s">
        <v>138</v>
      </c>
      <c r="W194" t="s">
        <v>139</v>
      </c>
      <c r="X194">
        <v>1933543</v>
      </c>
      <c r="Y194" s="11">
        <v>44791</v>
      </c>
      <c r="Z194" t="s">
        <v>57</v>
      </c>
      <c r="AA194">
        <v>16</v>
      </c>
      <c r="AB194" t="s">
        <v>57</v>
      </c>
      <c r="AD194" t="s">
        <v>57</v>
      </c>
      <c r="AE194" t="s">
        <v>57</v>
      </c>
      <c r="AF194" t="s">
        <v>57</v>
      </c>
      <c r="AG194">
        <v>10</v>
      </c>
      <c r="AH194" t="s">
        <v>57</v>
      </c>
      <c r="AL194" t="s">
        <v>57</v>
      </c>
      <c r="AM194" s="11">
        <v>44791</v>
      </c>
      <c r="AN194" t="s">
        <v>180</v>
      </c>
      <c r="AO194" t="s">
        <v>65</v>
      </c>
      <c r="AP194">
        <v>1205</v>
      </c>
      <c r="AQ194" t="s">
        <v>66</v>
      </c>
      <c r="AR194">
        <v>265267</v>
      </c>
      <c r="AU194" t="s">
        <v>57</v>
      </c>
      <c r="AV194" t="s">
        <v>68</v>
      </c>
      <c r="AX194" t="s">
        <v>57</v>
      </c>
      <c r="AY194">
        <v>631110</v>
      </c>
      <c r="AZ194">
        <v>1205.63111</v>
      </c>
      <c r="BA194" s="23" t="s">
        <v>13</v>
      </c>
    </row>
    <row r="195" spans="1:53" x14ac:dyDescent="0.25">
      <c r="A195" t="s">
        <v>134</v>
      </c>
      <c r="B195" t="s">
        <v>135</v>
      </c>
      <c r="C195">
        <v>22002261</v>
      </c>
      <c r="D195">
        <v>1205</v>
      </c>
      <c r="E195" s="11">
        <v>44774</v>
      </c>
      <c r="F195" t="s">
        <v>174</v>
      </c>
      <c r="G195" s="25">
        <v>1.0900000000000001</v>
      </c>
      <c r="H195">
        <v>1.0900000000000001</v>
      </c>
      <c r="I195" t="s">
        <v>56</v>
      </c>
      <c r="O195" t="s">
        <v>57</v>
      </c>
      <c r="Q195" t="s">
        <v>57</v>
      </c>
      <c r="R195" t="s">
        <v>137</v>
      </c>
      <c r="T195" t="s">
        <v>59</v>
      </c>
      <c r="U195" t="s">
        <v>60</v>
      </c>
      <c r="V195" t="s">
        <v>138</v>
      </c>
      <c r="W195" t="s">
        <v>139</v>
      </c>
      <c r="X195">
        <v>1925596</v>
      </c>
      <c r="Y195" s="11">
        <v>44774</v>
      </c>
      <c r="Z195" t="s">
        <v>57</v>
      </c>
      <c r="AA195">
        <v>18</v>
      </c>
      <c r="AB195" t="s">
        <v>57</v>
      </c>
      <c r="AD195" t="s">
        <v>57</v>
      </c>
      <c r="AE195" t="s">
        <v>57</v>
      </c>
      <c r="AF195" t="s">
        <v>57</v>
      </c>
      <c r="AG195">
        <v>1</v>
      </c>
      <c r="AH195" t="s">
        <v>57</v>
      </c>
      <c r="AL195" t="s">
        <v>57</v>
      </c>
      <c r="AM195" s="11">
        <v>44774</v>
      </c>
      <c r="AN195" t="s">
        <v>178</v>
      </c>
      <c r="AO195" t="s">
        <v>65</v>
      </c>
      <c r="AP195">
        <v>1205</v>
      </c>
      <c r="AQ195" t="s">
        <v>66</v>
      </c>
      <c r="AR195">
        <v>92298</v>
      </c>
      <c r="AU195" t="s">
        <v>57</v>
      </c>
      <c r="AV195" t="s">
        <v>68</v>
      </c>
      <c r="AX195" t="s">
        <v>57</v>
      </c>
      <c r="AY195">
        <v>631110</v>
      </c>
      <c r="AZ195">
        <v>1205.63111</v>
      </c>
      <c r="BA195" s="23" t="s">
        <v>13</v>
      </c>
    </row>
    <row r="196" spans="1:53" x14ac:dyDescent="0.25">
      <c r="A196" t="s">
        <v>134</v>
      </c>
      <c r="B196" t="s">
        <v>135</v>
      </c>
      <c r="C196">
        <v>22002262</v>
      </c>
      <c r="D196">
        <v>1205</v>
      </c>
      <c r="E196" s="11">
        <v>44774</v>
      </c>
      <c r="F196" t="s">
        <v>174</v>
      </c>
      <c r="G196" s="25">
        <v>1.0900000000000001</v>
      </c>
      <c r="H196">
        <v>1.0900000000000001</v>
      </c>
      <c r="I196" t="s">
        <v>56</v>
      </c>
      <c r="O196" t="s">
        <v>57</v>
      </c>
      <c r="Q196" t="s">
        <v>57</v>
      </c>
      <c r="R196" t="s">
        <v>137</v>
      </c>
      <c r="T196" t="s">
        <v>59</v>
      </c>
      <c r="U196" t="s">
        <v>60</v>
      </c>
      <c r="V196" t="s">
        <v>138</v>
      </c>
      <c r="W196" t="s">
        <v>139</v>
      </c>
      <c r="X196">
        <v>1925596</v>
      </c>
      <c r="Y196" s="11">
        <v>44774</v>
      </c>
      <c r="Z196" t="s">
        <v>57</v>
      </c>
      <c r="AA196">
        <v>12</v>
      </c>
      <c r="AB196" t="s">
        <v>57</v>
      </c>
      <c r="AD196" t="s">
        <v>57</v>
      </c>
      <c r="AE196" t="s">
        <v>57</v>
      </c>
      <c r="AF196" t="s">
        <v>57</v>
      </c>
      <c r="AG196">
        <v>2</v>
      </c>
      <c r="AH196" t="s">
        <v>57</v>
      </c>
      <c r="AL196" t="s">
        <v>57</v>
      </c>
      <c r="AM196" s="11">
        <v>44774</v>
      </c>
      <c r="AN196" t="s">
        <v>178</v>
      </c>
      <c r="AO196" t="s">
        <v>65</v>
      </c>
      <c r="AP196">
        <v>1205</v>
      </c>
      <c r="AQ196" t="s">
        <v>66</v>
      </c>
      <c r="AR196">
        <v>89777</v>
      </c>
      <c r="AU196" t="s">
        <v>57</v>
      </c>
      <c r="AV196" t="s">
        <v>68</v>
      </c>
      <c r="AX196" t="s">
        <v>57</v>
      </c>
      <c r="AY196">
        <v>631110</v>
      </c>
      <c r="AZ196">
        <v>1205.63111</v>
      </c>
      <c r="BA196" s="23" t="s">
        <v>13</v>
      </c>
    </row>
    <row r="197" spans="1:53" x14ac:dyDescent="0.25">
      <c r="A197" t="s">
        <v>134</v>
      </c>
      <c r="B197" t="s">
        <v>135</v>
      </c>
      <c r="C197">
        <v>22002281</v>
      </c>
      <c r="D197">
        <v>1205</v>
      </c>
      <c r="E197" s="11">
        <v>44776</v>
      </c>
      <c r="F197" t="s">
        <v>179</v>
      </c>
      <c r="G197" s="25">
        <v>1.0900000000000001</v>
      </c>
      <c r="H197">
        <v>1.0900000000000001</v>
      </c>
      <c r="I197" t="s">
        <v>56</v>
      </c>
      <c r="O197" t="s">
        <v>57</v>
      </c>
      <c r="Q197" t="s">
        <v>57</v>
      </c>
      <c r="R197" t="s">
        <v>137</v>
      </c>
      <c r="T197" t="s">
        <v>59</v>
      </c>
      <c r="U197" t="s">
        <v>60</v>
      </c>
      <c r="V197" t="s">
        <v>138</v>
      </c>
      <c r="W197" t="s">
        <v>139</v>
      </c>
      <c r="X197">
        <v>1927036</v>
      </c>
      <c r="Y197" s="11">
        <v>44776</v>
      </c>
      <c r="Z197" t="s">
        <v>57</v>
      </c>
      <c r="AA197">
        <v>12</v>
      </c>
      <c r="AB197" t="s">
        <v>57</v>
      </c>
      <c r="AD197" t="s">
        <v>57</v>
      </c>
      <c r="AE197" t="s">
        <v>57</v>
      </c>
      <c r="AF197" t="s">
        <v>57</v>
      </c>
      <c r="AG197">
        <v>10</v>
      </c>
      <c r="AH197" t="s">
        <v>57</v>
      </c>
      <c r="AL197" t="s">
        <v>57</v>
      </c>
      <c r="AM197" s="11">
        <v>44776</v>
      </c>
      <c r="AN197" t="s">
        <v>180</v>
      </c>
      <c r="AO197" t="s">
        <v>65</v>
      </c>
      <c r="AP197">
        <v>1205</v>
      </c>
      <c r="AQ197" t="s">
        <v>66</v>
      </c>
      <c r="AR197">
        <v>265267</v>
      </c>
      <c r="AU197" t="s">
        <v>57</v>
      </c>
      <c r="AV197" t="s">
        <v>68</v>
      </c>
      <c r="AX197" t="s">
        <v>57</v>
      </c>
      <c r="AY197">
        <v>631110</v>
      </c>
      <c r="AZ197">
        <v>1205.63111</v>
      </c>
      <c r="BA197" s="23" t="s">
        <v>13</v>
      </c>
    </row>
    <row r="198" spans="1:53" x14ac:dyDescent="0.25">
      <c r="A198" t="s">
        <v>134</v>
      </c>
      <c r="B198" t="s">
        <v>135</v>
      </c>
      <c r="C198">
        <v>22002267</v>
      </c>
      <c r="D198">
        <v>1205</v>
      </c>
      <c r="E198" s="11">
        <v>44775</v>
      </c>
      <c r="F198" t="s">
        <v>179</v>
      </c>
      <c r="G198" s="25">
        <v>1.2</v>
      </c>
      <c r="H198">
        <v>1.2</v>
      </c>
      <c r="I198" t="s">
        <v>56</v>
      </c>
      <c r="O198" t="s">
        <v>57</v>
      </c>
      <c r="Q198" t="s">
        <v>57</v>
      </c>
      <c r="R198" t="s">
        <v>137</v>
      </c>
      <c r="T198" t="s">
        <v>59</v>
      </c>
      <c r="U198" t="s">
        <v>60</v>
      </c>
      <c r="V198" t="s">
        <v>138</v>
      </c>
      <c r="W198" t="s">
        <v>139</v>
      </c>
      <c r="X198">
        <v>1926658</v>
      </c>
      <c r="Y198" s="11">
        <v>44775</v>
      </c>
      <c r="Z198" t="s">
        <v>57</v>
      </c>
      <c r="AA198">
        <v>4</v>
      </c>
      <c r="AB198" t="s">
        <v>57</v>
      </c>
      <c r="AD198" t="s">
        <v>57</v>
      </c>
      <c r="AE198" t="s">
        <v>57</v>
      </c>
      <c r="AF198" t="s">
        <v>57</v>
      </c>
      <c r="AG198">
        <v>10</v>
      </c>
      <c r="AH198" t="s">
        <v>57</v>
      </c>
      <c r="AL198" t="s">
        <v>57</v>
      </c>
      <c r="AM198" s="11">
        <v>44775</v>
      </c>
      <c r="AN198" t="s">
        <v>180</v>
      </c>
      <c r="AO198" t="s">
        <v>65</v>
      </c>
      <c r="AP198">
        <v>1205</v>
      </c>
      <c r="AQ198" t="s">
        <v>66</v>
      </c>
      <c r="AR198">
        <v>267860</v>
      </c>
      <c r="AU198" t="s">
        <v>57</v>
      </c>
      <c r="AV198" t="s">
        <v>68</v>
      </c>
      <c r="AX198" t="s">
        <v>57</v>
      </c>
      <c r="AY198">
        <v>631110</v>
      </c>
      <c r="AZ198">
        <v>1205.63111</v>
      </c>
      <c r="BA198" s="23" t="s">
        <v>13</v>
      </c>
    </row>
    <row r="199" spans="1:53" x14ac:dyDescent="0.25">
      <c r="A199" t="s">
        <v>134</v>
      </c>
      <c r="B199" t="s">
        <v>135</v>
      </c>
      <c r="C199">
        <v>22002281</v>
      </c>
      <c r="D199">
        <v>1205</v>
      </c>
      <c r="E199" s="11">
        <v>44776</v>
      </c>
      <c r="F199" t="s">
        <v>179</v>
      </c>
      <c r="G199" s="25">
        <v>1.2</v>
      </c>
      <c r="H199">
        <v>1.2</v>
      </c>
      <c r="I199" t="s">
        <v>56</v>
      </c>
      <c r="O199" t="s">
        <v>57</v>
      </c>
      <c r="Q199" t="s">
        <v>57</v>
      </c>
      <c r="R199" t="s">
        <v>137</v>
      </c>
      <c r="T199" t="s">
        <v>59</v>
      </c>
      <c r="U199" t="s">
        <v>60</v>
      </c>
      <c r="V199" t="s">
        <v>138</v>
      </c>
      <c r="W199" t="s">
        <v>139</v>
      </c>
      <c r="X199">
        <v>1927036</v>
      </c>
      <c r="Y199" s="11">
        <v>44776</v>
      </c>
      <c r="Z199" t="s">
        <v>57</v>
      </c>
      <c r="AA199">
        <v>4</v>
      </c>
      <c r="AB199" t="s">
        <v>57</v>
      </c>
      <c r="AD199" t="s">
        <v>57</v>
      </c>
      <c r="AE199" t="s">
        <v>57</v>
      </c>
      <c r="AF199" t="s">
        <v>57</v>
      </c>
      <c r="AG199">
        <v>10</v>
      </c>
      <c r="AH199" t="s">
        <v>57</v>
      </c>
      <c r="AL199" t="s">
        <v>57</v>
      </c>
      <c r="AM199" s="11">
        <v>44776</v>
      </c>
      <c r="AN199" t="s">
        <v>180</v>
      </c>
      <c r="AO199" t="s">
        <v>65</v>
      </c>
      <c r="AP199">
        <v>1205</v>
      </c>
      <c r="AQ199" t="s">
        <v>66</v>
      </c>
      <c r="AR199">
        <v>267860</v>
      </c>
      <c r="AU199" t="s">
        <v>57</v>
      </c>
      <c r="AV199" t="s">
        <v>68</v>
      </c>
      <c r="AX199" t="s">
        <v>57</v>
      </c>
      <c r="AY199">
        <v>631110</v>
      </c>
      <c r="AZ199">
        <v>1205.63111</v>
      </c>
      <c r="BA199" s="23" t="s">
        <v>13</v>
      </c>
    </row>
    <row r="200" spans="1:53" x14ac:dyDescent="0.25">
      <c r="A200" t="s">
        <v>134</v>
      </c>
      <c r="B200" t="s">
        <v>135</v>
      </c>
      <c r="C200">
        <v>22002325</v>
      </c>
      <c r="D200">
        <v>1205</v>
      </c>
      <c r="E200" s="11">
        <v>44783</v>
      </c>
      <c r="F200" t="s">
        <v>179</v>
      </c>
      <c r="G200" s="25">
        <v>1.2</v>
      </c>
      <c r="H200">
        <v>1.2</v>
      </c>
      <c r="I200" t="s">
        <v>56</v>
      </c>
      <c r="O200" t="s">
        <v>57</v>
      </c>
      <c r="Q200" t="s">
        <v>57</v>
      </c>
      <c r="R200" t="s">
        <v>137</v>
      </c>
      <c r="T200" t="s">
        <v>59</v>
      </c>
      <c r="U200" t="s">
        <v>60</v>
      </c>
      <c r="V200" t="s">
        <v>138</v>
      </c>
      <c r="W200" t="s">
        <v>139</v>
      </c>
      <c r="X200">
        <v>1930357</v>
      </c>
      <c r="Y200" s="11">
        <v>44783</v>
      </c>
      <c r="Z200" t="s">
        <v>57</v>
      </c>
      <c r="AA200">
        <v>4</v>
      </c>
      <c r="AB200" t="s">
        <v>57</v>
      </c>
      <c r="AD200" t="s">
        <v>57</v>
      </c>
      <c r="AE200" t="s">
        <v>57</v>
      </c>
      <c r="AF200" t="s">
        <v>57</v>
      </c>
      <c r="AG200">
        <v>10</v>
      </c>
      <c r="AH200" t="s">
        <v>57</v>
      </c>
      <c r="AL200" t="s">
        <v>57</v>
      </c>
      <c r="AM200" s="11">
        <v>44783</v>
      </c>
      <c r="AN200" t="s">
        <v>180</v>
      </c>
      <c r="AO200" t="s">
        <v>65</v>
      </c>
      <c r="AP200">
        <v>1205</v>
      </c>
      <c r="AQ200" t="s">
        <v>66</v>
      </c>
      <c r="AR200">
        <v>267860</v>
      </c>
      <c r="AU200" t="s">
        <v>57</v>
      </c>
      <c r="AV200" t="s">
        <v>68</v>
      </c>
      <c r="AX200" t="s">
        <v>57</v>
      </c>
      <c r="AY200">
        <v>631110</v>
      </c>
      <c r="AZ200">
        <v>1205.63111</v>
      </c>
      <c r="BA200" s="23" t="s">
        <v>13</v>
      </c>
    </row>
    <row r="201" spans="1:53" x14ac:dyDescent="0.25">
      <c r="A201" t="s">
        <v>134</v>
      </c>
      <c r="B201" t="s">
        <v>135</v>
      </c>
      <c r="C201">
        <v>22002325</v>
      </c>
      <c r="D201">
        <v>1205</v>
      </c>
      <c r="E201" s="11">
        <v>44783</v>
      </c>
      <c r="F201" t="s">
        <v>179</v>
      </c>
      <c r="G201" s="25">
        <v>1.21</v>
      </c>
      <c r="H201">
        <v>1.21</v>
      </c>
      <c r="I201" t="s">
        <v>56</v>
      </c>
      <c r="O201" t="s">
        <v>57</v>
      </c>
      <c r="Q201" t="s">
        <v>57</v>
      </c>
      <c r="R201" t="s">
        <v>137</v>
      </c>
      <c r="T201" t="s">
        <v>59</v>
      </c>
      <c r="U201" t="s">
        <v>60</v>
      </c>
      <c r="V201" t="s">
        <v>138</v>
      </c>
      <c r="W201" t="s">
        <v>139</v>
      </c>
      <c r="X201">
        <v>1930357</v>
      </c>
      <c r="Y201" s="11">
        <v>44783</v>
      </c>
      <c r="Z201" t="s">
        <v>57</v>
      </c>
      <c r="AA201">
        <v>26</v>
      </c>
      <c r="AB201" t="s">
        <v>57</v>
      </c>
      <c r="AD201" t="s">
        <v>57</v>
      </c>
      <c r="AE201" t="s">
        <v>57</v>
      </c>
      <c r="AF201" t="s">
        <v>57</v>
      </c>
      <c r="AG201">
        <v>10</v>
      </c>
      <c r="AH201" t="s">
        <v>57</v>
      </c>
      <c r="AL201" t="s">
        <v>57</v>
      </c>
      <c r="AM201" s="11">
        <v>44783</v>
      </c>
      <c r="AN201" t="s">
        <v>180</v>
      </c>
      <c r="AO201" t="s">
        <v>65</v>
      </c>
      <c r="AP201">
        <v>1205</v>
      </c>
      <c r="AQ201" t="s">
        <v>66</v>
      </c>
      <c r="AR201">
        <v>88639</v>
      </c>
      <c r="AU201" t="s">
        <v>57</v>
      </c>
      <c r="AV201" t="s">
        <v>68</v>
      </c>
      <c r="AX201" t="s">
        <v>57</v>
      </c>
      <c r="AY201">
        <v>631110</v>
      </c>
      <c r="AZ201">
        <v>1205.63111</v>
      </c>
      <c r="BA201" s="23" t="s">
        <v>13</v>
      </c>
    </row>
    <row r="202" spans="1:53" x14ac:dyDescent="0.25">
      <c r="A202" t="s">
        <v>134</v>
      </c>
      <c r="B202" t="s">
        <v>135</v>
      </c>
      <c r="C202">
        <v>22002360</v>
      </c>
      <c r="D202">
        <v>1205</v>
      </c>
      <c r="E202" s="11">
        <v>44789</v>
      </c>
      <c r="F202" t="s">
        <v>307</v>
      </c>
      <c r="G202" s="25">
        <v>1.21</v>
      </c>
      <c r="H202">
        <v>1.21</v>
      </c>
      <c r="I202" t="s">
        <v>56</v>
      </c>
      <c r="O202" t="s">
        <v>57</v>
      </c>
      <c r="Q202" t="s">
        <v>57</v>
      </c>
      <c r="R202" t="s">
        <v>137</v>
      </c>
      <c r="T202" t="s">
        <v>59</v>
      </c>
      <c r="U202" t="s">
        <v>60</v>
      </c>
      <c r="V202" t="s">
        <v>138</v>
      </c>
      <c r="W202" t="s">
        <v>139</v>
      </c>
      <c r="X202">
        <v>1933172</v>
      </c>
      <c r="Y202" s="11">
        <v>44789</v>
      </c>
      <c r="Z202" t="s">
        <v>57</v>
      </c>
      <c r="AA202">
        <v>24</v>
      </c>
      <c r="AB202" t="s">
        <v>57</v>
      </c>
      <c r="AD202" t="s">
        <v>57</v>
      </c>
      <c r="AE202" t="s">
        <v>57</v>
      </c>
      <c r="AF202" t="s">
        <v>57</v>
      </c>
      <c r="AG202">
        <v>10</v>
      </c>
      <c r="AH202" t="s">
        <v>57</v>
      </c>
      <c r="AL202" t="s">
        <v>57</v>
      </c>
      <c r="AM202" s="11">
        <v>44789</v>
      </c>
      <c r="AN202" t="s">
        <v>180</v>
      </c>
      <c r="AO202" t="s">
        <v>65</v>
      </c>
      <c r="AP202">
        <v>1205</v>
      </c>
      <c r="AQ202" t="s">
        <v>66</v>
      </c>
      <c r="AR202">
        <v>267735</v>
      </c>
      <c r="AU202" t="s">
        <v>57</v>
      </c>
      <c r="AV202" t="s">
        <v>68</v>
      </c>
      <c r="AX202" t="s">
        <v>57</v>
      </c>
      <c r="AY202">
        <v>631110</v>
      </c>
      <c r="AZ202">
        <v>1205.63111</v>
      </c>
      <c r="BA202" s="23" t="s">
        <v>13</v>
      </c>
    </row>
    <row r="203" spans="1:53" x14ac:dyDescent="0.25">
      <c r="A203" t="s">
        <v>134</v>
      </c>
      <c r="B203" t="s">
        <v>135</v>
      </c>
      <c r="C203">
        <v>22002360</v>
      </c>
      <c r="D203">
        <v>1205</v>
      </c>
      <c r="E203" s="11">
        <v>44789</v>
      </c>
      <c r="F203" t="s">
        <v>307</v>
      </c>
      <c r="G203" s="25">
        <v>1.21</v>
      </c>
      <c r="H203">
        <v>1.21</v>
      </c>
      <c r="I203" t="s">
        <v>56</v>
      </c>
      <c r="O203" t="s">
        <v>57</v>
      </c>
      <c r="Q203" t="s">
        <v>57</v>
      </c>
      <c r="R203" t="s">
        <v>137</v>
      </c>
      <c r="T203" t="s">
        <v>59</v>
      </c>
      <c r="U203" t="s">
        <v>60</v>
      </c>
      <c r="V203" t="s">
        <v>138</v>
      </c>
      <c r="W203" t="s">
        <v>139</v>
      </c>
      <c r="X203">
        <v>1933172</v>
      </c>
      <c r="Y203" s="11">
        <v>44789</v>
      </c>
      <c r="Z203" t="s">
        <v>57</v>
      </c>
      <c r="AA203">
        <v>28</v>
      </c>
      <c r="AB203" t="s">
        <v>57</v>
      </c>
      <c r="AD203" t="s">
        <v>57</v>
      </c>
      <c r="AE203" t="s">
        <v>57</v>
      </c>
      <c r="AF203" t="s">
        <v>57</v>
      </c>
      <c r="AG203">
        <v>10</v>
      </c>
      <c r="AH203" t="s">
        <v>57</v>
      </c>
      <c r="AL203" t="s">
        <v>57</v>
      </c>
      <c r="AM203" s="11">
        <v>44789</v>
      </c>
      <c r="AN203" t="s">
        <v>180</v>
      </c>
      <c r="AO203" t="s">
        <v>65</v>
      </c>
      <c r="AP203">
        <v>1205</v>
      </c>
      <c r="AQ203" t="s">
        <v>66</v>
      </c>
      <c r="AR203">
        <v>88639</v>
      </c>
      <c r="AU203" t="s">
        <v>57</v>
      </c>
      <c r="AV203" t="s">
        <v>68</v>
      </c>
      <c r="AX203" t="s">
        <v>57</v>
      </c>
      <c r="AY203">
        <v>631110</v>
      </c>
      <c r="AZ203">
        <v>1205.63111</v>
      </c>
      <c r="BA203" s="23" t="s">
        <v>13</v>
      </c>
    </row>
    <row r="204" spans="1:53" x14ac:dyDescent="0.25">
      <c r="A204" t="s">
        <v>134</v>
      </c>
      <c r="B204" t="s">
        <v>135</v>
      </c>
      <c r="C204">
        <v>22002316</v>
      </c>
      <c r="D204">
        <v>1205</v>
      </c>
      <c r="E204" s="11">
        <v>44782</v>
      </c>
      <c r="F204" t="s">
        <v>174</v>
      </c>
      <c r="G204" s="25">
        <v>1.25</v>
      </c>
      <c r="H204">
        <v>1.25</v>
      </c>
      <c r="I204" t="s">
        <v>56</v>
      </c>
      <c r="O204" t="s">
        <v>57</v>
      </c>
      <c r="Q204" t="s">
        <v>57</v>
      </c>
      <c r="R204" t="s">
        <v>137</v>
      </c>
      <c r="T204" t="s">
        <v>59</v>
      </c>
      <c r="U204" t="s">
        <v>60</v>
      </c>
      <c r="V204" t="s">
        <v>138</v>
      </c>
      <c r="W204" t="s">
        <v>139</v>
      </c>
      <c r="X204">
        <v>1929847</v>
      </c>
      <c r="Y204" s="11">
        <v>44782</v>
      </c>
      <c r="Z204" t="s">
        <v>57</v>
      </c>
      <c r="AA204">
        <v>20</v>
      </c>
      <c r="AB204" t="s">
        <v>57</v>
      </c>
      <c r="AD204" t="s">
        <v>57</v>
      </c>
      <c r="AE204" t="s">
        <v>57</v>
      </c>
      <c r="AF204" t="s">
        <v>57</v>
      </c>
      <c r="AG204">
        <v>2</v>
      </c>
      <c r="AH204" t="s">
        <v>57</v>
      </c>
      <c r="AL204" t="s">
        <v>57</v>
      </c>
      <c r="AM204" s="11">
        <v>44782</v>
      </c>
      <c r="AN204" t="s">
        <v>178</v>
      </c>
      <c r="AO204" t="s">
        <v>65</v>
      </c>
      <c r="AP204">
        <v>1205</v>
      </c>
      <c r="AQ204" t="s">
        <v>66</v>
      </c>
      <c r="AR204">
        <v>220123</v>
      </c>
      <c r="AU204" t="s">
        <v>57</v>
      </c>
      <c r="AV204" t="s">
        <v>68</v>
      </c>
      <c r="AX204" t="s">
        <v>57</v>
      </c>
      <c r="AY204">
        <v>631110</v>
      </c>
      <c r="AZ204">
        <v>1205.63111</v>
      </c>
      <c r="BA204" s="23" t="s">
        <v>13</v>
      </c>
    </row>
    <row r="205" spans="1:53" x14ac:dyDescent="0.25">
      <c r="A205" t="s">
        <v>134</v>
      </c>
      <c r="B205" t="s">
        <v>135</v>
      </c>
      <c r="C205">
        <v>22002323</v>
      </c>
      <c r="D205">
        <v>1205</v>
      </c>
      <c r="E205" s="11">
        <v>44783</v>
      </c>
      <c r="F205" t="s">
        <v>174</v>
      </c>
      <c r="G205" s="25">
        <v>1.25</v>
      </c>
      <c r="H205">
        <v>1.25</v>
      </c>
      <c r="I205" t="s">
        <v>56</v>
      </c>
      <c r="O205" t="s">
        <v>57</v>
      </c>
      <c r="Q205" t="s">
        <v>57</v>
      </c>
      <c r="R205" t="s">
        <v>137</v>
      </c>
      <c r="T205" t="s">
        <v>59</v>
      </c>
      <c r="U205" t="s">
        <v>60</v>
      </c>
      <c r="V205" t="s">
        <v>138</v>
      </c>
      <c r="W205" t="s">
        <v>139</v>
      </c>
      <c r="X205">
        <v>1930356</v>
      </c>
      <c r="Y205" s="11">
        <v>44783</v>
      </c>
      <c r="Z205" t="s">
        <v>57</v>
      </c>
      <c r="AA205">
        <v>14</v>
      </c>
      <c r="AB205" t="s">
        <v>57</v>
      </c>
      <c r="AD205" t="s">
        <v>57</v>
      </c>
      <c r="AE205" t="s">
        <v>57</v>
      </c>
      <c r="AF205" t="s">
        <v>57</v>
      </c>
      <c r="AG205">
        <v>2</v>
      </c>
      <c r="AH205" t="s">
        <v>57</v>
      </c>
      <c r="AL205" t="s">
        <v>57</v>
      </c>
      <c r="AM205" s="11">
        <v>44783</v>
      </c>
      <c r="AN205" t="s">
        <v>178</v>
      </c>
      <c r="AO205" t="s">
        <v>65</v>
      </c>
      <c r="AP205">
        <v>1205</v>
      </c>
      <c r="AQ205" t="s">
        <v>66</v>
      </c>
      <c r="AR205">
        <v>220123</v>
      </c>
      <c r="AU205" t="s">
        <v>57</v>
      </c>
      <c r="AV205" t="s">
        <v>68</v>
      </c>
      <c r="AX205" t="s">
        <v>57</v>
      </c>
      <c r="AY205">
        <v>631110</v>
      </c>
      <c r="AZ205">
        <v>1205.63111</v>
      </c>
      <c r="BA205" s="23" t="s">
        <v>13</v>
      </c>
    </row>
    <row r="206" spans="1:53" x14ac:dyDescent="0.25">
      <c r="A206" t="s">
        <v>134</v>
      </c>
      <c r="B206" t="s">
        <v>135</v>
      </c>
      <c r="C206">
        <v>22002323</v>
      </c>
      <c r="D206">
        <v>1205</v>
      </c>
      <c r="E206" s="11">
        <v>44783</v>
      </c>
      <c r="F206" t="s">
        <v>174</v>
      </c>
      <c r="G206" s="25">
        <v>1.26</v>
      </c>
      <c r="H206">
        <v>1.26</v>
      </c>
      <c r="I206" t="s">
        <v>56</v>
      </c>
      <c r="O206" t="s">
        <v>57</v>
      </c>
      <c r="Q206" t="s">
        <v>57</v>
      </c>
      <c r="R206" t="s">
        <v>137</v>
      </c>
      <c r="T206" t="s">
        <v>59</v>
      </c>
      <c r="U206" t="s">
        <v>60</v>
      </c>
      <c r="V206" t="s">
        <v>138</v>
      </c>
      <c r="W206" t="s">
        <v>139</v>
      </c>
      <c r="X206">
        <v>1930356</v>
      </c>
      <c r="Y206" s="11">
        <v>44783</v>
      </c>
      <c r="Z206" t="s">
        <v>57</v>
      </c>
      <c r="AA206">
        <v>4</v>
      </c>
      <c r="AB206" t="s">
        <v>57</v>
      </c>
      <c r="AD206" t="s">
        <v>57</v>
      </c>
      <c r="AE206" t="s">
        <v>57</v>
      </c>
      <c r="AF206" t="s">
        <v>57</v>
      </c>
      <c r="AG206">
        <v>1</v>
      </c>
      <c r="AH206" t="s">
        <v>57</v>
      </c>
      <c r="AL206" t="s">
        <v>57</v>
      </c>
      <c r="AM206" s="11">
        <v>44783</v>
      </c>
      <c r="AN206" t="s">
        <v>178</v>
      </c>
      <c r="AO206" t="s">
        <v>65</v>
      </c>
      <c r="AP206">
        <v>1205</v>
      </c>
      <c r="AQ206" t="s">
        <v>66</v>
      </c>
      <c r="AR206">
        <v>89785</v>
      </c>
      <c r="AU206" t="s">
        <v>57</v>
      </c>
      <c r="AV206" t="s">
        <v>68</v>
      </c>
      <c r="AX206" t="s">
        <v>57</v>
      </c>
      <c r="AY206">
        <v>631110</v>
      </c>
      <c r="AZ206">
        <v>1205.63111</v>
      </c>
      <c r="BA206" s="23" t="s">
        <v>13</v>
      </c>
    </row>
    <row r="207" spans="1:53" x14ac:dyDescent="0.25">
      <c r="A207" t="s">
        <v>134</v>
      </c>
      <c r="B207" t="s">
        <v>135</v>
      </c>
      <c r="C207">
        <v>22002325</v>
      </c>
      <c r="D207">
        <v>1205</v>
      </c>
      <c r="E207" s="11">
        <v>44783</v>
      </c>
      <c r="F207" t="s">
        <v>179</v>
      </c>
      <c r="G207" s="25">
        <v>1.26</v>
      </c>
      <c r="H207">
        <v>1.26</v>
      </c>
      <c r="I207" t="s">
        <v>56</v>
      </c>
      <c r="O207" t="s">
        <v>57</v>
      </c>
      <c r="Q207" t="s">
        <v>57</v>
      </c>
      <c r="R207" t="s">
        <v>137</v>
      </c>
      <c r="T207" t="s">
        <v>59</v>
      </c>
      <c r="U207" t="s">
        <v>60</v>
      </c>
      <c r="V207" t="s">
        <v>138</v>
      </c>
      <c r="W207" t="s">
        <v>139</v>
      </c>
      <c r="X207">
        <v>1930357</v>
      </c>
      <c r="Y207" s="11">
        <v>44783</v>
      </c>
      <c r="Z207" t="s">
        <v>57</v>
      </c>
      <c r="AA207">
        <v>32</v>
      </c>
      <c r="AB207" t="s">
        <v>57</v>
      </c>
      <c r="AD207" t="s">
        <v>57</v>
      </c>
      <c r="AE207" t="s">
        <v>57</v>
      </c>
      <c r="AF207" t="s">
        <v>57</v>
      </c>
      <c r="AG207">
        <v>5</v>
      </c>
      <c r="AH207" t="s">
        <v>57</v>
      </c>
      <c r="AL207" t="s">
        <v>57</v>
      </c>
      <c r="AM207" s="11">
        <v>44783</v>
      </c>
      <c r="AN207" t="s">
        <v>180</v>
      </c>
      <c r="AO207" t="s">
        <v>65</v>
      </c>
      <c r="AP207">
        <v>1205</v>
      </c>
      <c r="AQ207" t="s">
        <v>66</v>
      </c>
      <c r="AR207">
        <v>88669</v>
      </c>
      <c r="AU207" t="s">
        <v>57</v>
      </c>
      <c r="AV207" t="s">
        <v>68</v>
      </c>
      <c r="AX207" t="s">
        <v>57</v>
      </c>
      <c r="AY207">
        <v>631110</v>
      </c>
      <c r="AZ207">
        <v>1205.63111</v>
      </c>
      <c r="BA207" s="23" t="s">
        <v>13</v>
      </c>
    </row>
    <row r="208" spans="1:53" x14ac:dyDescent="0.25">
      <c r="A208" t="s">
        <v>134</v>
      </c>
      <c r="B208" t="s">
        <v>135</v>
      </c>
      <c r="C208">
        <v>22002378</v>
      </c>
      <c r="D208">
        <v>1205</v>
      </c>
      <c r="E208" s="11">
        <v>44795</v>
      </c>
      <c r="F208" t="s">
        <v>174</v>
      </c>
      <c r="G208" s="25">
        <v>1.26</v>
      </c>
      <c r="H208">
        <v>1.26</v>
      </c>
      <c r="I208" t="s">
        <v>56</v>
      </c>
      <c r="O208" t="s">
        <v>57</v>
      </c>
      <c r="Q208" t="s">
        <v>57</v>
      </c>
      <c r="R208" t="s">
        <v>137</v>
      </c>
      <c r="T208" t="s">
        <v>59</v>
      </c>
      <c r="U208" t="s">
        <v>60</v>
      </c>
      <c r="V208" t="s">
        <v>138</v>
      </c>
      <c r="W208" t="s">
        <v>139</v>
      </c>
      <c r="X208">
        <v>1934085</v>
      </c>
      <c r="Y208" s="11">
        <v>44795</v>
      </c>
      <c r="Z208" t="s">
        <v>57</v>
      </c>
      <c r="AA208">
        <v>2</v>
      </c>
      <c r="AB208" t="s">
        <v>57</v>
      </c>
      <c r="AD208" t="s">
        <v>57</v>
      </c>
      <c r="AE208" t="s">
        <v>57</v>
      </c>
      <c r="AF208" t="s">
        <v>57</v>
      </c>
      <c r="AG208">
        <v>1</v>
      </c>
      <c r="AH208" t="s">
        <v>57</v>
      </c>
      <c r="AL208" t="s">
        <v>57</v>
      </c>
      <c r="AM208" s="11">
        <v>44795</v>
      </c>
      <c r="AN208" t="s">
        <v>178</v>
      </c>
      <c r="AO208" t="s">
        <v>65</v>
      </c>
      <c r="AP208">
        <v>1205</v>
      </c>
      <c r="AQ208" t="s">
        <v>66</v>
      </c>
      <c r="AR208">
        <v>89785</v>
      </c>
      <c r="AU208" t="s">
        <v>57</v>
      </c>
      <c r="AV208" t="s">
        <v>68</v>
      </c>
      <c r="AX208" t="s">
        <v>57</v>
      </c>
      <c r="AY208">
        <v>631110</v>
      </c>
      <c r="AZ208">
        <v>1205.63111</v>
      </c>
      <c r="BA208" s="23" t="s">
        <v>13</v>
      </c>
    </row>
    <row r="209" spans="1:53" x14ac:dyDescent="0.25">
      <c r="A209" t="s">
        <v>134</v>
      </c>
      <c r="B209" t="s">
        <v>135</v>
      </c>
      <c r="C209">
        <v>22002318</v>
      </c>
      <c r="D209">
        <v>1205</v>
      </c>
      <c r="E209" s="11">
        <v>44782</v>
      </c>
      <c r="F209" t="s">
        <v>179</v>
      </c>
      <c r="G209" s="25">
        <v>1.29</v>
      </c>
      <c r="H209">
        <v>1.29</v>
      </c>
      <c r="I209" t="s">
        <v>56</v>
      </c>
      <c r="O209" t="s">
        <v>57</v>
      </c>
      <c r="Q209" t="s">
        <v>57</v>
      </c>
      <c r="R209" t="s">
        <v>137</v>
      </c>
      <c r="T209" t="s">
        <v>59</v>
      </c>
      <c r="U209" t="s">
        <v>60</v>
      </c>
      <c r="V209" t="s">
        <v>138</v>
      </c>
      <c r="W209" t="s">
        <v>139</v>
      </c>
      <c r="X209">
        <v>1929852</v>
      </c>
      <c r="Y209" s="11">
        <v>44782</v>
      </c>
      <c r="Z209" t="s">
        <v>57</v>
      </c>
      <c r="AA209">
        <v>6</v>
      </c>
      <c r="AB209" t="s">
        <v>57</v>
      </c>
      <c r="AD209" t="s">
        <v>57</v>
      </c>
      <c r="AE209" t="s">
        <v>57</v>
      </c>
      <c r="AF209" t="s">
        <v>57</v>
      </c>
      <c r="AG209">
        <v>17</v>
      </c>
      <c r="AH209" t="s">
        <v>57</v>
      </c>
      <c r="AL209" t="s">
        <v>57</v>
      </c>
      <c r="AM209" s="11">
        <v>44782</v>
      </c>
      <c r="AN209" t="s">
        <v>180</v>
      </c>
      <c r="AO209" t="s">
        <v>65</v>
      </c>
      <c r="AP209">
        <v>1205</v>
      </c>
      <c r="AQ209" t="s">
        <v>66</v>
      </c>
      <c r="AR209">
        <v>264688</v>
      </c>
      <c r="AU209" t="s">
        <v>57</v>
      </c>
      <c r="AV209" t="s">
        <v>68</v>
      </c>
      <c r="AX209" t="s">
        <v>57</v>
      </c>
      <c r="AY209">
        <v>631110</v>
      </c>
      <c r="AZ209">
        <v>1205.63111</v>
      </c>
      <c r="BA209" s="23" t="s">
        <v>13</v>
      </c>
    </row>
    <row r="210" spans="1:53" x14ac:dyDescent="0.25">
      <c r="A210" t="s">
        <v>134</v>
      </c>
      <c r="B210" t="s">
        <v>135</v>
      </c>
      <c r="C210">
        <v>22002360</v>
      </c>
      <c r="D210">
        <v>1205</v>
      </c>
      <c r="E210" s="11">
        <v>44789</v>
      </c>
      <c r="F210" t="s">
        <v>307</v>
      </c>
      <c r="G210" s="25">
        <v>1.29</v>
      </c>
      <c r="H210">
        <v>1.29</v>
      </c>
      <c r="I210" t="s">
        <v>56</v>
      </c>
      <c r="O210" t="s">
        <v>57</v>
      </c>
      <c r="Q210" t="s">
        <v>57</v>
      </c>
      <c r="R210" t="s">
        <v>137</v>
      </c>
      <c r="T210" t="s">
        <v>59</v>
      </c>
      <c r="U210" t="s">
        <v>60</v>
      </c>
      <c r="V210" t="s">
        <v>138</v>
      </c>
      <c r="W210" t="s">
        <v>139</v>
      </c>
      <c r="X210">
        <v>1933172</v>
      </c>
      <c r="Y210" s="11">
        <v>44789</v>
      </c>
      <c r="Z210" t="s">
        <v>57</v>
      </c>
      <c r="AA210">
        <v>6</v>
      </c>
      <c r="AB210" t="s">
        <v>57</v>
      </c>
      <c r="AD210" t="s">
        <v>57</v>
      </c>
      <c r="AE210" t="s">
        <v>57</v>
      </c>
      <c r="AF210" t="s">
        <v>57</v>
      </c>
      <c r="AG210">
        <v>17</v>
      </c>
      <c r="AH210" t="s">
        <v>57</v>
      </c>
      <c r="AL210" t="s">
        <v>57</v>
      </c>
      <c r="AM210" s="11">
        <v>44789</v>
      </c>
      <c r="AN210" t="s">
        <v>180</v>
      </c>
      <c r="AO210" t="s">
        <v>65</v>
      </c>
      <c r="AP210">
        <v>1205</v>
      </c>
      <c r="AQ210" t="s">
        <v>66</v>
      </c>
      <c r="AR210">
        <v>264688</v>
      </c>
      <c r="AU210" t="s">
        <v>57</v>
      </c>
      <c r="AV210" t="s">
        <v>68</v>
      </c>
      <c r="AX210" t="s">
        <v>57</v>
      </c>
      <c r="AY210">
        <v>631110</v>
      </c>
      <c r="AZ210">
        <v>1205.63111</v>
      </c>
      <c r="BA210" s="23" t="s">
        <v>13</v>
      </c>
    </row>
    <row r="211" spans="1:53" x14ac:dyDescent="0.25">
      <c r="A211" t="s">
        <v>134</v>
      </c>
      <c r="B211" t="s">
        <v>135</v>
      </c>
      <c r="C211">
        <v>22002366</v>
      </c>
      <c r="D211">
        <v>1205</v>
      </c>
      <c r="E211" s="11">
        <v>44791</v>
      </c>
      <c r="F211" t="s">
        <v>174</v>
      </c>
      <c r="G211" s="25">
        <v>1.32</v>
      </c>
      <c r="H211">
        <v>1.32</v>
      </c>
      <c r="I211" t="s">
        <v>56</v>
      </c>
      <c r="O211" t="s">
        <v>57</v>
      </c>
      <c r="Q211" t="s">
        <v>57</v>
      </c>
      <c r="R211" t="s">
        <v>137</v>
      </c>
      <c r="T211" t="s">
        <v>59</v>
      </c>
      <c r="U211" t="s">
        <v>60</v>
      </c>
      <c r="V211" t="s">
        <v>138</v>
      </c>
      <c r="W211" t="s">
        <v>139</v>
      </c>
      <c r="X211">
        <v>1933538</v>
      </c>
      <c r="Y211" s="11">
        <v>44791</v>
      </c>
      <c r="Z211" t="s">
        <v>57</v>
      </c>
      <c r="AA211">
        <v>16</v>
      </c>
      <c r="AB211" t="s">
        <v>57</v>
      </c>
      <c r="AD211" t="s">
        <v>57</v>
      </c>
      <c r="AE211" t="s">
        <v>57</v>
      </c>
      <c r="AF211" t="s">
        <v>57</v>
      </c>
      <c r="AG211">
        <v>1</v>
      </c>
      <c r="AH211" t="s">
        <v>57</v>
      </c>
      <c r="AL211" t="s">
        <v>57</v>
      </c>
      <c r="AM211" s="11">
        <v>44791</v>
      </c>
      <c r="AN211" t="s">
        <v>178</v>
      </c>
      <c r="AO211" t="s">
        <v>65</v>
      </c>
      <c r="AP211">
        <v>1205</v>
      </c>
      <c r="AQ211" t="s">
        <v>66</v>
      </c>
      <c r="AR211">
        <v>205698</v>
      </c>
      <c r="AU211" t="s">
        <v>57</v>
      </c>
      <c r="AV211" t="s">
        <v>68</v>
      </c>
      <c r="AX211" t="s">
        <v>57</v>
      </c>
      <c r="AY211">
        <v>631110</v>
      </c>
      <c r="AZ211">
        <v>1205.63111</v>
      </c>
      <c r="BA211" s="23" t="s">
        <v>13</v>
      </c>
    </row>
    <row r="212" spans="1:53" x14ac:dyDescent="0.25">
      <c r="A212" t="s">
        <v>134</v>
      </c>
      <c r="B212" t="s">
        <v>135</v>
      </c>
      <c r="C212">
        <v>22002287</v>
      </c>
      <c r="D212">
        <v>1205</v>
      </c>
      <c r="E212" s="11">
        <v>44777</v>
      </c>
      <c r="F212" t="s">
        <v>174</v>
      </c>
      <c r="G212" s="25">
        <v>1.36</v>
      </c>
      <c r="H212">
        <v>1.36</v>
      </c>
      <c r="I212" t="s">
        <v>56</v>
      </c>
      <c r="O212" t="s">
        <v>57</v>
      </c>
      <c r="Q212" t="s">
        <v>57</v>
      </c>
      <c r="R212" t="s">
        <v>137</v>
      </c>
      <c r="T212" t="s">
        <v>59</v>
      </c>
      <c r="U212" t="s">
        <v>60</v>
      </c>
      <c r="V212" t="s">
        <v>138</v>
      </c>
      <c r="W212" t="s">
        <v>139</v>
      </c>
      <c r="X212">
        <v>1927360</v>
      </c>
      <c r="Y212" s="11">
        <v>44777</v>
      </c>
      <c r="Z212" t="s">
        <v>57</v>
      </c>
      <c r="AA212">
        <v>10</v>
      </c>
      <c r="AB212" t="s">
        <v>57</v>
      </c>
      <c r="AD212" t="s">
        <v>57</v>
      </c>
      <c r="AE212" t="s">
        <v>57</v>
      </c>
      <c r="AF212" t="s">
        <v>57</v>
      </c>
      <c r="AG212">
        <v>2</v>
      </c>
      <c r="AH212" t="s">
        <v>57</v>
      </c>
      <c r="AL212" t="s">
        <v>57</v>
      </c>
      <c r="AM212" s="11">
        <v>44777</v>
      </c>
      <c r="AN212" t="s">
        <v>178</v>
      </c>
      <c r="AO212" t="s">
        <v>65</v>
      </c>
      <c r="AP212">
        <v>1205</v>
      </c>
      <c r="AQ212" t="s">
        <v>66</v>
      </c>
      <c r="AR212">
        <v>270190</v>
      </c>
      <c r="AU212" t="s">
        <v>57</v>
      </c>
      <c r="AV212" t="s">
        <v>68</v>
      </c>
      <c r="AX212" t="s">
        <v>57</v>
      </c>
      <c r="AY212">
        <v>631110</v>
      </c>
      <c r="AZ212">
        <v>1205.63111</v>
      </c>
      <c r="BA212" s="23" t="s">
        <v>13</v>
      </c>
    </row>
    <row r="213" spans="1:53" x14ac:dyDescent="0.25">
      <c r="A213" t="s">
        <v>134</v>
      </c>
      <c r="B213" t="s">
        <v>135</v>
      </c>
      <c r="C213">
        <v>22002311</v>
      </c>
      <c r="D213">
        <v>1205</v>
      </c>
      <c r="E213" s="11">
        <v>44781</v>
      </c>
      <c r="F213" t="s">
        <v>174</v>
      </c>
      <c r="G213" s="25">
        <v>1.36</v>
      </c>
      <c r="H213">
        <v>1.36</v>
      </c>
      <c r="I213" t="s">
        <v>56</v>
      </c>
      <c r="O213" t="s">
        <v>57</v>
      </c>
      <c r="Q213" t="s">
        <v>57</v>
      </c>
      <c r="R213" t="s">
        <v>137</v>
      </c>
      <c r="T213" t="s">
        <v>59</v>
      </c>
      <c r="U213" t="s">
        <v>60</v>
      </c>
      <c r="V213" t="s">
        <v>138</v>
      </c>
      <c r="W213" t="s">
        <v>139</v>
      </c>
      <c r="X213">
        <v>1928974</v>
      </c>
      <c r="Y213" s="11">
        <v>44781</v>
      </c>
      <c r="Z213" t="s">
        <v>57</v>
      </c>
      <c r="AA213">
        <v>32</v>
      </c>
      <c r="AB213" t="s">
        <v>57</v>
      </c>
      <c r="AD213" t="s">
        <v>57</v>
      </c>
      <c r="AE213" t="s">
        <v>57</v>
      </c>
      <c r="AF213" t="s">
        <v>57</v>
      </c>
      <c r="AG213">
        <v>2</v>
      </c>
      <c r="AH213" t="s">
        <v>57</v>
      </c>
      <c r="AL213" t="s">
        <v>57</v>
      </c>
      <c r="AM213" s="11">
        <v>44781</v>
      </c>
      <c r="AN213" t="s">
        <v>178</v>
      </c>
      <c r="AO213" t="s">
        <v>65</v>
      </c>
      <c r="AP213">
        <v>1205</v>
      </c>
      <c r="AQ213" t="s">
        <v>66</v>
      </c>
      <c r="AR213">
        <v>270190</v>
      </c>
      <c r="AU213" t="s">
        <v>57</v>
      </c>
      <c r="AV213" t="s">
        <v>68</v>
      </c>
      <c r="AX213" t="s">
        <v>57</v>
      </c>
      <c r="AY213">
        <v>631110</v>
      </c>
      <c r="AZ213">
        <v>1205.63111</v>
      </c>
      <c r="BA213" s="23" t="s">
        <v>13</v>
      </c>
    </row>
    <row r="214" spans="1:53" x14ac:dyDescent="0.25">
      <c r="A214" t="s">
        <v>134</v>
      </c>
      <c r="B214" t="s">
        <v>135</v>
      </c>
      <c r="C214">
        <v>22002261</v>
      </c>
      <c r="D214">
        <v>1205</v>
      </c>
      <c r="E214" s="11">
        <v>44774</v>
      </c>
      <c r="F214" t="s">
        <v>174</v>
      </c>
      <c r="G214" s="25">
        <v>1.37</v>
      </c>
      <c r="H214">
        <v>1.37</v>
      </c>
      <c r="I214" t="s">
        <v>56</v>
      </c>
      <c r="O214" t="s">
        <v>57</v>
      </c>
      <c r="Q214" t="s">
        <v>57</v>
      </c>
      <c r="R214" t="s">
        <v>137</v>
      </c>
      <c r="T214" t="s">
        <v>59</v>
      </c>
      <c r="U214" t="s">
        <v>60</v>
      </c>
      <c r="V214" t="s">
        <v>138</v>
      </c>
      <c r="W214" t="s">
        <v>139</v>
      </c>
      <c r="X214">
        <v>1925596</v>
      </c>
      <c r="Y214" s="11">
        <v>44774</v>
      </c>
      <c r="Z214" t="s">
        <v>57</v>
      </c>
      <c r="AA214">
        <v>2</v>
      </c>
      <c r="AB214" t="s">
        <v>57</v>
      </c>
      <c r="AD214" t="s">
        <v>57</v>
      </c>
      <c r="AE214" t="s">
        <v>57</v>
      </c>
      <c r="AF214" t="s">
        <v>57</v>
      </c>
      <c r="AG214">
        <v>1</v>
      </c>
      <c r="AH214" t="s">
        <v>57</v>
      </c>
      <c r="AL214" t="s">
        <v>57</v>
      </c>
      <c r="AM214" s="11">
        <v>44774</v>
      </c>
      <c r="AN214" t="s">
        <v>178</v>
      </c>
      <c r="AO214" t="s">
        <v>65</v>
      </c>
      <c r="AP214">
        <v>1205</v>
      </c>
      <c r="AQ214" t="s">
        <v>66</v>
      </c>
      <c r="AR214">
        <v>90197</v>
      </c>
      <c r="AU214" t="s">
        <v>57</v>
      </c>
      <c r="AV214" t="s">
        <v>68</v>
      </c>
      <c r="AX214" t="s">
        <v>57</v>
      </c>
      <c r="AY214">
        <v>631110</v>
      </c>
      <c r="AZ214">
        <v>1205.63111</v>
      </c>
      <c r="BA214" s="23" t="s">
        <v>13</v>
      </c>
    </row>
    <row r="215" spans="1:53" x14ac:dyDescent="0.25">
      <c r="A215" t="s">
        <v>134</v>
      </c>
      <c r="B215" t="s">
        <v>135</v>
      </c>
      <c r="C215">
        <v>22002342</v>
      </c>
      <c r="D215">
        <v>1205</v>
      </c>
      <c r="E215" s="11">
        <v>44785</v>
      </c>
      <c r="F215" t="s">
        <v>179</v>
      </c>
      <c r="G215" s="25">
        <v>1.37</v>
      </c>
      <c r="H215">
        <v>1.37</v>
      </c>
      <c r="I215" t="s">
        <v>56</v>
      </c>
      <c r="O215" t="s">
        <v>57</v>
      </c>
      <c r="Q215" t="s">
        <v>57</v>
      </c>
      <c r="R215" t="s">
        <v>137</v>
      </c>
      <c r="T215" t="s">
        <v>59</v>
      </c>
      <c r="U215" t="s">
        <v>60</v>
      </c>
      <c r="V215" t="s">
        <v>138</v>
      </c>
      <c r="W215" t="s">
        <v>139</v>
      </c>
      <c r="X215">
        <v>1930745</v>
      </c>
      <c r="Y215" s="11">
        <v>44785</v>
      </c>
      <c r="Z215" t="s">
        <v>57</v>
      </c>
      <c r="AA215">
        <v>6</v>
      </c>
      <c r="AB215" t="s">
        <v>57</v>
      </c>
      <c r="AD215" t="s">
        <v>57</v>
      </c>
      <c r="AE215" t="s">
        <v>57</v>
      </c>
      <c r="AF215" t="s">
        <v>57</v>
      </c>
      <c r="AG215">
        <v>18</v>
      </c>
      <c r="AH215" t="s">
        <v>57</v>
      </c>
      <c r="AL215" t="s">
        <v>57</v>
      </c>
      <c r="AM215" s="11">
        <v>44785</v>
      </c>
      <c r="AN215" t="s">
        <v>180</v>
      </c>
      <c r="AO215" t="s">
        <v>65</v>
      </c>
      <c r="AP215">
        <v>1205</v>
      </c>
      <c r="AQ215" t="s">
        <v>66</v>
      </c>
      <c r="AR215">
        <v>264688</v>
      </c>
      <c r="AU215" t="s">
        <v>57</v>
      </c>
      <c r="AV215" t="s">
        <v>68</v>
      </c>
      <c r="AX215" t="s">
        <v>57</v>
      </c>
      <c r="AY215">
        <v>631110</v>
      </c>
      <c r="AZ215">
        <v>1205.63111</v>
      </c>
      <c r="BA215" s="23" t="s">
        <v>13</v>
      </c>
    </row>
    <row r="216" spans="1:53" x14ac:dyDescent="0.25">
      <c r="A216" t="s">
        <v>134</v>
      </c>
      <c r="B216" t="s">
        <v>135</v>
      </c>
      <c r="C216">
        <v>22002358</v>
      </c>
      <c r="D216">
        <v>1205</v>
      </c>
      <c r="E216" s="11">
        <v>44789</v>
      </c>
      <c r="F216" t="s">
        <v>174</v>
      </c>
      <c r="G216" s="25">
        <v>1.41</v>
      </c>
      <c r="H216">
        <v>1.41</v>
      </c>
      <c r="I216" t="s">
        <v>56</v>
      </c>
      <c r="O216" t="s">
        <v>57</v>
      </c>
      <c r="Q216" t="s">
        <v>57</v>
      </c>
      <c r="R216" t="s">
        <v>137</v>
      </c>
      <c r="T216" t="s">
        <v>59</v>
      </c>
      <c r="U216" t="s">
        <v>60</v>
      </c>
      <c r="V216" t="s">
        <v>138</v>
      </c>
      <c r="W216" t="s">
        <v>139</v>
      </c>
      <c r="X216">
        <v>1933165</v>
      </c>
      <c r="Y216" s="11">
        <v>44789</v>
      </c>
      <c r="Z216" t="s">
        <v>57</v>
      </c>
      <c r="AA216">
        <v>2</v>
      </c>
      <c r="AB216" t="s">
        <v>57</v>
      </c>
      <c r="AD216" t="s">
        <v>57</v>
      </c>
      <c r="AE216" t="s">
        <v>57</v>
      </c>
      <c r="AF216" t="s">
        <v>57</v>
      </c>
      <c r="AG216">
        <v>1</v>
      </c>
      <c r="AH216" t="s">
        <v>57</v>
      </c>
      <c r="AL216" t="s">
        <v>57</v>
      </c>
      <c r="AM216" s="11">
        <v>44789</v>
      </c>
      <c r="AN216" t="s">
        <v>178</v>
      </c>
      <c r="AO216" t="s">
        <v>65</v>
      </c>
      <c r="AP216">
        <v>1205</v>
      </c>
      <c r="AQ216" t="s">
        <v>66</v>
      </c>
      <c r="AR216">
        <v>88624</v>
      </c>
      <c r="AU216" t="s">
        <v>57</v>
      </c>
      <c r="AV216" t="s">
        <v>68</v>
      </c>
      <c r="AX216" t="s">
        <v>57</v>
      </c>
      <c r="AY216">
        <v>631110</v>
      </c>
      <c r="AZ216">
        <v>1205.63111</v>
      </c>
      <c r="BA216" s="23" t="s">
        <v>13</v>
      </c>
    </row>
    <row r="217" spans="1:53" x14ac:dyDescent="0.25">
      <c r="A217" t="s">
        <v>134</v>
      </c>
      <c r="B217" t="s">
        <v>135</v>
      </c>
      <c r="C217">
        <v>22002304</v>
      </c>
      <c r="D217">
        <v>1205</v>
      </c>
      <c r="E217" s="11">
        <v>44778</v>
      </c>
      <c r="F217" t="s">
        <v>174</v>
      </c>
      <c r="G217" s="25">
        <v>1.42</v>
      </c>
      <c r="H217">
        <v>1.42</v>
      </c>
      <c r="I217" t="s">
        <v>56</v>
      </c>
      <c r="O217" t="s">
        <v>57</v>
      </c>
      <c r="Q217" t="s">
        <v>57</v>
      </c>
      <c r="R217" t="s">
        <v>137</v>
      </c>
      <c r="T217" t="s">
        <v>59</v>
      </c>
      <c r="U217" t="s">
        <v>60</v>
      </c>
      <c r="V217" t="s">
        <v>138</v>
      </c>
      <c r="W217" t="s">
        <v>139</v>
      </c>
      <c r="X217">
        <v>1928764</v>
      </c>
      <c r="Y217" s="11">
        <v>44778</v>
      </c>
      <c r="Z217" t="s">
        <v>57</v>
      </c>
      <c r="AA217">
        <v>2</v>
      </c>
      <c r="AB217" t="s">
        <v>57</v>
      </c>
      <c r="AD217" t="s">
        <v>57</v>
      </c>
      <c r="AE217" t="s">
        <v>57</v>
      </c>
      <c r="AF217" t="s">
        <v>57</v>
      </c>
      <c r="AG217">
        <v>1</v>
      </c>
      <c r="AH217" t="s">
        <v>57</v>
      </c>
      <c r="AL217" t="s">
        <v>57</v>
      </c>
      <c r="AM217" s="11">
        <v>44778</v>
      </c>
      <c r="AN217" t="s">
        <v>178</v>
      </c>
      <c r="AO217" t="s">
        <v>65</v>
      </c>
      <c r="AP217">
        <v>1205</v>
      </c>
      <c r="AQ217" t="s">
        <v>66</v>
      </c>
      <c r="AR217">
        <v>88624</v>
      </c>
      <c r="AU217" t="s">
        <v>57</v>
      </c>
      <c r="AV217" t="s">
        <v>68</v>
      </c>
      <c r="AX217" t="s">
        <v>57</v>
      </c>
      <c r="AY217">
        <v>631110</v>
      </c>
      <c r="AZ217">
        <v>1205.63111</v>
      </c>
      <c r="BA217" s="23" t="s">
        <v>13</v>
      </c>
    </row>
    <row r="218" spans="1:53" x14ac:dyDescent="0.25">
      <c r="A218" t="s">
        <v>134</v>
      </c>
      <c r="B218" t="s">
        <v>135</v>
      </c>
      <c r="C218">
        <v>22002316</v>
      </c>
      <c r="D218">
        <v>1205</v>
      </c>
      <c r="E218" s="11">
        <v>44782</v>
      </c>
      <c r="F218" t="s">
        <v>174</v>
      </c>
      <c r="G218" s="25">
        <v>1.42</v>
      </c>
      <c r="H218">
        <v>1.42</v>
      </c>
      <c r="I218" t="s">
        <v>56</v>
      </c>
      <c r="O218" t="s">
        <v>57</v>
      </c>
      <c r="Q218" t="s">
        <v>57</v>
      </c>
      <c r="R218" t="s">
        <v>137</v>
      </c>
      <c r="T218" t="s">
        <v>59</v>
      </c>
      <c r="U218" t="s">
        <v>60</v>
      </c>
      <c r="V218" t="s">
        <v>138</v>
      </c>
      <c r="W218" t="s">
        <v>139</v>
      </c>
      <c r="X218">
        <v>1929847</v>
      </c>
      <c r="Y218" s="11">
        <v>44782</v>
      </c>
      <c r="Z218" t="s">
        <v>57</v>
      </c>
      <c r="AA218">
        <v>14</v>
      </c>
      <c r="AB218" t="s">
        <v>57</v>
      </c>
      <c r="AD218" t="s">
        <v>57</v>
      </c>
      <c r="AE218" t="s">
        <v>57</v>
      </c>
      <c r="AF218" t="s">
        <v>57</v>
      </c>
      <c r="AG218">
        <v>1</v>
      </c>
      <c r="AH218" t="s">
        <v>57</v>
      </c>
      <c r="AL218" t="s">
        <v>57</v>
      </c>
      <c r="AM218" s="11">
        <v>44782</v>
      </c>
      <c r="AN218" t="s">
        <v>178</v>
      </c>
      <c r="AO218" t="s">
        <v>65</v>
      </c>
      <c r="AP218">
        <v>1205</v>
      </c>
      <c r="AQ218" t="s">
        <v>66</v>
      </c>
      <c r="AR218">
        <v>88624</v>
      </c>
      <c r="AU218" t="s">
        <v>57</v>
      </c>
      <c r="AV218" t="s">
        <v>68</v>
      </c>
      <c r="AX218" t="s">
        <v>57</v>
      </c>
      <c r="AY218">
        <v>631110</v>
      </c>
      <c r="AZ218">
        <v>1205.63111</v>
      </c>
      <c r="BA218" s="23" t="s">
        <v>13</v>
      </c>
    </row>
    <row r="219" spans="1:53" x14ac:dyDescent="0.25">
      <c r="A219" t="s">
        <v>134</v>
      </c>
      <c r="B219" t="s">
        <v>135</v>
      </c>
      <c r="C219">
        <v>22002323</v>
      </c>
      <c r="D219">
        <v>1205</v>
      </c>
      <c r="E219" s="11">
        <v>44783</v>
      </c>
      <c r="F219" t="s">
        <v>174</v>
      </c>
      <c r="G219" s="25">
        <v>1.42</v>
      </c>
      <c r="H219">
        <v>1.42</v>
      </c>
      <c r="I219" t="s">
        <v>56</v>
      </c>
      <c r="O219" t="s">
        <v>57</v>
      </c>
      <c r="Q219" t="s">
        <v>57</v>
      </c>
      <c r="R219" t="s">
        <v>137</v>
      </c>
      <c r="T219" t="s">
        <v>59</v>
      </c>
      <c r="U219" t="s">
        <v>60</v>
      </c>
      <c r="V219" t="s">
        <v>138</v>
      </c>
      <c r="W219" t="s">
        <v>139</v>
      </c>
      <c r="X219">
        <v>1930356</v>
      </c>
      <c r="Y219" s="11">
        <v>44783</v>
      </c>
      <c r="Z219" t="s">
        <v>57</v>
      </c>
      <c r="AA219">
        <v>16</v>
      </c>
      <c r="AB219" t="s">
        <v>57</v>
      </c>
      <c r="AD219" t="s">
        <v>57</v>
      </c>
      <c r="AE219" t="s">
        <v>57</v>
      </c>
      <c r="AF219" t="s">
        <v>57</v>
      </c>
      <c r="AG219">
        <v>1</v>
      </c>
      <c r="AH219" t="s">
        <v>57</v>
      </c>
      <c r="AL219" t="s">
        <v>57</v>
      </c>
      <c r="AM219" s="11">
        <v>44783</v>
      </c>
      <c r="AN219" t="s">
        <v>178</v>
      </c>
      <c r="AO219" t="s">
        <v>65</v>
      </c>
      <c r="AP219">
        <v>1205</v>
      </c>
      <c r="AQ219" t="s">
        <v>66</v>
      </c>
      <c r="AR219">
        <v>88624</v>
      </c>
      <c r="AU219" t="s">
        <v>57</v>
      </c>
      <c r="AV219" t="s">
        <v>68</v>
      </c>
      <c r="AX219" t="s">
        <v>57</v>
      </c>
      <c r="AY219">
        <v>631110</v>
      </c>
      <c r="AZ219">
        <v>1205.63111</v>
      </c>
      <c r="BA219" s="23" t="s">
        <v>13</v>
      </c>
    </row>
    <row r="220" spans="1:53" x14ac:dyDescent="0.25">
      <c r="A220" t="s">
        <v>134</v>
      </c>
      <c r="B220" t="s">
        <v>135</v>
      </c>
      <c r="C220">
        <v>22002267</v>
      </c>
      <c r="D220">
        <v>1205</v>
      </c>
      <c r="E220" s="11">
        <v>44775</v>
      </c>
      <c r="F220" t="s">
        <v>179</v>
      </c>
      <c r="G220" s="25">
        <v>1.46</v>
      </c>
      <c r="H220">
        <v>1.46</v>
      </c>
      <c r="I220" t="s">
        <v>56</v>
      </c>
      <c r="O220" t="s">
        <v>57</v>
      </c>
      <c r="Q220" t="s">
        <v>57</v>
      </c>
      <c r="R220" t="s">
        <v>137</v>
      </c>
      <c r="T220" t="s">
        <v>59</v>
      </c>
      <c r="U220" t="s">
        <v>60</v>
      </c>
      <c r="V220" t="s">
        <v>138</v>
      </c>
      <c r="W220" t="s">
        <v>139</v>
      </c>
      <c r="X220">
        <v>1926658</v>
      </c>
      <c r="Y220" s="11">
        <v>44775</v>
      </c>
      <c r="Z220" t="s">
        <v>57</v>
      </c>
      <c r="AA220">
        <v>20</v>
      </c>
      <c r="AB220" t="s">
        <v>57</v>
      </c>
      <c r="AD220" t="s">
        <v>57</v>
      </c>
      <c r="AE220" t="s">
        <v>57</v>
      </c>
      <c r="AF220" t="s">
        <v>57</v>
      </c>
      <c r="AG220">
        <v>12</v>
      </c>
      <c r="AH220" t="s">
        <v>57</v>
      </c>
      <c r="AL220" t="s">
        <v>57</v>
      </c>
      <c r="AM220" s="11">
        <v>44775</v>
      </c>
      <c r="AN220" t="s">
        <v>180</v>
      </c>
      <c r="AO220" t="s">
        <v>65</v>
      </c>
      <c r="AP220">
        <v>1205</v>
      </c>
      <c r="AQ220" t="s">
        <v>66</v>
      </c>
      <c r="AR220">
        <v>88639</v>
      </c>
      <c r="AU220" t="s">
        <v>57</v>
      </c>
      <c r="AV220" t="s">
        <v>68</v>
      </c>
      <c r="AX220" t="s">
        <v>57</v>
      </c>
      <c r="AY220">
        <v>631110</v>
      </c>
      <c r="AZ220">
        <v>1205.63111</v>
      </c>
      <c r="BA220" s="23" t="s">
        <v>13</v>
      </c>
    </row>
    <row r="221" spans="1:53" x14ac:dyDescent="0.25">
      <c r="A221" t="s">
        <v>134</v>
      </c>
      <c r="B221" t="s">
        <v>135</v>
      </c>
      <c r="C221">
        <v>22002318</v>
      </c>
      <c r="D221">
        <v>1205</v>
      </c>
      <c r="E221" s="11">
        <v>44782</v>
      </c>
      <c r="F221" t="s">
        <v>179</v>
      </c>
      <c r="G221" s="25">
        <v>1.46</v>
      </c>
      <c r="H221">
        <v>1.46</v>
      </c>
      <c r="I221" t="s">
        <v>56</v>
      </c>
      <c r="O221" t="s">
        <v>57</v>
      </c>
      <c r="Q221" t="s">
        <v>57</v>
      </c>
      <c r="R221" t="s">
        <v>137</v>
      </c>
      <c r="T221" t="s">
        <v>59</v>
      </c>
      <c r="U221" t="s">
        <v>60</v>
      </c>
      <c r="V221" t="s">
        <v>138</v>
      </c>
      <c r="W221" t="s">
        <v>139</v>
      </c>
      <c r="X221">
        <v>1929852</v>
      </c>
      <c r="Y221" s="11">
        <v>44782</v>
      </c>
      <c r="Z221" t="s">
        <v>57</v>
      </c>
      <c r="AA221">
        <v>30</v>
      </c>
      <c r="AB221" t="s">
        <v>57</v>
      </c>
      <c r="AD221" t="s">
        <v>57</v>
      </c>
      <c r="AE221" t="s">
        <v>57</v>
      </c>
      <c r="AF221" t="s">
        <v>57</v>
      </c>
      <c r="AG221">
        <v>12</v>
      </c>
      <c r="AH221" t="s">
        <v>57</v>
      </c>
      <c r="AL221" t="s">
        <v>57</v>
      </c>
      <c r="AM221" s="11">
        <v>44782</v>
      </c>
      <c r="AN221" t="s">
        <v>180</v>
      </c>
      <c r="AO221" t="s">
        <v>65</v>
      </c>
      <c r="AP221">
        <v>1205</v>
      </c>
      <c r="AQ221" t="s">
        <v>66</v>
      </c>
      <c r="AR221">
        <v>88639</v>
      </c>
      <c r="AU221" t="s">
        <v>57</v>
      </c>
      <c r="AV221" t="s">
        <v>68</v>
      </c>
      <c r="AX221" t="s">
        <v>57</v>
      </c>
      <c r="AY221">
        <v>631110</v>
      </c>
      <c r="AZ221">
        <v>1205.63111</v>
      </c>
      <c r="BA221" s="23" t="s">
        <v>13</v>
      </c>
    </row>
    <row r="222" spans="1:53" x14ac:dyDescent="0.25">
      <c r="A222" t="s">
        <v>134</v>
      </c>
      <c r="B222" t="s">
        <v>135</v>
      </c>
      <c r="C222">
        <v>22002325</v>
      </c>
      <c r="D222">
        <v>1205</v>
      </c>
      <c r="E222" s="11">
        <v>44783</v>
      </c>
      <c r="F222" t="s">
        <v>179</v>
      </c>
      <c r="G222" s="25">
        <v>1.51</v>
      </c>
      <c r="H222">
        <v>1.51</v>
      </c>
      <c r="I222" t="s">
        <v>56</v>
      </c>
      <c r="O222" t="s">
        <v>57</v>
      </c>
      <c r="Q222" t="s">
        <v>57</v>
      </c>
      <c r="R222" t="s">
        <v>137</v>
      </c>
      <c r="T222" t="s">
        <v>59</v>
      </c>
      <c r="U222" t="s">
        <v>60</v>
      </c>
      <c r="V222" t="s">
        <v>138</v>
      </c>
      <c r="W222" t="s">
        <v>139</v>
      </c>
      <c r="X222">
        <v>1930357</v>
      </c>
      <c r="Y222" s="11">
        <v>44783</v>
      </c>
      <c r="Z222" t="s">
        <v>57</v>
      </c>
      <c r="AA222">
        <v>16</v>
      </c>
      <c r="AB222" t="s">
        <v>57</v>
      </c>
      <c r="AD222" t="s">
        <v>57</v>
      </c>
      <c r="AE222" t="s">
        <v>57</v>
      </c>
      <c r="AF222" t="s">
        <v>57</v>
      </c>
      <c r="AG222">
        <v>14</v>
      </c>
      <c r="AH222" t="s">
        <v>57</v>
      </c>
      <c r="AL222" t="s">
        <v>57</v>
      </c>
      <c r="AM222" s="11">
        <v>44783</v>
      </c>
      <c r="AN222" t="s">
        <v>180</v>
      </c>
      <c r="AO222" t="s">
        <v>65</v>
      </c>
      <c r="AP222">
        <v>1205</v>
      </c>
      <c r="AQ222" t="s">
        <v>66</v>
      </c>
      <c r="AR222">
        <v>265267</v>
      </c>
      <c r="AU222" t="s">
        <v>57</v>
      </c>
      <c r="AV222" t="s">
        <v>68</v>
      </c>
      <c r="AX222" t="s">
        <v>57</v>
      </c>
      <c r="AY222">
        <v>631110</v>
      </c>
      <c r="AZ222">
        <v>1205.63111</v>
      </c>
      <c r="BA222" s="23" t="s">
        <v>13</v>
      </c>
    </row>
    <row r="223" spans="1:53" x14ac:dyDescent="0.25">
      <c r="A223" t="s">
        <v>134</v>
      </c>
      <c r="B223" t="s">
        <v>135</v>
      </c>
      <c r="C223">
        <v>22002342</v>
      </c>
      <c r="D223">
        <v>1205</v>
      </c>
      <c r="E223" s="11">
        <v>44785</v>
      </c>
      <c r="F223" t="s">
        <v>179</v>
      </c>
      <c r="G223" s="25">
        <v>1.51</v>
      </c>
      <c r="H223">
        <v>1.51</v>
      </c>
      <c r="I223" t="s">
        <v>56</v>
      </c>
      <c r="O223" t="s">
        <v>57</v>
      </c>
      <c r="Q223" t="s">
        <v>57</v>
      </c>
      <c r="R223" t="s">
        <v>137</v>
      </c>
      <c r="T223" t="s">
        <v>59</v>
      </c>
      <c r="U223" t="s">
        <v>60</v>
      </c>
      <c r="V223" t="s">
        <v>138</v>
      </c>
      <c r="W223" t="s">
        <v>139</v>
      </c>
      <c r="X223">
        <v>1930745</v>
      </c>
      <c r="Y223" s="11">
        <v>44785</v>
      </c>
      <c r="Z223" t="s">
        <v>57</v>
      </c>
      <c r="AA223">
        <v>10</v>
      </c>
      <c r="AB223" t="s">
        <v>57</v>
      </c>
      <c r="AD223" t="s">
        <v>57</v>
      </c>
      <c r="AE223" t="s">
        <v>57</v>
      </c>
      <c r="AF223" t="s">
        <v>57</v>
      </c>
      <c r="AG223">
        <v>20</v>
      </c>
      <c r="AH223" t="s">
        <v>57</v>
      </c>
      <c r="AL223" t="s">
        <v>57</v>
      </c>
      <c r="AM223" s="11">
        <v>44785</v>
      </c>
      <c r="AN223" t="s">
        <v>180</v>
      </c>
      <c r="AO223" t="s">
        <v>65</v>
      </c>
      <c r="AP223">
        <v>1205</v>
      </c>
      <c r="AQ223" t="s">
        <v>66</v>
      </c>
      <c r="AR223">
        <v>91479</v>
      </c>
      <c r="AU223" t="s">
        <v>57</v>
      </c>
      <c r="AV223" t="s">
        <v>68</v>
      </c>
      <c r="AX223" t="s">
        <v>57</v>
      </c>
      <c r="AY223">
        <v>631110</v>
      </c>
      <c r="AZ223">
        <v>1205.63111</v>
      </c>
      <c r="BA223" s="23" t="s">
        <v>13</v>
      </c>
    </row>
    <row r="224" spans="1:53" x14ac:dyDescent="0.25">
      <c r="A224" t="s">
        <v>134</v>
      </c>
      <c r="B224" t="s">
        <v>135</v>
      </c>
      <c r="C224">
        <v>22002342</v>
      </c>
      <c r="D224">
        <v>1205</v>
      </c>
      <c r="E224" s="11">
        <v>44785</v>
      </c>
      <c r="F224" t="s">
        <v>179</v>
      </c>
      <c r="G224" s="25">
        <v>1.51</v>
      </c>
      <c r="H224">
        <v>1.51</v>
      </c>
      <c r="I224" t="s">
        <v>56</v>
      </c>
      <c r="O224" t="s">
        <v>57</v>
      </c>
      <c r="Q224" t="s">
        <v>57</v>
      </c>
      <c r="R224" t="s">
        <v>137</v>
      </c>
      <c r="T224" t="s">
        <v>59</v>
      </c>
      <c r="U224" t="s">
        <v>60</v>
      </c>
      <c r="V224" t="s">
        <v>138</v>
      </c>
      <c r="W224" t="s">
        <v>139</v>
      </c>
      <c r="X224">
        <v>1930745</v>
      </c>
      <c r="Y224" s="11">
        <v>44785</v>
      </c>
      <c r="Z224" t="s">
        <v>57</v>
      </c>
      <c r="AA224">
        <v>28</v>
      </c>
      <c r="AB224" t="s">
        <v>57</v>
      </c>
      <c r="AD224" t="s">
        <v>57</v>
      </c>
      <c r="AE224" t="s">
        <v>57</v>
      </c>
      <c r="AF224" t="s">
        <v>57</v>
      </c>
      <c r="AG224">
        <v>6</v>
      </c>
      <c r="AH224" t="s">
        <v>57</v>
      </c>
      <c r="AL224" t="s">
        <v>57</v>
      </c>
      <c r="AM224" s="11">
        <v>44785</v>
      </c>
      <c r="AN224" t="s">
        <v>180</v>
      </c>
      <c r="AO224" t="s">
        <v>65</v>
      </c>
      <c r="AP224">
        <v>1205</v>
      </c>
      <c r="AQ224" t="s">
        <v>66</v>
      </c>
      <c r="AR224">
        <v>88669</v>
      </c>
      <c r="AU224" t="s">
        <v>57</v>
      </c>
      <c r="AV224" t="s">
        <v>68</v>
      </c>
      <c r="AX224" t="s">
        <v>57</v>
      </c>
      <c r="AY224">
        <v>631110</v>
      </c>
      <c r="AZ224">
        <v>1205.63111</v>
      </c>
      <c r="BA224" s="23" t="s">
        <v>13</v>
      </c>
    </row>
    <row r="225" spans="1:53" x14ac:dyDescent="0.25">
      <c r="A225" t="s">
        <v>134</v>
      </c>
      <c r="B225" t="s">
        <v>135</v>
      </c>
      <c r="C225">
        <v>22002267</v>
      </c>
      <c r="D225">
        <v>1205</v>
      </c>
      <c r="E225" s="11">
        <v>44775</v>
      </c>
      <c r="F225" t="s">
        <v>179</v>
      </c>
      <c r="G225" s="25">
        <v>1.53</v>
      </c>
      <c r="H225">
        <v>1.53</v>
      </c>
      <c r="I225" t="s">
        <v>56</v>
      </c>
      <c r="O225" t="s">
        <v>57</v>
      </c>
      <c r="Q225" t="s">
        <v>57</v>
      </c>
      <c r="R225" t="s">
        <v>137</v>
      </c>
      <c r="T225" t="s">
        <v>59</v>
      </c>
      <c r="U225" t="s">
        <v>60</v>
      </c>
      <c r="V225" t="s">
        <v>138</v>
      </c>
      <c r="W225" t="s">
        <v>139</v>
      </c>
      <c r="X225">
        <v>1926658</v>
      </c>
      <c r="Y225" s="11">
        <v>44775</v>
      </c>
      <c r="Z225" t="s">
        <v>57</v>
      </c>
      <c r="AA225">
        <v>22</v>
      </c>
      <c r="AB225" t="s">
        <v>57</v>
      </c>
      <c r="AD225" t="s">
        <v>57</v>
      </c>
      <c r="AE225" t="s">
        <v>57</v>
      </c>
      <c r="AF225" t="s">
        <v>57</v>
      </c>
      <c r="AG225">
        <v>10</v>
      </c>
      <c r="AH225" t="s">
        <v>57</v>
      </c>
      <c r="AL225" t="s">
        <v>57</v>
      </c>
      <c r="AM225" s="11">
        <v>44775</v>
      </c>
      <c r="AN225" t="s">
        <v>180</v>
      </c>
      <c r="AO225" t="s">
        <v>65</v>
      </c>
      <c r="AP225">
        <v>1205</v>
      </c>
      <c r="AQ225" t="s">
        <v>66</v>
      </c>
      <c r="AR225">
        <v>89715</v>
      </c>
      <c r="AU225" t="s">
        <v>57</v>
      </c>
      <c r="AV225" t="s">
        <v>68</v>
      </c>
      <c r="AX225" t="s">
        <v>57</v>
      </c>
      <c r="AY225">
        <v>631110</v>
      </c>
      <c r="AZ225">
        <v>1205.63111</v>
      </c>
      <c r="BA225" s="23" t="s">
        <v>13</v>
      </c>
    </row>
    <row r="226" spans="1:53" x14ac:dyDescent="0.25">
      <c r="A226" t="s">
        <v>134</v>
      </c>
      <c r="B226" t="s">
        <v>135</v>
      </c>
      <c r="C226">
        <v>22002307</v>
      </c>
      <c r="D226">
        <v>1205</v>
      </c>
      <c r="E226" s="11">
        <v>44778</v>
      </c>
      <c r="F226" t="s">
        <v>179</v>
      </c>
      <c r="G226" s="25">
        <v>1.53</v>
      </c>
      <c r="H226">
        <v>1.53</v>
      </c>
      <c r="I226" t="s">
        <v>56</v>
      </c>
      <c r="O226" t="s">
        <v>57</v>
      </c>
      <c r="Q226" t="s">
        <v>57</v>
      </c>
      <c r="R226" t="s">
        <v>137</v>
      </c>
      <c r="T226" t="s">
        <v>59</v>
      </c>
      <c r="U226" t="s">
        <v>60</v>
      </c>
      <c r="V226" t="s">
        <v>138</v>
      </c>
      <c r="W226" t="s">
        <v>139</v>
      </c>
      <c r="X226">
        <v>1928768</v>
      </c>
      <c r="Y226" s="11">
        <v>44778</v>
      </c>
      <c r="Z226" t="s">
        <v>57</v>
      </c>
      <c r="AA226">
        <v>18</v>
      </c>
      <c r="AB226" t="s">
        <v>57</v>
      </c>
      <c r="AD226" t="s">
        <v>57</v>
      </c>
      <c r="AE226" t="s">
        <v>57</v>
      </c>
      <c r="AF226" t="s">
        <v>57</v>
      </c>
      <c r="AG226">
        <v>10</v>
      </c>
      <c r="AH226" t="s">
        <v>57</v>
      </c>
      <c r="AL226" t="s">
        <v>57</v>
      </c>
      <c r="AM226" s="11">
        <v>44778</v>
      </c>
      <c r="AN226" t="s">
        <v>180</v>
      </c>
      <c r="AO226" t="s">
        <v>65</v>
      </c>
      <c r="AP226">
        <v>1205</v>
      </c>
      <c r="AQ226" t="s">
        <v>66</v>
      </c>
      <c r="AR226">
        <v>89715</v>
      </c>
      <c r="AU226" t="s">
        <v>57</v>
      </c>
      <c r="AV226" t="s">
        <v>68</v>
      </c>
      <c r="AX226" t="s">
        <v>57</v>
      </c>
      <c r="AY226">
        <v>631110</v>
      </c>
      <c r="AZ226">
        <v>1205.63111</v>
      </c>
      <c r="BA226" s="23" t="s">
        <v>13</v>
      </c>
    </row>
    <row r="227" spans="1:53" x14ac:dyDescent="0.25">
      <c r="A227" t="s">
        <v>134</v>
      </c>
      <c r="B227" t="s">
        <v>135</v>
      </c>
      <c r="C227">
        <v>22002325</v>
      </c>
      <c r="D227">
        <v>1205</v>
      </c>
      <c r="E227" s="11">
        <v>44783</v>
      </c>
      <c r="F227" t="s">
        <v>179</v>
      </c>
      <c r="G227" s="25">
        <v>1.53</v>
      </c>
      <c r="H227">
        <v>1.53</v>
      </c>
      <c r="I227" t="s">
        <v>56</v>
      </c>
      <c r="O227" t="s">
        <v>57</v>
      </c>
      <c r="Q227" t="s">
        <v>57</v>
      </c>
      <c r="R227" t="s">
        <v>137</v>
      </c>
      <c r="T227" t="s">
        <v>59</v>
      </c>
      <c r="U227" t="s">
        <v>60</v>
      </c>
      <c r="V227" t="s">
        <v>138</v>
      </c>
      <c r="W227" t="s">
        <v>139</v>
      </c>
      <c r="X227">
        <v>1930357</v>
      </c>
      <c r="Y227" s="11">
        <v>44783</v>
      </c>
      <c r="Z227" t="s">
        <v>57</v>
      </c>
      <c r="AA227">
        <v>30</v>
      </c>
      <c r="AB227" t="s">
        <v>57</v>
      </c>
      <c r="AD227" t="s">
        <v>57</v>
      </c>
      <c r="AE227" t="s">
        <v>57</v>
      </c>
      <c r="AF227" t="s">
        <v>57</v>
      </c>
      <c r="AG227">
        <v>10</v>
      </c>
      <c r="AH227" t="s">
        <v>57</v>
      </c>
      <c r="AL227" t="s">
        <v>57</v>
      </c>
      <c r="AM227" s="11">
        <v>44783</v>
      </c>
      <c r="AN227" t="s">
        <v>180</v>
      </c>
      <c r="AO227" t="s">
        <v>65</v>
      </c>
      <c r="AP227">
        <v>1205</v>
      </c>
      <c r="AQ227" t="s">
        <v>66</v>
      </c>
      <c r="AR227">
        <v>89715</v>
      </c>
      <c r="AU227" t="s">
        <v>57</v>
      </c>
      <c r="AV227" t="s">
        <v>68</v>
      </c>
      <c r="AX227" t="s">
        <v>57</v>
      </c>
      <c r="AY227">
        <v>631110</v>
      </c>
      <c r="AZ227">
        <v>1205.63111</v>
      </c>
      <c r="BA227" s="23" t="s">
        <v>13</v>
      </c>
    </row>
    <row r="228" spans="1:53" x14ac:dyDescent="0.25">
      <c r="A228" t="s">
        <v>134</v>
      </c>
      <c r="B228" t="s">
        <v>135</v>
      </c>
      <c r="C228">
        <v>22002342</v>
      </c>
      <c r="D228">
        <v>1205</v>
      </c>
      <c r="E228" s="11">
        <v>44785</v>
      </c>
      <c r="F228" t="s">
        <v>179</v>
      </c>
      <c r="G228" s="25">
        <v>1.53</v>
      </c>
      <c r="H228">
        <v>1.53</v>
      </c>
      <c r="I228" t="s">
        <v>56</v>
      </c>
      <c r="O228" t="s">
        <v>57</v>
      </c>
      <c r="Q228" t="s">
        <v>57</v>
      </c>
      <c r="R228" t="s">
        <v>137</v>
      </c>
      <c r="T228" t="s">
        <v>59</v>
      </c>
      <c r="U228" t="s">
        <v>60</v>
      </c>
      <c r="V228" t="s">
        <v>138</v>
      </c>
      <c r="W228" t="s">
        <v>139</v>
      </c>
      <c r="X228">
        <v>1930745</v>
      </c>
      <c r="Y228" s="11">
        <v>44785</v>
      </c>
      <c r="Z228" t="s">
        <v>57</v>
      </c>
      <c r="AA228">
        <v>26</v>
      </c>
      <c r="AB228" t="s">
        <v>57</v>
      </c>
      <c r="AD228" t="s">
        <v>57</v>
      </c>
      <c r="AE228" t="s">
        <v>57</v>
      </c>
      <c r="AF228" t="s">
        <v>57</v>
      </c>
      <c r="AG228">
        <v>10</v>
      </c>
      <c r="AH228" t="s">
        <v>57</v>
      </c>
      <c r="AL228" t="s">
        <v>57</v>
      </c>
      <c r="AM228" s="11">
        <v>44785</v>
      </c>
      <c r="AN228" t="s">
        <v>180</v>
      </c>
      <c r="AO228" t="s">
        <v>65</v>
      </c>
      <c r="AP228">
        <v>1205</v>
      </c>
      <c r="AQ228" t="s">
        <v>66</v>
      </c>
      <c r="AR228">
        <v>89715</v>
      </c>
      <c r="AU228" t="s">
        <v>57</v>
      </c>
      <c r="AV228" t="s">
        <v>68</v>
      </c>
      <c r="AX228" t="s">
        <v>57</v>
      </c>
      <c r="AY228">
        <v>631110</v>
      </c>
      <c r="AZ228">
        <v>1205.63111</v>
      </c>
      <c r="BA228" s="23" t="s">
        <v>13</v>
      </c>
    </row>
    <row r="229" spans="1:53" x14ac:dyDescent="0.25">
      <c r="A229" t="s">
        <v>134</v>
      </c>
      <c r="B229" t="s">
        <v>135</v>
      </c>
      <c r="C229">
        <v>22002360</v>
      </c>
      <c r="D229">
        <v>1205</v>
      </c>
      <c r="E229" s="11">
        <v>44789</v>
      </c>
      <c r="F229" t="s">
        <v>307</v>
      </c>
      <c r="G229" s="25">
        <v>1.53</v>
      </c>
      <c r="H229">
        <v>1.53</v>
      </c>
      <c r="I229" t="s">
        <v>56</v>
      </c>
      <c r="O229" t="s">
        <v>57</v>
      </c>
      <c r="Q229" t="s">
        <v>57</v>
      </c>
      <c r="R229" t="s">
        <v>137</v>
      </c>
      <c r="T229" t="s">
        <v>59</v>
      </c>
      <c r="U229" t="s">
        <v>60</v>
      </c>
      <c r="V229" t="s">
        <v>138</v>
      </c>
      <c r="W229" t="s">
        <v>139</v>
      </c>
      <c r="X229">
        <v>1933172</v>
      </c>
      <c r="Y229" s="11">
        <v>44789</v>
      </c>
      <c r="Z229" t="s">
        <v>57</v>
      </c>
      <c r="AA229">
        <v>38</v>
      </c>
      <c r="AB229" t="s">
        <v>57</v>
      </c>
      <c r="AD229" t="s">
        <v>57</v>
      </c>
      <c r="AE229" t="s">
        <v>57</v>
      </c>
      <c r="AF229" t="s">
        <v>57</v>
      </c>
      <c r="AG229">
        <v>10</v>
      </c>
      <c r="AH229" t="s">
        <v>57</v>
      </c>
      <c r="AL229" t="s">
        <v>57</v>
      </c>
      <c r="AM229" s="11">
        <v>44789</v>
      </c>
      <c r="AN229" t="s">
        <v>180</v>
      </c>
      <c r="AO229" t="s">
        <v>65</v>
      </c>
      <c r="AP229">
        <v>1205</v>
      </c>
      <c r="AQ229" t="s">
        <v>66</v>
      </c>
      <c r="AR229">
        <v>285413</v>
      </c>
      <c r="AU229" t="s">
        <v>57</v>
      </c>
      <c r="AV229" t="s">
        <v>68</v>
      </c>
      <c r="AX229" t="s">
        <v>57</v>
      </c>
      <c r="AY229">
        <v>631110</v>
      </c>
      <c r="AZ229">
        <v>1205.63111</v>
      </c>
      <c r="BA229" s="23" t="s">
        <v>13</v>
      </c>
    </row>
    <row r="230" spans="1:53" x14ac:dyDescent="0.25">
      <c r="A230" t="s">
        <v>134</v>
      </c>
      <c r="B230" t="s">
        <v>135</v>
      </c>
      <c r="C230">
        <v>22002372</v>
      </c>
      <c r="D230">
        <v>1205</v>
      </c>
      <c r="E230" s="11">
        <v>44791</v>
      </c>
      <c r="F230" t="s">
        <v>179</v>
      </c>
      <c r="G230" s="25">
        <v>1.53</v>
      </c>
      <c r="H230">
        <v>1.53</v>
      </c>
      <c r="I230" t="s">
        <v>56</v>
      </c>
      <c r="O230" t="s">
        <v>57</v>
      </c>
      <c r="Q230" t="s">
        <v>57</v>
      </c>
      <c r="R230" t="s">
        <v>137</v>
      </c>
      <c r="T230" t="s">
        <v>59</v>
      </c>
      <c r="U230" t="s">
        <v>60</v>
      </c>
      <c r="V230" t="s">
        <v>138</v>
      </c>
      <c r="W230" t="s">
        <v>139</v>
      </c>
      <c r="X230">
        <v>1933543</v>
      </c>
      <c r="Y230" s="11">
        <v>44791</v>
      </c>
      <c r="Z230" t="s">
        <v>57</v>
      </c>
      <c r="AA230">
        <v>26</v>
      </c>
      <c r="AB230" t="s">
        <v>57</v>
      </c>
      <c r="AD230" t="s">
        <v>57</v>
      </c>
      <c r="AE230" t="s">
        <v>57</v>
      </c>
      <c r="AF230" t="s">
        <v>57</v>
      </c>
      <c r="AG230">
        <v>10</v>
      </c>
      <c r="AH230" t="s">
        <v>57</v>
      </c>
      <c r="AL230" t="s">
        <v>57</v>
      </c>
      <c r="AM230" s="11">
        <v>44791</v>
      </c>
      <c r="AN230" t="s">
        <v>180</v>
      </c>
      <c r="AO230" t="s">
        <v>65</v>
      </c>
      <c r="AP230">
        <v>1205</v>
      </c>
      <c r="AQ230" t="s">
        <v>66</v>
      </c>
      <c r="AR230">
        <v>89715</v>
      </c>
      <c r="AU230" t="s">
        <v>57</v>
      </c>
      <c r="AV230" t="s">
        <v>68</v>
      </c>
      <c r="AX230" t="s">
        <v>57</v>
      </c>
      <c r="AY230">
        <v>631110</v>
      </c>
      <c r="AZ230">
        <v>1205.63111</v>
      </c>
      <c r="BA230" s="23" t="s">
        <v>13</v>
      </c>
    </row>
    <row r="231" spans="1:53" x14ac:dyDescent="0.25">
      <c r="A231" t="s">
        <v>134</v>
      </c>
      <c r="B231" t="s">
        <v>135</v>
      </c>
      <c r="C231">
        <v>22002342</v>
      </c>
      <c r="D231">
        <v>1205</v>
      </c>
      <c r="E231" s="11">
        <v>44785</v>
      </c>
      <c r="F231" t="s">
        <v>179</v>
      </c>
      <c r="G231" s="25">
        <v>1.56</v>
      </c>
      <c r="H231">
        <v>1.56</v>
      </c>
      <c r="I231" t="s">
        <v>56</v>
      </c>
      <c r="O231" t="s">
        <v>57</v>
      </c>
      <c r="Q231" t="s">
        <v>57</v>
      </c>
      <c r="R231" t="s">
        <v>137</v>
      </c>
      <c r="T231" t="s">
        <v>59</v>
      </c>
      <c r="U231" t="s">
        <v>60</v>
      </c>
      <c r="V231" t="s">
        <v>138</v>
      </c>
      <c r="W231" t="s">
        <v>139</v>
      </c>
      <c r="X231">
        <v>1930745</v>
      </c>
      <c r="Y231" s="11">
        <v>44785</v>
      </c>
      <c r="Z231" t="s">
        <v>57</v>
      </c>
      <c r="AA231">
        <v>4</v>
      </c>
      <c r="AB231" t="s">
        <v>57</v>
      </c>
      <c r="AD231" t="s">
        <v>57</v>
      </c>
      <c r="AE231" t="s">
        <v>57</v>
      </c>
      <c r="AF231" t="s">
        <v>57</v>
      </c>
      <c r="AG231">
        <v>13</v>
      </c>
      <c r="AH231" t="s">
        <v>57</v>
      </c>
      <c r="AL231" t="s">
        <v>57</v>
      </c>
      <c r="AM231" s="11">
        <v>44785</v>
      </c>
      <c r="AN231" t="s">
        <v>180</v>
      </c>
      <c r="AO231" t="s">
        <v>65</v>
      </c>
      <c r="AP231">
        <v>1205</v>
      </c>
      <c r="AQ231" t="s">
        <v>66</v>
      </c>
      <c r="AR231">
        <v>267860</v>
      </c>
      <c r="AU231" t="s">
        <v>57</v>
      </c>
      <c r="AV231" t="s">
        <v>68</v>
      </c>
      <c r="AX231" t="s">
        <v>57</v>
      </c>
      <c r="AY231">
        <v>631110</v>
      </c>
      <c r="AZ231">
        <v>1205.63111</v>
      </c>
      <c r="BA231" s="23" t="s">
        <v>13</v>
      </c>
    </row>
    <row r="232" spans="1:53" x14ac:dyDescent="0.25">
      <c r="A232" t="s">
        <v>134</v>
      </c>
      <c r="B232" t="s">
        <v>135</v>
      </c>
      <c r="C232">
        <v>22002295</v>
      </c>
      <c r="D232">
        <v>1205</v>
      </c>
      <c r="E232" s="11">
        <v>44777</v>
      </c>
      <c r="F232" t="s">
        <v>179</v>
      </c>
      <c r="G232" s="25">
        <v>1.58</v>
      </c>
      <c r="H232">
        <v>1.58</v>
      </c>
      <c r="I232" t="s">
        <v>56</v>
      </c>
      <c r="O232" t="s">
        <v>57</v>
      </c>
      <c r="Q232" t="s">
        <v>57</v>
      </c>
      <c r="R232" t="s">
        <v>137</v>
      </c>
      <c r="T232" t="s">
        <v>59</v>
      </c>
      <c r="U232" t="s">
        <v>60</v>
      </c>
      <c r="V232" t="s">
        <v>138</v>
      </c>
      <c r="W232" t="s">
        <v>139</v>
      </c>
      <c r="X232">
        <v>1927636</v>
      </c>
      <c r="Y232" s="11">
        <v>44777</v>
      </c>
      <c r="Z232" t="s">
        <v>57</v>
      </c>
      <c r="AA232">
        <v>6</v>
      </c>
      <c r="AB232" t="s">
        <v>57</v>
      </c>
      <c r="AD232" t="s">
        <v>57</v>
      </c>
      <c r="AE232" t="s">
        <v>57</v>
      </c>
      <c r="AF232" t="s">
        <v>57</v>
      </c>
      <c r="AG232">
        <v>19</v>
      </c>
      <c r="AH232" t="s">
        <v>57</v>
      </c>
      <c r="AL232" t="s">
        <v>57</v>
      </c>
      <c r="AM232" s="11">
        <v>44777</v>
      </c>
      <c r="AN232" t="s">
        <v>180</v>
      </c>
      <c r="AO232" t="s">
        <v>65</v>
      </c>
      <c r="AP232">
        <v>1205</v>
      </c>
      <c r="AQ232" t="s">
        <v>66</v>
      </c>
      <c r="AR232">
        <v>265878</v>
      </c>
      <c r="AU232" t="s">
        <v>57</v>
      </c>
      <c r="AV232" t="s">
        <v>68</v>
      </c>
      <c r="AX232" t="s">
        <v>57</v>
      </c>
      <c r="AY232">
        <v>631110</v>
      </c>
      <c r="AZ232">
        <v>1205.63111</v>
      </c>
      <c r="BA232" s="23" t="s">
        <v>13</v>
      </c>
    </row>
    <row r="233" spans="1:53" x14ac:dyDescent="0.25">
      <c r="A233" t="s">
        <v>134</v>
      </c>
      <c r="B233" t="s">
        <v>135</v>
      </c>
      <c r="C233">
        <v>22002295</v>
      </c>
      <c r="D233">
        <v>1205</v>
      </c>
      <c r="E233" s="11">
        <v>44777</v>
      </c>
      <c r="F233" t="s">
        <v>179</v>
      </c>
      <c r="G233" s="25">
        <v>1.58</v>
      </c>
      <c r="H233">
        <v>1.58</v>
      </c>
      <c r="I233" t="s">
        <v>56</v>
      </c>
      <c r="O233" t="s">
        <v>57</v>
      </c>
      <c r="Q233" t="s">
        <v>57</v>
      </c>
      <c r="R233" t="s">
        <v>137</v>
      </c>
      <c r="T233" t="s">
        <v>59</v>
      </c>
      <c r="U233" t="s">
        <v>60</v>
      </c>
      <c r="V233" t="s">
        <v>138</v>
      </c>
      <c r="W233" t="s">
        <v>139</v>
      </c>
      <c r="X233">
        <v>1927636</v>
      </c>
      <c r="Y233" s="11">
        <v>44777</v>
      </c>
      <c r="Z233" t="s">
        <v>57</v>
      </c>
      <c r="AA233">
        <v>8</v>
      </c>
      <c r="AB233" t="s">
        <v>57</v>
      </c>
      <c r="AD233" t="s">
        <v>57</v>
      </c>
      <c r="AE233" t="s">
        <v>57</v>
      </c>
      <c r="AF233" t="s">
        <v>57</v>
      </c>
      <c r="AG233">
        <v>14</v>
      </c>
      <c r="AH233" t="s">
        <v>57</v>
      </c>
      <c r="AL233" t="s">
        <v>57</v>
      </c>
      <c r="AM233" s="11">
        <v>44777</v>
      </c>
      <c r="AN233" t="s">
        <v>180</v>
      </c>
      <c r="AO233" t="s">
        <v>65</v>
      </c>
      <c r="AP233">
        <v>1205</v>
      </c>
      <c r="AQ233" t="s">
        <v>66</v>
      </c>
      <c r="AR233">
        <v>265889</v>
      </c>
      <c r="AU233" t="s">
        <v>57</v>
      </c>
      <c r="AV233" t="s">
        <v>68</v>
      </c>
      <c r="AX233" t="s">
        <v>57</v>
      </c>
      <c r="AY233">
        <v>631110</v>
      </c>
      <c r="AZ233">
        <v>1205.63111</v>
      </c>
      <c r="BA233" s="23" t="s">
        <v>13</v>
      </c>
    </row>
    <row r="234" spans="1:53" x14ac:dyDescent="0.25">
      <c r="A234" t="s">
        <v>134</v>
      </c>
      <c r="B234" t="s">
        <v>135</v>
      </c>
      <c r="C234">
        <v>22002338</v>
      </c>
      <c r="D234">
        <v>1205</v>
      </c>
      <c r="E234" s="11">
        <v>44784</v>
      </c>
      <c r="F234" t="s">
        <v>174</v>
      </c>
      <c r="G234" s="25">
        <v>1.63</v>
      </c>
      <c r="H234">
        <v>1.63</v>
      </c>
      <c r="I234" t="s">
        <v>56</v>
      </c>
      <c r="O234" t="s">
        <v>57</v>
      </c>
      <c r="Q234" t="s">
        <v>57</v>
      </c>
      <c r="R234" t="s">
        <v>137</v>
      </c>
      <c r="T234" t="s">
        <v>59</v>
      </c>
      <c r="U234" t="s">
        <v>60</v>
      </c>
      <c r="V234" t="s">
        <v>138</v>
      </c>
      <c r="W234" t="s">
        <v>139</v>
      </c>
      <c r="X234">
        <v>1930521</v>
      </c>
      <c r="Y234" s="11">
        <v>44784</v>
      </c>
      <c r="Z234" t="s">
        <v>57</v>
      </c>
      <c r="AA234">
        <v>14</v>
      </c>
      <c r="AB234" t="s">
        <v>57</v>
      </c>
      <c r="AD234" t="s">
        <v>57</v>
      </c>
      <c r="AE234" t="s">
        <v>57</v>
      </c>
      <c r="AF234" t="s">
        <v>57</v>
      </c>
      <c r="AG234">
        <v>3</v>
      </c>
      <c r="AH234" t="s">
        <v>57</v>
      </c>
      <c r="AL234" t="s">
        <v>57</v>
      </c>
      <c r="AM234" s="11">
        <v>44784</v>
      </c>
      <c r="AN234" t="s">
        <v>178</v>
      </c>
      <c r="AO234" t="s">
        <v>65</v>
      </c>
      <c r="AP234">
        <v>1205</v>
      </c>
      <c r="AQ234" t="s">
        <v>66</v>
      </c>
      <c r="AR234">
        <v>89777</v>
      </c>
      <c r="AU234" t="s">
        <v>57</v>
      </c>
      <c r="AV234" t="s">
        <v>68</v>
      </c>
      <c r="AX234" t="s">
        <v>57</v>
      </c>
      <c r="AY234">
        <v>631110</v>
      </c>
      <c r="AZ234">
        <v>1205.63111</v>
      </c>
      <c r="BA234" s="23" t="s">
        <v>13</v>
      </c>
    </row>
    <row r="235" spans="1:53" x14ac:dyDescent="0.25">
      <c r="A235" t="s">
        <v>134</v>
      </c>
      <c r="B235" t="s">
        <v>135</v>
      </c>
      <c r="C235">
        <v>22002262</v>
      </c>
      <c r="D235">
        <v>1205</v>
      </c>
      <c r="E235" s="11">
        <v>44774</v>
      </c>
      <c r="F235" t="s">
        <v>174</v>
      </c>
      <c r="G235" s="25">
        <v>1.68</v>
      </c>
      <c r="H235">
        <v>1.68</v>
      </c>
      <c r="I235" t="s">
        <v>56</v>
      </c>
      <c r="O235" t="s">
        <v>57</v>
      </c>
      <c r="Q235" t="s">
        <v>57</v>
      </c>
      <c r="R235" t="s">
        <v>137</v>
      </c>
      <c r="T235" t="s">
        <v>59</v>
      </c>
      <c r="U235" t="s">
        <v>60</v>
      </c>
      <c r="V235" t="s">
        <v>138</v>
      </c>
      <c r="W235" t="s">
        <v>139</v>
      </c>
      <c r="X235">
        <v>1925596</v>
      </c>
      <c r="Y235" s="11">
        <v>44774</v>
      </c>
      <c r="Z235" t="s">
        <v>57</v>
      </c>
      <c r="AA235">
        <v>4</v>
      </c>
      <c r="AB235" t="s">
        <v>57</v>
      </c>
      <c r="AD235" t="s">
        <v>57</v>
      </c>
      <c r="AE235" t="s">
        <v>57</v>
      </c>
      <c r="AF235" t="s">
        <v>57</v>
      </c>
      <c r="AG235">
        <v>2</v>
      </c>
      <c r="AH235" t="s">
        <v>57</v>
      </c>
      <c r="AL235" t="s">
        <v>57</v>
      </c>
      <c r="AM235" s="11">
        <v>44774</v>
      </c>
      <c r="AN235" t="s">
        <v>178</v>
      </c>
      <c r="AO235" t="s">
        <v>65</v>
      </c>
      <c r="AP235">
        <v>1205</v>
      </c>
      <c r="AQ235" t="s">
        <v>66</v>
      </c>
      <c r="AR235">
        <v>88704</v>
      </c>
      <c r="AU235" t="s">
        <v>57</v>
      </c>
      <c r="AV235" t="s">
        <v>68</v>
      </c>
      <c r="AX235" t="s">
        <v>57</v>
      </c>
      <c r="AY235">
        <v>631110</v>
      </c>
      <c r="AZ235">
        <v>1205.63111</v>
      </c>
      <c r="BA235" s="23" t="s">
        <v>13</v>
      </c>
    </row>
    <row r="236" spans="1:53" x14ac:dyDescent="0.25">
      <c r="A236" t="s">
        <v>134</v>
      </c>
      <c r="B236" t="s">
        <v>135</v>
      </c>
      <c r="C236">
        <v>22002281</v>
      </c>
      <c r="D236">
        <v>1205</v>
      </c>
      <c r="E236" s="11">
        <v>44776</v>
      </c>
      <c r="F236" t="s">
        <v>179</v>
      </c>
      <c r="G236" s="25">
        <v>1.69</v>
      </c>
      <c r="H236">
        <v>1.69</v>
      </c>
      <c r="I236" t="s">
        <v>56</v>
      </c>
      <c r="O236" t="s">
        <v>57</v>
      </c>
      <c r="Q236" t="s">
        <v>57</v>
      </c>
      <c r="R236" t="s">
        <v>137</v>
      </c>
      <c r="T236" t="s">
        <v>59</v>
      </c>
      <c r="U236" t="s">
        <v>60</v>
      </c>
      <c r="V236" t="s">
        <v>138</v>
      </c>
      <c r="W236" t="s">
        <v>139</v>
      </c>
      <c r="X236">
        <v>1927036</v>
      </c>
      <c r="Y236" s="11">
        <v>44776</v>
      </c>
      <c r="Z236" t="s">
        <v>57</v>
      </c>
      <c r="AA236">
        <v>20</v>
      </c>
      <c r="AB236" t="s">
        <v>57</v>
      </c>
      <c r="AD236" t="s">
        <v>57</v>
      </c>
      <c r="AE236" t="s">
        <v>57</v>
      </c>
      <c r="AF236" t="s">
        <v>57</v>
      </c>
      <c r="AG236">
        <v>11</v>
      </c>
      <c r="AH236" t="s">
        <v>57</v>
      </c>
      <c r="AL236" t="s">
        <v>57</v>
      </c>
      <c r="AM236" s="11">
        <v>44776</v>
      </c>
      <c r="AN236" t="s">
        <v>180</v>
      </c>
      <c r="AO236" t="s">
        <v>65</v>
      </c>
      <c r="AP236">
        <v>1205</v>
      </c>
      <c r="AQ236" t="s">
        <v>66</v>
      </c>
      <c r="AR236">
        <v>89715</v>
      </c>
      <c r="AU236" t="s">
        <v>57</v>
      </c>
      <c r="AV236" t="s">
        <v>68</v>
      </c>
      <c r="AX236" t="s">
        <v>57</v>
      </c>
      <c r="AY236">
        <v>631110</v>
      </c>
      <c r="AZ236">
        <v>1205.63111</v>
      </c>
      <c r="BA236" s="23" t="s">
        <v>13</v>
      </c>
    </row>
    <row r="237" spans="1:53" x14ac:dyDescent="0.25">
      <c r="A237" t="s">
        <v>134</v>
      </c>
      <c r="B237" t="s">
        <v>135</v>
      </c>
      <c r="C237">
        <v>22002264</v>
      </c>
      <c r="D237">
        <v>1205</v>
      </c>
      <c r="E237" s="11">
        <v>44774</v>
      </c>
      <c r="F237" t="s">
        <v>179</v>
      </c>
      <c r="G237" s="25">
        <v>1.7</v>
      </c>
      <c r="H237">
        <v>1.7</v>
      </c>
      <c r="I237" t="s">
        <v>56</v>
      </c>
      <c r="O237" t="s">
        <v>57</v>
      </c>
      <c r="Q237" t="s">
        <v>57</v>
      </c>
      <c r="R237" t="s">
        <v>137</v>
      </c>
      <c r="T237" t="s">
        <v>59</v>
      </c>
      <c r="U237" t="s">
        <v>60</v>
      </c>
      <c r="V237" t="s">
        <v>138</v>
      </c>
      <c r="W237" t="s">
        <v>139</v>
      </c>
      <c r="X237">
        <v>1925601</v>
      </c>
      <c r="Y237" s="11">
        <v>44774</v>
      </c>
      <c r="Z237" t="s">
        <v>57</v>
      </c>
      <c r="AA237">
        <v>14</v>
      </c>
      <c r="AB237" t="s">
        <v>57</v>
      </c>
      <c r="AD237" t="s">
        <v>57</v>
      </c>
      <c r="AE237" t="s">
        <v>57</v>
      </c>
      <c r="AF237" t="s">
        <v>57</v>
      </c>
      <c r="AG237">
        <v>14</v>
      </c>
      <c r="AH237" t="s">
        <v>57</v>
      </c>
      <c r="AL237" t="s">
        <v>57</v>
      </c>
      <c r="AM237" s="11">
        <v>44774</v>
      </c>
      <c r="AN237" t="s">
        <v>180</v>
      </c>
      <c r="AO237" t="s">
        <v>65</v>
      </c>
      <c r="AP237">
        <v>1205</v>
      </c>
      <c r="AQ237" t="s">
        <v>66</v>
      </c>
      <c r="AR237">
        <v>267735</v>
      </c>
      <c r="AU237" t="s">
        <v>57</v>
      </c>
      <c r="AV237" t="s">
        <v>68</v>
      </c>
      <c r="AX237" t="s">
        <v>57</v>
      </c>
      <c r="AY237">
        <v>631110</v>
      </c>
      <c r="AZ237">
        <v>1205.63111</v>
      </c>
      <c r="BA237" s="23" t="s">
        <v>13</v>
      </c>
    </row>
    <row r="238" spans="1:53" x14ac:dyDescent="0.25">
      <c r="A238" t="s">
        <v>134</v>
      </c>
      <c r="B238" t="s">
        <v>135</v>
      </c>
      <c r="C238">
        <v>22002318</v>
      </c>
      <c r="D238">
        <v>1205</v>
      </c>
      <c r="E238" s="11">
        <v>44782</v>
      </c>
      <c r="F238" t="s">
        <v>179</v>
      </c>
      <c r="G238" s="25">
        <v>1.7</v>
      </c>
      <c r="H238">
        <v>1.7</v>
      </c>
      <c r="I238" t="s">
        <v>56</v>
      </c>
      <c r="O238" t="s">
        <v>57</v>
      </c>
      <c r="Q238" t="s">
        <v>57</v>
      </c>
      <c r="R238" t="s">
        <v>137</v>
      </c>
      <c r="T238" t="s">
        <v>59</v>
      </c>
      <c r="U238" t="s">
        <v>60</v>
      </c>
      <c r="V238" t="s">
        <v>138</v>
      </c>
      <c r="W238" t="s">
        <v>139</v>
      </c>
      <c r="X238">
        <v>1929852</v>
      </c>
      <c r="Y238" s="11">
        <v>44782</v>
      </c>
      <c r="Z238" t="s">
        <v>57</v>
      </c>
      <c r="AA238">
        <v>14</v>
      </c>
      <c r="AB238" t="s">
        <v>57</v>
      </c>
      <c r="AD238" t="s">
        <v>57</v>
      </c>
      <c r="AE238" t="s">
        <v>57</v>
      </c>
      <c r="AF238" t="s">
        <v>57</v>
      </c>
      <c r="AG238">
        <v>15</v>
      </c>
      <c r="AH238" t="s">
        <v>57</v>
      </c>
      <c r="AL238" t="s">
        <v>57</v>
      </c>
      <c r="AM238" s="11">
        <v>44782</v>
      </c>
      <c r="AN238" t="s">
        <v>180</v>
      </c>
      <c r="AO238" t="s">
        <v>65</v>
      </c>
      <c r="AP238">
        <v>1205</v>
      </c>
      <c r="AQ238" t="s">
        <v>66</v>
      </c>
      <c r="AR238">
        <v>265889</v>
      </c>
      <c r="AU238" t="s">
        <v>57</v>
      </c>
      <c r="AV238" t="s">
        <v>68</v>
      </c>
      <c r="AX238" t="s">
        <v>57</v>
      </c>
      <c r="AY238">
        <v>631110</v>
      </c>
      <c r="AZ238">
        <v>1205.63111</v>
      </c>
      <c r="BA238" s="23" t="s">
        <v>13</v>
      </c>
    </row>
    <row r="239" spans="1:53" x14ac:dyDescent="0.25">
      <c r="A239" t="s">
        <v>134</v>
      </c>
      <c r="B239" t="s">
        <v>135</v>
      </c>
      <c r="C239">
        <v>22002372</v>
      </c>
      <c r="D239">
        <v>1205</v>
      </c>
      <c r="E239" s="11">
        <v>44791</v>
      </c>
      <c r="F239" t="s">
        <v>179</v>
      </c>
      <c r="G239" s="25">
        <v>1.7</v>
      </c>
      <c r="H239">
        <v>1.7</v>
      </c>
      <c r="I239" t="s">
        <v>56</v>
      </c>
      <c r="O239" t="s">
        <v>57</v>
      </c>
      <c r="Q239" t="s">
        <v>57</v>
      </c>
      <c r="R239" t="s">
        <v>137</v>
      </c>
      <c r="T239" t="s">
        <v>59</v>
      </c>
      <c r="U239" t="s">
        <v>60</v>
      </c>
      <c r="V239" t="s">
        <v>138</v>
      </c>
      <c r="W239" t="s">
        <v>139</v>
      </c>
      <c r="X239">
        <v>1933543</v>
      </c>
      <c r="Y239" s="11">
        <v>44791</v>
      </c>
      <c r="Z239" t="s">
        <v>57</v>
      </c>
      <c r="AA239">
        <v>14</v>
      </c>
      <c r="AB239" t="s">
        <v>57</v>
      </c>
      <c r="AD239" t="s">
        <v>57</v>
      </c>
      <c r="AE239" t="s">
        <v>57</v>
      </c>
      <c r="AF239" t="s">
        <v>57</v>
      </c>
      <c r="AG239">
        <v>15</v>
      </c>
      <c r="AH239" t="s">
        <v>57</v>
      </c>
      <c r="AL239" t="s">
        <v>57</v>
      </c>
      <c r="AM239" s="11">
        <v>44791</v>
      </c>
      <c r="AN239" t="s">
        <v>180</v>
      </c>
      <c r="AO239" t="s">
        <v>65</v>
      </c>
      <c r="AP239">
        <v>1205</v>
      </c>
      <c r="AQ239" t="s">
        <v>66</v>
      </c>
      <c r="AR239">
        <v>265889</v>
      </c>
      <c r="AU239" t="s">
        <v>57</v>
      </c>
      <c r="AV239" t="s">
        <v>68</v>
      </c>
      <c r="AX239" t="s">
        <v>57</v>
      </c>
      <c r="AY239">
        <v>631110</v>
      </c>
      <c r="AZ239">
        <v>1205.63111</v>
      </c>
      <c r="BA239" s="23" t="s">
        <v>13</v>
      </c>
    </row>
    <row r="240" spans="1:53" x14ac:dyDescent="0.25">
      <c r="A240" t="s">
        <v>134</v>
      </c>
      <c r="B240" t="s">
        <v>135</v>
      </c>
      <c r="C240">
        <v>22002264</v>
      </c>
      <c r="D240">
        <v>1205</v>
      </c>
      <c r="E240" s="11">
        <v>44774</v>
      </c>
      <c r="F240" t="s">
        <v>179</v>
      </c>
      <c r="G240" s="25">
        <v>1.71</v>
      </c>
      <c r="H240">
        <v>1.71</v>
      </c>
      <c r="I240" t="s">
        <v>56</v>
      </c>
      <c r="O240" t="s">
        <v>57</v>
      </c>
      <c r="Q240" t="s">
        <v>57</v>
      </c>
      <c r="R240" t="s">
        <v>137</v>
      </c>
      <c r="T240" t="s">
        <v>59</v>
      </c>
      <c r="U240" t="s">
        <v>60</v>
      </c>
      <c r="V240" t="s">
        <v>138</v>
      </c>
      <c r="W240" t="s">
        <v>139</v>
      </c>
      <c r="X240">
        <v>1925601</v>
      </c>
      <c r="Y240" s="11">
        <v>44774</v>
      </c>
      <c r="Z240" t="s">
        <v>57</v>
      </c>
      <c r="AA240">
        <v>26</v>
      </c>
      <c r="AB240" t="s">
        <v>57</v>
      </c>
      <c r="AD240" t="s">
        <v>57</v>
      </c>
      <c r="AE240" t="s">
        <v>57</v>
      </c>
      <c r="AF240" t="s">
        <v>57</v>
      </c>
      <c r="AG240">
        <v>11</v>
      </c>
      <c r="AH240" t="s">
        <v>57</v>
      </c>
      <c r="AL240" t="s">
        <v>57</v>
      </c>
      <c r="AM240" s="11">
        <v>44774</v>
      </c>
      <c r="AN240" t="s">
        <v>180</v>
      </c>
      <c r="AO240" t="s">
        <v>65</v>
      </c>
      <c r="AP240">
        <v>1205</v>
      </c>
      <c r="AQ240" t="s">
        <v>66</v>
      </c>
      <c r="AR240">
        <v>89712</v>
      </c>
      <c r="AU240" t="s">
        <v>57</v>
      </c>
      <c r="AV240" t="s">
        <v>68</v>
      </c>
      <c r="AX240" t="s">
        <v>57</v>
      </c>
      <c r="AY240">
        <v>631110</v>
      </c>
      <c r="AZ240">
        <v>1205.63111</v>
      </c>
      <c r="BA240" s="23" t="s">
        <v>13</v>
      </c>
    </row>
    <row r="241" spans="1:53" x14ac:dyDescent="0.25">
      <c r="A241" t="s">
        <v>134</v>
      </c>
      <c r="B241" t="s">
        <v>135</v>
      </c>
      <c r="C241">
        <v>22002298</v>
      </c>
      <c r="D241">
        <v>1205</v>
      </c>
      <c r="E241" s="11">
        <v>44778</v>
      </c>
      <c r="F241" t="s">
        <v>174</v>
      </c>
      <c r="G241" s="25">
        <v>1.74</v>
      </c>
      <c r="H241">
        <v>1.74</v>
      </c>
      <c r="I241" t="s">
        <v>56</v>
      </c>
      <c r="O241" t="s">
        <v>57</v>
      </c>
      <c r="Q241" t="s">
        <v>57</v>
      </c>
      <c r="R241" t="s">
        <v>137</v>
      </c>
      <c r="T241" t="s">
        <v>59</v>
      </c>
      <c r="U241" t="s">
        <v>60</v>
      </c>
      <c r="V241" t="s">
        <v>138</v>
      </c>
      <c r="W241" t="s">
        <v>139</v>
      </c>
      <c r="X241">
        <v>1928707</v>
      </c>
      <c r="Y241" s="11">
        <v>44778</v>
      </c>
      <c r="Z241" t="s">
        <v>57</v>
      </c>
      <c r="AA241">
        <v>12</v>
      </c>
      <c r="AB241" t="s">
        <v>57</v>
      </c>
      <c r="AD241" t="s">
        <v>57</v>
      </c>
      <c r="AE241" t="s">
        <v>57</v>
      </c>
      <c r="AF241" t="s">
        <v>57</v>
      </c>
      <c r="AG241">
        <v>1</v>
      </c>
      <c r="AH241" t="s">
        <v>57</v>
      </c>
      <c r="AL241" t="s">
        <v>57</v>
      </c>
      <c r="AM241" s="11">
        <v>44778</v>
      </c>
      <c r="AN241" t="s">
        <v>178</v>
      </c>
      <c r="AO241" t="s">
        <v>65</v>
      </c>
      <c r="AP241">
        <v>1205</v>
      </c>
      <c r="AQ241" t="s">
        <v>66</v>
      </c>
      <c r="AR241">
        <v>213580</v>
      </c>
      <c r="AU241" t="s">
        <v>57</v>
      </c>
      <c r="AV241" t="s">
        <v>68</v>
      </c>
      <c r="AX241" t="s">
        <v>57</v>
      </c>
      <c r="AY241">
        <v>631110</v>
      </c>
      <c r="AZ241">
        <v>1205.63111</v>
      </c>
      <c r="BA241" s="23" t="s">
        <v>13</v>
      </c>
    </row>
    <row r="242" spans="1:53" x14ac:dyDescent="0.25">
      <c r="A242" t="s">
        <v>134</v>
      </c>
      <c r="B242" t="s">
        <v>135</v>
      </c>
      <c r="C242">
        <v>22002297</v>
      </c>
      <c r="D242">
        <v>1205</v>
      </c>
      <c r="E242" s="11">
        <v>44778</v>
      </c>
      <c r="F242" t="s">
        <v>174</v>
      </c>
      <c r="G242" s="25">
        <v>1.76</v>
      </c>
      <c r="H242">
        <v>1.76</v>
      </c>
      <c r="I242" t="s">
        <v>56</v>
      </c>
      <c r="O242" t="s">
        <v>57</v>
      </c>
      <c r="Q242" t="s">
        <v>57</v>
      </c>
      <c r="R242" t="s">
        <v>137</v>
      </c>
      <c r="T242" t="s">
        <v>59</v>
      </c>
      <c r="U242" t="s">
        <v>60</v>
      </c>
      <c r="V242" t="s">
        <v>138</v>
      </c>
      <c r="W242" t="s">
        <v>139</v>
      </c>
      <c r="X242">
        <v>1928656</v>
      </c>
      <c r="Y242" s="11">
        <v>44778</v>
      </c>
      <c r="Z242" t="s">
        <v>57</v>
      </c>
      <c r="AA242">
        <v>10</v>
      </c>
      <c r="AB242" t="s">
        <v>57</v>
      </c>
      <c r="AD242" t="s">
        <v>57</v>
      </c>
      <c r="AE242" t="s">
        <v>57</v>
      </c>
      <c r="AF242" t="s">
        <v>57</v>
      </c>
      <c r="AG242">
        <v>1</v>
      </c>
      <c r="AH242" t="s">
        <v>57</v>
      </c>
      <c r="AL242" t="s">
        <v>57</v>
      </c>
      <c r="AM242" s="11">
        <v>44778</v>
      </c>
      <c r="AN242" t="s">
        <v>178</v>
      </c>
      <c r="AO242" t="s">
        <v>65</v>
      </c>
      <c r="AP242">
        <v>1205</v>
      </c>
      <c r="AQ242" t="s">
        <v>66</v>
      </c>
      <c r="AR242">
        <v>270668</v>
      </c>
      <c r="AU242" t="s">
        <v>57</v>
      </c>
      <c r="AV242" t="s">
        <v>68</v>
      </c>
      <c r="AX242" t="s">
        <v>57</v>
      </c>
      <c r="AY242">
        <v>631110</v>
      </c>
      <c r="AZ242">
        <v>1205.63111</v>
      </c>
      <c r="BA242" s="23" t="s">
        <v>13</v>
      </c>
    </row>
    <row r="243" spans="1:53" x14ac:dyDescent="0.25">
      <c r="A243" t="s">
        <v>134</v>
      </c>
      <c r="B243" t="s">
        <v>135</v>
      </c>
      <c r="C243">
        <v>22002264</v>
      </c>
      <c r="D243">
        <v>1205</v>
      </c>
      <c r="E243" s="11">
        <v>44774</v>
      </c>
      <c r="F243" t="s">
        <v>179</v>
      </c>
      <c r="G243" s="25">
        <v>1.8</v>
      </c>
      <c r="H243">
        <v>1.8</v>
      </c>
      <c r="I243" t="s">
        <v>56</v>
      </c>
      <c r="O243" t="s">
        <v>57</v>
      </c>
      <c r="Q243" t="s">
        <v>57</v>
      </c>
      <c r="R243" t="s">
        <v>137</v>
      </c>
      <c r="T243" t="s">
        <v>59</v>
      </c>
      <c r="U243" t="s">
        <v>60</v>
      </c>
      <c r="V243" t="s">
        <v>138</v>
      </c>
      <c r="W243" t="s">
        <v>139</v>
      </c>
      <c r="X243">
        <v>1925601</v>
      </c>
      <c r="Y243" s="11">
        <v>44774</v>
      </c>
      <c r="Z243" t="s">
        <v>57</v>
      </c>
      <c r="AA243">
        <v>2</v>
      </c>
      <c r="AB243" t="s">
        <v>57</v>
      </c>
      <c r="AD243" t="s">
        <v>57</v>
      </c>
      <c r="AE243" t="s">
        <v>57</v>
      </c>
      <c r="AF243" t="s">
        <v>57</v>
      </c>
      <c r="AG243">
        <v>15</v>
      </c>
      <c r="AH243" t="s">
        <v>57</v>
      </c>
      <c r="AL243" t="s">
        <v>57</v>
      </c>
      <c r="AM243" s="11">
        <v>44774</v>
      </c>
      <c r="AN243" t="s">
        <v>180</v>
      </c>
      <c r="AO243" t="s">
        <v>65</v>
      </c>
      <c r="AP243">
        <v>1205</v>
      </c>
      <c r="AQ243" t="s">
        <v>66</v>
      </c>
      <c r="AR243">
        <v>267860</v>
      </c>
      <c r="AU243" t="s">
        <v>57</v>
      </c>
      <c r="AV243" t="s">
        <v>68</v>
      </c>
      <c r="AX243" t="s">
        <v>57</v>
      </c>
      <c r="AY243">
        <v>631110</v>
      </c>
      <c r="AZ243">
        <v>1205.63111</v>
      </c>
      <c r="BA243" s="23" t="s">
        <v>13</v>
      </c>
    </row>
    <row r="244" spans="1:53" x14ac:dyDescent="0.25">
      <c r="A244" t="s">
        <v>134</v>
      </c>
      <c r="B244" t="s">
        <v>135</v>
      </c>
      <c r="C244">
        <v>22002342</v>
      </c>
      <c r="D244">
        <v>1205</v>
      </c>
      <c r="E244" s="11">
        <v>44785</v>
      </c>
      <c r="F244" t="s">
        <v>179</v>
      </c>
      <c r="G244" s="25">
        <v>1.81</v>
      </c>
      <c r="H244">
        <v>1.81</v>
      </c>
      <c r="I244" t="s">
        <v>56</v>
      </c>
      <c r="O244" t="s">
        <v>57</v>
      </c>
      <c r="Q244" t="s">
        <v>57</v>
      </c>
      <c r="R244" t="s">
        <v>137</v>
      </c>
      <c r="T244" t="s">
        <v>59</v>
      </c>
      <c r="U244" t="s">
        <v>60</v>
      </c>
      <c r="V244" t="s">
        <v>138</v>
      </c>
      <c r="W244" t="s">
        <v>139</v>
      </c>
      <c r="X244">
        <v>1930745</v>
      </c>
      <c r="Y244" s="11">
        <v>44785</v>
      </c>
      <c r="Z244" t="s">
        <v>57</v>
      </c>
      <c r="AA244">
        <v>14</v>
      </c>
      <c r="AB244" t="s">
        <v>57</v>
      </c>
      <c r="AD244" t="s">
        <v>57</v>
      </c>
      <c r="AE244" t="s">
        <v>57</v>
      </c>
      <c r="AF244" t="s">
        <v>57</v>
      </c>
      <c r="AG244">
        <v>16</v>
      </c>
      <c r="AH244" t="s">
        <v>57</v>
      </c>
      <c r="AL244" t="s">
        <v>57</v>
      </c>
      <c r="AM244" s="11">
        <v>44785</v>
      </c>
      <c r="AN244" t="s">
        <v>180</v>
      </c>
      <c r="AO244" t="s">
        <v>65</v>
      </c>
      <c r="AP244">
        <v>1205</v>
      </c>
      <c r="AQ244" t="s">
        <v>66</v>
      </c>
      <c r="AR244">
        <v>265889</v>
      </c>
      <c r="AU244" t="s">
        <v>57</v>
      </c>
      <c r="AV244" t="s">
        <v>68</v>
      </c>
      <c r="AX244" t="s">
        <v>57</v>
      </c>
      <c r="AY244">
        <v>631110</v>
      </c>
      <c r="AZ244">
        <v>1205.63111</v>
      </c>
      <c r="BA244" s="23" t="s">
        <v>13</v>
      </c>
    </row>
    <row r="245" spans="1:53" x14ac:dyDescent="0.25">
      <c r="A245" t="s">
        <v>134</v>
      </c>
      <c r="B245" t="s">
        <v>135</v>
      </c>
      <c r="C245">
        <v>22002264</v>
      </c>
      <c r="D245">
        <v>1205</v>
      </c>
      <c r="E245" s="11">
        <v>44774</v>
      </c>
      <c r="F245" t="s">
        <v>179</v>
      </c>
      <c r="G245" s="25">
        <v>1.84</v>
      </c>
      <c r="H245">
        <v>1.84</v>
      </c>
      <c r="I245" t="s">
        <v>56</v>
      </c>
      <c r="O245" t="s">
        <v>57</v>
      </c>
      <c r="Q245" t="s">
        <v>57</v>
      </c>
      <c r="R245" t="s">
        <v>137</v>
      </c>
      <c r="T245" t="s">
        <v>59</v>
      </c>
      <c r="U245" t="s">
        <v>60</v>
      </c>
      <c r="V245" t="s">
        <v>138</v>
      </c>
      <c r="W245" t="s">
        <v>139</v>
      </c>
      <c r="X245">
        <v>1925601</v>
      </c>
      <c r="Y245" s="11">
        <v>44774</v>
      </c>
      <c r="Z245" t="s">
        <v>57</v>
      </c>
      <c r="AA245">
        <v>20</v>
      </c>
      <c r="AB245" t="s">
        <v>57</v>
      </c>
      <c r="AD245" t="s">
        <v>57</v>
      </c>
      <c r="AE245" t="s">
        <v>57</v>
      </c>
      <c r="AF245" t="s">
        <v>57</v>
      </c>
      <c r="AG245">
        <v>12</v>
      </c>
      <c r="AH245" t="s">
        <v>57</v>
      </c>
      <c r="AL245" t="s">
        <v>57</v>
      </c>
      <c r="AM245" s="11">
        <v>44774</v>
      </c>
      <c r="AN245" t="s">
        <v>180</v>
      </c>
      <c r="AO245" t="s">
        <v>65</v>
      </c>
      <c r="AP245">
        <v>1205</v>
      </c>
      <c r="AQ245" t="s">
        <v>66</v>
      </c>
      <c r="AR245">
        <v>89715</v>
      </c>
      <c r="AU245" t="s">
        <v>57</v>
      </c>
      <c r="AV245" t="s">
        <v>68</v>
      </c>
      <c r="AX245" t="s">
        <v>57</v>
      </c>
      <c r="AY245">
        <v>631110</v>
      </c>
      <c r="AZ245">
        <v>1205.63111</v>
      </c>
      <c r="BA245" s="23" t="s">
        <v>13</v>
      </c>
    </row>
    <row r="246" spans="1:53" x14ac:dyDescent="0.25">
      <c r="A246" t="s">
        <v>134</v>
      </c>
      <c r="B246" t="s">
        <v>135</v>
      </c>
      <c r="C246">
        <v>22002325</v>
      </c>
      <c r="D246">
        <v>1205</v>
      </c>
      <c r="E246" s="11">
        <v>44783</v>
      </c>
      <c r="F246" t="s">
        <v>179</v>
      </c>
      <c r="G246" s="25">
        <v>1.85</v>
      </c>
      <c r="H246">
        <v>1.85</v>
      </c>
      <c r="I246" t="s">
        <v>56</v>
      </c>
      <c r="O246" t="s">
        <v>57</v>
      </c>
      <c r="Q246" t="s">
        <v>57</v>
      </c>
      <c r="R246" t="s">
        <v>137</v>
      </c>
      <c r="T246" t="s">
        <v>59</v>
      </c>
      <c r="U246" t="s">
        <v>60</v>
      </c>
      <c r="V246" t="s">
        <v>138</v>
      </c>
      <c r="W246" t="s">
        <v>139</v>
      </c>
      <c r="X246">
        <v>1930357</v>
      </c>
      <c r="Y246" s="11">
        <v>44783</v>
      </c>
      <c r="Z246" t="s">
        <v>57</v>
      </c>
      <c r="AA246">
        <v>36</v>
      </c>
      <c r="AB246" t="s">
        <v>57</v>
      </c>
      <c r="AD246" t="s">
        <v>57</v>
      </c>
      <c r="AE246" t="s">
        <v>57</v>
      </c>
      <c r="AF246" t="s">
        <v>57</v>
      </c>
      <c r="AG246">
        <v>12</v>
      </c>
      <c r="AH246" t="s">
        <v>57</v>
      </c>
      <c r="AL246" t="s">
        <v>57</v>
      </c>
      <c r="AM246" s="11">
        <v>44783</v>
      </c>
      <c r="AN246" t="s">
        <v>180</v>
      </c>
      <c r="AO246" t="s">
        <v>65</v>
      </c>
      <c r="AP246">
        <v>1205</v>
      </c>
      <c r="AQ246" t="s">
        <v>66</v>
      </c>
      <c r="AR246">
        <v>89712</v>
      </c>
      <c r="AU246" t="s">
        <v>57</v>
      </c>
      <c r="AV246" t="s">
        <v>68</v>
      </c>
      <c r="AX246" t="s">
        <v>57</v>
      </c>
      <c r="AY246">
        <v>631110</v>
      </c>
      <c r="AZ246">
        <v>1205.63111</v>
      </c>
      <c r="BA246" s="23" t="s">
        <v>13</v>
      </c>
    </row>
    <row r="247" spans="1:53" x14ac:dyDescent="0.25">
      <c r="A247" t="s">
        <v>134</v>
      </c>
      <c r="B247" t="s">
        <v>135</v>
      </c>
      <c r="C247">
        <v>22002342</v>
      </c>
      <c r="D247">
        <v>1205</v>
      </c>
      <c r="E247" s="11">
        <v>44785</v>
      </c>
      <c r="F247" t="s">
        <v>179</v>
      </c>
      <c r="G247" s="25">
        <v>1.85</v>
      </c>
      <c r="H247">
        <v>1.85</v>
      </c>
      <c r="I247" t="s">
        <v>56</v>
      </c>
      <c r="O247" t="s">
        <v>57</v>
      </c>
      <c r="Q247" t="s">
        <v>57</v>
      </c>
      <c r="R247" t="s">
        <v>137</v>
      </c>
      <c r="T247" t="s">
        <v>59</v>
      </c>
      <c r="U247" t="s">
        <v>60</v>
      </c>
      <c r="V247" t="s">
        <v>138</v>
      </c>
      <c r="W247" t="s">
        <v>139</v>
      </c>
      <c r="X247">
        <v>1930745</v>
      </c>
      <c r="Y247" s="11">
        <v>44785</v>
      </c>
      <c r="Z247" t="s">
        <v>57</v>
      </c>
      <c r="AA247">
        <v>18</v>
      </c>
      <c r="AB247" t="s">
        <v>57</v>
      </c>
      <c r="AD247" t="s">
        <v>57</v>
      </c>
      <c r="AE247" t="s">
        <v>57</v>
      </c>
      <c r="AF247" t="s">
        <v>57</v>
      </c>
      <c r="AG247">
        <v>17</v>
      </c>
      <c r="AH247" t="s">
        <v>57</v>
      </c>
      <c r="AL247" t="s">
        <v>57</v>
      </c>
      <c r="AM247" s="11">
        <v>44785</v>
      </c>
      <c r="AN247" t="s">
        <v>180</v>
      </c>
      <c r="AO247" t="s">
        <v>65</v>
      </c>
      <c r="AP247">
        <v>1205</v>
      </c>
      <c r="AQ247" t="s">
        <v>66</v>
      </c>
      <c r="AR247">
        <v>90435</v>
      </c>
      <c r="AU247" t="s">
        <v>57</v>
      </c>
      <c r="AV247" t="s">
        <v>68</v>
      </c>
      <c r="AX247" t="s">
        <v>57</v>
      </c>
      <c r="AY247">
        <v>631110</v>
      </c>
      <c r="AZ247">
        <v>1205.63111</v>
      </c>
      <c r="BA247" s="23" t="s">
        <v>13</v>
      </c>
    </row>
    <row r="248" spans="1:53" x14ac:dyDescent="0.25">
      <c r="A248" t="s">
        <v>134</v>
      </c>
      <c r="B248" t="s">
        <v>135</v>
      </c>
      <c r="C248">
        <v>22002360</v>
      </c>
      <c r="D248">
        <v>1205</v>
      </c>
      <c r="E248" s="11">
        <v>44789</v>
      </c>
      <c r="F248" t="s">
        <v>307</v>
      </c>
      <c r="G248" s="25">
        <v>1.85</v>
      </c>
      <c r="H248">
        <v>1.85</v>
      </c>
      <c r="I248" t="s">
        <v>56</v>
      </c>
      <c r="O248" t="s">
        <v>57</v>
      </c>
      <c r="Q248" t="s">
        <v>57</v>
      </c>
      <c r="R248" t="s">
        <v>137</v>
      </c>
      <c r="T248" t="s">
        <v>59</v>
      </c>
      <c r="U248" t="s">
        <v>60</v>
      </c>
      <c r="V248" t="s">
        <v>138</v>
      </c>
      <c r="W248" t="s">
        <v>139</v>
      </c>
      <c r="X248">
        <v>1933172</v>
      </c>
      <c r="Y248" s="11">
        <v>44789</v>
      </c>
      <c r="Z248" t="s">
        <v>57</v>
      </c>
      <c r="AA248">
        <v>18</v>
      </c>
      <c r="AB248" t="s">
        <v>57</v>
      </c>
      <c r="AD248" t="s">
        <v>57</v>
      </c>
      <c r="AE248" t="s">
        <v>57</v>
      </c>
      <c r="AF248" t="s">
        <v>57</v>
      </c>
      <c r="AG248">
        <v>17</v>
      </c>
      <c r="AH248" t="s">
        <v>57</v>
      </c>
      <c r="AL248" t="s">
        <v>57</v>
      </c>
      <c r="AM248" s="11">
        <v>44789</v>
      </c>
      <c r="AN248" t="s">
        <v>180</v>
      </c>
      <c r="AO248" t="s">
        <v>65</v>
      </c>
      <c r="AP248">
        <v>1205</v>
      </c>
      <c r="AQ248" t="s">
        <v>66</v>
      </c>
      <c r="AR248">
        <v>90435</v>
      </c>
      <c r="AU248" t="s">
        <v>57</v>
      </c>
      <c r="AV248" t="s">
        <v>68</v>
      </c>
      <c r="AX248" t="s">
        <v>57</v>
      </c>
      <c r="AY248">
        <v>631110</v>
      </c>
      <c r="AZ248">
        <v>1205.63111</v>
      </c>
      <c r="BA248" s="23" t="s">
        <v>13</v>
      </c>
    </row>
    <row r="249" spans="1:53" x14ac:dyDescent="0.25">
      <c r="A249" t="s">
        <v>134</v>
      </c>
      <c r="B249" t="s">
        <v>135</v>
      </c>
      <c r="C249">
        <v>22002316</v>
      </c>
      <c r="D249">
        <v>1205</v>
      </c>
      <c r="E249" s="11">
        <v>44782</v>
      </c>
      <c r="F249" t="s">
        <v>174</v>
      </c>
      <c r="G249" s="25">
        <v>1.86</v>
      </c>
      <c r="H249">
        <v>1.86</v>
      </c>
      <c r="I249" t="s">
        <v>56</v>
      </c>
      <c r="O249" t="s">
        <v>57</v>
      </c>
      <c r="Q249" t="s">
        <v>57</v>
      </c>
      <c r="R249" t="s">
        <v>137</v>
      </c>
      <c r="T249" t="s">
        <v>59</v>
      </c>
      <c r="U249" t="s">
        <v>60</v>
      </c>
      <c r="V249" t="s">
        <v>138</v>
      </c>
      <c r="W249" t="s">
        <v>139</v>
      </c>
      <c r="X249">
        <v>1929847</v>
      </c>
      <c r="Y249" s="11">
        <v>44782</v>
      </c>
      <c r="Z249" t="s">
        <v>57</v>
      </c>
      <c r="AA249">
        <v>30</v>
      </c>
      <c r="AB249" t="s">
        <v>57</v>
      </c>
      <c r="AD249" t="s">
        <v>57</v>
      </c>
      <c r="AE249" t="s">
        <v>57</v>
      </c>
      <c r="AF249" t="s">
        <v>57</v>
      </c>
      <c r="AG249">
        <v>1</v>
      </c>
      <c r="AH249" t="s">
        <v>57</v>
      </c>
      <c r="AL249" t="s">
        <v>57</v>
      </c>
      <c r="AM249" s="11">
        <v>44782</v>
      </c>
      <c r="AN249" t="s">
        <v>178</v>
      </c>
      <c r="AO249" t="s">
        <v>65</v>
      </c>
      <c r="AP249">
        <v>1205</v>
      </c>
      <c r="AQ249" t="s">
        <v>66</v>
      </c>
      <c r="AR249">
        <v>270192</v>
      </c>
      <c r="AU249" t="s">
        <v>57</v>
      </c>
      <c r="AV249" t="s">
        <v>68</v>
      </c>
      <c r="AX249" t="s">
        <v>57</v>
      </c>
      <c r="AY249">
        <v>631110</v>
      </c>
      <c r="AZ249">
        <v>1205.63111</v>
      </c>
      <c r="BA249" s="23" t="s">
        <v>13</v>
      </c>
    </row>
    <row r="250" spans="1:53" x14ac:dyDescent="0.25">
      <c r="A250" t="s">
        <v>134</v>
      </c>
      <c r="B250" t="s">
        <v>135</v>
      </c>
      <c r="C250">
        <v>22002305</v>
      </c>
      <c r="D250">
        <v>1205</v>
      </c>
      <c r="E250" s="11">
        <v>44778</v>
      </c>
      <c r="F250" t="s">
        <v>174</v>
      </c>
      <c r="G250" s="25">
        <v>1.95</v>
      </c>
      <c r="H250">
        <v>1.95</v>
      </c>
      <c r="I250" t="s">
        <v>56</v>
      </c>
      <c r="O250" t="s">
        <v>57</v>
      </c>
      <c r="Q250" t="s">
        <v>57</v>
      </c>
      <c r="R250" t="s">
        <v>137</v>
      </c>
      <c r="T250" t="s">
        <v>59</v>
      </c>
      <c r="U250" t="s">
        <v>60</v>
      </c>
      <c r="V250" t="s">
        <v>138</v>
      </c>
      <c r="W250" t="s">
        <v>139</v>
      </c>
      <c r="X250">
        <v>1928765</v>
      </c>
      <c r="Y250" s="11">
        <v>44778</v>
      </c>
      <c r="Z250" t="s">
        <v>57</v>
      </c>
      <c r="AA250">
        <v>2</v>
      </c>
      <c r="AB250" t="s">
        <v>57</v>
      </c>
      <c r="AD250" t="s">
        <v>57</v>
      </c>
      <c r="AE250" t="s">
        <v>57</v>
      </c>
      <c r="AF250" t="s">
        <v>57</v>
      </c>
      <c r="AG250">
        <v>2</v>
      </c>
      <c r="AH250" t="s">
        <v>57</v>
      </c>
      <c r="AL250" t="s">
        <v>57</v>
      </c>
      <c r="AM250" s="11">
        <v>44778</v>
      </c>
      <c r="AN250" t="s">
        <v>178</v>
      </c>
      <c r="AO250" t="s">
        <v>65</v>
      </c>
      <c r="AP250">
        <v>1205</v>
      </c>
      <c r="AQ250" t="s">
        <v>66</v>
      </c>
      <c r="AR250">
        <v>89486</v>
      </c>
      <c r="AU250" t="s">
        <v>57</v>
      </c>
      <c r="AV250" t="s">
        <v>68</v>
      </c>
      <c r="AX250" t="s">
        <v>57</v>
      </c>
      <c r="AY250">
        <v>631110</v>
      </c>
      <c r="AZ250">
        <v>1205.63111</v>
      </c>
      <c r="BA250" s="23" t="s">
        <v>13</v>
      </c>
    </row>
    <row r="251" spans="1:53" x14ac:dyDescent="0.25">
      <c r="A251" t="s">
        <v>134</v>
      </c>
      <c r="B251" t="s">
        <v>135</v>
      </c>
      <c r="C251">
        <v>22002264</v>
      </c>
      <c r="D251">
        <v>1205</v>
      </c>
      <c r="E251" s="11">
        <v>44774</v>
      </c>
      <c r="F251" t="s">
        <v>179</v>
      </c>
      <c r="G251" s="25">
        <v>1.98</v>
      </c>
      <c r="H251">
        <v>1.98</v>
      </c>
      <c r="I251" t="s">
        <v>56</v>
      </c>
      <c r="O251" t="s">
        <v>57</v>
      </c>
      <c r="Q251" t="s">
        <v>57</v>
      </c>
      <c r="R251" t="s">
        <v>137</v>
      </c>
      <c r="T251" t="s">
        <v>59</v>
      </c>
      <c r="U251" t="s">
        <v>60</v>
      </c>
      <c r="V251" t="s">
        <v>138</v>
      </c>
      <c r="W251" t="s">
        <v>139</v>
      </c>
      <c r="X251">
        <v>1925601</v>
      </c>
      <c r="Y251" s="11">
        <v>44774</v>
      </c>
      <c r="Z251" t="s">
        <v>57</v>
      </c>
      <c r="AA251">
        <v>10</v>
      </c>
      <c r="AB251" t="s">
        <v>57</v>
      </c>
      <c r="AD251" t="s">
        <v>57</v>
      </c>
      <c r="AE251" t="s">
        <v>57</v>
      </c>
      <c r="AF251" t="s">
        <v>57</v>
      </c>
      <c r="AG251">
        <v>18</v>
      </c>
      <c r="AH251" t="s">
        <v>57</v>
      </c>
      <c r="AL251" t="s">
        <v>57</v>
      </c>
      <c r="AM251" s="11">
        <v>44774</v>
      </c>
      <c r="AN251" t="s">
        <v>180</v>
      </c>
      <c r="AO251" t="s">
        <v>65</v>
      </c>
      <c r="AP251">
        <v>1205</v>
      </c>
      <c r="AQ251" t="s">
        <v>66</v>
      </c>
      <c r="AR251">
        <v>90435</v>
      </c>
      <c r="AU251" t="s">
        <v>57</v>
      </c>
      <c r="AV251" t="s">
        <v>68</v>
      </c>
      <c r="AX251" t="s">
        <v>57</v>
      </c>
      <c r="AY251">
        <v>631110</v>
      </c>
      <c r="AZ251">
        <v>1205.63111</v>
      </c>
      <c r="BA251" s="23" t="s">
        <v>13</v>
      </c>
    </row>
    <row r="252" spans="1:53" x14ac:dyDescent="0.25">
      <c r="A252" t="s">
        <v>134</v>
      </c>
      <c r="B252" t="s">
        <v>135</v>
      </c>
      <c r="C252">
        <v>22002318</v>
      </c>
      <c r="D252">
        <v>1205</v>
      </c>
      <c r="E252" s="11">
        <v>44782</v>
      </c>
      <c r="F252" t="s">
        <v>179</v>
      </c>
      <c r="G252" s="25">
        <v>1.99</v>
      </c>
      <c r="H252">
        <v>1.99</v>
      </c>
      <c r="I252" t="s">
        <v>56</v>
      </c>
      <c r="O252" t="s">
        <v>57</v>
      </c>
      <c r="Q252" t="s">
        <v>57</v>
      </c>
      <c r="R252" t="s">
        <v>137</v>
      </c>
      <c r="T252" t="s">
        <v>59</v>
      </c>
      <c r="U252" t="s">
        <v>60</v>
      </c>
      <c r="V252" t="s">
        <v>138</v>
      </c>
      <c r="W252" t="s">
        <v>139</v>
      </c>
      <c r="X252">
        <v>1929852</v>
      </c>
      <c r="Y252" s="11">
        <v>44782</v>
      </c>
      <c r="Z252" t="s">
        <v>57</v>
      </c>
      <c r="AA252">
        <v>34</v>
      </c>
      <c r="AB252" t="s">
        <v>57</v>
      </c>
      <c r="AD252" t="s">
        <v>57</v>
      </c>
      <c r="AE252" t="s">
        <v>57</v>
      </c>
      <c r="AF252" t="s">
        <v>57</v>
      </c>
      <c r="AG252">
        <v>13</v>
      </c>
      <c r="AH252" t="s">
        <v>57</v>
      </c>
      <c r="AL252" t="s">
        <v>57</v>
      </c>
      <c r="AM252" s="11">
        <v>44782</v>
      </c>
      <c r="AN252" t="s">
        <v>180</v>
      </c>
      <c r="AO252" t="s">
        <v>65</v>
      </c>
      <c r="AP252">
        <v>1205</v>
      </c>
      <c r="AQ252" t="s">
        <v>66</v>
      </c>
      <c r="AR252">
        <v>89715</v>
      </c>
      <c r="AU252" t="s">
        <v>57</v>
      </c>
      <c r="AV252" t="s">
        <v>68</v>
      </c>
      <c r="AX252" t="s">
        <v>57</v>
      </c>
      <c r="AY252">
        <v>631110</v>
      </c>
      <c r="AZ252">
        <v>1205.63111</v>
      </c>
      <c r="BA252" s="23" t="s">
        <v>13</v>
      </c>
    </row>
    <row r="253" spans="1:53" x14ac:dyDescent="0.25">
      <c r="A253" t="s">
        <v>134</v>
      </c>
      <c r="B253" t="s">
        <v>135</v>
      </c>
      <c r="C253">
        <v>22002316</v>
      </c>
      <c r="D253">
        <v>1205</v>
      </c>
      <c r="E253" s="11">
        <v>44782</v>
      </c>
      <c r="F253" t="s">
        <v>174</v>
      </c>
      <c r="G253" s="25">
        <v>2.02</v>
      </c>
      <c r="H253">
        <v>2.02</v>
      </c>
      <c r="I253" t="s">
        <v>56</v>
      </c>
      <c r="O253" t="s">
        <v>57</v>
      </c>
      <c r="Q253" t="s">
        <v>57</v>
      </c>
      <c r="R253" t="s">
        <v>137</v>
      </c>
      <c r="T253" t="s">
        <v>59</v>
      </c>
      <c r="U253" t="s">
        <v>60</v>
      </c>
      <c r="V253" t="s">
        <v>138</v>
      </c>
      <c r="W253" t="s">
        <v>139</v>
      </c>
      <c r="X253">
        <v>1929847</v>
      </c>
      <c r="Y253" s="11">
        <v>44782</v>
      </c>
      <c r="Z253" t="s">
        <v>57</v>
      </c>
      <c r="AA253">
        <v>10</v>
      </c>
      <c r="AB253" t="s">
        <v>57</v>
      </c>
      <c r="AD253" t="s">
        <v>57</v>
      </c>
      <c r="AE253" t="s">
        <v>57</v>
      </c>
      <c r="AF253" t="s">
        <v>57</v>
      </c>
      <c r="AG253">
        <v>1</v>
      </c>
      <c r="AH253" t="s">
        <v>57</v>
      </c>
      <c r="AL253" t="s">
        <v>57</v>
      </c>
      <c r="AM253" s="11">
        <v>44782</v>
      </c>
      <c r="AN253" t="s">
        <v>178</v>
      </c>
      <c r="AO253" t="s">
        <v>65</v>
      </c>
      <c r="AP253">
        <v>1205</v>
      </c>
      <c r="AQ253" t="s">
        <v>66</v>
      </c>
      <c r="AR253">
        <v>250199</v>
      </c>
      <c r="AU253" t="s">
        <v>57</v>
      </c>
      <c r="AV253" t="s">
        <v>68</v>
      </c>
      <c r="AX253" t="s">
        <v>57</v>
      </c>
      <c r="AY253">
        <v>631110</v>
      </c>
      <c r="AZ253">
        <v>1205.63111</v>
      </c>
      <c r="BA253" s="23" t="s">
        <v>13</v>
      </c>
    </row>
    <row r="254" spans="1:53" x14ac:dyDescent="0.25">
      <c r="A254" t="s">
        <v>134</v>
      </c>
      <c r="B254" t="s">
        <v>135</v>
      </c>
      <c r="C254">
        <v>22002366</v>
      </c>
      <c r="D254">
        <v>1205</v>
      </c>
      <c r="E254" s="11">
        <v>44791</v>
      </c>
      <c r="F254" t="s">
        <v>174</v>
      </c>
      <c r="G254" s="25">
        <v>2.0299999999999998</v>
      </c>
      <c r="H254">
        <v>2.0299999999999998</v>
      </c>
      <c r="I254" t="s">
        <v>56</v>
      </c>
      <c r="O254" t="s">
        <v>57</v>
      </c>
      <c r="Q254" t="s">
        <v>57</v>
      </c>
      <c r="R254" t="s">
        <v>137</v>
      </c>
      <c r="T254" t="s">
        <v>59</v>
      </c>
      <c r="U254" t="s">
        <v>60</v>
      </c>
      <c r="V254" t="s">
        <v>138</v>
      </c>
      <c r="W254" t="s">
        <v>139</v>
      </c>
      <c r="X254">
        <v>1933538</v>
      </c>
      <c r="Y254" s="11">
        <v>44791</v>
      </c>
      <c r="Z254" t="s">
        <v>57</v>
      </c>
      <c r="AA254">
        <v>2</v>
      </c>
      <c r="AB254" t="s">
        <v>57</v>
      </c>
      <c r="AD254" t="s">
        <v>57</v>
      </c>
      <c r="AE254" t="s">
        <v>57</v>
      </c>
      <c r="AF254" t="s">
        <v>57</v>
      </c>
      <c r="AG254">
        <v>2</v>
      </c>
      <c r="AH254" t="s">
        <v>57</v>
      </c>
      <c r="AL254" t="s">
        <v>57</v>
      </c>
      <c r="AM254" s="11">
        <v>44791</v>
      </c>
      <c r="AN254" t="s">
        <v>178</v>
      </c>
      <c r="AO254" t="s">
        <v>65</v>
      </c>
      <c r="AP254">
        <v>1205</v>
      </c>
      <c r="AQ254" t="s">
        <v>66</v>
      </c>
      <c r="AR254">
        <v>88782</v>
      </c>
      <c r="AU254" t="s">
        <v>57</v>
      </c>
      <c r="AV254" t="s">
        <v>68</v>
      </c>
      <c r="AX254" t="s">
        <v>57</v>
      </c>
      <c r="AY254">
        <v>631110</v>
      </c>
      <c r="AZ254">
        <v>1205.63111</v>
      </c>
      <c r="BA254" s="23" t="s">
        <v>13</v>
      </c>
    </row>
    <row r="255" spans="1:53" x14ac:dyDescent="0.25">
      <c r="A255" t="s">
        <v>134</v>
      </c>
      <c r="B255" t="s">
        <v>135</v>
      </c>
      <c r="C255">
        <v>22002287</v>
      </c>
      <c r="D255">
        <v>1205</v>
      </c>
      <c r="E255" s="11">
        <v>44777</v>
      </c>
      <c r="F255" t="s">
        <v>174</v>
      </c>
      <c r="G255" s="25">
        <v>2.04</v>
      </c>
      <c r="H255">
        <v>2.04</v>
      </c>
      <c r="I255" t="s">
        <v>56</v>
      </c>
      <c r="O255" t="s">
        <v>57</v>
      </c>
      <c r="Q255" t="s">
        <v>57</v>
      </c>
      <c r="R255" t="s">
        <v>137</v>
      </c>
      <c r="T255" t="s">
        <v>59</v>
      </c>
      <c r="U255" t="s">
        <v>60</v>
      </c>
      <c r="V255" t="s">
        <v>138</v>
      </c>
      <c r="W255" t="s">
        <v>139</v>
      </c>
      <c r="X255">
        <v>1927360</v>
      </c>
      <c r="Y255" s="11">
        <v>44777</v>
      </c>
      <c r="Z255" t="s">
        <v>57</v>
      </c>
      <c r="AA255">
        <v>14</v>
      </c>
      <c r="AB255" t="s">
        <v>57</v>
      </c>
      <c r="AD255" t="s">
        <v>57</v>
      </c>
      <c r="AE255" t="s">
        <v>57</v>
      </c>
      <c r="AF255" t="s">
        <v>57</v>
      </c>
      <c r="AG255">
        <v>1</v>
      </c>
      <c r="AH255" t="s">
        <v>57</v>
      </c>
      <c r="AL255" t="s">
        <v>57</v>
      </c>
      <c r="AM255" s="11">
        <v>44777</v>
      </c>
      <c r="AN255" t="s">
        <v>178</v>
      </c>
      <c r="AO255" t="s">
        <v>65</v>
      </c>
      <c r="AP255">
        <v>1205</v>
      </c>
      <c r="AQ255" t="s">
        <v>66</v>
      </c>
      <c r="AR255">
        <v>250199</v>
      </c>
      <c r="AU255" t="s">
        <v>57</v>
      </c>
      <c r="AV255" t="s">
        <v>68</v>
      </c>
      <c r="AX255" t="s">
        <v>57</v>
      </c>
      <c r="AY255">
        <v>631110</v>
      </c>
      <c r="AZ255">
        <v>1205.63111</v>
      </c>
      <c r="BA255" s="23" t="s">
        <v>13</v>
      </c>
    </row>
    <row r="256" spans="1:53" x14ac:dyDescent="0.25">
      <c r="A256" t="s">
        <v>134</v>
      </c>
      <c r="B256" t="s">
        <v>135</v>
      </c>
      <c r="C256">
        <v>22002311</v>
      </c>
      <c r="D256">
        <v>1205</v>
      </c>
      <c r="E256" s="11">
        <v>44781</v>
      </c>
      <c r="F256" t="s">
        <v>174</v>
      </c>
      <c r="G256" s="25">
        <v>2.04</v>
      </c>
      <c r="H256">
        <v>2.04</v>
      </c>
      <c r="I256" t="s">
        <v>56</v>
      </c>
      <c r="O256" t="s">
        <v>57</v>
      </c>
      <c r="Q256" t="s">
        <v>57</v>
      </c>
      <c r="R256" t="s">
        <v>137</v>
      </c>
      <c r="T256" t="s">
        <v>59</v>
      </c>
      <c r="U256" t="s">
        <v>60</v>
      </c>
      <c r="V256" t="s">
        <v>138</v>
      </c>
      <c r="W256" t="s">
        <v>139</v>
      </c>
      <c r="X256">
        <v>1928974</v>
      </c>
      <c r="Y256" s="11">
        <v>44781</v>
      </c>
      <c r="Z256" t="s">
        <v>57</v>
      </c>
      <c r="AA256">
        <v>20</v>
      </c>
      <c r="AB256" t="s">
        <v>57</v>
      </c>
      <c r="AD256" t="s">
        <v>57</v>
      </c>
      <c r="AE256" t="s">
        <v>57</v>
      </c>
      <c r="AF256" t="s">
        <v>57</v>
      </c>
      <c r="AG256">
        <v>2</v>
      </c>
      <c r="AH256" t="s">
        <v>57</v>
      </c>
      <c r="AL256" t="s">
        <v>57</v>
      </c>
      <c r="AM256" s="11">
        <v>44781</v>
      </c>
      <c r="AN256" t="s">
        <v>178</v>
      </c>
      <c r="AO256" t="s">
        <v>65</v>
      </c>
      <c r="AP256">
        <v>1205</v>
      </c>
      <c r="AQ256" t="s">
        <v>66</v>
      </c>
      <c r="AR256">
        <v>89576</v>
      </c>
      <c r="AU256" t="s">
        <v>57</v>
      </c>
      <c r="AV256" t="s">
        <v>68</v>
      </c>
      <c r="AX256" t="s">
        <v>57</v>
      </c>
      <c r="AY256">
        <v>631110</v>
      </c>
      <c r="AZ256">
        <v>1205.63111</v>
      </c>
      <c r="BA256" s="23" t="s">
        <v>13</v>
      </c>
    </row>
    <row r="257" spans="1:53" x14ac:dyDescent="0.25">
      <c r="A257" t="s">
        <v>134</v>
      </c>
      <c r="B257" t="s">
        <v>135</v>
      </c>
      <c r="C257">
        <v>22002321</v>
      </c>
      <c r="D257">
        <v>1205</v>
      </c>
      <c r="E257" s="11">
        <v>44783</v>
      </c>
      <c r="F257" t="s">
        <v>174</v>
      </c>
      <c r="G257" s="25">
        <v>2.06</v>
      </c>
      <c r="H257">
        <v>2.06</v>
      </c>
      <c r="I257" t="s">
        <v>56</v>
      </c>
      <c r="O257" t="s">
        <v>57</v>
      </c>
      <c r="Q257" t="s">
        <v>57</v>
      </c>
      <c r="R257" t="s">
        <v>137</v>
      </c>
      <c r="T257" t="s">
        <v>59</v>
      </c>
      <c r="U257" t="s">
        <v>60</v>
      </c>
      <c r="V257" t="s">
        <v>138</v>
      </c>
      <c r="W257" t="s">
        <v>139</v>
      </c>
      <c r="X257">
        <v>1929887</v>
      </c>
      <c r="Y257" s="11">
        <v>44783</v>
      </c>
      <c r="Z257" t="s">
        <v>57</v>
      </c>
      <c r="AA257">
        <v>2</v>
      </c>
      <c r="AB257" t="s">
        <v>57</v>
      </c>
      <c r="AD257" t="s">
        <v>57</v>
      </c>
      <c r="AE257" t="s">
        <v>57</v>
      </c>
      <c r="AF257" t="s">
        <v>57</v>
      </c>
      <c r="AG257">
        <v>2</v>
      </c>
      <c r="AH257" t="s">
        <v>57</v>
      </c>
      <c r="AL257" t="s">
        <v>57</v>
      </c>
      <c r="AM257" s="11">
        <v>44783</v>
      </c>
      <c r="AN257" t="s">
        <v>178</v>
      </c>
      <c r="AO257" t="s">
        <v>65</v>
      </c>
      <c r="AP257">
        <v>1205</v>
      </c>
      <c r="AQ257" t="s">
        <v>66</v>
      </c>
      <c r="AR257">
        <v>267456</v>
      </c>
      <c r="AU257" t="s">
        <v>57</v>
      </c>
      <c r="AV257" t="s">
        <v>68</v>
      </c>
      <c r="AX257" t="s">
        <v>57</v>
      </c>
      <c r="AY257">
        <v>631110</v>
      </c>
      <c r="AZ257">
        <v>1205.63111</v>
      </c>
      <c r="BA257" s="23" t="s">
        <v>13</v>
      </c>
    </row>
    <row r="258" spans="1:53" x14ac:dyDescent="0.25">
      <c r="A258" t="s">
        <v>134</v>
      </c>
      <c r="B258" t="s">
        <v>135</v>
      </c>
      <c r="C258">
        <v>22002370</v>
      </c>
      <c r="D258">
        <v>1205</v>
      </c>
      <c r="E258" s="11">
        <v>44791</v>
      </c>
      <c r="F258" t="s">
        <v>174</v>
      </c>
      <c r="G258" s="25">
        <v>2.09</v>
      </c>
      <c r="H258">
        <v>2.09</v>
      </c>
      <c r="I258" t="s">
        <v>56</v>
      </c>
      <c r="O258" t="s">
        <v>57</v>
      </c>
      <c r="Q258" t="s">
        <v>57</v>
      </c>
      <c r="R258" t="s">
        <v>137</v>
      </c>
      <c r="T258" t="s">
        <v>59</v>
      </c>
      <c r="U258" t="s">
        <v>60</v>
      </c>
      <c r="V258" t="s">
        <v>138</v>
      </c>
      <c r="W258" t="s">
        <v>139</v>
      </c>
      <c r="X258">
        <v>1933540</v>
      </c>
      <c r="Y258" s="11">
        <v>44791</v>
      </c>
      <c r="Z258" t="s">
        <v>57</v>
      </c>
      <c r="AA258">
        <v>2</v>
      </c>
      <c r="AB258" t="s">
        <v>57</v>
      </c>
      <c r="AD258" t="s">
        <v>57</v>
      </c>
      <c r="AE258" t="s">
        <v>57</v>
      </c>
      <c r="AF258" t="s">
        <v>57</v>
      </c>
      <c r="AG258">
        <v>1</v>
      </c>
      <c r="AH258" t="s">
        <v>57</v>
      </c>
      <c r="AL258" t="s">
        <v>57</v>
      </c>
      <c r="AM258" s="11">
        <v>44791</v>
      </c>
      <c r="AN258" t="s">
        <v>178</v>
      </c>
      <c r="AO258" t="s">
        <v>65</v>
      </c>
      <c r="AP258">
        <v>1205</v>
      </c>
      <c r="AQ258" t="s">
        <v>66</v>
      </c>
      <c r="AR258">
        <v>88783</v>
      </c>
      <c r="AU258" t="s">
        <v>57</v>
      </c>
      <c r="AV258" t="s">
        <v>68</v>
      </c>
      <c r="AX258" t="s">
        <v>57</v>
      </c>
      <c r="AY258">
        <v>631110</v>
      </c>
      <c r="AZ258">
        <v>1205.63111</v>
      </c>
      <c r="BA258" s="23" t="s">
        <v>13</v>
      </c>
    </row>
    <row r="259" spans="1:53" x14ac:dyDescent="0.25">
      <c r="A259" t="s">
        <v>134</v>
      </c>
      <c r="B259" t="s">
        <v>135</v>
      </c>
      <c r="C259">
        <v>22002267</v>
      </c>
      <c r="D259">
        <v>1205</v>
      </c>
      <c r="E259" s="11">
        <v>44775</v>
      </c>
      <c r="F259" t="s">
        <v>179</v>
      </c>
      <c r="G259" s="25">
        <v>2.14</v>
      </c>
      <c r="H259">
        <v>2.14</v>
      </c>
      <c r="I259" t="s">
        <v>56</v>
      </c>
      <c r="O259" t="s">
        <v>57</v>
      </c>
      <c r="Q259" t="s">
        <v>57</v>
      </c>
      <c r="R259" t="s">
        <v>137</v>
      </c>
      <c r="T259" t="s">
        <v>59</v>
      </c>
      <c r="U259" t="s">
        <v>60</v>
      </c>
      <c r="V259" t="s">
        <v>138</v>
      </c>
      <c r="W259" t="s">
        <v>139</v>
      </c>
      <c r="X259">
        <v>1926658</v>
      </c>
      <c r="Y259" s="11">
        <v>44775</v>
      </c>
      <c r="Z259" t="s">
        <v>57</v>
      </c>
      <c r="AA259">
        <v>28</v>
      </c>
      <c r="AB259" t="s">
        <v>57</v>
      </c>
      <c r="AD259" t="s">
        <v>57</v>
      </c>
      <c r="AE259" t="s">
        <v>57</v>
      </c>
      <c r="AF259" t="s">
        <v>57</v>
      </c>
      <c r="AG259">
        <v>10</v>
      </c>
      <c r="AH259" t="s">
        <v>57</v>
      </c>
      <c r="AL259" t="s">
        <v>57</v>
      </c>
      <c r="AM259" s="11">
        <v>44775</v>
      </c>
      <c r="AN259" t="s">
        <v>180</v>
      </c>
      <c r="AO259" t="s">
        <v>65</v>
      </c>
      <c r="AP259">
        <v>1205</v>
      </c>
      <c r="AQ259" t="s">
        <v>66</v>
      </c>
      <c r="AR259">
        <v>89727</v>
      </c>
      <c r="AU259" t="s">
        <v>57</v>
      </c>
      <c r="AV259" t="s">
        <v>68</v>
      </c>
      <c r="AX259" t="s">
        <v>57</v>
      </c>
      <c r="AY259">
        <v>631110</v>
      </c>
      <c r="AZ259">
        <v>1205.63111</v>
      </c>
      <c r="BA259" s="23" t="s">
        <v>13</v>
      </c>
    </row>
    <row r="260" spans="1:53" x14ac:dyDescent="0.25">
      <c r="A260" t="s">
        <v>134</v>
      </c>
      <c r="B260" t="s">
        <v>135</v>
      </c>
      <c r="C260">
        <v>22002318</v>
      </c>
      <c r="D260">
        <v>1205</v>
      </c>
      <c r="E260" s="11">
        <v>44782</v>
      </c>
      <c r="F260" t="s">
        <v>179</v>
      </c>
      <c r="G260" s="25">
        <v>2.14</v>
      </c>
      <c r="H260">
        <v>2.14</v>
      </c>
      <c r="I260" t="s">
        <v>56</v>
      </c>
      <c r="O260" t="s">
        <v>57</v>
      </c>
      <c r="Q260" t="s">
        <v>57</v>
      </c>
      <c r="R260" t="s">
        <v>137</v>
      </c>
      <c r="T260" t="s">
        <v>59</v>
      </c>
      <c r="U260" t="s">
        <v>60</v>
      </c>
      <c r="V260" t="s">
        <v>138</v>
      </c>
      <c r="W260" t="s">
        <v>139</v>
      </c>
      <c r="X260">
        <v>1929852</v>
      </c>
      <c r="Y260" s="11">
        <v>44782</v>
      </c>
      <c r="Z260" t="s">
        <v>57</v>
      </c>
      <c r="AA260">
        <v>38</v>
      </c>
      <c r="AB260" t="s">
        <v>57</v>
      </c>
      <c r="AD260" t="s">
        <v>57</v>
      </c>
      <c r="AE260" t="s">
        <v>57</v>
      </c>
      <c r="AF260" t="s">
        <v>57</v>
      </c>
      <c r="AG260">
        <v>10</v>
      </c>
      <c r="AH260" t="s">
        <v>57</v>
      </c>
      <c r="AL260" t="s">
        <v>57</v>
      </c>
      <c r="AM260" s="11">
        <v>44782</v>
      </c>
      <c r="AN260" t="s">
        <v>180</v>
      </c>
      <c r="AO260" t="s">
        <v>65</v>
      </c>
      <c r="AP260">
        <v>1205</v>
      </c>
      <c r="AQ260" t="s">
        <v>66</v>
      </c>
      <c r="AR260">
        <v>89727</v>
      </c>
      <c r="AU260" t="s">
        <v>57</v>
      </c>
      <c r="AV260" t="s">
        <v>68</v>
      </c>
      <c r="AX260" t="s">
        <v>57</v>
      </c>
      <c r="AY260">
        <v>631110</v>
      </c>
      <c r="AZ260">
        <v>1205.63111</v>
      </c>
      <c r="BA260" s="23" t="s">
        <v>13</v>
      </c>
    </row>
    <row r="261" spans="1:53" x14ac:dyDescent="0.25">
      <c r="A261" t="s">
        <v>134</v>
      </c>
      <c r="B261" t="s">
        <v>135</v>
      </c>
      <c r="C261">
        <v>22002325</v>
      </c>
      <c r="D261">
        <v>1205</v>
      </c>
      <c r="E261" s="11">
        <v>44783</v>
      </c>
      <c r="F261" t="s">
        <v>179</v>
      </c>
      <c r="G261" s="25">
        <v>2.14</v>
      </c>
      <c r="H261">
        <v>2.14</v>
      </c>
      <c r="I261" t="s">
        <v>56</v>
      </c>
      <c r="O261" t="s">
        <v>57</v>
      </c>
      <c r="Q261" t="s">
        <v>57</v>
      </c>
      <c r="R261" t="s">
        <v>137</v>
      </c>
      <c r="T261" t="s">
        <v>59</v>
      </c>
      <c r="U261" t="s">
        <v>60</v>
      </c>
      <c r="V261" t="s">
        <v>138</v>
      </c>
      <c r="W261" t="s">
        <v>139</v>
      </c>
      <c r="X261">
        <v>1930357</v>
      </c>
      <c r="Y261" s="11">
        <v>44783</v>
      </c>
      <c r="Z261" t="s">
        <v>57</v>
      </c>
      <c r="AA261">
        <v>34</v>
      </c>
      <c r="AB261" t="s">
        <v>57</v>
      </c>
      <c r="AD261" t="s">
        <v>57</v>
      </c>
      <c r="AE261" t="s">
        <v>57</v>
      </c>
      <c r="AF261" t="s">
        <v>57</v>
      </c>
      <c r="AG261">
        <v>10</v>
      </c>
      <c r="AH261" t="s">
        <v>57</v>
      </c>
      <c r="AL261" t="s">
        <v>57</v>
      </c>
      <c r="AM261" s="11">
        <v>44783</v>
      </c>
      <c r="AN261" t="s">
        <v>180</v>
      </c>
      <c r="AO261" t="s">
        <v>65</v>
      </c>
      <c r="AP261">
        <v>1205</v>
      </c>
      <c r="AQ261" t="s">
        <v>66</v>
      </c>
      <c r="AR261">
        <v>89727</v>
      </c>
      <c r="AU261" t="s">
        <v>57</v>
      </c>
      <c r="AV261" t="s">
        <v>68</v>
      </c>
      <c r="AX261" t="s">
        <v>57</v>
      </c>
      <c r="AY261">
        <v>631110</v>
      </c>
      <c r="AZ261">
        <v>1205.63111</v>
      </c>
      <c r="BA261" s="23" t="s">
        <v>13</v>
      </c>
    </row>
    <row r="262" spans="1:53" x14ac:dyDescent="0.25">
      <c r="A262" t="s">
        <v>134</v>
      </c>
      <c r="B262" t="s">
        <v>135</v>
      </c>
      <c r="C262">
        <v>22002360</v>
      </c>
      <c r="D262">
        <v>1205</v>
      </c>
      <c r="E262" s="11">
        <v>44789</v>
      </c>
      <c r="F262" t="s">
        <v>307</v>
      </c>
      <c r="G262" s="25">
        <v>2.14</v>
      </c>
      <c r="H262">
        <v>2.14</v>
      </c>
      <c r="I262" t="s">
        <v>56</v>
      </c>
      <c r="O262" t="s">
        <v>57</v>
      </c>
      <c r="Q262" t="s">
        <v>57</v>
      </c>
      <c r="R262" t="s">
        <v>137</v>
      </c>
      <c r="T262" t="s">
        <v>59</v>
      </c>
      <c r="U262" t="s">
        <v>60</v>
      </c>
      <c r="V262" t="s">
        <v>138</v>
      </c>
      <c r="W262" t="s">
        <v>139</v>
      </c>
      <c r="X262">
        <v>1933172</v>
      </c>
      <c r="Y262" s="11">
        <v>44789</v>
      </c>
      <c r="Z262" t="s">
        <v>57</v>
      </c>
      <c r="AA262">
        <v>34</v>
      </c>
      <c r="AB262" t="s">
        <v>57</v>
      </c>
      <c r="AD262" t="s">
        <v>57</v>
      </c>
      <c r="AE262" t="s">
        <v>57</v>
      </c>
      <c r="AF262" t="s">
        <v>57</v>
      </c>
      <c r="AG262">
        <v>10</v>
      </c>
      <c r="AH262" t="s">
        <v>57</v>
      </c>
      <c r="AL262" t="s">
        <v>57</v>
      </c>
      <c r="AM262" s="11">
        <v>44789</v>
      </c>
      <c r="AN262" t="s">
        <v>180</v>
      </c>
      <c r="AO262" t="s">
        <v>65</v>
      </c>
      <c r="AP262">
        <v>1205</v>
      </c>
      <c r="AQ262" t="s">
        <v>66</v>
      </c>
      <c r="AR262">
        <v>89727</v>
      </c>
      <c r="AU262" t="s">
        <v>57</v>
      </c>
      <c r="AV262" t="s">
        <v>68</v>
      </c>
      <c r="AX262" t="s">
        <v>57</v>
      </c>
      <c r="AY262">
        <v>631110</v>
      </c>
      <c r="AZ262">
        <v>1205.63111</v>
      </c>
      <c r="BA262" s="23" t="s">
        <v>13</v>
      </c>
    </row>
    <row r="263" spans="1:53" x14ac:dyDescent="0.25">
      <c r="A263" t="s">
        <v>134</v>
      </c>
      <c r="B263" t="s">
        <v>135</v>
      </c>
      <c r="C263">
        <v>22002295</v>
      </c>
      <c r="D263">
        <v>1205</v>
      </c>
      <c r="E263" s="11">
        <v>44777</v>
      </c>
      <c r="F263" t="s">
        <v>179</v>
      </c>
      <c r="G263" s="25">
        <v>2.16</v>
      </c>
      <c r="H263">
        <v>2.16</v>
      </c>
      <c r="I263" t="s">
        <v>56</v>
      </c>
      <c r="O263" t="s">
        <v>57</v>
      </c>
      <c r="Q263" t="s">
        <v>57</v>
      </c>
      <c r="R263" t="s">
        <v>137</v>
      </c>
      <c r="T263" t="s">
        <v>59</v>
      </c>
      <c r="U263" t="s">
        <v>60</v>
      </c>
      <c r="V263" t="s">
        <v>138</v>
      </c>
      <c r="W263" t="s">
        <v>139</v>
      </c>
      <c r="X263">
        <v>1927636</v>
      </c>
      <c r="Y263" s="11">
        <v>44777</v>
      </c>
      <c r="Z263" t="s">
        <v>57</v>
      </c>
      <c r="AA263">
        <v>10</v>
      </c>
      <c r="AB263" t="s">
        <v>57</v>
      </c>
      <c r="AD263" t="s">
        <v>57</v>
      </c>
      <c r="AE263" t="s">
        <v>57</v>
      </c>
      <c r="AF263" t="s">
        <v>57</v>
      </c>
      <c r="AG263">
        <v>20</v>
      </c>
      <c r="AH263" t="s">
        <v>57</v>
      </c>
      <c r="AL263" t="s">
        <v>57</v>
      </c>
      <c r="AM263" s="11">
        <v>44777</v>
      </c>
      <c r="AN263" t="s">
        <v>180</v>
      </c>
      <c r="AO263" t="s">
        <v>65</v>
      </c>
      <c r="AP263">
        <v>1205</v>
      </c>
      <c r="AQ263" t="s">
        <v>66</v>
      </c>
      <c r="AR263">
        <v>265267</v>
      </c>
      <c r="AU263" t="s">
        <v>57</v>
      </c>
      <c r="AV263" t="s">
        <v>68</v>
      </c>
      <c r="AX263" t="s">
        <v>57</v>
      </c>
      <c r="AY263">
        <v>631110</v>
      </c>
      <c r="AZ263">
        <v>1205.63111</v>
      </c>
      <c r="BA263" s="23" t="s">
        <v>13</v>
      </c>
    </row>
    <row r="264" spans="1:53" x14ac:dyDescent="0.25">
      <c r="A264" t="s">
        <v>134</v>
      </c>
      <c r="B264" t="s">
        <v>135</v>
      </c>
      <c r="C264">
        <v>22002307</v>
      </c>
      <c r="D264">
        <v>1205</v>
      </c>
      <c r="E264" s="11">
        <v>44778</v>
      </c>
      <c r="F264" t="s">
        <v>179</v>
      </c>
      <c r="G264" s="25">
        <v>2.16</v>
      </c>
      <c r="H264">
        <v>2.16</v>
      </c>
      <c r="I264" t="s">
        <v>56</v>
      </c>
      <c r="O264" t="s">
        <v>57</v>
      </c>
      <c r="Q264" t="s">
        <v>57</v>
      </c>
      <c r="R264" t="s">
        <v>137</v>
      </c>
      <c r="T264" t="s">
        <v>59</v>
      </c>
      <c r="U264" t="s">
        <v>60</v>
      </c>
      <c r="V264" t="s">
        <v>138</v>
      </c>
      <c r="W264" t="s">
        <v>139</v>
      </c>
      <c r="X264">
        <v>1928768</v>
      </c>
      <c r="Y264" s="11">
        <v>44778</v>
      </c>
      <c r="Z264" t="s">
        <v>57</v>
      </c>
      <c r="AA264">
        <v>22</v>
      </c>
      <c r="AB264" t="s">
        <v>57</v>
      </c>
      <c r="AD264" t="s">
        <v>57</v>
      </c>
      <c r="AE264" t="s">
        <v>57</v>
      </c>
      <c r="AF264" t="s">
        <v>57</v>
      </c>
      <c r="AG264">
        <v>14</v>
      </c>
      <c r="AH264" t="s">
        <v>57</v>
      </c>
      <c r="AL264" t="s">
        <v>57</v>
      </c>
      <c r="AM264" s="11">
        <v>44778</v>
      </c>
      <c r="AN264" t="s">
        <v>180</v>
      </c>
      <c r="AO264" t="s">
        <v>65</v>
      </c>
      <c r="AP264">
        <v>1205</v>
      </c>
      <c r="AQ264" t="s">
        <v>66</v>
      </c>
      <c r="AR264">
        <v>89712</v>
      </c>
      <c r="AU264" t="s">
        <v>57</v>
      </c>
      <c r="AV264" t="s">
        <v>68</v>
      </c>
      <c r="AX264" t="s">
        <v>57</v>
      </c>
      <c r="AY264">
        <v>631110</v>
      </c>
      <c r="AZ264">
        <v>1205.63111</v>
      </c>
      <c r="BA264" s="23" t="s">
        <v>13</v>
      </c>
    </row>
    <row r="265" spans="1:53" x14ac:dyDescent="0.25">
      <c r="A265" t="s">
        <v>134</v>
      </c>
      <c r="B265" t="s">
        <v>135</v>
      </c>
      <c r="C265">
        <v>22002318</v>
      </c>
      <c r="D265">
        <v>1205</v>
      </c>
      <c r="E265" s="11">
        <v>44782</v>
      </c>
      <c r="F265" t="s">
        <v>179</v>
      </c>
      <c r="G265" s="25">
        <v>2.16</v>
      </c>
      <c r="H265">
        <v>2.16</v>
      </c>
      <c r="I265" t="s">
        <v>56</v>
      </c>
      <c r="O265" t="s">
        <v>57</v>
      </c>
      <c r="Q265" t="s">
        <v>57</v>
      </c>
      <c r="R265" t="s">
        <v>137</v>
      </c>
      <c r="T265" t="s">
        <v>59</v>
      </c>
      <c r="U265" t="s">
        <v>60</v>
      </c>
      <c r="V265" t="s">
        <v>138</v>
      </c>
      <c r="W265" t="s">
        <v>139</v>
      </c>
      <c r="X265">
        <v>1929852</v>
      </c>
      <c r="Y265" s="11">
        <v>44782</v>
      </c>
      <c r="Z265" t="s">
        <v>57</v>
      </c>
      <c r="AA265">
        <v>16</v>
      </c>
      <c r="AB265" t="s">
        <v>57</v>
      </c>
      <c r="AD265" t="s">
        <v>57</v>
      </c>
      <c r="AE265" t="s">
        <v>57</v>
      </c>
      <c r="AF265" t="s">
        <v>57</v>
      </c>
      <c r="AG265">
        <v>20</v>
      </c>
      <c r="AH265" t="s">
        <v>57</v>
      </c>
      <c r="AL265" t="s">
        <v>57</v>
      </c>
      <c r="AM265" s="11">
        <v>44782</v>
      </c>
      <c r="AN265" t="s">
        <v>180</v>
      </c>
      <c r="AO265" t="s">
        <v>65</v>
      </c>
      <c r="AP265">
        <v>1205</v>
      </c>
      <c r="AQ265" t="s">
        <v>66</v>
      </c>
      <c r="AR265">
        <v>265267</v>
      </c>
      <c r="AU265" t="s">
        <v>57</v>
      </c>
      <c r="AV265" t="s">
        <v>68</v>
      </c>
      <c r="AX265" t="s">
        <v>57</v>
      </c>
      <c r="AY265">
        <v>631110</v>
      </c>
      <c r="AZ265">
        <v>1205.63111</v>
      </c>
      <c r="BA265" s="23" t="s">
        <v>13</v>
      </c>
    </row>
    <row r="266" spans="1:53" x14ac:dyDescent="0.25">
      <c r="A266" t="s">
        <v>134</v>
      </c>
      <c r="B266" t="s">
        <v>135</v>
      </c>
      <c r="C266">
        <v>22002318</v>
      </c>
      <c r="D266">
        <v>1205</v>
      </c>
      <c r="E266" s="11">
        <v>44782</v>
      </c>
      <c r="F266" t="s">
        <v>179</v>
      </c>
      <c r="G266" s="25">
        <v>2.17</v>
      </c>
      <c r="H266">
        <v>2.17</v>
      </c>
      <c r="I266" t="s">
        <v>56</v>
      </c>
      <c r="O266" t="s">
        <v>57</v>
      </c>
      <c r="Q266" t="s">
        <v>57</v>
      </c>
      <c r="R266" t="s">
        <v>137</v>
      </c>
      <c r="T266" t="s">
        <v>59</v>
      </c>
      <c r="U266" t="s">
        <v>60</v>
      </c>
      <c r="V266" t="s">
        <v>138</v>
      </c>
      <c r="W266" t="s">
        <v>139</v>
      </c>
      <c r="X266">
        <v>1929852</v>
      </c>
      <c r="Y266" s="11">
        <v>44782</v>
      </c>
      <c r="Z266" t="s">
        <v>57</v>
      </c>
      <c r="AA266">
        <v>8</v>
      </c>
      <c r="AB266" t="s">
        <v>57</v>
      </c>
      <c r="AD266" t="s">
        <v>57</v>
      </c>
      <c r="AE266" t="s">
        <v>57</v>
      </c>
      <c r="AF266" t="s">
        <v>57</v>
      </c>
      <c r="AG266">
        <v>26</v>
      </c>
      <c r="AH266" t="s">
        <v>57</v>
      </c>
      <c r="AL266" t="s">
        <v>57</v>
      </c>
      <c r="AM266" s="11">
        <v>44782</v>
      </c>
      <c r="AN266" t="s">
        <v>180</v>
      </c>
      <c r="AO266" t="s">
        <v>65</v>
      </c>
      <c r="AP266">
        <v>1205</v>
      </c>
      <c r="AQ266" t="s">
        <v>66</v>
      </c>
      <c r="AR266">
        <v>265878</v>
      </c>
      <c r="AU266" t="s">
        <v>57</v>
      </c>
      <c r="AV266" t="s">
        <v>68</v>
      </c>
      <c r="AX266" t="s">
        <v>57</v>
      </c>
      <c r="AY266">
        <v>631110</v>
      </c>
      <c r="AZ266">
        <v>1205.63111</v>
      </c>
      <c r="BA266" s="23" t="s">
        <v>13</v>
      </c>
    </row>
    <row r="267" spans="1:53" x14ac:dyDescent="0.25">
      <c r="A267" t="s">
        <v>134</v>
      </c>
      <c r="B267" t="s">
        <v>135</v>
      </c>
      <c r="C267">
        <v>22002261</v>
      </c>
      <c r="D267">
        <v>1205</v>
      </c>
      <c r="E267" s="11">
        <v>44774</v>
      </c>
      <c r="F267" t="s">
        <v>174</v>
      </c>
      <c r="G267" s="25">
        <v>2.1800000000000002</v>
      </c>
      <c r="H267">
        <v>2.1800000000000002</v>
      </c>
      <c r="I267" t="s">
        <v>56</v>
      </c>
      <c r="O267" t="s">
        <v>57</v>
      </c>
      <c r="Q267" t="s">
        <v>57</v>
      </c>
      <c r="R267" t="s">
        <v>137</v>
      </c>
      <c r="T267" t="s">
        <v>59</v>
      </c>
      <c r="U267" t="s">
        <v>60</v>
      </c>
      <c r="V267" t="s">
        <v>138</v>
      </c>
      <c r="W267" t="s">
        <v>139</v>
      </c>
      <c r="X267">
        <v>1925596</v>
      </c>
      <c r="Y267" s="11">
        <v>44774</v>
      </c>
      <c r="Z267" t="s">
        <v>57</v>
      </c>
      <c r="AA267">
        <v>4</v>
      </c>
      <c r="AB267" t="s">
        <v>57</v>
      </c>
      <c r="AD267" t="s">
        <v>57</v>
      </c>
      <c r="AE267" t="s">
        <v>57</v>
      </c>
      <c r="AF267" t="s">
        <v>57</v>
      </c>
      <c r="AG267">
        <v>2</v>
      </c>
      <c r="AH267" t="s">
        <v>57</v>
      </c>
      <c r="AL267" t="s">
        <v>57</v>
      </c>
      <c r="AM267" s="11">
        <v>44774</v>
      </c>
      <c r="AN267" t="s">
        <v>178</v>
      </c>
      <c r="AO267" t="s">
        <v>65</v>
      </c>
      <c r="AP267">
        <v>1205</v>
      </c>
      <c r="AQ267" t="s">
        <v>66</v>
      </c>
      <c r="AR267">
        <v>92298</v>
      </c>
      <c r="AU267" t="s">
        <v>57</v>
      </c>
      <c r="AV267" t="s">
        <v>68</v>
      </c>
      <c r="AX267" t="s">
        <v>57</v>
      </c>
      <c r="AY267">
        <v>631110</v>
      </c>
      <c r="AZ267">
        <v>1205.63111</v>
      </c>
      <c r="BA267" s="23" t="s">
        <v>13</v>
      </c>
    </row>
    <row r="268" spans="1:53" x14ac:dyDescent="0.25">
      <c r="A268" t="s">
        <v>134</v>
      </c>
      <c r="B268" t="s">
        <v>135</v>
      </c>
      <c r="C268">
        <v>22002341</v>
      </c>
      <c r="D268">
        <v>1205</v>
      </c>
      <c r="E268" s="11">
        <v>44785</v>
      </c>
      <c r="F268" t="s">
        <v>174</v>
      </c>
      <c r="G268" s="25">
        <v>2.1800000000000002</v>
      </c>
      <c r="H268">
        <v>2.1800000000000002</v>
      </c>
      <c r="I268" t="s">
        <v>56</v>
      </c>
      <c r="O268" t="s">
        <v>57</v>
      </c>
      <c r="Q268" t="s">
        <v>57</v>
      </c>
      <c r="R268" t="s">
        <v>137</v>
      </c>
      <c r="T268" t="s">
        <v>59</v>
      </c>
      <c r="U268" t="s">
        <v>60</v>
      </c>
      <c r="V268" t="s">
        <v>138</v>
      </c>
      <c r="W268" t="s">
        <v>139</v>
      </c>
      <c r="X268">
        <v>1930742</v>
      </c>
      <c r="Y268" s="11">
        <v>44785</v>
      </c>
      <c r="Z268" t="s">
        <v>57</v>
      </c>
      <c r="AA268">
        <v>4</v>
      </c>
      <c r="AB268" t="s">
        <v>57</v>
      </c>
      <c r="AD268" t="s">
        <v>57</v>
      </c>
      <c r="AE268" t="s">
        <v>57</v>
      </c>
      <c r="AF268" t="s">
        <v>57</v>
      </c>
      <c r="AG268">
        <v>4</v>
      </c>
      <c r="AH268" t="s">
        <v>57</v>
      </c>
      <c r="AL268" t="s">
        <v>57</v>
      </c>
      <c r="AM268" s="11">
        <v>44785</v>
      </c>
      <c r="AN268" t="s">
        <v>178</v>
      </c>
      <c r="AO268" t="s">
        <v>65</v>
      </c>
      <c r="AP268">
        <v>1205</v>
      </c>
      <c r="AQ268" t="s">
        <v>66</v>
      </c>
      <c r="AR268">
        <v>89777</v>
      </c>
      <c r="AU268" t="s">
        <v>57</v>
      </c>
      <c r="AV268" t="s">
        <v>68</v>
      </c>
      <c r="AX268" t="s">
        <v>57</v>
      </c>
      <c r="AY268">
        <v>631110</v>
      </c>
      <c r="AZ268">
        <v>1205.63111</v>
      </c>
      <c r="BA268" s="23" t="s">
        <v>13</v>
      </c>
    </row>
    <row r="269" spans="1:53" x14ac:dyDescent="0.25">
      <c r="A269" t="s">
        <v>134</v>
      </c>
      <c r="B269" t="s">
        <v>135</v>
      </c>
      <c r="C269">
        <v>22002264</v>
      </c>
      <c r="D269">
        <v>1205</v>
      </c>
      <c r="E269" s="11">
        <v>44774</v>
      </c>
      <c r="F269" t="s">
        <v>179</v>
      </c>
      <c r="G269" s="25">
        <v>2.2000000000000002</v>
      </c>
      <c r="H269">
        <v>2.2000000000000002</v>
      </c>
      <c r="I269" t="s">
        <v>56</v>
      </c>
      <c r="O269" t="s">
        <v>57</v>
      </c>
      <c r="Q269" t="s">
        <v>57</v>
      </c>
      <c r="R269" t="s">
        <v>137</v>
      </c>
      <c r="T269" t="s">
        <v>59</v>
      </c>
      <c r="U269" t="s">
        <v>60</v>
      </c>
      <c r="V269" t="s">
        <v>138</v>
      </c>
      <c r="W269" t="s">
        <v>139</v>
      </c>
      <c r="X269">
        <v>1925601</v>
      </c>
      <c r="Y269" s="11">
        <v>44774</v>
      </c>
      <c r="Z269" t="s">
        <v>57</v>
      </c>
      <c r="AA269">
        <v>4</v>
      </c>
      <c r="AB269" t="s">
        <v>57</v>
      </c>
      <c r="AD269" t="s">
        <v>57</v>
      </c>
      <c r="AE269" t="s">
        <v>57</v>
      </c>
      <c r="AF269" t="s">
        <v>57</v>
      </c>
      <c r="AG269">
        <v>29</v>
      </c>
      <c r="AH269" t="s">
        <v>57</v>
      </c>
      <c r="AL269" t="s">
        <v>57</v>
      </c>
      <c r="AM269" s="11">
        <v>44774</v>
      </c>
      <c r="AN269" t="s">
        <v>180</v>
      </c>
      <c r="AO269" t="s">
        <v>65</v>
      </c>
      <c r="AP269">
        <v>1205</v>
      </c>
      <c r="AQ269" t="s">
        <v>66</v>
      </c>
      <c r="AR269">
        <v>91479</v>
      </c>
      <c r="AU269" t="s">
        <v>57</v>
      </c>
      <c r="AV269" t="s">
        <v>68</v>
      </c>
      <c r="AX269" t="s">
        <v>57</v>
      </c>
      <c r="AY269">
        <v>631110</v>
      </c>
      <c r="AZ269">
        <v>1205.63111</v>
      </c>
      <c r="BA269" s="23" t="s">
        <v>13</v>
      </c>
    </row>
    <row r="270" spans="1:53" x14ac:dyDescent="0.25">
      <c r="A270" t="s">
        <v>134</v>
      </c>
      <c r="B270" t="s">
        <v>135</v>
      </c>
      <c r="C270">
        <v>22002295</v>
      </c>
      <c r="D270">
        <v>1205</v>
      </c>
      <c r="E270" s="11">
        <v>44777</v>
      </c>
      <c r="F270" t="s">
        <v>179</v>
      </c>
      <c r="G270" s="25">
        <v>2.23</v>
      </c>
      <c r="H270">
        <v>2.23</v>
      </c>
      <c r="I270" t="s">
        <v>56</v>
      </c>
      <c r="O270" t="s">
        <v>57</v>
      </c>
      <c r="Q270" t="s">
        <v>57</v>
      </c>
      <c r="R270" t="s">
        <v>137</v>
      </c>
      <c r="T270" t="s">
        <v>59</v>
      </c>
      <c r="U270" t="s">
        <v>60</v>
      </c>
      <c r="V270" t="s">
        <v>138</v>
      </c>
      <c r="W270" t="s">
        <v>139</v>
      </c>
      <c r="X270">
        <v>1927636</v>
      </c>
      <c r="Y270" s="11">
        <v>44777</v>
      </c>
      <c r="Z270" t="s">
        <v>57</v>
      </c>
      <c r="AA270">
        <v>24</v>
      </c>
      <c r="AB270" t="s">
        <v>57</v>
      </c>
      <c r="AD270" t="s">
        <v>57</v>
      </c>
      <c r="AE270" t="s">
        <v>57</v>
      </c>
      <c r="AF270" t="s">
        <v>57</v>
      </c>
      <c r="AG270">
        <v>14</v>
      </c>
      <c r="AH270" t="s">
        <v>57</v>
      </c>
      <c r="AL270" t="s">
        <v>57</v>
      </c>
      <c r="AM270" s="11">
        <v>44777</v>
      </c>
      <c r="AN270" t="s">
        <v>180</v>
      </c>
      <c r="AO270" t="s">
        <v>65</v>
      </c>
      <c r="AP270">
        <v>1205</v>
      </c>
      <c r="AQ270" t="s">
        <v>66</v>
      </c>
      <c r="AR270">
        <v>147840</v>
      </c>
      <c r="AU270" t="s">
        <v>57</v>
      </c>
      <c r="AV270" t="s">
        <v>68</v>
      </c>
      <c r="AX270" t="s">
        <v>57</v>
      </c>
      <c r="AY270">
        <v>631110</v>
      </c>
      <c r="AZ270">
        <v>1205.63111</v>
      </c>
      <c r="BA270" s="23" t="s">
        <v>13</v>
      </c>
    </row>
    <row r="271" spans="1:53" x14ac:dyDescent="0.25">
      <c r="A271" t="s">
        <v>134</v>
      </c>
      <c r="B271" t="s">
        <v>135</v>
      </c>
      <c r="C271">
        <v>22002318</v>
      </c>
      <c r="D271">
        <v>1205</v>
      </c>
      <c r="E271" s="11">
        <v>44782</v>
      </c>
      <c r="F271" t="s">
        <v>179</v>
      </c>
      <c r="G271" s="25">
        <v>2.39</v>
      </c>
      <c r="H271">
        <v>2.39</v>
      </c>
      <c r="I271" t="s">
        <v>56</v>
      </c>
      <c r="O271" t="s">
        <v>57</v>
      </c>
      <c r="Q271" t="s">
        <v>57</v>
      </c>
      <c r="R271" t="s">
        <v>137</v>
      </c>
      <c r="T271" t="s">
        <v>59</v>
      </c>
      <c r="U271" t="s">
        <v>60</v>
      </c>
      <c r="V271" t="s">
        <v>138</v>
      </c>
      <c r="W271" t="s">
        <v>139</v>
      </c>
      <c r="X271">
        <v>1929852</v>
      </c>
      <c r="Y271" s="11">
        <v>44782</v>
      </c>
      <c r="Z271" t="s">
        <v>57</v>
      </c>
      <c r="AA271">
        <v>4</v>
      </c>
      <c r="AB271" t="s">
        <v>57</v>
      </c>
      <c r="AD271" t="s">
        <v>57</v>
      </c>
      <c r="AE271" t="s">
        <v>57</v>
      </c>
      <c r="AF271" t="s">
        <v>57</v>
      </c>
      <c r="AG271">
        <v>20</v>
      </c>
      <c r="AH271" t="s">
        <v>57</v>
      </c>
      <c r="AL271" t="s">
        <v>57</v>
      </c>
      <c r="AM271" s="11">
        <v>44782</v>
      </c>
      <c r="AN271" t="s">
        <v>180</v>
      </c>
      <c r="AO271" t="s">
        <v>65</v>
      </c>
      <c r="AP271">
        <v>1205</v>
      </c>
      <c r="AQ271" t="s">
        <v>66</v>
      </c>
      <c r="AR271">
        <v>267860</v>
      </c>
      <c r="AU271" t="s">
        <v>57</v>
      </c>
      <c r="AV271" t="s">
        <v>68</v>
      </c>
      <c r="AX271" t="s">
        <v>57</v>
      </c>
      <c r="AY271">
        <v>631110</v>
      </c>
      <c r="AZ271">
        <v>1205.63111</v>
      </c>
      <c r="BA271" s="23" t="s">
        <v>13</v>
      </c>
    </row>
    <row r="272" spans="1:53" x14ac:dyDescent="0.25">
      <c r="A272" t="s">
        <v>134</v>
      </c>
      <c r="B272" t="s">
        <v>135</v>
      </c>
      <c r="C272">
        <v>22002372</v>
      </c>
      <c r="D272">
        <v>1205</v>
      </c>
      <c r="E272" s="11">
        <v>44791</v>
      </c>
      <c r="F272" t="s">
        <v>179</v>
      </c>
      <c r="G272" s="25">
        <v>2.39</v>
      </c>
      <c r="H272">
        <v>2.39</v>
      </c>
      <c r="I272" t="s">
        <v>56</v>
      </c>
      <c r="O272" t="s">
        <v>57</v>
      </c>
      <c r="Q272" t="s">
        <v>57</v>
      </c>
      <c r="R272" t="s">
        <v>137</v>
      </c>
      <c r="T272" t="s">
        <v>59</v>
      </c>
      <c r="U272" t="s">
        <v>60</v>
      </c>
      <c r="V272" t="s">
        <v>138</v>
      </c>
      <c r="W272" t="s">
        <v>139</v>
      </c>
      <c r="X272">
        <v>1933543</v>
      </c>
      <c r="Y272" s="11">
        <v>44791</v>
      </c>
      <c r="Z272" t="s">
        <v>57</v>
      </c>
      <c r="AA272">
        <v>4</v>
      </c>
      <c r="AB272" t="s">
        <v>57</v>
      </c>
      <c r="AD272" t="s">
        <v>57</v>
      </c>
      <c r="AE272" t="s">
        <v>57</v>
      </c>
      <c r="AF272" t="s">
        <v>57</v>
      </c>
      <c r="AG272">
        <v>20</v>
      </c>
      <c r="AH272" t="s">
        <v>57</v>
      </c>
      <c r="AL272" t="s">
        <v>57</v>
      </c>
      <c r="AM272" s="11">
        <v>44791</v>
      </c>
      <c r="AN272" t="s">
        <v>180</v>
      </c>
      <c r="AO272" t="s">
        <v>65</v>
      </c>
      <c r="AP272">
        <v>1205</v>
      </c>
      <c r="AQ272" t="s">
        <v>66</v>
      </c>
      <c r="AR272">
        <v>267860</v>
      </c>
      <c r="AU272" t="s">
        <v>57</v>
      </c>
      <c r="AV272" t="s">
        <v>68</v>
      </c>
      <c r="AX272" t="s">
        <v>57</v>
      </c>
      <c r="AY272">
        <v>631110</v>
      </c>
      <c r="AZ272">
        <v>1205.63111</v>
      </c>
      <c r="BA272" s="23" t="s">
        <v>13</v>
      </c>
    </row>
    <row r="273" spans="1:53" x14ac:dyDescent="0.25">
      <c r="A273" t="s">
        <v>134</v>
      </c>
      <c r="B273" t="s">
        <v>135</v>
      </c>
      <c r="C273">
        <v>22002276</v>
      </c>
      <c r="D273">
        <v>1205</v>
      </c>
      <c r="E273" s="11">
        <v>44776</v>
      </c>
      <c r="F273" t="s">
        <v>174</v>
      </c>
      <c r="G273" s="25">
        <v>2.44</v>
      </c>
      <c r="H273">
        <v>2.44</v>
      </c>
      <c r="I273" t="s">
        <v>56</v>
      </c>
      <c r="O273" t="s">
        <v>57</v>
      </c>
      <c r="Q273" t="s">
        <v>57</v>
      </c>
      <c r="R273" t="s">
        <v>137</v>
      </c>
      <c r="T273" t="s">
        <v>59</v>
      </c>
      <c r="U273" t="s">
        <v>60</v>
      </c>
      <c r="V273" t="s">
        <v>138</v>
      </c>
      <c r="W273" t="s">
        <v>139</v>
      </c>
      <c r="X273">
        <v>1927010</v>
      </c>
      <c r="Y273" s="11">
        <v>44776</v>
      </c>
      <c r="Z273" t="s">
        <v>57</v>
      </c>
      <c r="AA273">
        <v>8</v>
      </c>
      <c r="AB273" t="s">
        <v>57</v>
      </c>
      <c r="AD273" t="s">
        <v>57</v>
      </c>
      <c r="AE273" t="s">
        <v>57</v>
      </c>
      <c r="AF273" t="s">
        <v>57</v>
      </c>
      <c r="AG273">
        <v>5</v>
      </c>
      <c r="AH273" t="s">
        <v>57</v>
      </c>
      <c r="AL273" t="s">
        <v>57</v>
      </c>
      <c r="AM273" s="11">
        <v>44776</v>
      </c>
      <c r="AN273" t="s">
        <v>178</v>
      </c>
      <c r="AO273" t="s">
        <v>65</v>
      </c>
      <c r="AP273">
        <v>1205</v>
      </c>
      <c r="AQ273" t="s">
        <v>66</v>
      </c>
      <c r="AR273">
        <v>121863</v>
      </c>
      <c r="AU273" t="s">
        <v>57</v>
      </c>
      <c r="AV273" t="s">
        <v>68</v>
      </c>
      <c r="AX273" t="s">
        <v>57</v>
      </c>
      <c r="AY273">
        <v>631110</v>
      </c>
      <c r="AZ273">
        <v>1205.63111</v>
      </c>
      <c r="BA273" s="23" t="s">
        <v>13</v>
      </c>
    </row>
    <row r="274" spans="1:53" x14ac:dyDescent="0.25">
      <c r="A274" t="s">
        <v>134</v>
      </c>
      <c r="B274" t="s">
        <v>135</v>
      </c>
      <c r="C274">
        <v>22002316</v>
      </c>
      <c r="D274">
        <v>1205</v>
      </c>
      <c r="E274" s="11">
        <v>44782</v>
      </c>
      <c r="F274" t="s">
        <v>174</v>
      </c>
      <c r="G274" s="25">
        <v>2.44</v>
      </c>
      <c r="H274">
        <v>2.44</v>
      </c>
      <c r="I274" t="s">
        <v>56</v>
      </c>
      <c r="O274" t="s">
        <v>57</v>
      </c>
      <c r="Q274" t="s">
        <v>57</v>
      </c>
      <c r="R274" t="s">
        <v>137</v>
      </c>
      <c r="T274" t="s">
        <v>59</v>
      </c>
      <c r="U274" t="s">
        <v>60</v>
      </c>
      <c r="V274" t="s">
        <v>138</v>
      </c>
      <c r="W274" t="s">
        <v>139</v>
      </c>
      <c r="X274">
        <v>1929847</v>
      </c>
      <c r="Y274" s="11">
        <v>44782</v>
      </c>
      <c r="Z274" t="s">
        <v>57</v>
      </c>
      <c r="AA274">
        <v>16</v>
      </c>
      <c r="AB274" t="s">
        <v>57</v>
      </c>
      <c r="AD274" t="s">
        <v>57</v>
      </c>
      <c r="AE274" t="s">
        <v>57</v>
      </c>
      <c r="AF274" t="s">
        <v>57</v>
      </c>
      <c r="AG274">
        <v>5</v>
      </c>
      <c r="AH274" t="s">
        <v>57</v>
      </c>
      <c r="AL274" t="s">
        <v>57</v>
      </c>
      <c r="AM274" s="11">
        <v>44782</v>
      </c>
      <c r="AN274" t="s">
        <v>178</v>
      </c>
      <c r="AO274" t="s">
        <v>65</v>
      </c>
      <c r="AP274">
        <v>1205</v>
      </c>
      <c r="AQ274" t="s">
        <v>66</v>
      </c>
      <c r="AR274">
        <v>121863</v>
      </c>
      <c r="AU274" t="s">
        <v>57</v>
      </c>
      <c r="AV274" t="s">
        <v>68</v>
      </c>
      <c r="AX274" t="s">
        <v>57</v>
      </c>
      <c r="AY274">
        <v>631110</v>
      </c>
      <c r="AZ274">
        <v>1205.63111</v>
      </c>
      <c r="BA274" s="23" t="s">
        <v>13</v>
      </c>
    </row>
    <row r="275" spans="1:53" x14ac:dyDescent="0.25">
      <c r="A275" t="s">
        <v>134</v>
      </c>
      <c r="B275" t="s">
        <v>135</v>
      </c>
      <c r="C275">
        <v>22002281</v>
      </c>
      <c r="D275">
        <v>1205</v>
      </c>
      <c r="E275" s="11">
        <v>44776</v>
      </c>
      <c r="F275" t="s">
        <v>179</v>
      </c>
      <c r="G275" s="25">
        <v>2.48</v>
      </c>
      <c r="H275">
        <v>2.48</v>
      </c>
      <c r="I275" t="s">
        <v>56</v>
      </c>
      <c r="O275" t="s">
        <v>57</v>
      </c>
      <c r="Q275" t="s">
        <v>57</v>
      </c>
      <c r="R275" t="s">
        <v>137</v>
      </c>
      <c r="T275" t="s">
        <v>59</v>
      </c>
      <c r="U275" t="s">
        <v>60</v>
      </c>
      <c r="V275" t="s">
        <v>138</v>
      </c>
      <c r="W275" t="s">
        <v>139</v>
      </c>
      <c r="X275">
        <v>1927036</v>
      </c>
      <c r="Y275" s="11">
        <v>44776</v>
      </c>
      <c r="Z275" t="s">
        <v>57</v>
      </c>
      <c r="AA275">
        <v>26</v>
      </c>
      <c r="AB275" t="s">
        <v>57</v>
      </c>
      <c r="AD275" t="s">
        <v>57</v>
      </c>
      <c r="AE275" t="s">
        <v>57</v>
      </c>
      <c r="AF275" t="s">
        <v>57</v>
      </c>
      <c r="AG275">
        <v>16</v>
      </c>
      <c r="AH275" t="s">
        <v>57</v>
      </c>
      <c r="AL275" t="s">
        <v>57</v>
      </c>
      <c r="AM275" s="11">
        <v>44776</v>
      </c>
      <c r="AN275" t="s">
        <v>180</v>
      </c>
      <c r="AO275" t="s">
        <v>65</v>
      </c>
      <c r="AP275">
        <v>1205</v>
      </c>
      <c r="AQ275" t="s">
        <v>66</v>
      </c>
      <c r="AR275">
        <v>89712</v>
      </c>
      <c r="AU275" t="s">
        <v>57</v>
      </c>
      <c r="AV275" t="s">
        <v>68</v>
      </c>
      <c r="AX275" t="s">
        <v>57</v>
      </c>
      <c r="AY275">
        <v>631110</v>
      </c>
      <c r="AZ275">
        <v>1205.63111</v>
      </c>
      <c r="BA275" s="23" t="s">
        <v>13</v>
      </c>
    </row>
    <row r="276" spans="1:53" x14ac:dyDescent="0.25">
      <c r="A276" t="s">
        <v>134</v>
      </c>
      <c r="B276" t="s">
        <v>135</v>
      </c>
      <c r="C276">
        <v>22002295</v>
      </c>
      <c r="D276">
        <v>1205</v>
      </c>
      <c r="E276" s="11">
        <v>44777</v>
      </c>
      <c r="F276" t="s">
        <v>179</v>
      </c>
      <c r="G276" s="25">
        <v>2.5099999999999998</v>
      </c>
      <c r="H276">
        <v>2.5099999999999998</v>
      </c>
      <c r="I276" t="s">
        <v>56</v>
      </c>
      <c r="O276" t="s">
        <v>57</v>
      </c>
      <c r="Q276" t="s">
        <v>57</v>
      </c>
      <c r="R276" t="s">
        <v>137</v>
      </c>
      <c r="T276" t="s">
        <v>59</v>
      </c>
      <c r="U276" t="s">
        <v>60</v>
      </c>
      <c r="V276" t="s">
        <v>138</v>
      </c>
      <c r="W276" t="s">
        <v>139</v>
      </c>
      <c r="X276">
        <v>1927636</v>
      </c>
      <c r="Y276" s="11">
        <v>44777</v>
      </c>
      <c r="Z276" t="s">
        <v>57</v>
      </c>
      <c r="AA276">
        <v>2</v>
      </c>
      <c r="AB276" t="s">
        <v>57</v>
      </c>
      <c r="AD276" t="s">
        <v>57</v>
      </c>
      <c r="AE276" t="s">
        <v>57</v>
      </c>
      <c r="AF276" t="s">
        <v>57</v>
      </c>
      <c r="AG276">
        <v>21</v>
      </c>
      <c r="AH276" t="s">
        <v>57</v>
      </c>
      <c r="AL276" t="s">
        <v>57</v>
      </c>
      <c r="AM276" s="11">
        <v>44777</v>
      </c>
      <c r="AN276" t="s">
        <v>180</v>
      </c>
      <c r="AO276" t="s">
        <v>65</v>
      </c>
      <c r="AP276">
        <v>1205</v>
      </c>
      <c r="AQ276" t="s">
        <v>66</v>
      </c>
      <c r="AR276">
        <v>267860</v>
      </c>
      <c r="AU276" t="s">
        <v>57</v>
      </c>
      <c r="AV276" t="s">
        <v>68</v>
      </c>
      <c r="AX276" t="s">
        <v>57</v>
      </c>
      <c r="AY276">
        <v>631110</v>
      </c>
      <c r="AZ276">
        <v>1205.63111</v>
      </c>
      <c r="BA276" s="23" t="s">
        <v>13</v>
      </c>
    </row>
    <row r="277" spans="1:53" x14ac:dyDescent="0.25">
      <c r="A277" t="s">
        <v>134</v>
      </c>
      <c r="B277" t="s">
        <v>135</v>
      </c>
      <c r="C277">
        <v>22002267</v>
      </c>
      <c r="D277">
        <v>1205</v>
      </c>
      <c r="E277" s="11">
        <v>44775</v>
      </c>
      <c r="F277" t="s">
        <v>179</v>
      </c>
      <c r="G277" s="25">
        <v>2.52</v>
      </c>
      <c r="H277">
        <v>2.52</v>
      </c>
      <c r="I277" t="s">
        <v>56</v>
      </c>
      <c r="O277" t="s">
        <v>57</v>
      </c>
      <c r="Q277" t="s">
        <v>57</v>
      </c>
      <c r="R277" t="s">
        <v>137</v>
      </c>
      <c r="T277" t="s">
        <v>59</v>
      </c>
      <c r="U277" t="s">
        <v>60</v>
      </c>
      <c r="V277" t="s">
        <v>138</v>
      </c>
      <c r="W277" t="s">
        <v>139</v>
      </c>
      <c r="X277">
        <v>1926658</v>
      </c>
      <c r="Y277" s="11">
        <v>44775</v>
      </c>
      <c r="Z277" t="s">
        <v>57</v>
      </c>
      <c r="AA277">
        <v>24</v>
      </c>
      <c r="AB277" t="s">
        <v>57</v>
      </c>
      <c r="AD277" t="s">
        <v>57</v>
      </c>
      <c r="AE277" t="s">
        <v>57</v>
      </c>
      <c r="AF277" t="s">
        <v>57</v>
      </c>
      <c r="AG277">
        <v>10</v>
      </c>
      <c r="AH277" t="s">
        <v>57</v>
      </c>
      <c r="AL277" t="s">
        <v>57</v>
      </c>
      <c r="AM277" s="11">
        <v>44775</v>
      </c>
      <c r="AN277" t="s">
        <v>180</v>
      </c>
      <c r="AO277" t="s">
        <v>65</v>
      </c>
      <c r="AP277">
        <v>1205</v>
      </c>
      <c r="AQ277" t="s">
        <v>66</v>
      </c>
      <c r="AR277">
        <v>88669</v>
      </c>
      <c r="AU277" t="s">
        <v>57</v>
      </c>
      <c r="AV277" t="s">
        <v>68</v>
      </c>
      <c r="AX277" t="s">
        <v>57</v>
      </c>
      <c r="AY277">
        <v>631110</v>
      </c>
      <c r="AZ277">
        <v>1205.63111</v>
      </c>
      <c r="BA277" s="23" t="s">
        <v>13</v>
      </c>
    </row>
    <row r="278" spans="1:53" x14ac:dyDescent="0.25">
      <c r="A278" t="s">
        <v>134</v>
      </c>
      <c r="B278" t="s">
        <v>135</v>
      </c>
      <c r="C278">
        <v>22002281</v>
      </c>
      <c r="D278">
        <v>1205</v>
      </c>
      <c r="E278" s="11">
        <v>44776</v>
      </c>
      <c r="F278" t="s">
        <v>179</v>
      </c>
      <c r="G278" s="25">
        <v>2.52</v>
      </c>
      <c r="H278">
        <v>2.52</v>
      </c>
      <c r="I278" t="s">
        <v>56</v>
      </c>
      <c r="O278" t="s">
        <v>57</v>
      </c>
      <c r="Q278" t="s">
        <v>57</v>
      </c>
      <c r="R278" t="s">
        <v>137</v>
      </c>
      <c r="T278" t="s">
        <v>59</v>
      </c>
      <c r="U278" t="s">
        <v>60</v>
      </c>
      <c r="V278" t="s">
        <v>138</v>
      </c>
      <c r="W278" t="s">
        <v>139</v>
      </c>
      <c r="X278">
        <v>1927036</v>
      </c>
      <c r="Y278" s="11">
        <v>44776</v>
      </c>
      <c r="Z278" t="s">
        <v>57</v>
      </c>
      <c r="AA278">
        <v>22</v>
      </c>
      <c r="AB278" t="s">
        <v>57</v>
      </c>
      <c r="AD278" t="s">
        <v>57</v>
      </c>
      <c r="AE278" t="s">
        <v>57</v>
      </c>
      <c r="AF278" t="s">
        <v>57</v>
      </c>
      <c r="AG278">
        <v>10</v>
      </c>
      <c r="AH278" t="s">
        <v>57</v>
      </c>
      <c r="AL278" t="s">
        <v>57</v>
      </c>
      <c r="AM278" s="11">
        <v>44776</v>
      </c>
      <c r="AN278" t="s">
        <v>180</v>
      </c>
      <c r="AO278" t="s">
        <v>65</v>
      </c>
      <c r="AP278">
        <v>1205</v>
      </c>
      <c r="AQ278" t="s">
        <v>66</v>
      </c>
      <c r="AR278">
        <v>88669</v>
      </c>
      <c r="AU278" t="s">
        <v>57</v>
      </c>
      <c r="AV278" t="s">
        <v>68</v>
      </c>
      <c r="AX278" t="s">
        <v>57</v>
      </c>
      <c r="AY278">
        <v>631110</v>
      </c>
      <c r="AZ278">
        <v>1205.63111</v>
      </c>
      <c r="BA278" s="23" t="s">
        <v>13</v>
      </c>
    </row>
    <row r="279" spans="1:53" x14ac:dyDescent="0.25">
      <c r="A279" t="s">
        <v>134</v>
      </c>
      <c r="B279" t="s">
        <v>135</v>
      </c>
      <c r="C279">
        <v>22002295</v>
      </c>
      <c r="D279">
        <v>1205</v>
      </c>
      <c r="E279" s="11">
        <v>44777</v>
      </c>
      <c r="F279" t="s">
        <v>179</v>
      </c>
      <c r="G279" s="25">
        <v>2.52</v>
      </c>
      <c r="H279">
        <v>2.52</v>
      </c>
      <c r="I279" t="s">
        <v>56</v>
      </c>
      <c r="O279" t="s">
        <v>57</v>
      </c>
      <c r="Q279" t="s">
        <v>57</v>
      </c>
      <c r="R279" t="s">
        <v>137</v>
      </c>
      <c r="T279" t="s">
        <v>59</v>
      </c>
      <c r="U279" t="s">
        <v>60</v>
      </c>
      <c r="V279" t="s">
        <v>138</v>
      </c>
      <c r="W279" t="s">
        <v>139</v>
      </c>
      <c r="X279">
        <v>1927636</v>
      </c>
      <c r="Y279" s="11">
        <v>44777</v>
      </c>
      <c r="Z279" t="s">
        <v>57</v>
      </c>
      <c r="AA279">
        <v>22</v>
      </c>
      <c r="AB279" t="s">
        <v>57</v>
      </c>
      <c r="AD279" t="s">
        <v>57</v>
      </c>
      <c r="AE279" t="s">
        <v>57</v>
      </c>
      <c r="AF279" t="s">
        <v>57</v>
      </c>
      <c r="AG279">
        <v>10</v>
      </c>
      <c r="AH279" t="s">
        <v>57</v>
      </c>
      <c r="AL279" t="s">
        <v>57</v>
      </c>
      <c r="AM279" s="11">
        <v>44777</v>
      </c>
      <c r="AN279" t="s">
        <v>180</v>
      </c>
      <c r="AO279" t="s">
        <v>65</v>
      </c>
      <c r="AP279">
        <v>1205</v>
      </c>
      <c r="AQ279" t="s">
        <v>66</v>
      </c>
      <c r="AR279">
        <v>88669</v>
      </c>
      <c r="AU279" t="s">
        <v>57</v>
      </c>
      <c r="AV279" t="s">
        <v>68</v>
      </c>
      <c r="AX279" t="s">
        <v>57</v>
      </c>
      <c r="AY279">
        <v>631110</v>
      </c>
      <c r="AZ279">
        <v>1205.63111</v>
      </c>
      <c r="BA279" s="23" t="s">
        <v>13</v>
      </c>
    </row>
    <row r="280" spans="1:53" x14ac:dyDescent="0.25">
      <c r="A280" t="s">
        <v>134</v>
      </c>
      <c r="B280" t="s">
        <v>135</v>
      </c>
      <c r="C280">
        <v>22002262</v>
      </c>
      <c r="D280">
        <v>1205</v>
      </c>
      <c r="E280" s="11">
        <v>44774</v>
      </c>
      <c r="F280" t="s">
        <v>174</v>
      </c>
      <c r="G280" s="25">
        <v>2.61</v>
      </c>
      <c r="H280">
        <v>2.61</v>
      </c>
      <c r="I280" t="s">
        <v>56</v>
      </c>
      <c r="O280" t="s">
        <v>57</v>
      </c>
      <c r="Q280" t="s">
        <v>57</v>
      </c>
      <c r="R280" t="s">
        <v>137</v>
      </c>
      <c r="T280" t="s">
        <v>59</v>
      </c>
      <c r="U280" t="s">
        <v>60</v>
      </c>
      <c r="V280" t="s">
        <v>138</v>
      </c>
      <c r="W280" t="s">
        <v>139</v>
      </c>
      <c r="X280">
        <v>1925596</v>
      </c>
      <c r="Y280" s="11">
        <v>44774</v>
      </c>
      <c r="Z280" t="s">
        <v>57</v>
      </c>
      <c r="AA280">
        <v>6</v>
      </c>
      <c r="AB280" t="s">
        <v>57</v>
      </c>
      <c r="AD280" t="s">
        <v>57</v>
      </c>
      <c r="AE280" t="s">
        <v>57</v>
      </c>
      <c r="AF280" t="s">
        <v>57</v>
      </c>
      <c r="AG280">
        <v>3</v>
      </c>
      <c r="AH280" t="s">
        <v>57</v>
      </c>
      <c r="AL280" t="s">
        <v>57</v>
      </c>
      <c r="AM280" s="11">
        <v>44774</v>
      </c>
      <c r="AN280" t="s">
        <v>178</v>
      </c>
      <c r="AO280" t="s">
        <v>65</v>
      </c>
      <c r="AP280">
        <v>1205</v>
      </c>
      <c r="AQ280" t="s">
        <v>66</v>
      </c>
      <c r="AR280">
        <v>88703</v>
      </c>
      <c r="AU280" t="s">
        <v>57</v>
      </c>
      <c r="AV280" t="s">
        <v>68</v>
      </c>
      <c r="AX280" t="s">
        <v>57</v>
      </c>
      <c r="AY280">
        <v>631110</v>
      </c>
      <c r="AZ280">
        <v>1205.63111</v>
      </c>
      <c r="BA280" s="23" t="s">
        <v>13</v>
      </c>
    </row>
    <row r="281" spans="1:53" x14ac:dyDescent="0.25">
      <c r="A281" t="s">
        <v>134</v>
      </c>
      <c r="B281" t="s">
        <v>135</v>
      </c>
      <c r="C281">
        <v>22002297</v>
      </c>
      <c r="D281">
        <v>1205</v>
      </c>
      <c r="E281" s="11">
        <v>44778</v>
      </c>
      <c r="F281" t="s">
        <v>174</v>
      </c>
      <c r="G281" s="25">
        <v>2.65</v>
      </c>
      <c r="H281">
        <v>2.65</v>
      </c>
      <c r="I281" t="s">
        <v>56</v>
      </c>
      <c r="O281" t="s">
        <v>57</v>
      </c>
      <c r="Q281" t="s">
        <v>57</v>
      </c>
      <c r="R281" t="s">
        <v>137</v>
      </c>
      <c r="T281" t="s">
        <v>59</v>
      </c>
      <c r="U281" t="s">
        <v>60</v>
      </c>
      <c r="V281" t="s">
        <v>138</v>
      </c>
      <c r="W281" t="s">
        <v>139</v>
      </c>
      <c r="X281">
        <v>1928656</v>
      </c>
      <c r="Y281" s="11">
        <v>44778</v>
      </c>
      <c r="Z281" t="s">
        <v>57</v>
      </c>
      <c r="AA281">
        <v>8</v>
      </c>
      <c r="AB281" t="s">
        <v>57</v>
      </c>
      <c r="AD281" t="s">
        <v>57</v>
      </c>
      <c r="AE281" t="s">
        <v>57</v>
      </c>
      <c r="AF281" t="s">
        <v>57</v>
      </c>
      <c r="AG281">
        <v>1</v>
      </c>
      <c r="AH281" t="s">
        <v>57</v>
      </c>
      <c r="AL281" t="s">
        <v>57</v>
      </c>
      <c r="AM281" s="11">
        <v>44778</v>
      </c>
      <c r="AN281" t="s">
        <v>178</v>
      </c>
      <c r="AO281" t="s">
        <v>65</v>
      </c>
      <c r="AP281">
        <v>1205</v>
      </c>
      <c r="AQ281" t="s">
        <v>66</v>
      </c>
      <c r="AR281">
        <v>205694</v>
      </c>
      <c r="AU281" t="s">
        <v>57</v>
      </c>
      <c r="AV281" t="s">
        <v>68</v>
      </c>
      <c r="AX281" t="s">
        <v>57</v>
      </c>
      <c r="AY281">
        <v>631110</v>
      </c>
      <c r="AZ281">
        <v>1205.63111</v>
      </c>
      <c r="BA281" s="23" t="s">
        <v>13</v>
      </c>
    </row>
    <row r="282" spans="1:53" x14ac:dyDescent="0.25">
      <c r="A282" t="s">
        <v>134</v>
      </c>
      <c r="B282" t="s">
        <v>135</v>
      </c>
      <c r="C282">
        <v>22002342</v>
      </c>
      <c r="D282">
        <v>1205</v>
      </c>
      <c r="E282" s="11">
        <v>44785</v>
      </c>
      <c r="F282" t="s">
        <v>179</v>
      </c>
      <c r="G282" s="25">
        <v>2.71</v>
      </c>
      <c r="H282">
        <v>2.71</v>
      </c>
      <c r="I282" t="s">
        <v>56</v>
      </c>
      <c r="O282" t="s">
        <v>57</v>
      </c>
      <c r="Q282" t="s">
        <v>57</v>
      </c>
      <c r="R282" t="s">
        <v>137</v>
      </c>
      <c r="T282" t="s">
        <v>59</v>
      </c>
      <c r="U282" t="s">
        <v>60</v>
      </c>
      <c r="V282" t="s">
        <v>138</v>
      </c>
      <c r="W282" t="s">
        <v>139</v>
      </c>
      <c r="X282">
        <v>1930745</v>
      </c>
      <c r="Y282" s="11">
        <v>44785</v>
      </c>
      <c r="Z282" t="s">
        <v>57</v>
      </c>
      <c r="AA282">
        <v>16</v>
      </c>
      <c r="AB282" t="s">
        <v>57</v>
      </c>
      <c r="AD282" t="s">
        <v>57</v>
      </c>
      <c r="AE282" t="s">
        <v>57</v>
      </c>
      <c r="AF282" t="s">
        <v>57</v>
      </c>
      <c r="AG282">
        <v>25</v>
      </c>
      <c r="AH282" t="s">
        <v>57</v>
      </c>
      <c r="AL282" t="s">
        <v>57</v>
      </c>
      <c r="AM282" s="11">
        <v>44785</v>
      </c>
      <c r="AN282" t="s">
        <v>180</v>
      </c>
      <c r="AO282" t="s">
        <v>65</v>
      </c>
      <c r="AP282">
        <v>1205</v>
      </c>
      <c r="AQ282" t="s">
        <v>66</v>
      </c>
      <c r="AR282">
        <v>265267</v>
      </c>
      <c r="AU282" t="s">
        <v>57</v>
      </c>
      <c r="AV282" t="s">
        <v>68</v>
      </c>
      <c r="AX282" t="s">
        <v>57</v>
      </c>
      <c r="AY282">
        <v>631110</v>
      </c>
      <c r="AZ282">
        <v>1205.63111</v>
      </c>
      <c r="BA282" s="23" t="s">
        <v>13</v>
      </c>
    </row>
    <row r="283" spans="1:53" x14ac:dyDescent="0.25">
      <c r="A283" t="s">
        <v>134</v>
      </c>
      <c r="B283" t="s">
        <v>135</v>
      </c>
      <c r="C283">
        <v>22002366</v>
      </c>
      <c r="D283">
        <v>1205</v>
      </c>
      <c r="E283" s="11">
        <v>44791</v>
      </c>
      <c r="F283" t="s">
        <v>174</v>
      </c>
      <c r="G283" s="25">
        <v>2.74</v>
      </c>
      <c r="H283">
        <v>2.74</v>
      </c>
      <c r="I283" t="s">
        <v>56</v>
      </c>
      <c r="O283" t="s">
        <v>57</v>
      </c>
      <c r="Q283" t="s">
        <v>57</v>
      </c>
      <c r="R283" t="s">
        <v>137</v>
      </c>
      <c r="T283" t="s">
        <v>59</v>
      </c>
      <c r="U283" t="s">
        <v>60</v>
      </c>
      <c r="V283" t="s">
        <v>138</v>
      </c>
      <c r="W283" t="s">
        <v>139</v>
      </c>
      <c r="X283">
        <v>1933538</v>
      </c>
      <c r="Y283" s="11">
        <v>44791</v>
      </c>
      <c r="Z283" t="s">
        <v>57</v>
      </c>
      <c r="AA283">
        <v>10</v>
      </c>
      <c r="AB283" t="s">
        <v>57</v>
      </c>
      <c r="AD283" t="s">
        <v>57</v>
      </c>
      <c r="AE283" t="s">
        <v>57</v>
      </c>
      <c r="AF283" t="s">
        <v>57</v>
      </c>
      <c r="AG283">
        <v>1</v>
      </c>
      <c r="AH283" t="s">
        <v>57</v>
      </c>
      <c r="AL283" t="s">
        <v>57</v>
      </c>
      <c r="AM283" s="11">
        <v>44791</v>
      </c>
      <c r="AN283" t="s">
        <v>178</v>
      </c>
      <c r="AO283" t="s">
        <v>65</v>
      </c>
      <c r="AP283">
        <v>1205</v>
      </c>
      <c r="AQ283" t="s">
        <v>66</v>
      </c>
      <c r="AR283">
        <v>96581</v>
      </c>
      <c r="AU283" t="s">
        <v>57</v>
      </c>
      <c r="AV283" t="s">
        <v>68</v>
      </c>
      <c r="AX283" t="s">
        <v>57</v>
      </c>
      <c r="AY283">
        <v>631110</v>
      </c>
      <c r="AZ283">
        <v>1205.63111</v>
      </c>
      <c r="BA283" s="23" t="s">
        <v>13</v>
      </c>
    </row>
    <row r="284" spans="1:53" x14ac:dyDescent="0.25">
      <c r="A284" t="s">
        <v>134</v>
      </c>
      <c r="B284" t="s">
        <v>135</v>
      </c>
      <c r="C284">
        <v>22002360</v>
      </c>
      <c r="D284">
        <v>1205</v>
      </c>
      <c r="E284" s="11">
        <v>44789</v>
      </c>
      <c r="F284" t="s">
        <v>307</v>
      </c>
      <c r="G284" s="25">
        <v>2.75</v>
      </c>
      <c r="H284">
        <v>2.75</v>
      </c>
      <c r="I284" t="s">
        <v>56</v>
      </c>
      <c r="O284" t="s">
        <v>57</v>
      </c>
      <c r="Q284" t="s">
        <v>57</v>
      </c>
      <c r="R284" t="s">
        <v>137</v>
      </c>
      <c r="T284" t="s">
        <v>59</v>
      </c>
      <c r="U284" t="s">
        <v>60</v>
      </c>
      <c r="V284" t="s">
        <v>138</v>
      </c>
      <c r="W284" t="s">
        <v>139</v>
      </c>
      <c r="X284">
        <v>1933172</v>
      </c>
      <c r="Y284" s="11">
        <v>44789</v>
      </c>
      <c r="Z284" t="s">
        <v>57</v>
      </c>
      <c r="AA284">
        <v>4</v>
      </c>
      <c r="AB284" t="s">
        <v>57</v>
      </c>
      <c r="AD284" t="s">
        <v>57</v>
      </c>
      <c r="AE284" t="s">
        <v>57</v>
      </c>
      <c r="AF284" t="s">
        <v>57</v>
      </c>
      <c r="AG284">
        <v>23</v>
      </c>
      <c r="AH284" t="s">
        <v>57</v>
      </c>
      <c r="AL284" t="s">
        <v>57</v>
      </c>
      <c r="AM284" s="11">
        <v>44789</v>
      </c>
      <c r="AN284" t="s">
        <v>180</v>
      </c>
      <c r="AO284" t="s">
        <v>65</v>
      </c>
      <c r="AP284">
        <v>1205</v>
      </c>
      <c r="AQ284" t="s">
        <v>66</v>
      </c>
      <c r="AR284">
        <v>267860</v>
      </c>
      <c r="AU284" t="s">
        <v>57</v>
      </c>
      <c r="AV284" t="s">
        <v>68</v>
      </c>
      <c r="AX284" t="s">
        <v>57</v>
      </c>
      <c r="AY284">
        <v>631110</v>
      </c>
      <c r="AZ284">
        <v>1205.63111</v>
      </c>
      <c r="BA284" s="23" t="s">
        <v>13</v>
      </c>
    </row>
    <row r="285" spans="1:53" x14ac:dyDescent="0.25">
      <c r="A285" t="s">
        <v>134</v>
      </c>
      <c r="B285" t="s">
        <v>135</v>
      </c>
      <c r="C285">
        <v>22002374</v>
      </c>
      <c r="D285">
        <v>1205</v>
      </c>
      <c r="E285" s="11">
        <v>44792</v>
      </c>
      <c r="F285" t="s">
        <v>174</v>
      </c>
      <c r="G285" s="25">
        <v>2.78</v>
      </c>
      <c r="H285">
        <v>2.78</v>
      </c>
      <c r="I285" t="s">
        <v>56</v>
      </c>
      <c r="O285" t="s">
        <v>57</v>
      </c>
      <c r="Q285" t="s">
        <v>57</v>
      </c>
      <c r="R285" t="s">
        <v>137</v>
      </c>
      <c r="T285" t="s">
        <v>59</v>
      </c>
      <c r="U285" t="s">
        <v>60</v>
      </c>
      <c r="V285" t="s">
        <v>138</v>
      </c>
      <c r="W285" t="s">
        <v>139</v>
      </c>
      <c r="X285">
        <v>1934079</v>
      </c>
      <c r="Y285" s="11">
        <v>44792</v>
      </c>
      <c r="Z285" t="s">
        <v>57</v>
      </c>
      <c r="AA285">
        <v>6</v>
      </c>
      <c r="AB285" t="s">
        <v>57</v>
      </c>
      <c r="AD285" t="s">
        <v>57</v>
      </c>
      <c r="AE285" t="s">
        <v>57</v>
      </c>
      <c r="AF285" t="s">
        <v>57</v>
      </c>
      <c r="AG285">
        <v>2</v>
      </c>
      <c r="AH285" t="s">
        <v>57</v>
      </c>
      <c r="AL285" t="s">
        <v>57</v>
      </c>
      <c r="AM285" s="11">
        <v>44792</v>
      </c>
      <c r="AN285" t="s">
        <v>178</v>
      </c>
      <c r="AO285" t="s">
        <v>65</v>
      </c>
      <c r="AP285">
        <v>1205</v>
      </c>
      <c r="AQ285" t="s">
        <v>66</v>
      </c>
      <c r="AR285">
        <v>242008</v>
      </c>
      <c r="AU285" t="s">
        <v>57</v>
      </c>
      <c r="AV285" t="s">
        <v>68</v>
      </c>
      <c r="AX285" t="s">
        <v>57</v>
      </c>
      <c r="AY285">
        <v>631110</v>
      </c>
      <c r="AZ285">
        <v>1205.63111</v>
      </c>
      <c r="BA285" s="23" t="s">
        <v>13</v>
      </c>
    </row>
    <row r="286" spans="1:53" x14ac:dyDescent="0.25">
      <c r="A286" t="s">
        <v>134</v>
      </c>
      <c r="B286" t="s">
        <v>135</v>
      </c>
      <c r="C286">
        <v>22002316</v>
      </c>
      <c r="D286">
        <v>1205</v>
      </c>
      <c r="E286" s="11">
        <v>44782</v>
      </c>
      <c r="F286" t="s">
        <v>174</v>
      </c>
      <c r="G286" s="25">
        <v>2.84</v>
      </c>
      <c r="H286">
        <v>2.84</v>
      </c>
      <c r="I286" t="s">
        <v>56</v>
      </c>
      <c r="O286" t="s">
        <v>57</v>
      </c>
      <c r="Q286" t="s">
        <v>57</v>
      </c>
      <c r="R286" t="s">
        <v>137</v>
      </c>
      <c r="T286" t="s">
        <v>59</v>
      </c>
      <c r="U286" t="s">
        <v>60</v>
      </c>
      <c r="V286" t="s">
        <v>138</v>
      </c>
      <c r="W286" t="s">
        <v>139</v>
      </c>
      <c r="X286">
        <v>1929847</v>
      </c>
      <c r="Y286" s="11">
        <v>44782</v>
      </c>
      <c r="Z286" t="s">
        <v>57</v>
      </c>
      <c r="AA286">
        <v>18</v>
      </c>
      <c r="AB286" t="s">
        <v>57</v>
      </c>
      <c r="AD286" t="s">
        <v>57</v>
      </c>
      <c r="AE286" t="s">
        <v>57</v>
      </c>
      <c r="AF286" t="s">
        <v>57</v>
      </c>
      <c r="AG286">
        <v>2</v>
      </c>
      <c r="AH286" t="s">
        <v>57</v>
      </c>
      <c r="AL286" t="s">
        <v>57</v>
      </c>
      <c r="AM286" s="11">
        <v>44782</v>
      </c>
      <c r="AN286" t="s">
        <v>178</v>
      </c>
      <c r="AO286" t="s">
        <v>65</v>
      </c>
      <c r="AP286">
        <v>1205</v>
      </c>
      <c r="AQ286" t="s">
        <v>66</v>
      </c>
      <c r="AR286">
        <v>88624</v>
      </c>
      <c r="AU286" t="s">
        <v>57</v>
      </c>
      <c r="AV286" t="s">
        <v>68</v>
      </c>
      <c r="AX286" t="s">
        <v>57</v>
      </c>
      <c r="AY286">
        <v>631110</v>
      </c>
      <c r="AZ286">
        <v>1205.63111</v>
      </c>
      <c r="BA286" s="23" t="s">
        <v>13</v>
      </c>
    </row>
    <row r="287" spans="1:53" x14ac:dyDescent="0.25">
      <c r="A287" t="s">
        <v>134</v>
      </c>
      <c r="B287" t="s">
        <v>135</v>
      </c>
      <c r="C287">
        <v>22002262</v>
      </c>
      <c r="D287">
        <v>1205</v>
      </c>
      <c r="E287" s="11">
        <v>44774</v>
      </c>
      <c r="F287" t="s">
        <v>174</v>
      </c>
      <c r="G287" s="25">
        <v>2.92</v>
      </c>
      <c r="H287">
        <v>2.92</v>
      </c>
      <c r="I287" t="s">
        <v>56</v>
      </c>
      <c r="O287" t="s">
        <v>57</v>
      </c>
      <c r="Q287" t="s">
        <v>57</v>
      </c>
      <c r="R287" t="s">
        <v>137</v>
      </c>
      <c r="T287" t="s">
        <v>59</v>
      </c>
      <c r="U287" t="s">
        <v>60</v>
      </c>
      <c r="V287" t="s">
        <v>138</v>
      </c>
      <c r="W287" t="s">
        <v>139</v>
      </c>
      <c r="X287">
        <v>1925596</v>
      </c>
      <c r="Y287" s="11">
        <v>44774</v>
      </c>
      <c r="Z287" t="s">
        <v>57</v>
      </c>
      <c r="AA287">
        <v>2</v>
      </c>
      <c r="AB287" t="s">
        <v>57</v>
      </c>
      <c r="AD287" t="s">
        <v>57</v>
      </c>
      <c r="AE287" t="s">
        <v>57</v>
      </c>
      <c r="AF287" t="s">
        <v>57</v>
      </c>
      <c r="AG287">
        <v>3</v>
      </c>
      <c r="AH287" t="s">
        <v>57</v>
      </c>
      <c r="AL287" t="s">
        <v>57</v>
      </c>
      <c r="AM287" s="11">
        <v>44774</v>
      </c>
      <c r="AN287" t="s">
        <v>178</v>
      </c>
      <c r="AO287" t="s">
        <v>65</v>
      </c>
      <c r="AP287">
        <v>1205</v>
      </c>
      <c r="AQ287" t="s">
        <v>66</v>
      </c>
      <c r="AR287">
        <v>89486</v>
      </c>
      <c r="AU287" t="s">
        <v>57</v>
      </c>
      <c r="AV287" t="s">
        <v>68</v>
      </c>
      <c r="AX287" t="s">
        <v>57</v>
      </c>
      <c r="AY287">
        <v>631110</v>
      </c>
      <c r="AZ287">
        <v>1205.63111</v>
      </c>
      <c r="BA287" s="23" t="s">
        <v>13</v>
      </c>
    </row>
    <row r="288" spans="1:53" x14ac:dyDescent="0.25">
      <c r="A288" t="s">
        <v>134</v>
      </c>
      <c r="B288" t="s">
        <v>135</v>
      </c>
      <c r="C288">
        <v>22002287</v>
      </c>
      <c r="D288">
        <v>1205</v>
      </c>
      <c r="E288" s="11">
        <v>44777</v>
      </c>
      <c r="F288" t="s">
        <v>174</v>
      </c>
      <c r="G288" s="25">
        <v>2.92</v>
      </c>
      <c r="H288">
        <v>2.92</v>
      </c>
      <c r="I288" t="s">
        <v>56</v>
      </c>
      <c r="O288" t="s">
        <v>57</v>
      </c>
      <c r="Q288" t="s">
        <v>57</v>
      </c>
      <c r="R288" t="s">
        <v>137</v>
      </c>
      <c r="T288" t="s">
        <v>59</v>
      </c>
      <c r="U288" t="s">
        <v>60</v>
      </c>
      <c r="V288" t="s">
        <v>138</v>
      </c>
      <c r="W288" t="s">
        <v>139</v>
      </c>
      <c r="X288">
        <v>1927360</v>
      </c>
      <c r="Y288" s="11">
        <v>44777</v>
      </c>
      <c r="Z288" t="s">
        <v>57</v>
      </c>
      <c r="AA288">
        <v>8</v>
      </c>
      <c r="AB288" t="s">
        <v>57</v>
      </c>
      <c r="AD288" t="s">
        <v>57</v>
      </c>
      <c r="AE288" t="s">
        <v>57</v>
      </c>
      <c r="AF288" t="s">
        <v>57</v>
      </c>
      <c r="AG288">
        <v>1</v>
      </c>
      <c r="AH288" t="s">
        <v>57</v>
      </c>
      <c r="AL288" t="s">
        <v>57</v>
      </c>
      <c r="AM288" s="11">
        <v>44777</v>
      </c>
      <c r="AN288" t="s">
        <v>178</v>
      </c>
      <c r="AO288" t="s">
        <v>65</v>
      </c>
      <c r="AP288">
        <v>1205</v>
      </c>
      <c r="AQ288" t="s">
        <v>66</v>
      </c>
      <c r="AR288">
        <v>214848</v>
      </c>
      <c r="AU288" t="s">
        <v>57</v>
      </c>
      <c r="AV288" t="s">
        <v>68</v>
      </c>
      <c r="AX288" t="s">
        <v>57</v>
      </c>
      <c r="AY288">
        <v>631110</v>
      </c>
      <c r="AZ288">
        <v>1205.63111</v>
      </c>
      <c r="BA288" s="23" t="s">
        <v>13</v>
      </c>
    </row>
    <row r="289" spans="1:53" x14ac:dyDescent="0.25">
      <c r="A289" t="s">
        <v>134</v>
      </c>
      <c r="B289" t="s">
        <v>135</v>
      </c>
      <c r="C289">
        <v>22002277</v>
      </c>
      <c r="D289">
        <v>1205</v>
      </c>
      <c r="E289" s="11">
        <v>44776</v>
      </c>
      <c r="F289" t="s">
        <v>174</v>
      </c>
      <c r="G289" s="25">
        <v>3.04</v>
      </c>
      <c r="H289">
        <v>3.04</v>
      </c>
      <c r="I289" t="s">
        <v>56</v>
      </c>
      <c r="O289" t="s">
        <v>57</v>
      </c>
      <c r="Q289" t="s">
        <v>57</v>
      </c>
      <c r="R289" t="s">
        <v>137</v>
      </c>
      <c r="T289" t="s">
        <v>59</v>
      </c>
      <c r="U289" t="s">
        <v>60</v>
      </c>
      <c r="V289" t="s">
        <v>138</v>
      </c>
      <c r="W289" t="s">
        <v>139</v>
      </c>
      <c r="X289">
        <v>1927031</v>
      </c>
      <c r="Y289" s="11">
        <v>44776</v>
      </c>
      <c r="Z289" t="s">
        <v>57</v>
      </c>
      <c r="AA289">
        <v>2</v>
      </c>
      <c r="AB289" t="s">
        <v>57</v>
      </c>
      <c r="AD289" t="s">
        <v>57</v>
      </c>
      <c r="AE289" t="s">
        <v>57</v>
      </c>
      <c r="AF289" t="s">
        <v>57</v>
      </c>
      <c r="AG289">
        <v>1</v>
      </c>
      <c r="AH289" t="s">
        <v>57</v>
      </c>
      <c r="AL289" t="s">
        <v>57</v>
      </c>
      <c r="AM289" s="11">
        <v>44776</v>
      </c>
      <c r="AN289" t="s">
        <v>178</v>
      </c>
      <c r="AO289" t="s">
        <v>65</v>
      </c>
      <c r="AP289">
        <v>1205</v>
      </c>
      <c r="AQ289" t="s">
        <v>66</v>
      </c>
      <c r="AR289">
        <v>90264</v>
      </c>
      <c r="AU289" t="s">
        <v>57</v>
      </c>
      <c r="AV289" t="s">
        <v>68</v>
      </c>
      <c r="AX289" t="s">
        <v>57</v>
      </c>
      <c r="AY289">
        <v>631110</v>
      </c>
      <c r="AZ289">
        <v>1205.63111</v>
      </c>
      <c r="BA289" s="23" t="s">
        <v>13</v>
      </c>
    </row>
    <row r="290" spans="1:53" x14ac:dyDescent="0.25">
      <c r="A290" t="s">
        <v>134</v>
      </c>
      <c r="B290" t="s">
        <v>135</v>
      </c>
      <c r="C290">
        <v>22002290</v>
      </c>
      <c r="D290">
        <v>1205</v>
      </c>
      <c r="E290" s="11">
        <v>44777</v>
      </c>
      <c r="F290" t="s">
        <v>174</v>
      </c>
      <c r="G290" s="25">
        <v>3.04</v>
      </c>
      <c r="H290">
        <v>3.04</v>
      </c>
      <c r="I290" t="s">
        <v>56</v>
      </c>
      <c r="O290" t="s">
        <v>57</v>
      </c>
      <c r="Q290" t="s">
        <v>57</v>
      </c>
      <c r="R290" t="s">
        <v>137</v>
      </c>
      <c r="T290" t="s">
        <v>59</v>
      </c>
      <c r="U290" t="s">
        <v>60</v>
      </c>
      <c r="V290" t="s">
        <v>138</v>
      </c>
      <c r="W290" t="s">
        <v>139</v>
      </c>
      <c r="X290">
        <v>1927475</v>
      </c>
      <c r="Y290" s="11">
        <v>44777</v>
      </c>
      <c r="Z290" t="s">
        <v>57</v>
      </c>
      <c r="AA290">
        <v>2</v>
      </c>
      <c r="AB290" t="s">
        <v>57</v>
      </c>
      <c r="AD290" t="s">
        <v>57</v>
      </c>
      <c r="AE290" t="s">
        <v>57</v>
      </c>
      <c r="AF290" t="s">
        <v>57</v>
      </c>
      <c r="AG290">
        <v>1</v>
      </c>
      <c r="AH290" t="s">
        <v>57</v>
      </c>
      <c r="AL290" t="s">
        <v>57</v>
      </c>
      <c r="AM290" s="11">
        <v>44777</v>
      </c>
      <c r="AN290" t="s">
        <v>178</v>
      </c>
      <c r="AO290" t="s">
        <v>65</v>
      </c>
      <c r="AP290">
        <v>1205</v>
      </c>
      <c r="AQ290" t="s">
        <v>66</v>
      </c>
      <c r="AR290">
        <v>90264</v>
      </c>
      <c r="AU290" t="s">
        <v>57</v>
      </c>
      <c r="AV290" t="s">
        <v>68</v>
      </c>
      <c r="AX290" t="s">
        <v>57</v>
      </c>
      <c r="AY290">
        <v>631110</v>
      </c>
      <c r="AZ290">
        <v>1205.63111</v>
      </c>
      <c r="BA290" s="23" t="s">
        <v>13</v>
      </c>
    </row>
    <row r="291" spans="1:53" x14ac:dyDescent="0.25">
      <c r="A291" t="s">
        <v>134</v>
      </c>
      <c r="B291" t="s">
        <v>135</v>
      </c>
      <c r="C291">
        <v>22002297</v>
      </c>
      <c r="D291">
        <v>1205</v>
      </c>
      <c r="E291" s="11">
        <v>44778</v>
      </c>
      <c r="F291" t="s">
        <v>174</v>
      </c>
      <c r="G291" s="25">
        <v>3.04</v>
      </c>
      <c r="H291">
        <v>3.04</v>
      </c>
      <c r="I291" t="s">
        <v>56</v>
      </c>
      <c r="O291" t="s">
        <v>57</v>
      </c>
      <c r="Q291" t="s">
        <v>57</v>
      </c>
      <c r="R291" t="s">
        <v>137</v>
      </c>
      <c r="T291" t="s">
        <v>59</v>
      </c>
      <c r="U291" t="s">
        <v>60</v>
      </c>
      <c r="V291" t="s">
        <v>138</v>
      </c>
      <c r="W291" t="s">
        <v>139</v>
      </c>
      <c r="X291">
        <v>1928656</v>
      </c>
      <c r="Y291" s="11">
        <v>44778</v>
      </c>
      <c r="Z291" t="s">
        <v>57</v>
      </c>
      <c r="AA291">
        <v>6</v>
      </c>
      <c r="AB291" t="s">
        <v>57</v>
      </c>
      <c r="AD291" t="s">
        <v>57</v>
      </c>
      <c r="AE291" t="s">
        <v>57</v>
      </c>
      <c r="AF291" t="s">
        <v>57</v>
      </c>
      <c r="AG291">
        <v>1</v>
      </c>
      <c r="AH291" t="s">
        <v>57</v>
      </c>
      <c r="AL291" t="s">
        <v>57</v>
      </c>
      <c r="AM291" s="11">
        <v>44778</v>
      </c>
      <c r="AN291" t="s">
        <v>178</v>
      </c>
      <c r="AO291" t="s">
        <v>65</v>
      </c>
      <c r="AP291">
        <v>1205</v>
      </c>
      <c r="AQ291" t="s">
        <v>66</v>
      </c>
      <c r="AR291">
        <v>90264</v>
      </c>
      <c r="AU291" t="s">
        <v>57</v>
      </c>
      <c r="AV291" t="s">
        <v>68</v>
      </c>
      <c r="AX291" t="s">
        <v>57</v>
      </c>
      <c r="AY291">
        <v>631110</v>
      </c>
      <c r="AZ291">
        <v>1205.63111</v>
      </c>
      <c r="BA291" s="23" t="s">
        <v>13</v>
      </c>
    </row>
    <row r="292" spans="1:53" x14ac:dyDescent="0.25">
      <c r="A292" t="s">
        <v>134</v>
      </c>
      <c r="B292" t="s">
        <v>135</v>
      </c>
      <c r="C292">
        <v>22002338</v>
      </c>
      <c r="D292">
        <v>1205</v>
      </c>
      <c r="E292" s="11">
        <v>44784</v>
      </c>
      <c r="F292" t="s">
        <v>174</v>
      </c>
      <c r="G292" s="25">
        <v>3.04</v>
      </c>
      <c r="H292">
        <v>3.04</v>
      </c>
      <c r="I292" t="s">
        <v>56</v>
      </c>
      <c r="O292" t="s">
        <v>57</v>
      </c>
      <c r="Q292" t="s">
        <v>57</v>
      </c>
      <c r="R292" t="s">
        <v>137</v>
      </c>
      <c r="T292" t="s">
        <v>59</v>
      </c>
      <c r="U292" t="s">
        <v>60</v>
      </c>
      <c r="V292" t="s">
        <v>138</v>
      </c>
      <c r="W292" t="s">
        <v>139</v>
      </c>
      <c r="X292">
        <v>1930521</v>
      </c>
      <c r="Y292" s="11">
        <v>44784</v>
      </c>
      <c r="Z292" t="s">
        <v>57</v>
      </c>
      <c r="AA292">
        <v>16</v>
      </c>
      <c r="AB292" t="s">
        <v>57</v>
      </c>
      <c r="AD292" t="s">
        <v>57</v>
      </c>
      <c r="AE292" t="s">
        <v>57</v>
      </c>
      <c r="AF292" t="s">
        <v>57</v>
      </c>
      <c r="AG292">
        <v>1</v>
      </c>
      <c r="AH292" t="s">
        <v>57</v>
      </c>
      <c r="AL292" t="s">
        <v>57</v>
      </c>
      <c r="AM292" s="11">
        <v>44784</v>
      </c>
      <c r="AN292" t="s">
        <v>178</v>
      </c>
      <c r="AO292" t="s">
        <v>65</v>
      </c>
      <c r="AP292">
        <v>1205</v>
      </c>
      <c r="AQ292" t="s">
        <v>66</v>
      </c>
      <c r="AR292">
        <v>90264</v>
      </c>
      <c r="AU292" t="s">
        <v>57</v>
      </c>
      <c r="AV292" t="s">
        <v>68</v>
      </c>
      <c r="AX292" t="s">
        <v>57</v>
      </c>
      <c r="AY292">
        <v>631110</v>
      </c>
      <c r="AZ292">
        <v>1205.63111</v>
      </c>
      <c r="BA292" s="23" t="s">
        <v>13</v>
      </c>
    </row>
    <row r="293" spans="1:53" x14ac:dyDescent="0.25">
      <c r="A293" t="s">
        <v>134</v>
      </c>
      <c r="B293" t="s">
        <v>135</v>
      </c>
      <c r="C293">
        <v>22002341</v>
      </c>
      <c r="D293">
        <v>1205</v>
      </c>
      <c r="E293" s="11">
        <v>44785</v>
      </c>
      <c r="F293" t="s">
        <v>174</v>
      </c>
      <c r="G293" s="25">
        <v>3.04</v>
      </c>
      <c r="H293">
        <v>3.04</v>
      </c>
      <c r="I293" t="s">
        <v>56</v>
      </c>
      <c r="O293" t="s">
        <v>57</v>
      </c>
      <c r="Q293" t="s">
        <v>57</v>
      </c>
      <c r="R293" t="s">
        <v>137</v>
      </c>
      <c r="T293" t="s">
        <v>59</v>
      </c>
      <c r="U293" t="s">
        <v>60</v>
      </c>
      <c r="V293" t="s">
        <v>138</v>
      </c>
      <c r="W293" t="s">
        <v>139</v>
      </c>
      <c r="X293">
        <v>1930742</v>
      </c>
      <c r="Y293" s="11">
        <v>44785</v>
      </c>
      <c r="Z293" t="s">
        <v>57</v>
      </c>
      <c r="AA293">
        <v>6</v>
      </c>
      <c r="AB293" t="s">
        <v>57</v>
      </c>
      <c r="AD293" t="s">
        <v>57</v>
      </c>
      <c r="AE293" t="s">
        <v>57</v>
      </c>
      <c r="AF293" t="s">
        <v>57</v>
      </c>
      <c r="AG293">
        <v>1</v>
      </c>
      <c r="AH293" t="s">
        <v>57</v>
      </c>
      <c r="AL293" t="s">
        <v>57</v>
      </c>
      <c r="AM293" s="11">
        <v>44785</v>
      </c>
      <c r="AN293" t="s">
        <v>178</v>
      </c>
      <c r="AO293" t="s">
        <v>65</v>
      </c>
      <c r="AP293">
        <v>1205</v>
      </c>
      <c r="AQ293" t="s">
        <v>66</v>
      </c>
      <c r="AR293">
        <v>90264</v>
      </c>
      <c r="AU293" t="s">
        <v>57</v>
      </c>
      <c r="AV293" t="s">
        <v>68</v>
      </c>
      <c r="AX293" t="s">
        <v>57</v>
      </c>
      <c r="AY293">
        <v>631110</v>
      </c>
      <c r="AZ293">
        <v>1205.63111</v>
      </c>
      <c r="BA293" s="23" t="s">
        <v>13</v>
      </c>
    </row>
    <row r="294" spans="1:53" x14ac:dyDescent="0.25">
      <c r="A294" t="s">
        <v>134</v>
      </c>
      <c r="B294" t="s">
        <v>135</v>
      </c>
      <c r="C294">
        <v>22002297</v>
      </c>
      <c r="D294">
        <v>1205</v>
      </c>
      <c r="E294" s="11">
        <v>44778</v>
      </c>
      <c r="F294" t="s">
        <v>174</v>
      </c>
      <c r="G294" s="25">
        <v>3.13</v>
      </c>
      <c r="H294">
        <v>3.13</v>
      </c>
      <c r="I294" t="s">
        <v>56</v>
      </c>
      <c r="O294" t="s">
        <v>57</v>
      </c>
      <c r="Q294" t="s">
        <v>57</v>
      </c>
      <c r="R294" t="s">
        <v>137</v>
      </c>
      <c r="T294" t="s">
        <v>59</v>
      </c>
      <c r="U294" t="s">
        <v>60</v>
      </c>
      <c r="V294" t="s">
        <v>138</v>
      </c>
      <c r="W294" t="s">
        <v>139</v>
      </c>
      <c r="X294">
        <v>1928656</v>
      </c>
      <c r="Y294" s="11">
        <v>44778</v>
      </c>
      <c r="Z294" t="s">
        <v>57</v>
      </c>
      <c r="AA294">
        <v>16</v>
      </c>
      <c r="AB294" t="s">
        <v>57</v>
      </c>
      <c r="AD294" t="s">
        <v>57</v>
      </c>
      <c r="AE294" t="s">
        <v>57</v>
      </c>
      <c r="AF294" t="s">
        <v>57</v>
      </c>
      <c r="AG294">
        <v>1</v>
      </c>
      <c r="AH294" t="s">
        <v>57</v>
      </c>
      <c r="AL294" t="s">
        <v>57</v>
      </c>
      <c r="AM294" s="11">
        <v>44778</v>
      </c>
      <c r="AN294" t="s">
        <v>178</v>
      </c>
      <c r="AO294" t="s">
        <v>65</v>
      </c>
      <c r="AP294">
        <v>1205</v>
      </c>
      <c r="AQ294" t="s">
        <v>66</v>
      </c>
      <c r="AR294">
        <v>89952</v>
      </c>
      <c r="AU294" t="s">
        <v>57</v>
      </c>
      <c r="AV294" t="s">
        <v>68</v>
      </c>
      <c r="AX294" t="s">
        <v>57</v>
      </c>
      <c r="AY294">
        <v>631110</v>
      </c>
      <c r="AZ294">
        <v>1205.63111</v>
      </c>
      <c r="BA294" s="23" t="s">
        <v>13</v>
      </c>
    </row>
    <row r="295" spans="1:53" x14ac:dyDescent="0.25">
      <c r="A295" t="s">
        <v>134</v>
      </c>
      <c r="B295" t="s">
        <v>135</v>
      </c>
      <c r="C295">
        <v>22002372</v>
      </c>
      <c r="D295">
        <v>1205</v>
      </c>
      <c r="E295" s="11">
        <v>44791</v>
      </c>
      <c r="F295" t="s">
        <v>179</v>
      </c>
      <c r="G295" s="25">
        <v>3.28</v>
      </c>
      <c r="H295">
        <v>3.28</v>
      </c>
      <c r="I295" t="s">
        <v>56</v>
      </c>
      <c r="O295" t="s">
        <v>57</v>
      </c>
      <c r="Q295" t="s">
        <v>57</v>
      </c>
      <c r="R295" t="s">
        <v>137</v>
      </c>
      <c r="T295" t="s">
        <v>59</v>
      </c>
      <c r="U295" t="s">
        <v>60</v>
      </c>
      <c r="V295" t="s">
        <v>138</v>
      </c>
      <c r="W295" t="s">
        <v>139</v>
      </c>
      <c r="X295">
        <v>1933543</v>
      </c>
      <c r="Y295" s="11">
        <v>44791</v>
      </c>
      <c r="Z295" t="s">
        <v>57</v>
      </c>
      <c r="AA295">
        <v>28</v>
      </c>
      <c r="AB295" t="s">
        <v>57</v>
      </c>
      <c r="AD295" t="s">
        <v>57</v>
      </c>
      <c r="AE295" t="s">
        <v>57</v>
      </c>
      <c r="AF295" t="s">
        <v>57</v>
      </c>
      <c r="AG295">
        <v>13</v>
      </c>
      <c r="AH295" t="s">
        <v>57</v>
      </c>
      <c r="AL295" t="s">
        <v>57</v>
      </c>
      <c r="AM295" s="11">
        <v>44791</v>
      </c>
      <c r="AN295" t="s">
        <v>180</v>
      </c>
      <c r="AO295" t="s">
        <v>65</v>
      </c>
      <c r="AP295">
        <v>1205</v>
      </c>
      <c r="AQ295" t="s">
        <v>66</v>
      </c>
      <c r="AR295">
        <v>88669</v>
      </c>
      <c r="AU295" t="s">
        <v>57</v>
      </c>
      <c r="AV295" t="s">
        <v>68</v>
      </c>
      <c r="AX295" t="s">
        <v>57</v>
      </c>
      <c r="AY295">
        <v>631110</v>
      </c>
      <c r="AZ295">
        <v>1205.63111</v>
      </c>
      <c r="BA295" s="23" t="s">
        <v>13</v>
      </c>
    </row>
    <row r="296" spans="1:53" x14ac:dyDescent="0.25">
      <c r="A296" t="s">
        <v>134</v>
      </c>
      <c r="B296" t="s">
        <v>135</v>
      </c>
      <c r="C296">
        <v>22002303</v>
      </c>
      <c r="D296">
        <v>1205</v>
      </c>
      <c r="E296" s="11">
        <v>44778</v>
      </c>
      <c r="F296" t="s">
        <v>174</v>
      </c>
      <c r="G296" s="25">
        <v>3.36</v>
      </c>
      <c r="H296">
        <v>3.36</v>
      </c>
      <c r="I296" t="s">
        <v>56</v>
      </c>
      <c r="O296" t="s">
        <v>57</v>
      </c>
      <c r="Q296" t="s">
        <v>57</v>
      </c>
      <c r="R296" t="s">
        <v>137</v>
      </c>
      <c r="T296" t="s">
        <v>59</v>
      </c>
      <c r="U296" t="s">
        <v>60</v>
      </c>
      <c r="V296" t="s">
        <v>138</v>
      </c>
      <c r="W296" t="s">
        <v>139</v>
      </c>
      <c r="X296">
        <v>1928762</v>
      </c>
      <c r="Y296" s="11">
        <v>44778</v>
      </c>
      <c r="Z296" t="s">
        <v>57</v>
      </c>
      <c r="AA296">
        <v>2</v>
      </c>
      <c r="AB296" t="s">
        <v>57</v>
      </c>
      <c r="AD296" t="s">
        <v>57</v>
      </c>
      <c r="AE296" t="s">
        <v>57</v>
      </c>
      <c r="AF296" t="s">
        <v>57</v>
      </c>
      <c r="AG296">
        <v>1</v>
      </c>
      <c r="AH296" t="s">
        <v>57</v>
      </c>
      <c r="AL296" t="s">
        <v>57</v>
      </c>
      <c r="AM296" s="11">
        <v>44778</v>
      </c>
      <c r="AN296" t="s">
        <v>178</v>
      </c>
      <c r="AO296" t="s">
        <v>65</v>
      </c>
      <c r="AP296">
        <v>1205</v>
      </c>
      <c r="AQ296" t="s">
        <v>66</v>
      </c>
      <c r="AR296">
        <v>206793</v>
      </c>
      <c r="AU296" t="s">
        <v>57</v>
      </c>
      <c r="AV296" t="s">
        <v>68</v>
      </c>
      <c r="AX296" t="s">
        <v>57</v>
      </c>
      <c r="AY296">
        <v>631110</v>
      </c>
      <c r="AZ296">
        <v>1205.63111</v>
      </c>
      <c r="BA296" s="23" t="s">
        <v>13</v>
      </c>
    </row>
    <row r="297" spans="1:53" x14ac:dyDescent="0.25">
      <c r="A297" t="s">
        <v>134</v>
      </c>
      <c r="B297" t="s">
        <v>135</v>
      </c>
      <c r="C297">
        <v>22002316</v>
      </c>
      <c r="D297">
        <v>1205</v>
      </c>
      <c r="E297" s="11">
        <v>44782</v>
      </c>
      <c r="F297" t="s">
        <v>174</v>
      </c>
      <c r="G297" s="25">
        <v>3.36</v>
      </c>
      <c r="H297">
        <v>3.36</v>
      </c>
      <c r="I297" t="s">
        <v>56</v>
      </c>
      <c r="O297" t="s">
        <v>57</v>
      </c>
      <c r="Q297" t="s">
        <v>57</v>
      </c>
      <c r="R297" t="s">
        <v>137</v>
      </c>
      <c r="T297" t="s">
        <v>59</v>
      </c>
      <c r="U297" t="s">
        <v>60</v>
      </c>
      <c r="V297" t="s">
        <v>138</v>
      </c>
      <c r="W297" t="s">
        <v>139</v>
      </c>
      <c r="X297">
        <v>1929847</v>
      </c>
      <c r="Y297" s="11">
        <v>44782</v>
      </c>
      <c r="Z297" t="s">
        <v>57</v>
      </c>
      <c r="AA297">
        <v>8</v>
      </c>
      <c r="AB297" t="s">
        <v>57</v>
      </c>
      <c r="AD297" t="s">
        <v>57</v>
      </c>
      <c r="AE297" t="s">
        <v>57</v>
      </c>
      <c r="AF297" t="s">
        <v>57</v>
      </c>
      <c r="AG297">
        <v>1</v>
      </c>
      <c r="AH297" t="s">
        <v>57</v>
      </c>
      <c r="AL297" t="s">
        <v>57</v>
      </c>
      <c r="AM297" s="11">
        <v>44782</v>
      </c>
      <c r="AN297" t="s">
        <v>178</v>
      </c>
      <c r="AO297" t="s">
        <v>65</v>
      </c>
      <c r="AP297">
        <v>1205</v>
      </c>
      <c r="AQ297" t="s">
        <v>66</v>
      </c>
      <c r="AR297">
        <v>206793</v>
      </c>
      <c r="AU297" t="s">
        <v>57</v>
      </c>
      <c r="AV297" t="s">
        <v>68</v>
      </c>
      <c r="AX297" t="s">
        <v>57</v>
      </c>
      <c r="AY297">
        <v>631110</v>
      </c>
      <c r="AZ297">
        <v>1205.63111</v>
      </c>
      <c r="BA297" s="23" t="s">
        <v>13</v>
      </c>
    </row>
    <row r="298" spans="1:53" x14ac:dyDescent="0.25">
      <c r="A298" t="s">
        <v>134</v>
      </c>
      <c r="B298" t="s">
        <v>135</v>
      </c>
      <c r="C298">
        <v>22002338</v>
      </c>
      <c r="D298">
        <v>1205</v>
      </c>
      <c r="E298" s="11">
        <v>44784</v>
      </c>
      <c r="F298" t="s">
        <v>174</v>
      </c>
      <c r="G298" s="25">
        <v>3.36</v>
      </c>
      <c r="H298">
        <v>3.36</v>
      </c>
      <c r="I298" t="s">
        <v>56</v>
      </c>
      <c r="O298" t="s">
        <v>57</v>
      </c>
      <c r="Q298" t="s">
        <v>57</v>
      </c>
      <c r="R298" t="s">
        <v>137</v>
      </c>
      <c r="T298" t="s">
        <v>59</v>
      </c>
      <c r="U298" t="s">
        <v>60</v>
      </c>
      <c r="V298" t="s">
        <v>138</v>
      </c>
      <c r="W298" t="s">
        <v>139</v>
      </c>
      <c r="X298">
        <v>1930521</v>
      </c>
      <c r="Y298" s="11">
        <v>44784</v>
      </c>
      <c r="Z298" t="s">
        <v>57</v>
      </c>
      <c r="AA298">
        <v>6</v>
      </c>
      <c r="AB298" t="s">
        <v>57</v>
      </c>
      <c r="AD298" t="s">
        <v>57</v>
      </c>
      <c r="AE298" t="s">
        <v>57</v>
      </c>
      <c r="AF298" t="s">
        <v>57</v>
      </c>
      <c r="AG298">
        <v>1</v>
      </c>
      <c r="AH298" t="s">
        <v>57</v>
      </c>
      <c r="AL298" t="s">
        <v>57</v>
      </c>
      <c r="AM298" s="11">
        <v>44784</v>
      </c>
      <c r="AN298" t="s">
        <v>178</v>
      </c>
      <c r="AO298" t="s">
        <v>65</v>
      </c>
      <c r="AP298">
        <v>1205</v>
      </c>
      <c r="AQ298" t="s">
        <v>66</v>
      </c>
      <c r="AR298">
        <v>206793</v>
      </c>
      <c r="AU298" t="s">
        <v>57</v>
      </c>
      <c r="AV298" t="s">
        <v>68</v>
      </c>
      <c r="AX298" t="s">
        <v>57</v>
      </c>
      <c r="AY298">
        <v>631110</v>
      </c>
      <c r="AZ298">
        <v>1205.63111</v>
      </c>
      <c r="BA298" s="23" t="s">
        <v>13</v>
      </c>
    </row>
    <row r="299" spans="1:53" x14ac:dyDescent="0.25">
      <c r="A299" t="s">
        <v>134</v>
      </c>
      <c r="B299" t="s">
        <v>135</v>
      </c>
      <c r="C299">
        <v>22002341</v>
      </c>
      <c r="D299">
        <v>1205</v>
      </c>
      <c r="E299" s="11">
        <v>44785</v>
      </c>
      <c r="F299" t="s">
        <v>174</v>
      </c>
      <c r="G299" s="25">
        <v>3.36</v>
      </c>
      <c r="H299">
        <v>3.36</v>
      </c>
      <c r="I299" t="s">
        <v>56</v>
      </c>
      <c r="O299" t="s">
        <v>57</v>
      </c>
      <c r="Q299" t="s">
        <v>57</v>
      </c>
      <c r="R299" t="s">
        <v>137</v>
      </c>
      <c r="T299" t="s">
        <v>59</v>
      </c>
      <c r="U299" t="s">
        <v>60</v>
      </c>
      <c r="V299" t="s">
        <v>138</v>
      </c>
      <c r="W299" t="s">
        <v>139</v>
      </c>
      <c r="X299">
        <v>1930742</v>
      </c>
      <c r="Y299" s="11">
        <v>44785</v>
      </c>
      <c r="Z299" t="s">
        <v>57</v>
      </c>
      <c r="AA299">
        <v>14</v>
      </c>
      <c r="AB299" t="s">
        <v>57</v>
      </c>
      <c r="AD299" t="s">
        <v>57</v>
      </c>
      <c r="AE299" t="s">
        <v>57</v>
      </c>
      <c r="AF299" t="s">
        <v>57</v>
      </c>
      <c r="AG299">
        <v>1</v>
      </c>
      <c r="AH299" t="s">
        <v>57</v>
      </c>
      <c r="AL299" t="s">
        <v>57</v>
      </c>
      <c r="AM299" s="11">
        <v>44785</v>
      </c>
      <c r="AN299" t="s">
        <v>178</v>
      </c>
      <c r="AO299" t="s">
        <v>65</v>
      </c>
      <c r="AP299">
        <v>1205</v>
      </c>
      <c r="AQ299" t="s">
        <v>66</v>
      </c>
      <c r="AR299">
        <v>206793</v>
      </c>
      <c r="AU299" t="s">
        <v>57</v>
      </c>
      <c r="AV299" t="s">
        <v>68</v>
      </c>
      <c r="AX299" t="s">
        <v>57</v>
      </c>
      <c r="AY299">
        <v>631110</v>
      </c>
      <c r="AZ299">
        <v>1205.63111</v>
      </c>
      <c r="BA299" s="23" t="s">
        <v>13</v>
      </c>
    </row>
    <row r="300" spans="1:53" x14ac:dyDescent="0.25">
      <c r="A300" t="s">
        <v>134</v>
      </c>
      <c r="B300" t="s">
        <v>135</v>
      </c>
      <c r="C300">
        <v>22002356</v>
      </c>
      <c r="D300">
        <v>1205</v>
      </c>
      <c r="E300" s="11">
        <v>44789</v>
      </c>
      <c r="F300" t="s">
        <v>174</v>
      </c>
      <c r="G300" s="25">
        <v>3.36</v>
      </c>
      <c r="H300">
        <v>3.36</v>
      </c>
      <c r="I300" t="s">
        <v>56</v>
      </c>
      <c r="O300" t="s">
        <v>57</v>
      </c>
      <c r="Q300" t="s">
        <v>57</v>
      </c>
      <c r="R300" t="s">
        <v>137</v>
      </c>
      <c r="T300" t="s">
        <v>59</v>
      </c>
      <c r="U300" t="s">
        <v>60</v>
      </c>
      <c r="V300" t="s">
        <v>138</v>
      </c>
      <c r="W300" t="s">
        <v>139</v>
      </c>
      <c r="X300">
        <v>1933128</v>
      </c>
      <c r="Y300" s="11">
        <v>44789</v>
      </c>
      <c r="Z300" t="s">
        <v>57</v>
      </c>
      <c r="AA300">
        <v>14</v>
      </c>
      <c r="AB300" t="s">
        <v>57</v>
      </c>
      <c r="AD300" t="s">
        <v>57</v>
      </c>
      <c r="AE300" t="s">
        <v>57</v>
      </c>
      <c r="AF300" t="s">
        <v>57</v>
      </c>
      <c r="AG300">
        <v>1</v>
      </c>
      <c r="AH300" t="s">
        <v>57</v>
      </c>
      <c r="AL300" t="s">
        <v>57</v>
      </c>
      <c r="AM300" s="11">
        <v>44789</v>
      </c>
      <c r="AN300" t="s">
        <v>178</v>
      </c>
      <c r="AO300" t="s">
        <v>65</v>
      </c>
      <c r="AP300">
        <v>1205</v>
      </c>
      <c r="AQ300" t="s">
        <v>66</v>
      </c>
      <c r="AR300">
        <v>206793</v>
      </c>
      <c r="AU300" t="s">
        <v>57</v>
      </c>
      <c r="AV300" t="s">
        <v>68</v>
      </c>
      <c r="AX300" t="s">
        <v>57</v>
      </c>
      <c r="AY300">
        <v>631110</v>
      </c>
      <c r="AZ300">
        <v>1205.63111</v>
      </c>
      <c r="BA300" s="23" t="s">
        <v>13</v>
      </c>
    </row>
    <row r="301" spans="1:53" x14ac:dyDescent="0.25">
      <c r="A301" t="s">
        <v>134</v>
      </c>
      <c r="B301" t="s">
        <v>135</v>
      </c>
      <c r="C301">
        <v>22002357</v>
      </c>
      <c r="D301">
        <v>1205</v>
      </c>
      <c r="E301" s="11">
        <v>44789</v>
      </c>
      <c r="F301" t="s">
        <v>174</v>
      </c>
      <c r="G301" s="25">
        <v>3.36</v>
      </c>
      <c r="H301">
        <v>3.36</v>
      </c>
      <c r="I301" t="s">
        <v>56</v>
      </c>
      <c r="O301" t="s">
        <v>57</v>
      </c>
      <c r="Q301" t="s">
        <v>57</v>
      </c>
      <c r="R301" t="s">
        <v>137</v>
      </c>
      <c r="T301" t="s">
        <v>59</v>
      </c>
      <c r="U301" t="s">
        <v>60</v>
      </c>
      <c r="V301" t="s">
        <v>138</v>
      </c>
      <c r="W301" t="s">
        <v>139</v>
      </c>
      <c r="X301">
        <v>1933130</v>
      </c>
      <c r="Y301" s="11">
        <v>44789</v>
      </c>
      <c r="Z301" t="s">
        <v>57</v>
      </c>
      <c r="AA301">
        <v>2</v>
      </c>
      <c r="AB301" t="s">
        <v>57</v>
      </c>
      <c r="AD301" t="s">
        <v>57</v>
      </c>
      <c r="AE301" t="s">
        <v>57</v>
      </c>
      <c r="AF301" t="s">
        <v>57</v>
      </c>
      <c r="AG301">
        <v>1</v>
      </c>
      <c r="AH301" t="s">
        <v>57</v>
      </c>
      <c r="AL301" t="s">
        <v>57</v>
      </c>
      <c r="AM301" s="11">
        <v>44789</v>
      </c>
      <c r="AN301" t="s">
        <v>178</v>
      </c>
      <c r="AO301" t="s">
        <v>65</v>
      </c>
      <c r="AP301">
        <v>1205</v>
      </c>
      <c r="AQ301" t="s">
        <v>66</v>
      </c>
      <c r="AR301">
        <v>206793</v>
      </c>
      <c r="AU301" t="s">
        <v>57</v>
      </c>
      <c r="AV301" t="s">
        <v>68</v>
      </c>
      <c r="AX301" t="s">
        <v>57</v>
      </c>
      <c r="AY301">
        <v>631110</v>
      </c>
      <c r="AZ301">
        <v>1205.63111</v>
      </c>
      <c r="BA301" s="23" t="s">
        <v>13</v>
      </c>
    </row>
    <row r="302" spans="1:53" x14ac:dyDescent="0.25">
      <c r="A302" t="s">
        <v>134</v>
      </c>
      <c r="B302" t="s">
        <v>135</v>
      </c>
      <c r="C302">
        <v>22002374</v>
      </c>
      <c r="D302">
        <v>1205</v>
      </c>
      <c r="E302" s="11">
        <v>44792</v>
      </c>
      <c r="F302" t="s">
        <v>174</v>
      </c>
      <c r="G302" s="25">
        <v>3.36</v>
      </c>
      <c r="H302">
        <v>3.36</v>
      </c>
      <c r="I302" t="s">
        <v>56</v>
      </c>
      <c r="O302" t="s">
        <v>57</v>
      </c>
      <c r="Q302" t="s">
        <v>57</v>
      </c>
      <c r="R302" t="s">
        <v>137</v>
      </c>
      <c r="T302" t="s">
        <v>59</v>
      </c>
      <c r="U302" t="s">
        <v>60</v>
      </c>
      <c r="V302" t="s">
        <v>138</v>
      </c>
      <c r="W302" t="s">
        <v>139</v>
      </c>
      <c r="X302">
        <v>1934079</v>
      </c>
      <c r="Y302" s="11">
        <v>44792</v>
      </c>
      <c r="Z302" t="s">
        <v>57</v>
      </c>
      <c r="AA302">
        <v>4</v>
      </c>
      <c r="AB302" t="s">
        <v>57</v>
      </c>
      <c r="AD302" t="s">
        <v>57</v>
      </c>
      <c r="AE302" t="s">
        <v>57</v>
      </c>
      <c r="AF302" t="s">
        <v>57</v>
      </c>
      <c r="AG302">
        <v>1</v>
      </c>
      <c r="AH302" t="s">
        <v>57</v>
      </c>
      <c r="AL302" t="s">
        <v>57</v>
      </c>
      <c r="AM302" s="11">
        <v>44792</v>
      </c>
      <c r="AN302" t="s">
        <v>178</v>
      </c>
      <c r="AO302" t="s">
        <v>65</v>
      </c>
      <c r="AP302">
        <v>1205</v>
      </c>
      <c r="AQ302" t="s">
        <v>66</v>
      </c>
      <c r="AR302">
        <v>206793</v>
      </c>
      <c r="AU302" t="s">
        <v>57</v>
      </c>
      <c r="AV302" t="s">
        <v>68</v>
      </c>
      <c r="AX302" t="s">
        <v>57</v>
      </c>
      <c r="AY302">
        <v>631110</v>
      </c>
      <c r="AZ302">
        <v>1205.63111</v>
      </c>
      <c r="BA302" s="23" t="s">
        <v>13</v>
      </c>
    </row>
    <row r="303" spans="1:53" x14ac:dyDescent="0.25">
      <c r="A303" t="s">
        <v>134</v>
      </c>
      <c r="B303" t="s">
        <v>135</v>
      </c>
      <c r="C303">
        <v>22002342</v>
      </c>
      <c r="D303">
        <v>1205</v>
      </c>
      <c r="E303" s="11">
        <v>44785</v>
      </c>
      <c r="F303" t="s">
        <v>179</v>
      </c>
      <c r="G303" s="25">
        <v>3.4</v>
      </c>
      <c r="H303">
        <v>3.4</v>
      </c>
      <c r="I303" t="s">
        <v>56</v>
      </c>
      <c r="O303" t="s">
        <v>57</v>
      </c>
      <c r="Q303" t="s">
        <v>57</v>
      </c>
      <c r="R303" t="s">
        <v>137</v>
      </c>
      <c r="T303" t="s">
        <v>59</v>
      </c>
      <c r="U303" t="s">
        <v>60</v>
      </c>
      <c r="V303" t="s">
        <v>138</v>
      </c>
      <c r="W303" t="s">
        <v>139</v>
      </c>
      <c r="X303">
        <v>1930745</v>
      </c>
      <c r="Y303" s="11">
        <v>44785</v>
      </c>
      <c r="Z303" t="s">
        <v>57</v>
      </c>
      <c r="AA303">
        <v>32</v>
      </c>
      <c r="AB303" t="s">
        <v>57</v>
      </c>
      <c r="AD303" t="s">
        <v>57</v>
      </c>
      <c r="AE303" t="s">
        <v>57</v>
      </c>
      <c r="AF303" t="s">
        <v>57</v>
      </c>
      <c r="AG303">
        <v>22</v>
      </c>
      <c r="AH303" t="s">
        <v>57</v>
      </c>
      <c r="AL303" t="s">
        <v>57</v>
      </c>
      <c r="AM303" s="11">
        <v>44785</v>
      </c>
      <c r="AN303" t="s">
        <v>180</v>
      </c>
      <c r="AO303" t="s">
        <v>65</v>
      </c>
      <c r="AP303">
        <v>1205</v>
      </c>
      <c r="AQ303" t="s">
        <v>66</v>
      </c>
      <c r="AR303">
        <v>89712</v>
      </c>
      <c r="AU303" t="s">
        <v>57</v>
      </c>
      <c r="AV303" t="s">
        <v>68</v>
      </c>
      <c r="AX303" t="s">
        <v>57</v>
      </c>
      <c r="AY303">
        <v>631110</v>
      </c>
      <c r="AZ303">
        <v>1205.63111</v>
      </c>
      <c r="BA303" s="23" t="s">
        <v>13</v>
      </c>
    </row>
    <row r="304" spans="1:53" x14ac:dyDescent="0.25">
      <c r="A304" t="s">
        <v>134</v>
      </c>
      <c r="B304" t="s">
        <v>135</v>
      </c>
      <c r="C304">
        <v>22002267</v>
      </c>
      <c r="D304">
        <v>1205</v>
      </c>
      <c r="E304" s="11">
        <v>44775</v>
      </c>
      <c r="F304" t="s">
        <v>179</v>
      </c>
      <c r="G304" s="25">
        <v>3.47</v>
      </c>
      <c r="H304">
        <v>3.47</v>
      </c>
      <c r="I304" t="s">
        <v>56</v>
      </c>
      <c r="O304" t="s">
        <v>57</v>
      </c>
      <c r="Q304" t="s">
        <v>57</v>
      </c>
      <c r="R304" t="s">
        <v>137</v>
      </c>
      <c r="T304" t="s">
        <v>59</v>
      </c>
      <c r="U304" t="s">
        <v>60</v>
      </c>
      <c r="V304" t="s">
        <v>138</v>
      </c>
      <c r="W304" t="s">
        <v>139</v>
      </c>
      <c r="X304">
        <v>1926658</v>
      </c>
      <c r="Y304" s="11">
        <v>44775</v>
      </c>
      <c r="Z304" t="s">
        <v>57</v>
      </c>
      <c r="AA304">
        <v>12</v>
      </c>
      <c r="AB304" t="s">
        <v>57</v>
      </c>
      <c r="AD304" t="s">
        <v>57</v>
      </c>
      <c r="AE304" t="s">
        <v>57</v>
      </c>
      <c r="AF304" t="s">
        <v>57</v>
      </c>
      <c r="AG304">
        <v>32</v>
      </c>
      <c r="AH304" t="s">
        <v>57</v>
      </c>
      <c r="AL304" t="s">
        <v>57</v>
      </c>
      <c r="AM304" s="11">
        <v>44775</v>
      </c>
      <c r="AN304" t="s">
        <v>180</v>
      </c>
      <c r="AO304" t="s">
        <v>65</v>
      </c>
      <c r="AP304">
        <v>1205</v>
      </c>
      <c r="AQ304" t="s">
        <v>66</v>
      </c>
      <c r="AR304">
        <v>265267</v>
      </c>
      <c r="AU304" t="s">
        <v>57</v>
      </c>
      <c r="AV304" t="s">
        <v>68</v>
      </c>
      <c r="AX304" t="s">
        <v>57</v>
      </c>
      <c r="AY304">
        <v>631110</v>
      </c>
      <c r="AZ304">
        <v>1205.63111</v>
      </c>
      <c r="BA304" s="23" t="s">
        <v>13</v>
      </c>
    </row>
    <row r="305" spans="1:53" x14ac:dyDescent="0.25">
      <c r="A305" t="s">
        <v>134</v>
      </c>
      <c r="B305" t="s">
        <v>135</v>
      </c>
      <c r="C305">
        <v>22002311</v>
      </c>
      <c r="D305">
        <v>1205</v>
      </c>
      <c r="E305" s="11">
        <v>44781</v>
      </c>
      <c r="F305" t="s">
        <v>174</v>
      </c>
      <c r="G305" s="25">
        <v>3.5</v>
      </c>
      <c r="H305">
        <v>3.5</v>
      </c>
      <c r="I305" t="s">
        <v>56</v>
      </c>
      <c r="O305" t="s">
        <v>57</v>
      </c>
      <c r="Q305" t="s">
        <v>57</v>
      </c>
      <c r="R305" t="s">
        <v>137</v>
      </c>
      <c r="T305" t="s">
        <v>59</v>
      </c>
      <c r="U305" t="s">
        <v>60</v>
      </c>
      <c r="V305" t="s">
        <v>138</v>
      </c>
      <c r="W305" t="s">
        <v>139</v>
      </c>
      <c r="X305">
        <v>1928974</v>
      </c>
      <c r="Y305" s="11">
        <v>44781</v>
      </c>
      <c r="Z305" t="s">
        <v>57</v>
      </c>
      <c r="AA305">
        <v>30</v>
      </c>
      <c r="AB305" t="s">
        <v>57</v>
      </c>
      <c r="AD305" t="s">
        <v>57</v>
      </c>
      <c r="AE305" t="s">
        <v>57</v>
      </c>
      <c r="AF305" t="s">
        <v>57</v>
      </c>
      <c r="AG305">
        <v>2</v>
      </c>
      <c r="AH305" t="s">
        <v>57</v>
      </c>
      <c r="AL305" t="s">
        <v>57</v>
      </c>
      <c r="AM305" s="11">
        <v>44781</v>
      </c>
      <c r="AN305" t="s">
        <v>178</v>
      </c>
      <c r="AO305" t="s">
        <v>65</v>
      </c>
      <c r="AP305">
        <v>1205</v>
      </c>
      <c r="AQ305" t="s">
        <v>66</v>
      </c>
      <c r="AR305">
        <v>27754</v>
      </c>
      <c r="AU305" t="s">
        <v>57</v>
      </c>
      <c r="AV305" t="s">
        <v>68</v>
      </c>
      <c r="AX305" t="s">
        <v>57</v>
      </c>
      <c r="AY305">
        <v>631110</v>
      </c>
      <c r="AZ305">
        <v>1205.63111</v>
      </c>
      <c r="BA305" s="23" t="s">
        <v>13</v>
      </c>
    </row>
    <row r="306" spans="1:53" x14ac:dyDescent="0.25">
      <c r="A306" t="s">
        <v>134</v>
      </c>
      <c r="B306" t="s">
        <v>135</v>
      </c>
      <c r="C306">
        <v>22002338</v>
      </c>
      <c r="D306">
        <v>1205</v>
      </c>
      <c r="E306" s="11">
        <v>44784</v>
      </c>
      <c r="F306" t="s">
        <v>174</v>
      </c>
      <c r="G306" s="25">
        <v>3.5</v>
      </c>
      <c r="H306">
        <v>3.5</v>
      </c>
      <c r="I306" t="s">
        <v>56</v>
      </c>
      <c r="O306" t="s">
        <v>57</v>
      </c>
      <c r="Q306" t="s">
        <v>57</v>
      </c>
      <c r="R306" t="s">
        <v>137</v>
      </c>
      <c r="T306" t="s">
        <v>59</v>
      </c>
      <c r="U306" t="s">
        <v>60</v>
      </c>
      <c r="V306" t="s">
        <v>138</v>
      </c>
      <c r="W306" t="s">
        <v>139</v>
      </c>
      <c r="X306">
        <v>1930521</v>
      </c>
      <c r="Y306" s="11">
        <v>44784</v>
      </c>
      <c r="Z306" t="s">
        <v>57</v>
      </c>
      <c r="AA306">
        <v>26</v>
      </c>
      <c r="AB306" t="s">
        <v>57</v>
      </c>
      <c r="AD306" t="s">
        <v>57</v>
      </c>
      <c r="AE306" t="s">
        <v>57</v>
      </c>
      <c r="AF306" t="s">
        <v>57</v>
      </c>
      <c r="AG306">
        <v>2</v>
      </c>
      <c r="AH306" t="s">
        <v>57</v>
      </c>
      <c r="AL306" t="s">
        <v>57</v>
      </c>
      <c r="AM306" s="11">
        <v>44784</v>
      </c>
      <c r="AN306" t="s">
        <v>178</v>
      </c>
      <c r="AO306" t="s">
        <v>65</v>
      </c>
      <c r="AP306">
        <v>1205</v>
      </c>
      <c r="AQ306" t="s">
        <v>66</v>
      </c>
      <c r="AR306">
        <v>27754</v>
      </c>
      <c r="AU306" t="s">
        <v>57</v>
      </c>
      <c r="AV306" t="s">
        <v>68</v>
      </c>
      <c r="AX306" t="s">
        <v>57</v>
      </c>
      <c r="AY306">
        <v>631110</v>
      </c>
      <c r="AZ306">
        <v>1205.63111</v>
      </c>
      <c r="BA306" s="23" t="s">
        <v>13</v>
      </c>
    </row>
    <row r="307" spans="1:53" x14ac:dyDescent="0.25">
      <c r="A307" t="s">
        <v>134</v>
      </c>
      <c r="B307" t="s">
        <v>135</v>
      </c>
      <c r="C307">
        <v>22002287</v>
      </c>
      <c r="D307">
        <v>1205</v>
      </c>
      <c r="E307" s="11">
        <v>44777</v>
      </c>
      <c r="F307" t="s">
        <v>174</v>
      </c>
      <c r="G307" s="25">
        <v>3.62</v>
      </c>
      <c r="H307">
        <v>3.62</v>
      </c>
      <c r="I307" t="s">
        <v>56</v>
      </c>
      <c r="O307" t="s">
        <v>57</v>
      </c>
      <c r="Q307" t="s">
        <v>57</v>
      </c>
      <c r="R307" t="s">
        <v>137</v>
      </c>
      <c r="T307" t="s">
        <v>59</v>
      </c>
      <c r="U307" t="s">
        <v>60</v>
      </c>
      <c r="V307" t="s">
        <v>138</v>
      </c>
      <c r="W307" t="s">
        <v>139</v>
      </c>
      <c r="X307">
        <v>1927360</v>
      </c>
      <c r="Y307" s="11">
        <v>44777</v>
      </c>
      <c r="Z307" t="s">
        <v>57</v>
      </c>
      <c r="AA307">
        <v>6</v>
      </c>
      <c r="AB307" t="s">
        <v>57</v>
      </c>
      <c r="AD307" t="s">
        <v>57</v>
      </c>
      <c r="AE307" t="s">
        <v>57</v>
      </c>
      <c r="AF307" t="s">
        <v>57</v>
      </c>
      <c r="AG307">
        <v>1</v>
      </c>
      <c r="AH307" t="s">
        <v>57</v>
      </c>
      <c r="AL307" t="s">
        <v>57</v>
      </c>
      <c r="AM307" s="11">
        <v>44777</v>
      </c>
      <c r="AN307" t="s">
        <v>178</v>
      </c>
      <c r="AO307" t="s">
        <v>65</v>
      </c>
      <c r="AP307">
        <v>1205</v>
      </c>
      <c r="AQ307" t="s">
        <v>66</v>
      </c>
      <c r="AR307">
        <v>230640</v>
      </c>
      <c r="AU307" t="s">
        <v>57</v>
      </c>
      <c r="AV307" t="s">
        <v>68</v>
      </c>
      <c r="AX307" t="s">
        <v>57</v>
      </c>
      <c r="AY307">
        <v>631110</v>
      </c>
      <c r="AZ307">
        <v>1205.63111</v>
      </c>
      <c r="BA307" s="23" t="s">
        <v>13</v>
      </c>
    </row>
    <row r="308" spans="1:53" x14ac:dyDescent="0.25">
      <c r="A308" t="s">
        <v>134</v>
      </c>
      <c r="B308" t="s">
        <v>135</v>
      </c>
      <c r="C308">
        <v>22002354</v>
      </c>
      <c r="D308">
        <v>1205</v>
      </c>
      <c r="E308" s="11">
        <v>44788</v>
      </c>
      <c r="F308" t="s">
        <v>174</v>
      </c>
      <c r="G308" s="25">
        <v>3.73</v>
      </c>
      <c r="H308">
        <v>3.73</v>
      </c>
      <c r="I308" t="s">
        <v>56</v>
      </c>
      <c r="O308" t="s">
        <v>57</v>
      </c>
      <c r="Q308" t="s">
        <v>57</v>
      </c>
      <c r="R308" t="s">
        <v>137</v>
      </c>
      <c r="T308" t="s">
        <v>59</v>
      </c>
      <c r="U308" t="s">
        <v>60</v>
      </c>
      <c r="V308" t="s">
        <v>138</v>
      </c>
      <c r="W308" t="s">
        <v>139</v>
      </c>
      <c r="X308">
        <v>1932339</v>
      </c>
      <c r="Y308" s="11">
        <v>44788</v>
      </c>
      <c r="Z308" t="s">
        <v>57</v>
      </c>
      <c r="AA308">
        <v>2</v>
      </c>
      <c r="AB308" t="s">
        <v>57</v>
      </c>
      <c r="AD308" t="s">
        <v>57</v>
      </c>
      <c r="AE308" t="s">
        <v>57</v>
      </c>
      <c r="AF308" t="s">
        <v>57</v>
      </c>
      <c r="AG308">
        <v>2</v>
      </c>
      <c r="AH308" t="s">
        <v>57</v>
      </c>
      <c r="AL308" t="s">
        <v>57</v>
      </c>
      <c r="AM308" s="11">
        <v>44788</v>
      </c>
      <c r="AN308" t="s">
        <v>178</v>
      </c>
      <c r="AO308" t="s">
        <v>65</v>
      </c>
      <c r="AP308">
        <v>1205</v>
      </c>
      <c r="AQ308" t="s">
        <v>66</v>
      </c>
      <c r="AR308">
        <v>270192</v>
      </c>
      <c r="AU308" t="s">
        <v>57</v>
      </c>
      <c r="AV308" t="s">
        <v>68</v>
      </c>
      <c r="AX308" t="s">
        <v>57</v>
      </c>
      <c r="AY308">
        <v>631110</v>
      </c>
      <c r="AZ308">
        <v>1205.63111</v>
      </c>
      <c r="BA308" s="23" t="s">
        <v>13</v>
      </c>
    </row>
    <row r="309" spans="1:53" x14ac:dyDescent="0.25">
      <c r="A309" t="s">
        <v>134</v>
      </c>
      <c r="B309" t="s">
        <v>135</v>
      </c>
      <c r="C309">
        <v>22002297</v>
      </c>
      <c r="D309">
        <v>1205</v>
      </c>
      <c r="E309" s="11">
        <v>44778</v>
      </c>
      <c r="F309" t="s">
        <v>174</v>
      </c>
      <c r="G309" s="25">
        <v>3.84</v>
      </c>
      <c r="H309">
        <v>3.84</v>
      </c>
      <c r="I309" t="s">
        <v>56</v>
      </c>
      <c r="O309" t="s">
        <v>57</v>
      </c>
      <c r="Q309" t="s">
        <v>57</v>
      </c>
      <c r="R309" t="s">
        <v>137</v>
      </c>
      <c r="T309" t="s">
        <v>59</v>
      </c>
      <c r="U309" t="s">
        <v>60</v>
      </c>
      <c r="V309" t="s">
        <v>138</v>
      </c>
      <c r="W309" t="s">
        <v>139</v>
      </c>
      <c r="X309">
        <v>1928656</v>
      </c>
      <c r="Y309" s="11">
        <v>44778</v>
      </c>
      <c r="Z309" t="s">
        <v>57</v>
      </c>
      <c r="AA309">
        <v>4</v>
      </c>
      <c r="AB309" t="s">
        <v>57</v>
      </c>
      <c r="AD309" t="s">
        <v>57</v>
      </c>
      <c r="AE309" t="s">
        <v>57</v>
      </c>
      <c r="AF309" t="s">
        <v>57</v>
      </c>
      <c r="AG309">
        <v>1</v>
      </c>
      <c r="AH309" t="s">
        <v>57</v>
      </c>
      <c r="AL309" t="s">
        <v>57</v>
      </c>
      <c r="AM309" s="11">
        <v>44778</v>
      </c>
      <c r="AN309" t="s">
        <v>178</v>
      </c>
      <c r="AO309" t="s">
        <v>65</v>
      </c>
      <c r="AP309">
        <v>1205</v>
      </c>
      <c r="AQ309" t="s">
        <v>66</v>
      </c>
      <c r="AR309">
        <v>88601</v>
      </c>
      <c r="AU309" t="s">
        <v>57</v>
      </c>
      <c r="AV309" t="s">
        <v>68</v>
      </c>
      <c r="AX309" t="s">
        <v>57</v>
      </c>
      <c r="AY309">
        <v>631110</v>
      </c>
      <c r="AZ309">
        <v>1205.63111</v>
      </c>
      <c r="BA309" s="23" t="s">
        <v>13</v>
      </c>
    </row>
    <row r="310" spans="1:53" x14ac:dyDescent="0.25">
      <c r="A310" t="s">
        <v>134</v>
      </c>
      <c r="B310" t="s">
        <v>135</v>
      </c>
      <c r="C310">
        <v>22002311</v>
      </c>
      <c r="D310">
        <v>1205</v>
      </c>
      <c r="E310" s="11">
        <v>44781</v>
      </c>
      <c r="F310" t="s">
        <v>174</v>
      </c>
      <c r="G310" s="25">
        <v>3.84</v>
      </c>
      <c r="H310">
        <v>3.84</v>
      </c>
      <c r="I310" t="s">
        <v>56</v>
      </c>
      <c r="O310" t="s">
        <v>57</v>
      </c>
      <c r="Q310" t="s">
        <v>57</v>
      </c>
      <c r="R310" t="s">
        <v>137</v>
      </c>
      <c r="T310" t="s">
        <v>59</v>
      </c>
      <c r="U310" t="s">
        <v>60</v>
      </c>
      <c r="V310" t="s">
        <v>138</v>
      </c>
      <c r="W310" t="s">
        <v>139</v>
      </c>
      <c r="X310">
        <v>1928974</v>
      </c>
      <c r="Y310" s="11">
        <v>44781</v>
      </c>
      <c r="Z310" t="s">
        <v>57</v>
      </c>
      <c r="AA310">
        <v>16</v>
      </c>
      <c r="AB310" t="s">
        <v>57</v>
      </c>
      <c r="AD310" t="s">
        <v>57</v>
      </c>
      <c r="AE310" t="s">
        <v>57</v>
      </c>
      <c r="AF310" t="s">
        <v>57</v>
      </c>
      <c r="AG310">
        <v>1</v>
      </c>
      <c r="AH310" t="s">
        <v>57</v>
      </c>
      <c r="AL310" t="s">
        <v>57</v>
      </c>
      <c r="AM310" s="11">
        <v>44781</v>
      </c>
      <c r="AN310" t="s">
        <v>178</v>
      </c>
      <c r="AO310" t="s">
        <v>65</v>
      </c>
      <c r="AP310">
        <v>1205</v>
      </c>
      <c r="AQ310" t="s">
        <v>66</v>
      </c>
      <c r="AR310">
        <v>88601</v>
      </c>
      <c r="AU310" t="s">
        <v>57</v>
      </c>
      <c r="AV310" t="s">
        <v>68</v>
      </c>
      <c r="AX310" t="s">
        <v>57</v>
      </c>
      <c r="AY310">
        <v>631110</v>
      </c>
      <c r="AZ310">
        <v>1205.63111</v>
      </c>
      <c r="BA310" s="23" t="s">
        <v>13</v>
      </c>
    </row>
    <row r="311" spans="1:53" x14ac:dyDescent="0.25">
      <c r="A311" t="s">
        <v>134</v>
      </c>
      <c r="B311" t="s">
        <v>135</v>
      </c>
      <c r="C311">
        <v>22002287</v>
      </c>
      <c r="D311">
        <v>1205</v>
      </c>
      <c r="E311" s="11">
        <v>44777</v>
      </c>
      <c r="F311" t="s">
        <v>174</v>
      </c>
      <c r="G311" s="25">
        <v>3.94</v>
      </c>
      <c r="H311">
        <v>3.94</v>
      </c>
      <c r="I311" t="s">
        <v>56</v>
      </c>
      <c r="O311" t="s">
        <v>57</v>
      </c>
      <c r="Q311" t="s">
        <v>57</v>
      </c>
      <c r="R311" t="s">
        <v>137</v>
      </c>
      <c r="T311" t="s">
        <v>59</v>
      </c>
      <c r="U311" t="s">
        <v>60</v>
      </c>
      <c r="V311" t="s">
        <v>138</v>
      </c>
      <c r="W311" t="s">
        <v>139</v>
      </c>
      <c r="X311">
        <v>1927360</v>
      </c>
      <c r="Y311" s="11">
        <v>44777</v>
      </c>
      <c r="Z311" t="s">
        <v>57</v>
      </c>
      <c r="AA311">
        <v>12</v>
      </c>
      <c r="AB311" t="s">
        <v>57</v>
      </c>
      <c r="AD311" t="s">
        <v>57</v>
      </c>
      <c r="AE311" t="s">
        <v>57</v>
      </c>
      <c r="AF311" t="s">
        <v>57</v>
      </c>
      <c r="AG311">
        <v>1</v>
      </c>
      <c r="AH311" t="s">
        <v>57</v>
      </c>
      <c r="AL311" t="s">
        <v>57</v>
      </c>
      <c r="AM311" s="11">
        <v>44777</v>
      </c>
      <c r="AN311" t="s">
        <v>178</v>
      </c>
      <c r="AO311" t="s">
        <v>65</v>
      </c>
      <c r="AP311">
        <v>1205</v>
      </c>
      <c r="AQ311" t="s">
        <v>66</v>
      </c>
      <c r="AR311">
        <v>220122</v>
      </c>
      <c r="AU311" t="s">
        <v>57</v>
      </c>
      <c r="AV311" t="s">
        <v>68</v>
      </c>
      <c r="AX311" t="s">
        <v>57</v>
      </c>
      <c r="AY311">
        <v>631110</v>
      </c>
      <c r="AZ311">
        <v>1205.63111</v>
      </c>
      <c r="BA311" s="23" t="s">
        <v>13</v>
      </c>
    </row>
    <row r="312" spans="1:53" x14ac:dyDescent="0.25">
      <c r="A312" t="s">
        <v>134</v>
      </c>
      <c r="B312" t="s">
        <v>135</v>
      </c>
      <c r="C312">
        <v>22002316</v>
      </c>
      <c r="D312">
        <v>1205</v>
      </c>
      <c r="E312" s="11">
        <v>44782</v>
      </c>
      <c r="F312" t="s">
        <v>174</v>
      </c>
      <c r="G312" s="25">
        <v>3.94</v>
      </c>
      <c r="H312">
        <v>3.94</v>
      </c>
      <c r="I312" t="s">
        <v>56</v>
      </c>
      <c r="O312" t="s">
        <v>57</v>
      </c>
      <c r="Q312" t="s">
        <v>57</v>
      </c>
      <c r="R312" t="s">
        <v>137</v>
      </c>
      <c r="T312" t="s">
        <v>59</v>
      </c>
      <c r="U312" t="s">
        <v>60</v>
      </c>
      <c r="V312" t="s">
        <v>138</v>
      </c>
      <c r="W312" t="s">
        <v>139</v>
      </c>
      <c r="X312">
        <v>1929847</v>
      </c>
      <c r="Y312" s="11">
        <v>44782</v>
      </c>
      <c r="Z312" t="s">
        <v>57</v>
      </c>
      <c r="AA312">
        <v>40</v>
      </c>
      <c r="AB312" t="s">
        <v>57</v>
      </c>
      <c r="AD312" t="s">
        <v>57</v>
      </c>
      <c r="AE312" t="s">
        <v>57</v>
      </c>
      <c r="AF312" t="s">
        <v>57</v>
      </c>
      <c r="AG312">
        <v>1</v>
      </c>
      <c r="AH312" t="s">
        <v>57</v>
      </c>
      <c r="AL312" t="s">
        <v>57</v>
      </c>
      <c r="AM312" s="11">
        <v>44782</v>
      </c>
      <c r="AN312" t="s">
        <v>178</v>
      </c>
      <c r="AO312" t="s">
        <v>65</v>
      </c>
      <c r="AP312">
        <v>1205</v>
      </c>
      <c r="AQ312" t="s">
        <v>66</v>
      </c>
      <c r="AR312">
        <v>220122</v>
      </c>
      <c r="AU312" t="s">
        <v>57</v>
      </c>
      <c r="AV312" t="s">
        <v>68</v>
      </c>
      <c r="AX312" t="s">
        <v>57</v>
      </c>
      <c r="AY312">
        <v>631110</v>
      </c>
      <c r="AZ312">
        <v>1205.63111</v>
      </c>
      <c r="BA312" s="23" t="s">
        <v>13</v>
      </c>
    </row>
    <row r="313" spans="1:53" x14ac:dyDescent="0.25">
      <c r="A313" t="s">
        <v>134</v>
      </c>
      <c r="B313" t="s">
        <v>135</v>
      </c>
      <c r="C313">
        <v>22002356</v>
      </c>
      <c r="D313">
        <v>1205</v>
      </c>
      <c r="E313" s="11">
        <v>44789</v>
      </c>
      <c r="F313" t="s">
        <v>174</v>
      </c>
      <c r="G313" s="25">
        <v>3.94</v>
      </c>
      <c r="H313">
        <v>3.94</v>
      </c>
      <c r="I313" t="s">
        <v>56</v>
      </c>
      <c r="O313" t="s">
        <v>57</v>
      </c>
      <c r="Q313" t="s">
        <v>57</v>
      </c>
      <c r="R313" t="s">
        <v>137</v>
      </c>
      <c r="T313" t="s">
        <v>59</v>
      </c>
      <c r="U313" t="s">
        <v>60</v>
      </c>
      <c r="V313" t="s">
        <v>138</v>
      </c>
      <c r="W313" t="s">
        <v>139</v>
      </c>
      <c r="X313">
        <v>1933128</v>
      </c>
      <c r="Y313" s="11">
        <v>44789</v>
      </c>
      <c r="Z313" t="s">
        <v>57</v>
      </c>
      <c r="AA313">
        <v>12</v>
      </c>
      <c r="AB313" t="s">
        <v>57</v>
      </c>
      <c r="AD313" t="s">
        <v>57</v>
      </c>
      <c r="AE313" t="s">
        <v>57</v>
      </c>
      <c r="AF313" t="s">
        <v>57</v>
      </c>
      <c r="AG313">
        <v>1</v>
      </c>
      <c r="AH313" t="s">
        <v>57</v>
      </c>
      <c r="AL313" t="s">
        <v>57</v>
      </c>
      <c r="AM313" s="11">
        <v>44789</v>
      </c>
      <c r="AN313" t="s">
        <v>178</v>
      </c>
      <c r="AO313" t="s">
        <v>65</v>
      </c>
      <c r="AP313">
        <v>1205</v>
      </c>
      <c r="AQ313" t="s">
        <v>66</v>
      </c>
      <c r="AR313">
        <v>220122</v>
      </c>
      <c r="AU313" t="s">
        <v>57</v>
      </c>
      <c r="AV313" t="s">
        <v>68</v>
      </c>
      <c r="AX313" t="s">
        <v>57</v>
      </c>
      <c r="AY313">
        <v>631110</v>
      </c>
      <c r="AZ313">
        <v>1205.63111</v>
      </c>
      <c r="BA313" s="23" t="s">
        <v>13</v>
      </c>
    </row>
    <row r="314" spans="1:53" x14ac:dyDescent="0.25">
      <c r="A314" t="s">
        <v>134</v>
      </c>
      <c r="B314" t="s">
        <v>135</v>
      </c>
      <c r="C314">
        <v>22002366</v>
      </c>
      <c r="D314">
        <v>1205</v>
      </c>
      <c r="E314" s="11">
        <v>44791</v>
      </c>
      <c r="F314" t="s">
        <v>174</v>
      </c>
      <c r="G314" s="25">
        <v>3.94</v>
      </c>
      <c r="H314">
        <v>3.94</v>
      </c>
      <c r="I314" t="s">
        <v>56</v>
      </c>
      <c r="O314" t="s">
        <v>57</v>
      </c>
      <c r="Q314" t="s">
        <v>57</v>
      </c>
      <c r="R314" t="s">
        <v>137</v>
      </c>
      <c r="T314" t="s">
        <v>59</v>
      </c>
      <c r="U314" t="s">
        <v>60</v>
      </c>
      <c r="V314" t="s">
        <v>138</v>
      </c>
      <c r="W314" t="s">
        <v>139</v>
      </c>
      <c r="X314">
        <v>1933538</v>
      </c>
      <c r="Y314" s="11">
        <v>44791</v>
      </c>
      <c r="Z314" t="s">
        <v>57</v>
      </c>
      <c r="AA314">
        <v>14</v>
      </c>
      <c r="AB314" t="s">
        <v>57</v>
      </c>
      <c r="AD314" t="s">
        <v>57</v>
      </c>
      <c r="AE314" t="s">
        <v>57</v>
      </c>
      <c r="AF314" t="s">
        <v>57</v>
      </c>
      <c r="AG314">
        <v>1</v>
      </c>
      <c r="AH314" t="s">
        <v>57</v>
      </c>
      <c r="AL314" t="s">
        <v>57</v>
      </c>
      <c r="AM314" s="11">
        <v>44791</v>
      </c>
      <c r="AN314" t="s">
        <v>178</v>
      </c>
      <c r="AO314" t="s">
        <v>65</v>
      </c>
      <c r="AP314">
        <v>1205</v>
      </c>
      <c r="AQ314" t="s">
        <v>66</v>
      </c>
      <c r="AR314">
        <v>220122</v>
      </c>
      <c r="AU314" t="s">
        <v>57</v>
      </c>
      <c r="AV314" t="s">
        <v>68</v>
      </c>
      <c r="AX314" t="s">
        <v>57</v>
      </c>
      <c r="AY314">
        <v>631110</v>
      </c>
      <c r="AZ314">
        <v>1205.63111</v>
      </c>
      <c r="BA314" s="23" t="s">
        <v>13</v>
      </c>
    </row>
    <row r="315" spans="1:53" x14ac:dyDescent="0.25">
      <c r="A315" t="s">
        <v>134</v>
      </c>
      <c r="B315" t="s">
        <v>135</v>
      </c>
      <c r="C315">
        <v>22002262</v>
      </c>
      <c r="D315">
        <v>1205</v>
      </c>
      <c r="E315" s="11">
        <v>44774</v>
      </c>
      <c r="F315" t="s">
        <v>174</v>
      </c>
      <c r="G315" s="25">
        <v>4.1500000000000004</v>
      </c>
      <c r="H315">
        <v>4.1500000000000004</v>
      </c>
      <c r="I315" t="s">
        <v>56</v>
      </c>
      <c r="O315" t="s">
        <v>57</v>
      </c>
      <c r="Q315" t="s">
        <v>57</v>
      </c>
      <c r="R315" t="s">
        <v>137</v>
      </c>
      <c r="T315" t="s">
        <v>59</v>
      </c>
      <c r="U315" t="s">
        <v>60</v>
      </c>
      <c r="V315" t="s">
        <v>138</v>
      </c>
      <c r="W315" t="s">
        <v>139</v>
      </c>
      <c r="X315">
        <v>1925596</v>
      </c>
      <c r="Y315" s="11">
        <v>44774</v>
      </c>
      <c r="Z315" t="s">
        <v>57</v>
      </c>
      <c r="AA315">
        <v>8</v>
      </c>
      <c r="AB315" t="s">
        <v>57</v>
      </c>
      <c r="AD315" t="s">
        <v>57</v>
      </c>
      <c r="AE315" t="s">
        <v>57</v>
      </c>
      <c r="AF315" t="s">
        <v>57</v>
      </c>
      <c r="AG315">
        <v>1</v>
      </c>
      <c r="AH315" t="s">
        <v>57</v>
      </c>
      <c r="AL315" t="s">
        <v>57</v>
      </c>
      <c r="AM315" s="11">
        <v>44774</v>
      </c>
      <c r="AN315" t="s">
        <v>178</v>
      </c>
      <c r="AO315" t="s">
        <v>65</v>
      </c>
      <c r="AP315">
        <v>1205</v>
      </c>
      <c r="AQ315" t="s">
        <v>66</v>
      </c>
      <c r="AR315">
        <v>213471</v>
      </c>
      <c r="AU315" t="s">
        <v>57</v>
      </c>
      <c r="AV315" t="s">
        <v>68</v>
      </c>
      <c r="AX315" t="s">
        <v>57</v>
      </c>
      <c r="AY315">
        <v>631110</v>
      </c>
      <c r="AZ315">
        <v>1205.63111</v>
      </c>
      <c r="BA315" s="23" t="s">
        <v>13</v>
      </c>
    </row>
    <row r="316" spans="1:53" x14ac:dyDescent="0.25">
      <c r="A316" t="s">
        <v>134</v>
      </c>
      <c r="B316" t="s">
        <v>135</v>
      </c>
      <c r="C316">
        <v>22002374</v>
      </c>
      <c r="D316">
        <v>1205</v>
      </c>
      <c r="E316" s="11">
        <v>44792</v>
      </c>
      <c r="F316" t="s">
        <v>174</v>
      </c>
      <c r="G316" s="25">
        <v>4.18</v>
      </c>
      <c r="H316">
        <v>4.18</v>
      </c>
      <c r="I316" t="s">
        <v>56</v>
      </c>
      <c r="O316" t="s">
        <v>57</v>
      </c>
      <c r="Q316" t="s">
        <v>57</v>
      </c>
      <c r="R316" t="s">
        <v>137</v>
      </c>
      <c r="T316" t="s">
        <v>59</v>
      </c>
      <c r="U316" t="s">
        <v>60</v>
      </c>
      <c r="V316" t="s">
        <v>138</v>
      </c>
      <c r="W316" t="s">
        <v>139</v>
      </c>
      <c r="X316">
        <v>1934079</v>
      </c>
      <c r="Y316" s="11">
        <v>44792</v>
      </c>
      <c r="Z316" t="s">
        <v>57</v>
      </c>
      <c r="AA316">
        <v>2</v>
      </c>
      <c r="AB316" t="s">
        <v>57</v>
      </c>
      <c r="AD316" t="s">
        <v>57</v>
      </c>
      <c r="AE316" t="s">
        <v>57</v>
      </c>
      <c r="AF316" t="s">
        <v>57</v>
      </c>
      <c r="AG316">
        <v>2</v>
      </c>
      <c r="AH316" t="s">
        <v>57</v>
      </c>
      <c r="AL316" t="s">
        <v>57</v>
      </c>
      <c r="AM316" s="11">
        <v>44792</v>
      </c>
      <c r="AN316" t="s">
        <v>178</v>
      </c>
      <c r="AO316" t="s">
        <v>65</v>
      </c>
      <c r="AP316">
        <v>1205</v>
      </c>
      <c r="AQ316" t="s">
        <v>66</v>
      </c>
      <c r="AR316">
        <v>88783</v>
      </c>
      <c r="AU316" t="s">
        <v>57</v>
      </c>
      <c r="AV316" t="s">
        <v>68</v>
      </c>
      <c r="AX316" t="s">
        <v>57</v>
      </c>
      <c r="AY316">
        <v>631110</v>
      </c>
      <c r="AZ316">
        <v>1205.63111</v>
      </c>
      <c r="BA316" s="23" t="s">
        <v>13</v>
      </c>
    </row>
    <row r="317" spans="1:53" x14ac:dyDescent="0.25">
      <c r="A317" t="s">
        <v>134</v>
      </c>
      <c r="B317" t="s">
        <v>135</v>
      </c>
      <c r="C317">
        <v>22002276</v>
      </c>
      <c r="D317">
        <v>1205</v>
      </c>
      <c r="E317" s="11">
        <v>44776</v>
      </c>
      <c r="F317" t="s">
        <v>174</v>
      </c>
      <c r="G317" s="25">
        <v>4.3</v>
      </c>
      <c r="H317">
        <v>4.3</v>
      </c>
      <c r="I317" t="s">
        <v>56</v>
      </c>
      <c r="O317" t="s">
        <v>57</v>
      </c>
      <c r="Q317" t="s">
        <v>57</v>
      </c>
      <c r="R317" t="s">
        <v>137</v>
      </c>
      <c r="T317" t="s">
        <v>59</v>
      </c>
      <c r="U317" t="s">
        <v>60</v>
      </c>
      <c r="V317" t="s">
        <v>138</v>
      </c>
      <c r="W317" t="s">
        <v>139</v>
      </c>
      <c r="X317">
        <v>1927010</v>
      </c>
      <c r="Y317" s="11">
        <v>44776</v>
      </c>
      <c r="Z317" t="s">
        <v>57</v>
      </c>
      <c r="AA317">
        <v>16</v>
      </c>
      <c r="AB317" t="s">
        <v>57</v>
      </c>
      <c r="AD317" t="s">
        <v>57</v>
      </c>
      <c r="AE317" t="s">
        <v>57</v>
      </c>
      <c r="AF317" t="s">
        <v>57</v>
      </c>
      <c r="AG317">
        <v>1</v>
      </c>
      <c r="AH317" t="s">
        <v>57</v>
      </c>
      <c r="AL317" t="s">
        <v>57</v>
      </c>
      <c r="AM317" s="11">
        <v>44776</v>
      </c>
      <c r="AN317" t="s">
        <v>178</v>
      </c>
      <c r="AO317" t="s">
        <v>65</v>
      </c>
      <c r="AP317">
        <v>1205</v>
      </c>
      <c r="AQ317" t="s">
        <v>66</v>
      </c>
      <c r="AR317">
        <v>212688</v>
      </c>
      <c r="AU317" t="s">
        <v>57</v>
      </c>
      <c r="AV317" t="s">
        <v>68</v>
      </c>
      <c r="AX317" t="s">
        <v>57</v>
      </c>
      <c r="AY317">
        <v>631110</v>
      </c>
      <c r="AZ317">
        <v>1205.63111</v>
      </c>
      <c r="BA317" s="23" t="s">
        <v>13</v>
      </c>
    </row>
    <row r="318" spans="1:53" x14ac:dyDescent="0.25">
      <c r="A318" t="s">
        <v>134</v>
      </c>
      <c r="B318" t="s">
        <v>135</v>
      </c>
      <c r="C318">
        <v>22002311</v>
      </c>
      <c r="D318">
        <v>1205</v>
      </c>
      <c r="E318" s="11">
        <v>44781</v>
      </c>
      <c r="F318" t="s">
        <v>174</v>
      </c>
      <c r="G318" s="25">
        <v>4.3</v>
      </c>
      <c r="H318">
        <v>4.3</v>
      </c>
      <c r="I318" t="s">
        <v>56</v>
      </c>
      <c r="O318" t="s">
        <v>57</v>
      </c>
      <c r="Q318" t="s">
        <v>57</v>
      </c>
      <c r="R318" t="s">
        <v>137</v>
      </c>
      <c r="T318" t="s">
        <v>59</v>
      </c>
      <c r="U318" t="s">
        <v>60</v>
      </c>
      <c r="V318" t="s">
        <v>138</v>
      </c>
      <c r="W318" t="s">
        <v>139</v>
      </c>
      <c r="X318">
        <v>1928974</v>
      </c>
      <c r="Y318" s="11">
        <v>44781</v>
      </c>
      <c r="Z318" t="s">
        <v>57</v>
      </c>
      <c r="AA318">
        <v>14</v>
      </c>
      <c r="AB318" t="s">
        <v>57</v>
      </c>
      <c r="AD318" t="s">
        <v>57</v>
      </c>
      <c r="AE318" t="s">
        <v>57</v>
      </c>
      <c r="AF318" t="s">
        <v>57</v>
      </c>
      <c r="AG318">
        <v>1</v>
      </c>
      <c r="AH318" t="s">
        <v>57</v>
      </c>
      <c r="AL318" t="s">
        <v>57</v>
      </c>
      <c r="AM318" s="11">
        <v>44781</v>
      </c>
      <c r="AN318" t="s">
        <v>178</v>
      </c>
      <c r="AO318" t="s">
        <v>65</v>
      </c>
      <c r="AP318">
        <v>1205</v>
      </c>
      <c r="AQ318" t="s">
        <v>66</v>
      </c>
      <c r="AR318">
        <v>113114</v>
      </c>
      <c r="AU318" t="s">
        <v>57</v>
      </c>
      <c r="AV318" t="s">
        <v>68</v>
      </c>
      <c r="AX318" t="s">
        <v>57</v>
      </c>
      <c r="AY318">
        <v>631110</v>
      </c>
      <c r="AZ318">
        <v>1205.63111</v>
      </c>
      <c r="BA318" s="23" t="s">
        <v>13</v>
      </c>
    </row>
    <row r="319" spans="1:53" x14ac:dyDescent="0.25">
      <c r="A319" t="s">
        <v>134</v>
      </c>
      <c r="B319" t="s">
        <v>135</v>
      </c>
      <c r="C319">
        <v>22002341</v>
      </c>
      <c r="D319">
        <v>1205</v>
      </c>
      <c r="E319" s="11">
        <v>44785</v>
      </c>
      <c r="F319" t="s">
        <v>174</v>
      </c>
      <c r="G319" s="25">
        <v>4.37</v>
      </c>
      <c r="H319">
        <v>4.37</v>
      </c>
      <c r="I319" t="s">
        <v>56</v>
      </c>
      <c r="O319" t="s">
        <v>57</v>
      </c>
      <c r="Q319" t="s">
        <v>57</v>
      </c>
      <c r="R319" t="s">
        <v>137</v>
      </c>
      <c r="T319" t="s">
        <v>59</v>
      </c>
      <c r="U319" t="s">
        <v>60</v>
      </c>
      <c r="V319" t="s">
        <v>138</v>
      </c>
      <c r="W319" t="s">
        <v>139</v>
      </c>
      <c r="X319">
        <v>1930742</v>
      </c>
      <c r="Y319" s="11">
        <v>44785</v>
      </c>
      <c r="Z319" t="s">
        <v>57</v>
      </c>
      <c r="AA319">
        <v>24</v>
      </c>
      <c r="AB319" t="s">
        <v>57</v>
      </c>
      <c r="AD319" t="s">
        <v>57</v>
      </c>
      <c r="AE319" t="s">
        <v>57</v>
      </c>
      <c r="AF319" t="s">
        <v>57</v>
      </c>
      <c r="AG319">
        <v>1</v>
      </c>
      <c r="AH319" t="s">
        <v>57</v>
      </c>
      <c r="AL319" t="s">
        <v>57</v>
      </c>
      <c r="AM319" s="11">
        <v>44785</v>
      </c>
      <c r="AN319" t="s">
        <v>178</v>
      </c>
      <c r="AO319" t="s">
        <v>65</v>
      </c>
      <c r="AP319">
        <v>1205</v>
      </c>
      <c r="AQ319" t="s">
        <v>66</v>
      </c>
      <c r="AR319">
        <v>279692</v>
      </c>
      <c r="AU319" t="s">
        <v>57</v>
      </c>
      <c r="AV319" t="s">
        <v>68</v>
      </c>
      <c r="AX319" t="s">
        <v>57</v>
      </c>
      <c r="AY319">
        <v>631110</v>
      </c>
      <c r="AZ319">
        <v>1205.63111</v>
      </c>
      <c r="BA319" s="23" t="s">
        <v>13</v>
      </c>
    </row>
    <row r="320" spans="1:53" x14ac:dyDescent="0.25">
      <c r="A320" t="s">
        <v>134</v>
      </c>
      <c r="B320" t="s">
        <v>135</v>
      </c>
      <c r="C320">
        <v>22002360</v>
      </c>
      <c r="D320">
        <v>1205</v>
      </c>
      <c r="E320" s="11">
        <v>44789</v>
      </c>
      <c r="F320" t="s">
        <v>307</v>
      </c>
      <c r="G320" s="25">
        <v>4.79</v>
      </c>
      <c r="H320">
        <v>4.79</v>
      </c>
      <c r="I320" t="s">
        <v>56</v>
      </c>
      <c r="O320" t="s">
        <v>57</v>
      </c>
      <c r="Q320" t="s">
        <v>57</v>
      </c>
      <c r="R320" t="s">
        <v>137</v>
      </c>
      <c r="T320" t="s">
        <v>59</v>
      </c>
      <c r="U320" t="s">
        <v>60</v>
      </c>
      <c r="V320" t="s">
        <v>138</v>
      </c>
      <c r="W320" t="s">
        <v>139</v>
      </c>
      <c r="X320">
        <v>1933172</v>
      </c>
      <c r="Y320" s="11">
        <v>44789</v>
      </c>
      <c r="Z320" t="s">
        <v>57</v>
      </c>
      <c r="AA320">
        <v>32</v>
      </c>
      <c r="AB320" t="s">
        <v>57</v>
      </c>
      <c r="AD320" t="s">
        <v>57</v>
      </c>
      <c r="AE320" t="s">
        <v>57</v>
      </c>
      <c r="AF320" t="s">
        <v>57</v>
      </c>
      <c r="AG320">
        <v>19</v>
      </c>
      <c r="AH320" t="s">
        <v>57</v>
      </c>
      <c r="AL320" t="s">
        <v>57</v>
      </c>
      <c r="AM320" s="11">
        <v>44789</v>
      </c>
      <c r="AN320" t="s">
        <v>180</v>
      </c>
      <c r="AO320" t="s">
        <v>65</v>
      </c>
      <c r="AP320">
        <v>1205</v>
      </c>
      <c r="AQ320" t="s">
        <v>66</v>
      </c>
      <c r="AR320">
        <v>88669</v>
      </c>
      <c r="AU320" t="s">
        <v>57</v>
      </c>
      <c r="AV320" t="s">
        <v>68</v>
      </c>
      <c r="AX320" t="s">
        <v>57</v>
      </c>
      <c r="AY320">
        <v>631110</v>
      </c>
      <c r="AZ320">
        <v>1205.63111</v>
      </c>
      <c r="BA320" s="23" t="s">
        <v>13</v>
      </c>
    </row>
    <row r="321" spans="1:53" x14ac:dyDescent="0.25">
      <c r="A321" t="s">
        <v>134</v>
      </c>
      <c r="B321" t="s">
        <v>135</v>
      </c>
      <c r="C321">
        <v>22002264</v>
      </c>
      <c r="D321">
        <v>1205</v>
      </c>
      <c r="E321" s="11">
        <v>44774</v>
      </c>
      <c r="F321" t="s">
        <v>179</v>
      </c>
      <c r="G321" s="25">
        <v>4.99</v>
      </c>
      <c r="H321">
        <v>4.99</v>
      </c>
      <c r="I321" t="s">
        <v>56</v>
      </c>
      <c r="O321" t="s">
        <v>57</v>
      </c>
      <c r="Q321" t="s">
        <v>57</v>
      </c>
      <c r="R321" t="s">
        <v>137</v>
      </c>
      <c r="T321" t="s">
        <v>59</v>
      </c>
      <c r="U321" t="s">
        <v>60</v>
      </c>
      <c r="V321" t="s">
        <v>138</v>
      </c>
      <c r="W321" t="s">
        <v>139</v>
      </c>
      <c r="X321">
        <v>1925601</v>
      </c>
      <c r="Y321" s="11">
        <v>44774</v>
      </c>
      <c r="Z321" t="s">
        <v>57</v>
      </c>
      <c r="AA321">
        <v>8</v>
      </c>
      <c r="AB321" t="s">
        <v>57</v>
      </c>
      <c r="AD321" t="s">
        <v>57</v>
      </c>
      <c r="AE321" t="s">
        <v>57</v>
      </c>
      <c r="AF321" t="s">
        <v>57</v>
      </c>
      <c r="AG321">
        <v>46</v>
      </c>
      <c r="AH321" t="s">
        <v>57</v>
      </c>
      <c r="AL321" t="s">
        <v>57</v>
      </c>
      <c r="AM321" s="11">
        <v>44774</v>
      </c>
      <c r="AN321" t="s">
        <v>180</v>
      </c>
      <c r="AO321" t="s">
        <v>65</v>
      </c>
      <c r="AP321">
        <v>1205</v>
      </c>
      <c r="AQ321" t="s">
        <v>66</v>
      </c>
      <c r="AR321">
        <v>265267</v>
      </c>
      <c r="AU321" t="s">
        <v>57</v>
      </c>
      <c r="AV321" t="s">
        <v>68</v>
      </c>
      <c r="AX321" t="s">
        <v>57</v>
      </c>
      <c r="AY321">
        <v>631110</v>
      </c>
      <c r="AZ321">
        <v>1205.63111</v>
      </c>
      <c r="BA321" s="23" t="s">
        <v>13</v>
      </c>
    </row>
    <row r="322" spans="1:53" x14ac:dyDescent="0.25">
      <c r="A322" t="s">
        <v>134</v>
      </c>
      <c r="B322" t="s">
        <v>135</v>
      </c>
      <c r="C322">
        <v>22002366</v>
      </c>
      <c r="D322">
        <v>1205</v>
      </c>
      <c r="E322" s="11">
        <v>44791</v>
      </c>
      <c r="F322" t="s">
        <v>174</v>
      </c>
      <c r="G322" s="25">
        <v>5.22</v>
      </c>
      <c r="H322">
        <v>5.22</v>
      </c>
      <c r="I322" t="s">
        <v>56</v>
      </c>
      <c r="O322" t="s">
        <v>57</v>
      </c>
      <c r="Q322" t="s">
        <v>57</v>
      </c>
      <c r="R322" t="s">
        <v>137</v>
      </c>
      <c r="T322" t="s">
        <v>59</v>
      </c>
      <c r="U322" t="s">
        <v>60</v>
      </c>
      <c r="V322" t="s">
        <v>138</v>
      </c>
      <c r="W322" t="s">
        <v>139</v>
      </c>
      <c r="X322">
        <v>1933538</v>
      </c>
      <c r="Y322" s="11">
        <v>44791</v>
      </c>
      <c r="Z322" t="s">
        <v>57</v>
      </c>
      <c r="AA322">
        <v>8</v>
      </c>
      <c r="AB322" t="s">
        <v>57</v>
      </c>
      <c r="AD322" t="s">
        <v>57</v>
      </c>
      <c r="AE322" t="s">
        <v>57</v>
      </c>
      <c r="AF322" t="s">
        <v>57</v>
      </c>
      <c r="AG322">
        <v>3</v>
      </c>
      <c r="AH322" t="s">
        <v>57</v>
      </c>
      <c r="AL322" t="s">
        <v>57</v>
      </c>
      <c r="AM322" s="11">
        <v>44791</v>
      </c>
      <c r="AN322" t="s">
        <v>178</v>
      </c>
      <c r="AO322" t="s">
        <v>65</v>
      </c>
      <c r="AP322">
        <v>1205</v>
      </c>
      <c r="AQ322" t="s">
        <v>66</v>
      </c>
      <c r="AR322">
        <v>213580</v>
      </c>
      <c r="AU322" t="s">
        <v>57</v>
      </c>
      <c r="AV322" t="s">
        <v>68</v>
      </c>
      <c r="AX322" t="s">
        <v>57</v>
      </c>
      <c r="AY322">
        <v>631110</v>
      </c>
      <c r="AZ322">
        <v>1205.63111</v>
      </c>
      <c r="BA322" s="23" t="s">
        <v>13</v>
      </c>
    </row>
    <row r="323" spans="1:53" x14ac:dyDescent="0.25">
      <c r="A323" t="s">
        <v>134</v>
      </c>
      <c r="B323" t="s">
        <v>135</v>
      </c>
      <c r="C323">
        <v>22002318</v>
      </c>
      <c r="D323">
        <v>1205</v>
      </c>
      <c r="E323" s="11">
        <v>44782</v>
      </c>
      <c r="F323" t="s">
        <v>179</v>
      </c>
      <c r="G323" s="25">
        <v>5.41</v>
      </c>
      <c r="H323">
        <v>5.41</v>
      </c>
      <c r="I323" t="s">
        <v>56</v>
      </c>
      <c r="O323" t="s">
        <v>57</v>
      </c>
      <c r="Q323" t="s">
        <v>57</v>
      </c>
      <c r="R323" t="s">
        <v>137</v>
      </c>
      <c r="T323" t="s">
        <v>59</v>
      </c>
      <c r="U323" t="s">
        <v>60</v>
      </c>
      <c r="V323" t="s">
        <v>138</v>
      </c>
      <c r="W323" t="s">
        <v>139</v>
      </c>
      <c r="X323">
        <v>1929852</v>
      </c>
      <c r="Y323" s="11">
        <v>44782</v>
      </c>
      <c r="Z323" t="s">
        <v>57</v>
      </c>
      <c r="AA323">
        <v>40</v>
      </c>
      <c r="AB323" t="s">
        <v>57</v>
      </c>
      <c r="AD323" t="s">
        <v>57</v>
      </c>
      <c r="AE323" t="s">
        <v>57</v>
      </c>
      <c r="AF323" t="s">
        <v>57</v>
      </c>
      <c r="AG323">
        <v>35</v>
      </c>
      <c r="AH323" t="s">
        <v>57</v>
      </c>
      <c r="AL323" t="s">
        <v>57</v>
      </c>
      <c r="AM323" s="11">
        <v>44782</v>
      </c>
      <c r="AN323" t="s">
        <v>180</v>
      </c>
      <c r="AO323" t="s">
        <v>65</v>
      </c>
      <c r="AP323">
        <v>1205</v>
      </c>
      <c r="AQ323" t="s">
        <v>66</v>
      </c>
      <c r="AR323">
        <v>89712</v>
      </c>
      <c r="AU323" t="s">
        <v>57</v>
      </c>
      <c r="AV323" t="s">
        <v>68</v>
      </c>
      <c r="AX323" t="s">
        <v>57</v>
      </c>
      <c r="AY323">
        <v>631110</v>
      </c>
      <c r="AZ323">
        <v>1205.63111</v>
      </c>
      <c r="BA323" s="23" t="s">
        <v>13</v>
      </c>
    </row>
    <row r="324" spans="1:53" x14ac:dyDescent="0.25">
      <c r="A324" t="s">
        <v>134</v>
      </c>
      <c r="B324" t="s">
        <v>135</v>
      </c>
      <c r="C324">
        <v>22002360</v>
      </c>
      <c r="D324">
        <v>1205</v>
      </c>
      <c r="E324" s="11">
        <v>44789</v>
      </c>
      <c r="F324" t="s">
        <v>307</v>
      </c>
      <c r="G324" s="25">
        <v>5.52</v>
      </c>
      <c r="H324">
        <v>5.52</v>
      </c>
      <c r="I324" t="s">
        <v>56</v>
      </c>
      <c r="O324" t="s">
        <v>57</v>
      </c>
      <c r="Q324" t="s">
        <v>57</v>
      </c>
      <c r="R324" t="s">
        <v>137</v>
      </c>
      <c r="T324" t="s">
        <v>59</v>
      </c>
      <c r="U324" t="s">
        <v>60</v>
      </c>
      <c r="V324" t="s">
        <v>138</v>
      </c>
      <c r="W324" t="s">
        <v>139</v>
      </c>
      <c r="X324">
        <v>1933172</v>
      </c>
      <c r="Y324" s="11">
        <v>44789</v>
      </c>
      <c r="Z324" t="s">
        <v>57</v>
      </c>
      <c r="AA324">
        <v>16</v>
      </c>
      <c r="AB324" t="s">
        <v>57</v>
      </c>
      <c r="AD324" t="s">
        <v>57</v>
      </c>
      <c r="AE324" t="s">
        <v>57</v>
      </c>
      <c r="AF324" t="s">
        <v>57</v>
      </c>
      <c r="AG324">
        <v>51</v>
      </c>
      <c r="AH324" t="s">
        <v>57</v>
      </c>
      <c r="AL324" t="s">
        <v>57</v>
      </c>
      <c r="AM324" s="11">
        <v>44789</v>
      </c>
      <c r="AN324" t="s">
        <v>180</v>
      </c>
      <c r="AO324" t="s">
        <v>65</v>
      </c>
      <c r="AP324">
        <v>1205</v>
      </c>
      <c r="AQ324" t="s">
        <v>66</v>
      </c>
      <c r="AR324">
        <v>265267</v>
      </c>
      <c r="AU324" t="s">
        <v>57</v>
      </c>
      <c r="AV324" t="s">
        <v>68</v>
      </c>
      <c r="AX324" t="s">
        <v>57</v>
      </c>
      <c r="AY324">
        <v>631110</v>
      </c>
      <c r="AZ324">
        <v>1205.63111</v>
      </c>
      <c r="BA324" s="23" t="s">
        <v>13</v>
      </c>
    </row>
    <row r="325" spans="1:53" x14ac:dyDescent="0.25">
      <c r="A325" t="s">
        <v>134</v>
      </c>
      <c r="B325" t="s">
        <v>135</v>
      </c>
      <c r="C325">
        <v>22002323</v>
      </c>
      <c r="D325">
        <v>1205</v>
      </c>
      <c r="E325" s="11">
        <v>44783</v>
      </c>
      <c r="F325" t="s">
        <v>174</v>
      </c>
      <c r="G325" s="25">
        <v>6.09</v>
      </c>
      <c r="H325">
        <v>6.09</v>
      </c>
      <c r="I325" t="s">
        <v>56</v>
      </c>
      <c r="O325" t="s">
        <v>57</v>
      </c>
      <c r="Q325" t="s">
        <v>57</v>
      </c>
      <c r="R325" t="s">
        <v>137</v>
      </c>
      <c r="T325" t="s">
        <v>59</v>
      </c>
      <c r="U325" t="s">
        <v>60</v>
      </c>
      <c r="V325" t="s">
        <v>138</v>
      </c>
      <c r="W325" t="s">
        <v>139</v>
      </c>
      <c r="X325">
        <v>1930356</v>
      </c>
      <c r="Y325" s="11">
        <v>44783</v>
      </c>
      <c r="Z325" t="s">
        <v>57</v>
      </c>
      <c r="AA325">
        <v>20</v>
      </c>
      <c r="AB325" t="s">
        <v>57</v>
      </c>
      <c r="AD325" t="s">
        <v>57</v>
      </c>
      <c r="AE325" t="s">
        <v>57</v>
      </c>
      <c r="AF325" t="s">
        <v>57</v>
      </c>
      <c r="AG325">
        <v>2</v>
      </c>
      <c r="AH325" t="s">
        <v>57</v>
      </c>
      <c r="AL325" t="s">
        <v>57</v>
      </c>
      <c r="AM325" s="11">
        <v>44783</v>
      </c>
      <c r="AN325" t="s">
        <v>178</v>
      </c>
      <c r="AO325" t="s">
        <v>65</v>
      </c>
      <c r="AP325">
        <v>1205</v>
      </c>
      <c r="AQ325" t="s">
        <v>66</v>
      </c>
      <c r="AR325">
        <v>246730</v>
      </c>
      <c r="AU325" t="s">
        <v>57</v>
      </c>
      <c r="AV325" t="s">
        <v>68</v>
      </c>
      <c r="AX325" t="s">
        <v>57</v>
      </c>
      <c r="AY325">
        <v>631110</v>
      </c>
      <c r="AZ325">
        <v>1205.63111</v>
      </c>
      <c r="BA325" s="23" t="s">
        <v>13</v>
      </c>
    </row>
    <row r="326" spans="1:53" x14ac:dyDescent="0.25">
      <c r="A326" t="s">
        <v>134</v>
      </c>
      <c r="B326" t="s">
        <v>135</v>
      </c>
      <c r="C326">
        <v>22002297</v>
      </c>
      <c r="D326">
        <v>1205</v>
      </c>
      <c r="E326" s="11">
        <v>44778</v>
      </c>
      <c r="F326" t="s">
        <v>174</v>
      </c>
      <c r="G326" s="25">
        <v>6.45</v>
      </c>
      <c r="H326">
        <v>6.45</v>
      </c>
      <c r="I326" t="s">
        <v>56</v>
      </c>
      <c r="O326" t="s">
        <v>57</v>
      </c>
      <c r="Q326" t="s">
        <v>57</v>
      </c>
      <c r="R326" t="s">
        <v>137</v>
      </c>
      <c r="T326" t="s">
        <v>59</v>
      </c>
      <c r="U326" t="s">
        <v>60</v>
      </c>
      <c r="V326" t="s">
        <v>138</v>
      </c>
      <c r="W326" t="s">
        <v>139</v>
      </c>
      <c r="X326">
        <v>1928656</v>
      </c>
      <c r="Y326" s="11">
        <v>44778</v>
      </c>
      <c r="Z326" t="s">
        <v>57</v>
      </c>
      <c r="AA326">
        <v>12</v>
      </c>
      <c r="AB326" t="s">
        <v>57</v>
      </c>
      <c r="AD326" t="s">
        <v>57</v>
      </c>
      <c r="AE326" t="s">
        <v>57</v>
      </c>
      <c r="AF326" t="s">
        <v>57</v>
      </c>
      <c r="AG326">
        <v>1</v>
      </c>
      <c r="AH326" t="s">
        <v>57</v>
      </c>
      <c r="AL326" t="s">
        <v>57</v>
      </c>
      <c r="AM326" s="11">
        <v>44778</v>
      </c>
      <c r="AN326" t="s">
        <v>178</v>
      </c>
      <c r="AO326" t="s">
        <v>65</v>
      </c>
      <c r="AP326">
        <v>1205</v>
      </c>
      <c r="AQ326" t="s">
        <v>66</v>
      </c>
      <c r="AR326">
        <v>269752</v>
      </c>
      <c r="AU326" t="s">
        <v>57</v>
      </c>
      <c r="AV326" t="s">
        <v>68</v>
      </c>
      <c r="AX326" t="s">
        <v>57</v>
      </c>
      <c r="AY326">
        <v>631110</v>
      </c>
      <c r="AZ326">
        <v>1205.63111</v>
      </c>
      <c r="BA326" s="23" t="s">
        <v>13</v>
      </c>
    </row>
    <row r="327" spans="1:53" x14ac:dyDescent="0.25">
      <c r="A327" t="s">
        <v>134</v>
      </c>
      <c r="B327" t="s">
        <v>135</v>
      </c>
      <c r="C327">
        <v>22002265</v>
      </c>
      <c r="D327">
        <v>1205</v>
      </c>
      <c r="E327" s="11">
        <v>44775</v>
      </c>
      <c r="F327" t="s">
        <v>174</v>
      </c>
      <c r="G327" s="25">
        <v>7.13</v>
      </c>
      <c r="H327">
        <v>7.13</v>
      </c>
      <c r="I327" t="s">
        <v>56</v>
      </c>
      <c r="O327" t="s">
        <v>57</v>
      </c>
      <c r="Q327" t="s">
        <v>57</v>
      </c>
      <c r="R327" t="s">
        <v>137</v>
      </c>
      <c r="T327" t="s">
        <v>59</v>
      </c>
      <c r="U327" t="s">
        <v>60</v>
      </c>
      <c r="V327" t="s">
        <v>138</v>
      </c>
      <c r="W327" t="s">
        <v>139</v>
      </c>
      <c r="X327">
        <v>1926568</v>
      </c>
      <c r="Y327" s="11">
        <v>44775</v>
      </c>
      <c r="Z327" t="s">
        <v>57</v>
      </c>
      <c r="AA327">
        <v>24</v>
      </c>
      <c r="AB327" t="s">
        <v>57</v>
      </c>
      <c r="AD327" t="s">
        <v>57</v>
      </c>
      <c r="AE327" t="s">
        <v>57</v>
      </c>
      <c r="AF327" t="s">
        <v>57</v>
      </c>
      <c r="AG327">
        <v>1</v>
      </c>
      <c r="AH327" t="s">
        <v>57</v>
      </c>
      <c r="AL327" t="s">
        <v>57</v>
      </c>
      <c r="AM327" s="11">
        <v>44775</v>
      </c>
      <c r="AN327" t="s">
        <v>178</v>
      </c>
      <c r="AO327" t="s">
        <v>65</v>
      </c>
      <c r="AP327">
        <v>1205</v>
      </c>
      <c r="AQ327" t="s">
        <v>66</v>
      </c>
      <c r="AR327">
        <v>90178</v>
      </c>
      <c r="AU327" t="s">
        <v>57</v>
      </c>
      <c r="AV327" t="s">
        <v>68</v>
      </c>
      <c r="AX327" t="s">
        <v>57</v>
      </c>
      <c r="AY327">
        <v>631110</v>
      </c>
      <c r="AZ327">
        <v>1205.63111</v>
      </c>
      <c r="BA327" s="23" t="s">
        <v>13</v>
      </c>
    </row>
    <row r="328" spans="1:53" x14ac:dyDescent="0.25">
      <c r="A328" t="s">
        <v>134</v>
      </c>
      <c r="B328" t="s">
        <v>135</v>
      </c>
      <c r="C328">
        <v>22002310</v>
      </c>
      <c r="D328">
        <v>1205</v>
      </c>
      <c r="E328" s="11">
        <v>44781</v>
      </c>
      <c r="F328" t="s">
        <v>172</v>
      </c>
      <c r="G328" s="25">
        <v>7.56</v>
      </c>
      <c r="H328">
        <v>7.56</v>
      </c>
      <c r="I328" t="s">
        <v>56</v>
      </c>
      <c r="O328" t="s">
        <v>57</v>
      </c>
      <c r="Q328" t="s">
        <v>57</v>
      </c>
      <c r="R328" t="s">
        <v>137</v>
      </c>
      <c r="T328" t="s">
        <v>59</v>
      </c>
      <c r="U328" t="s">
        <v>60</v>
      </c>
      <c r="V328" t="s">
        <v>138</v>
      </c>
      <c r="W328" t="s">
        <v>139</v>
      </c>
      <c r="X328">
        <v>1928781</v>
      </c>
      <c r="Y328" s="11">
        <v>44781</v>
      </c>
      <c r="Z328" t="s">
        <v>57</v>
      </c>
      <c r="AA328">
        <v>2</v>
      </c>
      <c r="AB328" t="s">
        <v>57</v>
      </c>
      <c r="AD328" t="s">
        <v>57</v>
      </c>
      <c r="AE328" t="s">
        <v>57</v>
      </c>
      <c r="AF328" t="s">
        <v>57</v>
      </c>
      <c r="AG328">
        <v>1</v>
      </c>
      <c r="AH328" t="s">
        <v>57</v>
      </c>
      <c r="AL328" t="s">
        <v>57</v>
      </c>
      <c r="AM328" s="11">
        <v>44781</v>
      </c>
      <c r="AN328" t="s">
        <v>178</v>
      </c>
      <c r="AO328" t="s">
        <v>65</v>
      </c>
      <c r="AP328">
        <v>1205</v>
      </c>
      <c r="AQ328" t="s">
        <v>66</v>
      </c>
      <c r="AR328">
        <v>225948</v>
      </c>
      <c r="AU328" t="s">
        <v>57</v>
      </c>
      <c r="AV328" t="s">
        <v>68</v>
      </c>
      <c r="AX328" t="s">
        <v>57</v>
      </c>
      <c r="AY328">
        <v>631110</v>
      </c>
      <c r="AZ328">
        <v>1205.63111</v>
      </c>
      <c r="BA328" s="23" t="s">
        <v>13</v>
      </c>
    </row>
    <row r="329" spans="1:53" x14ac:dyDescent="0.25">
      <c r="A329" t="s">
        <v>134</v>
      </c>
      <c r="B329" t="s">
        <v>135</v>
      </c>
      <c r="C329">
        <v>22002311</v>
      </c>
      <c r="D329">
        <v>1205</v>
      </c>
      <c r="E329" s="11">
        <v>44781</v>
      </c>
      <c r="F329" t="s">
        <v>174</v>
      </c>
      <c r="G329" s="25">
        <v>7.66</v>
      </c>
      <c r="H329">
        <v>7.66</v>
      </c>
      <c r="I329" t="s">
        <v>56</v>
      </c>
      <c r="O329" t="s">
        <v>57</v>
      </c>
      <c r="Q329" t="s">
        <v>57</v>
      </c>
      <c r="R329" t="s">
        <v>137</v>
      </c>
      <c r="T329" t="s">
        <v>59</v>
      </c>
      <c r="U329" t="s">
        <v>60</v>
      </c>
      <c r="V329" t="s">
        <v>138</v>
      </c>
      <c r="W329" t="s">
        <v>139</v>
      </c>
      <c r="X329">
        <v>1928974</v>
      </c>
      <c r="Y329" s="11">
        <v>44781</v>
      </c>
      <c r="Z329" t="s">
        <v>57</v>
      </c>
      <c r="AA329">
        <v>8</v>
      </c>
      <c r="AB329" t="s">
        <v>57</v>
      </c>
      <c r="AD329" t="s">
        <v>57</v>
      </c>
      <c r="AE329" t="s">
        <v>57</v>
      </c>
      <c r="AF329" t="s">
        <v>57</v>
      </c>
      <c r="AG329">
        <v>2</v>
      </c>
      <c r="AH329" t="s">
        <v>57</v>
      </c>
      <c r="AL329" t="s">
        <v>57</v>
      </c>
      <c r="AM329" s="11">
        <v>44781</v>
      </c>
      <c r="AN329" t="s">
        <v>178</v>
      </c>
      <c r="AO329" t="s">
        <v>65</v>
      </c>
      <c r="AP329">
        <v>1205</v>
      </c>
      <c r="AQ329" t="s">
        <v>66</v>
      </c>
      <c r="AR329">
        <v>88685</v>
      </c>
      <c r="AU329" t="s">
        <v>57</v>
      </c>
      <c r="AV329" t="s">
        <v>68</v>
      </c>
      <c r="AX329" t="s">
        <v>57</v>
      </c>
      <c r="AY329">
        <v>631110</v>
      </c>
      <c r="AZ329">
        <v>1205.63111</v>
      </c>
      <c r="BA329" s="23" t="s">
        <v>13</v>
      </c>
    </row>
    <row r="330" spans="1:53" x14ac:dyDescent="0.25">
      <c r="A330" t="s">
        <v>134</v>
      </c>
      <c r="B330" t="s">
        <v>135</v>
      </c>
      <c r="C330">
        <v>22002265</v>
      </c>
      <c r="D330">
        <v>1205</v>
      </c>
      <c r="E330" s="11">
        <v>44775</v>
      </c>
      <c r="F330" t="s">
        <v>174</v>
      </c>
      <c r="G330" s="25">
        <v>7.91</v>
      </c>
      <c r="H330">
        <v>7.91</v>
      </c>
      <c r="I330" t="s">
        <v>56</v>
      </c>
      <c r="O330" t="s">
        <v>57</v>
      </c>
      <c r="Q330" t="s">
        <v>57</v>
      </c>
      <c r="R330" t="s">
        <v>137</v>
      </c>
      <c r="T330" t="s">
        <v>59</v>
      </c>
      <c r="U330" t="s">
        <v>60</v>
      </c>
      <c r="V330" t="s">
        <v>138</v>
      </c>
      <c r="W330" t="s">
        <v>139</v>
      </c>
      <c r="X330">
        <v>1926568</v>
      </c>
      <c r="Y330" s="11">
        <v>44775</v>
      </c>
      <c r="Z330" t="s">
        <v>57</v>
      </c>
      <c r="AA330">
        <v>6</v>
      </c>
      <c r="AB330" t="s">
        <v>57</v>
      </c>
      <c r="AD330" t="s">
        <v>57</v>
      </c>
      <c r="AE330" t="s">
        <v>57</v>
      </c>
      <c r="AF330" t="s">
        <v>57</v>
      </c>
      <c r="AG330">
        <v>2</v>
      </c>
      <c r="AH330" t="s">
        <v>57</v>
      </c>
      <c r="AL330" t="s">
        <v>57</v>
      </c>
      <c r="AM330" s="11">
        <v>44775</v>
      </c>
      <c r="AN330" t="s">
        <v>178</v>
      </c>
      <c r="AO330" t="s">
        <v>65</v>
      </c>
      <c r="AP330">
        <v>1205</v>
      </c>
      <c r="AQ330" t="s">
        <v>66</v>
      </c>
      <c r="AR330">
        <v>220122</v>
      </c>
      <c r="AU330" t="s">
        <v>57</v>
      </c>
      <c r="AV330" t="s">
        <v>68</v>
      </c>
      <c r="AX330" t="s">
        <v>57</v>
      </c>
      <c r="AY330">
        <v>631110</v>
      </c>
      <c r="AZ330">
        <v>1205.63111</v>
      </c>
      <c r="BA330" s="23" t="s">
        <v>13</v>
      </c>
    </row>
    <row r="331" spans="1:53" x14ac:dyDescent="0.25">
      <c r="A331" t="s">
        <v>134</v>
      </c>
      <c r="B331" t="s">
        <v>135</v>
      </c>
      <c r="C331">
        <v>22002289</v>
      </c>
      <c r="D331">
        <v>1205</v>
      </c>
      <c r="E331" s="11">
        <v>44777</v>
      </c>
      <c r="F331" t="s">
        <v>172</v>
      </c>
      <c r="G331" s="25">
        <v>7.94</v>
      </c>
      <c r="H331">
        <v>7.94</v>
      </c>
      <c r="I331" t="s">
        <v>56</v>
      </c>
      <c r="O331" t="s">
        <v>57</v>
      </c>
      <c r="Q331" t="s">
        <v>57</v>
      </c>
      <c r="R331" t="s">
        <v>137</v>
      </c>
      <c r="T331" t="s">
        <v>59</v>
      </c>
      <c r="U331" t="s">
        <v>60</v>
      </c>
      <c r="V331" t="s">
        <v>138</v>
      </c>
      <c r="W331" t="s">
        <v>139</v>
      </c>
      <c r="X331">
        <v>1927363</v>
      </c>
      <c r="Y331" s="11">
        <v>44777</v>
      </c>
      <c r="Z331" t="s">
        <v>57</v>
      </c>
      <c r="AA331">
        <v>2</v>
      </c>
      <c r="AB331" t="s">
        <v>57</v>
      </c>
      <c r="AD331" t="s">
        <v>57</v>
      </c>
      <c r="AE331" t="s">
        <v>57</v>
      </c>
      <c r="AF331" t="s">
        <v>57</v>
      </c>
      <c r="AG331">
        <v>1</v>
      </c>
      <c r="AH331" t="s">
        <v>57</v>
      </c>
      <c r="AL331" t="s">
        <v>57</v>
      </c>
      <c r="AM331" s="11">
        <v>44777</v>
      </c>
      <c r="AN331" t="s">
        <v>178</v>
      </c>
      <c r="AO331" t="s">
        <v>65</v>
      </c>
      <c r="AP331">
        <v>1205</v>
      </c>
      <c r="AQ331" t="s">
        <v>66</v>
      </c>
      <c r="AR331">
        <v>227112</v>
      </c>
      <c r="AU331" t="s">
        <v>57</v>
      </c>
      <c r="AV331" t="s">
        <v>68</v>
      </c>
      <c r="AX331" t="s">
        <v>57</v>
      </c>
      <c r="AY331">
        <v>631110</v>
      </c>
      <c r="AZ331">
        <v>1205.63111</v>
      </c>
      <c r="BA331" s="23" t="s">
        <v>13</v>
      </c>
    </row>
    <row r="332" spans="1:53" x14ac:dyDescent="0.25">
      <c r="A332" t="s">
        <v>134</v>
      </c>
      <c r="B332" t="s">
        <v>135</v>
      </c>
      <c r="C332">
        <v>22002294</v>
      </c>
      <c r="D332">
        <v>1205</v>
      </c>
      <c r="E332" s="11">
        <v>44777</v>
      </c>
      <c r="F332" t="s">
        <v>172</v>
      </c>
      <c r="G332" s="25">
        <v>7.94</v>
      </c>
      <c r="H332">
        <v>7.94</v>
      </c>
      <c r="I332" t="s">
        <v>56</v>
      </c>
      <c r="O332" t="s">
        <v>57</v>
      </c>
      <c r="Q332" t="s">
        <v>57</v>
      </c>
      <c r="R332" t="s">
        <v>137</v>
      </c>
      <c r="T332" t="s">
        <v>59</v>
      </c>
      <c r="U332" t="s">
        <v>60</v>
      </c>
      <c r="V332" t="s">
        <v>138</v>
      </c>
      <c r="W332" t="s">
        <v>139</v>
      </c>
      <c r="X332">
        <v>1927635</v>
      </c>
      <c r="Y332" s="11">
        <v>44777</v>
      </c>
      <c r="Z332" t="s">
        <v>57</v>
      </c>
      <c r="AA332">
        <v>2</v>
      </c>
      <c r="AB332" t="s">
        <v>57</v>
      </c>
      <c r="AD332" t="s">
        <v>57</v>
      </c>
      <c r="AE332" t="s">
        <v>57</v>
      </c>
      <c r="AF332" t="s">
        <v>57</v>
      </c>
      <c r="AG332">
        <v>1</v>
      </c>
      <c r="AH332" t="s">
        <v>57</v>
      </c>
      <c r="AL332" t="s">
        <v>57</v>
      </c>
      <c r="AM332" s="11">
        <v>44777</v>
      </c>
      <c r="AN332" t="s">
        <v>178</v>
      </c>
      <c r="AO332" t="s">
        <v>65</v>
      </c>
      <c r="AP332">
        <v>1205</v>
      </c>
      <c r="AQ332" t="s">
        <v>66</v>
      </c>
      <c r="AR332">
        <v>227112</v>
      </c>
      <c r="AU332" t="s">
        <v>57</v>
      </c>
      <c r="AV332" t="s">
        <v>68</v>
      </c>
      <c r="AX332" t="s">
        <v>57</v>
      </c>
      <c r="AY332">
        <v>631110</v>
      </c>
      <c r="AZ332">
        <v>1205.63111</v>
      </c>
      <c r="BA332" s="23" t="s">
        <v>13</v>
      </c>
    </row>
    <row r="333" spans="1:53" x14ac:dyDescent="0.25">
      <c r="A333" t="s">
        <v>134</v>
      </c>
      <c r="B333" t="s">
        <v>135</v>
      </c>
      <c r="C333">
        <v>22002317</v>
      </c>
      <c r="D333">
        <v>1205</v>
      </c>
      <c r="E333" s="11">
        <v>44782</v>
      </c>
      <c r="F333" t="s">
        <v>172</v>
      </c>
      <c r="G333" s="25">
        <v>7.94</v>
      </c>
      <c r="H333">
        <v>7.94</v>
      </c>
      <c r="I333" t="s">
        <v>56</v>
      </c>
      <c r="O333" t="s">
        <v>57</v>
      </c>
      <c r="Q333" t="s">
        <v>57</v>
      </c>
      <c r="R333" t="s">
        <v>137</v>
      </c>
      <c r="T333" t="s">
        <v>59</v>
      </c>
      <c r="U333" t="s">
        <v>60</v>
      </c>
      <c r="V333" t="s">
        <v>138</v>
      </c>
      <c r="W333" t="s">
        <v>139</v>
      </c>
      <c r="X333">
        <v>1929847</v>
      </c>
      <c r="Y333" s="11">
        <v>44782</v>
      </c>
      <c r="Z333" t="s">
        <v>57</v>
      </c>
      <c r="AA333">
        <v>4</v>
      </c>
      <c r="AB333" t="s">
        <v>57</v>
      </c>
      <c r="AD333" t="s">
        <v>57</v>
      </c>
      <c r="AE333" t="s">
        <v>57</v>
      </c>
      <c r="AF333" t="s">
        <v>57</v>
      </c>
      <c r="AG333">
        <v>1</v>
      </c>
      <c r="AH333" t="s">
        <v>57</v>
      </c>
      <c r="AL333" t="s">
        <v>57</v>
      </c>
      <c r="AM333" s="11">
        <v>44782</v>
      </c>
      <c r="AN333" t="s">
        <v>178</v>
      </c>
      <c r="AO333" t="s">
        <v>65</v>
      </c>
      <c r="AP333">
        <v>1205</v>
      </c>
      <c r="AQ333" t="s">
        <v>66</v>
      </c>
      <c r="AR333">
        <v>227112</v>
      </c>
      <c r="AU333" t="s">
        <v>57</v>
      </c>
      <c r="AV333" t="s">
        <v>68</v>
      </c>
      <c r="AX333" t="s">
        <v>57</v>
      </c>
      <c r="AY333">
        <v>631110</v>
      </c>
      <c r="AZ333">
        <v>1205.63111</v>
      </c>
      <c r="BA333" s="23" t="s">
        <v>13</v>
      </c>
    </row>
    <row r="334" spans="1:53" x14ac:dyDescent="0.25">
      <c r="A334" t="s">
        <v>134</v>
      </c>
      <c r="B334" t="s">
        <v>135</v>
      </c>
      <c r="C334">
        <v>22002324</v>
      </c>
      <c r="D334">
        <v>1205</v>
      </c>
      <c r="E334" s="11">
        <v>44783</v>
      </c>
      <c r="F334" t="s">
        <v>172</v>
      </c>
      <c r="G334" s="25">
        <v>7.94</v>
      </c>
      <c r="H334">
        <v>7.94</v>
      </c>
      <c r="I334" t="s">
        <v>56</v>
      </c>
      <c r="O334" t="s">
        <v>57</v>
      </c>
      <c r="Q334" t="s">
        <v>57</v>
      </c>
      <c r="R334" t="s">
        <v>137</v>
      </c>
      <c r="T334" t="s">
        <v>59</v>
      </c>
      <c r="U334" t="s">
        <v>60</v>
      </c>
      <c r="V334" t="s">
        <v>138</v>
      </c>
      <c r="W334" t="s">
        <v>139</v>
      </c>
      <c r="X334">
        <v>1930356</v>
      </c>
      <c r="Y334" s="11">
        <v>44783</v>
      </c>
      <c r="Z334" t="s">
        <v>57</v>
      </c>
      <c r="AA334">
        <v>2</v>
      </c>
      <c r="AB334" t="s">
        <v>57</v>
      </c>
      <c r="AD334" t="s">
        <v>57</v>
      </c>
      <c r="AE334" t="s">
        <v>57</v>
      </c>
      <c r="AF334" t="s">
        <v>57</v>
      </c>
      <c r="AG334">
        <v>1</v>
      </c>
      <c r="AH334" t="s">
        <v>57</v>
      </c>
      <c r="AL334" t="s">
        <v>57</v>
      </c>
      <c r="AM334" s="11">
        <v>44783</v>
      </c>
      <c r="AN334" t="s">
        <v>178</v>
      </c>
      <c r="AO334" t="s">
        <v>65</v>
      </c>
      <c r="AP334">
        <v>1205</v>
      </c>
      <c r="AQ334" t="s">
        <v>66</v>
      </c>
      <c r="AR334">
        <v>227112</v>
      </c>
      <c r="AU334" t="s">
        <v>57</v>
      </c>
      <c r="AV334" t="s">
        <v>68</v>
      </c>
      <c r="AX334" t="s">
        <v>57</v>
      </c>
      <c r="AY334">
        <v>631110</v>
      </c>
      <c r="AZ334">
        <v>1205.63111</v>
      </c>
      <c r="BA334" s="23" t="s">
        <v>13</v>
      </c>
    </row>
    <row r="335" spans="1:53" x14ac:dyDescent="0.25">
      <c r="A335" t="s">
        <v>134</v>
      </c>
      <c r="B335" t="s">
        <v>135</v>
      </c>
      <c r="C335">
        <v>22002348</v>
      </c>
      <c r="D335">
        <v>1205</v>
      </c>
      <c r="E335" s="11">
        <v>44788</v>
      </c>
      <c r="F335" t="s">
        <v>172</v>
      </c>
      <c r="G335" s="25">
        <v>7.94</v>
      </c>
      <c r="H335">
        <v>7.94</v>
      </c>
      <c r="I335" t="s">
        <v>56</v>
      </c>
      <c r="O335" t="s">
        <v>57</v>
      </c>
      <c r="Q335" t="s">
        <v>57</v>
      </c>
      <c r="R335" t="s">
        <v>137</v>
      </c>
      <c r="T335" t="s">
        <v>59</v>
      </c>
      <c r="U335" t="s">
        <v>60</v>
      </c>
      <c r="V335" t="s">
        <v>138</v>
      </c>
      <c r="W335" t="s">
        <v>139</v>
      </c>
      <c r="X335">
        <v>1931711</v>
      </c>
      <c r="Y335" s="11">
        <v>44788</v>
      </c>
      <c r="Z335" t="s">
        <v>57</v>
      </c>
      <c r="AA335">
        <v>2</v>
      </c>
      <c r="AB335" t="s">
        <v>57</v>
      </c>
      <c r="AD335" t="s">
        <v>57</v>
      </c>
      <c r="AE335" t="s">
        <v>57</v>
      </c>
      <c r="AF335" t="s">
        <v>57</v>
      </c>
      <c r="AG335">
        <v>1</v>
      </c>
      <c r="AH335" t="s">
        <v>57</v>
      </c>
      <c r="AL335" t="s">
        <v>57</v>
      </c>
      <c r="AM335" s="11">
        <v>44788</v>
      </c>
      <c r="AN335" t="s">
        <v>178</v>
      </c>
      <c r="AO335" t="s">
        <v>65</v>
      </c>
      <c r="AP335">
        <v>1205</v>
      </c>
      <c r="AQ335" t="s">
        <v>66</v>
      </c>
      <c r="AR335">
        <v>227112</v>
      </c>
      <c r="AU335" t="s">
        <v>57</v>
      </c>
      <c r="AV335" t="s">
        <v>68</v>
      </c>
      <c r="AX335" t="s">
        <v>57</v>
      </c>
      <c r="AY335">
        <v>631110</v>
      </c>
      <c r="AZ335">
        <v>1205.63111</v>
      </c>
      <c r="BA335" s="23" t="s">
        <v>13</v>
      </c>
    </row>
    <row r="336" spans="1:53" x14ac:dyDescent="0.25">
      <c r="A336" t="s">
        <v>134</v>
      </c>
      <c r="B336" t="s">
        <v>135</v>
      </c>
      <c r="C336">
        <v>22002263</v>
      </c>
      <c r="D336">
        <v>1205</v>
      </c>
      <c r="E336" s="11">
        <v>44774</v>
      </c>
      <c r="F336" t="s">
        <v>172</v>
      </c>
      <c r="G336" s="25">
        <v>8.06</v>
      </c>
      <c r="H336">
        <v>8.06</v>
      </c>
      <c r="I336" t="s">
        <v>56</v>
      </c>
      <c r="O336" t="s">
        <v>57</v>
      </c>
      <c r="Q336" t="s">
        <v>57</v>
      </c>
      <c r="R336" t="s">
        <v>137</v>
      </c>
      <c r="T336" t="s">
        <v>59</v>
      </c>
      <c r="U336" t="s">
        <v>60</v>
      </c>
      <c r="V336" t="s">
        <v>138</v>
      </c>
      <c r="W336" t="s">
        <v>139</v>
      </c>
      <c r="X336">
        <v>1925596</v>
      </c>
      <c r="Y336" s="11">
        <v>44774</v>
      </c>
      <c r="Z336" t="s">
        <v>57</v>
      </c>
      <c r="AA336">
        <v>4</v>
      </c>
      <c r="AB336" t="s">
        <v>57</v>
      </c>
      <c r="AD336" t="s">
        <v>57</v>
      </c>
      <c r="AE336" t="s">
        <v>57</v>
      </c>
      <c r="AF336" t="s">
        <v>57</v>
      </c>
      <c r="AG336">
        <v>1</v>
      </c>
      <c r="AH336" t="s">
        <v>57</v>
      </c>
      <c r="AL336" t="s">
        <v>57</v>
      </c>
      <c r="AM336" s="11">
        <v>44774</v>
      </c>
      <c r="AN336" t="s">
        <v>178</v>
      </c>
      <c r="AO336" t="s">
        <v>65</v>
      </c>
      <c r="AP336">
        <v>1205</v>
      </c>
      <c r="AQ336" t="s">
        <v>66</v>
      </c>
      <c r="AR336">
        <v>279991</v>
      </c>
      <c r="AU336" t="s">
        <v>57</v>
      </c>
      <c r="AV336" t="s">
        <v>68</v>
      </c>
      <c r="AX336" t="s">
        <v>57</v>
      </c>
      <c r="AY336">
        <v>631110</v>
      </c>
      <c r="AZ336">
        <v>1205.63111</v>
      </c>
      <c r="BA336" s="23" t="s">
        <v>13</v>
      </c>
    </row>
    <row r="337" spans="1:53" x14ac:dyDescent="0.25">
      <c r="A337" t="s">
        <v>134</v>
      </c>
      <c r="B337" t="s">
        <v>135</v>
      </c>
      <c r="C337">
        <v>22002350</v>
      </c>
      <c r="D337">
        <v>1205</v>
      </c>
      <c r="E337" s="11">
        <v>44788</v>
      </c>
      <c r="F337" t="s">
        <v>174</v>
      </c>
      <c r="G337" s="25">
        <v>8.44</v>
      </c>
      <c r="H337">
        <v>8.44</v>
      </c>
      <c r="I337" t="s">
        <v>56</v>
      </c>
      <c r="O337" t="s">
        <v>57</v>
      </c>
      <c r="Q337" t="s">
        <v>57</v>
      </c>
      <c r="R337" t="s">
        <v>137</v>
      </c>
      <c r="T337" t="s">
        <v>59</v>
      </c>
      <c r="U337" t="s">
        <v>60</v>
      </c>
      <c r="V337" t="s">
        <v>138</v>
      </c>
      <c r="W337" t="s">
        <v>139</v>
      </c>
      <c r="X337">
        <v>1931833</v>
      </c>
      <c r="Y337" s="11">
        <v>44788</v>
      </c>
      <c r="Z337" t="s">
        <v>57</v>
      </c>
      <c r="AA337">
        <v>2</v>
      </c>
      <c r="AB337" t="s">
        <v>57</v>
      </c>
      <c r="AD337" t="s">
        <v>57</v>
      </c>
      <c r="AE337" t="s">
        <v>57</v>
      </c>
      <c r="AF337" t="s">
        <v>57</v>
      </c>
      <c r="AG337">
        <v>2</v>
      </c>
      <c r="AH337" t="s">
        <v>57</v>
      </c>
      <c r="AL337" t="s">
        <v>57</v>
      </c>
      <c r="AM337" s="11">
        <v>44788</v>
      </c>
      <c r="AN337" t="s">
        <v>178</v>
      </c>
      <c r="AO337" t="s">
        <v>65</v>
      </c>
      <c r="AP337">
        <v>1205</v>
      </c>
      <c r="AQ337" t="s">
        <v>66</v>
      </c>
      <c r="AR337">
        <v>227905</v>
      </c>
      <c r="AU337" t="s">
        <v>57</v>
      </c>
      <c r="AV337" t="s">
        <v>68</v>
      </c>
      <c r="AX337" t="s">
        <v>57</v>
      </c>
      <c r="AY337">
        <v>631110</v>
      </c>
      <c r="AZ337">
        <v>1205.63111</v>
      </c>
      <c r="BA337" s="23" t="s">
        <v>13</v>
      </c>
    </row>
    <row r="338" spans="1:53" x14ac:dyDescent="0.25">
      <c r="A338" t="s">
        <v>134</v>
      </c>
      <c r="B338" t="s">
        <v>135</v>
      </c>
      <c r="C338">
        <v>22002299</v>
      </c>
      <c r="D338">
        <v>1205</v>
      </c>
      <c r="E338" s="11">
        <v>44778</v>
      </c>
      <c r="F338" t="s">
        <v>174</v>
      </c>
      <c r="G338" s="25">
        <v>8.52</v>
      </c>
      <c r="H338">
        <v>8.52</v>
      </c>
      <c r="I338" t="s">
        <v>56</v>
      </c>
      <c r="O338" t="s">
        <v>57</v>
      </c>
      <c r="Q338" t="s">
        <v>57</v>
      </c>
      <c r="R338" t="s">
        <v>137</v>
      </c>
      <c r="T338" t="s">
        <v>59</v>
      </c>
      <c r="U338" t="s">
        <v>60</v>
      </c>
      <c r="V338" t="s">
        <v>138</v>
      </c>
      <c r="W338" t="s">
        <v>139</v>
      </c>
      <c r="X338">
        <v>1928751</v>
      </c>
      <c r="Y338" s="11">
        <v>44778</v>
      </c>
      <c r="Z338" t="s">
        <v>57</v>
      </c>
      <c r="AA338">
        <v>2</v>
      </c>
      <c r="AB338" t="s">
        <v>57</v>
      </c>
      <c r="AD338" t="s">
        <v>57</v>
      </c>
      <c r="AE338" t="s">
        <v>57</v>
      </c>
      <c r="AF338" t="s">
        <v>57</v>
      </c>
      <c r="AG338">
        <v>6</v>
      </c>
      <c r="AH338" t="s">
        <v>57</v>
      </c>
      <c r="AL338" t="s">
        <v>57</v>
      </c>
      <c r="AM338" s="11">
        <v>44778</v>
      </c>
      <c r="AN338" t="s">
        <v>178</v>
      </c>
      <c r="AO338" t="s">
        <v>65</v>
      </c>
      <c r="AP338">
        <v>1205</v>
      </c>
      <c r="AQ338" t="s">
        <v>66</v>
      </c>
      <c r="AR338">
        <v>88624</v>
      </c>
      <c r="AU338" t="s">
        <v>57</v>
      </c>
      <c r="AV338" t="s">
        <v>68</v>
      </c>
      <c r="AX338" t="s">
        <v>57</v>
      </c>
      <c r="AY338">
        <v>631110</v>
      </c>
      <c r="AZ338">
        <v>1205.63111</v>
      </c>
      <c r="BA338" s="23" t="s">
        <v>13</v>
      </c>
    </row>
    <row r="339" spans="1:53" x14ac:dyDescent="0.25">
      <c r="A339" t="s">
        <v>134</v>
      </c>
      <c r="B339" t="s">
        <v>135</v>
      </c>
      <c r="C339">
        <v>22002371</v>
      </c>
      <c r="D339">
        <v>1205</v>
      </c>
      <c r="E339" s="11">
        <v>44791</v>
      </c>
      <c r="F339" t="s">
        <v>174</v>
      </c>
      <c r="G339" s="25">
        <v>8.77</v>
      </c>
      <c r="H339">
        <v>8.77</v>
      </c>
      <c r="I339" t="s">
        <v>56</v>
      </c>
      <c r="O339" t="s">
        <v>57</v>
      </c>
      <c r="Q339" t="s">
        <v>57</v>
      </c>
      <c r="R339" t="s">
        <v>137</v>
      </c>
      <c r="T339" t="s">
        <v>59</v>
      </c>
      <c r="U339" t="s">
        <v>60</v>
      </c>
      <c r="V339" t="s">
        <v>138</v>
      </c>
      <c r="W339" t="s">
        <v>139</v>
      </c>
      <c r="X339">
        <v>1933541</v>
      </c>
      <c r="Y339" s="11">
        <v>44791</v>
      </c>
      <c r="Z339" t="s">
        <v>57</v>
      </c>
      <c r="AA339">
        <v>2</v>
      </c>
      <c r="AB339" t="s">
        <v>57</v>
      </c>
      <c r="AD339" t="s">
        <v>57</v>
      </c>
      <c r="AE339" t="s">
        <v>57</v>
      </c>
      <c r="AF339" t="s">
        <v>57</v>
      </c>
      <c r="AG339">
        <v>1</v>
      </c>
      <c r="AH339" t="s">
        <v>57</v>
      </c>
      <c r="AL339" t="s">
        <v>57</v>
      </c>
      <c r="AM339" s="11">
        <v>44791</v>
      </c>
      <c r="AN339" t="s">
        <v>178</v>
      </c>
      <c r="AO339" t="s">
        <v>65</v>
      </c>
      <c r="AP339">
        <v>1205</v>
      </c>
      <c r="AQ339" t="s">
        <v>66</v>
      </c>
      <c r="AR339">
        <v>208958</v>
      </c>
      <c r="AU339" t="s">
        <v>57</v>
      </c>
      <c r="AV339" t="s">
        <v>68</v>
      </c>
      <c r="AX339" t="s">
        <v>57</v>
      </c>
      <c r="AY339">
        <v>631110</v>
      </c>
      <c r="AZ339">
        <v>1205.63111</v>
      </c>
      <c r="BA339" s="23" t="s">
        <v>13</v>
      </c>
    </row>
    <row r="340" spans="1:53" x14ac:dyDescent="0.25">
      <c r="A340" t="s">
        <v>134</v>
      </c>
      <c r="B340" t="s">
        <v>135</v>
      </c>
      <c r="C340">
        <v>22002287</v>
      </c>
      <c r="D340">
        <v>1205</v>
      </c>
      <c r="E340" s="11">
        <v>44777</v>
      </c>
      <c r="F340" t="s">
        <v>174</v>
      </c>
      <c r="G340" s="25">
        <v>9.11</v>
      </c>
      <c r="H340">
        <v>9.11</v>
      </c>
      <c r="I340" t="s">
        <v>56</v>
      </c>
      <c r="O340" t="s">
        <v>57</v>
      </c>
      <c r="Q340" t="s">
        <v>57</v>
      </c>
      <c r="R340" t="s">
        <v>137</v>
      </c>
      <c r="T340" t="s">
        <v>59</v>
      </c>
      <c r="U340" t="s">
        <v>60</v>
      </c>
      <c r="V340" t="s">
        <v>138</v>
      </c>
      <c r="W340" t="s">
        <v>139</v>
      </c>
      <c r="X340">
        <v>1927360</v>
      </c>
      <c r="Y340" s="11">
        <v>44777</v>
      </c>
      <c r="Z340" t="s">
        <v>57</v>
      </c>
      <c r="AA340">
        <v>2</v>
      </c>
      <c r="AB340" t="s">
        <v>57</v>
      </c>
      <c r="AD340" t="s">
        <v>57</v>
      </c>
      <c r="AE340" t="s">
        <v>57</v>
      </c>
      <c r="AF340" t="s">
        <v>57</v>
      </c>
      <c r="AG340">
        <v>3</v>
      </c>
      <c r="AH340" t="s">
        <v>57</v>
      </c>
      <c r="AL340" t="s">
        <v>57</v>
      </c>
      <c r="AM340" s="11">
        <v>44777</v>
      </c>
      <c r="AN340" t="s">
        <v>178</v>
      </c>
      <c r="AO340" t="s">
        <v>65</v>
      </c>
      <c r="AP340">
        <v>1205</v>
      </c>
      <c r="AQ340" t="s">
        <v>66</v>
      </c>
      <c r="AR340">
        <v>90264</v>
      </c>
      <c r="AU340" t="s">
        <v>57</v>
      </c>
      <c r="AV340" t="s">
        <v>68</v>
      </c>
      <c r="AX340" t="s">
        <v>57</v>
      </c>
      <c r="AY340">
        <v>631110</v>
      </c>
      <c r="AZ340">
        <v>1205.63111</v>
      </c>
      <c r="BA340" s="23" t="s">
        <v>13</v>
      </c>
    </row>
    <row r="341" spans="1:53" x14ac:dyDescent="0.25">
      <c r="A341" t="s">
        <v>134</v>
      </c>
      <c r="B341" t="s">
        <v>135</v>
      </c>
      <c r="C341">
        <v>22002316</v>
      </c>
      <c r="D341">
        <v>1205</v>
      </c>
      <c r="E341" s="11">
        <v>44782</v>
      </c>
      <c r="F341" t="s">
        <v>174</v>
      </c>
      <c r="G341" s="25">
        <v>9.68</v>
      </c>
      <c r="H341">
        <v>9.68</v>
      </c>
      <c r="I341" t="s">
        <v>56</v>
      </c>
      <c r="O341" t="s">
        <v>57</v>
      </c>
      <c r="Q341" t="s">
        <v>57</v>
      </c>
      <c r="R341" t="s">
        <v>137</v>
      </c>
      <c r="T341" t="s">
        <v>59</v>
      </c>
      <c r="U341" t="s">
        <v>60</v>
      </c>
      <c r="V341" t="s">
        <v>138</v>
      </c>
      <c r="W341" t="s">
        <v>139</v>
      </c>
      <c r="X341">
        <v>1929847</v>
      </c>
      <c r="Y341" s="11">
        <v>44782</v>
      </c>
      <c r="Z341" t="s">
        <v>57</v>
      </c>
      <c r="AA341">
        <v>44</v>
      </c>
      <c r="AB341" t="s">
        <v>57</v>
      </c>
      <c r="AD341" t="s">
        <v>57</v>
      </c>
      <c r="AE341" t="s">
        <v>57</v>
      </c>
      <c r="AF341" t="s">
        <v>57</v>
      </c>
      <c r="AG341">
        <v>4</v>
      </c>
      <c r="AH341" t="s">
        <v>57</v>
      </c>
      <c r="AL341" t="s">
        <v>57</v>
      </c>
      <c r="AM341" s="11">
        <v>44782</v>
      </c>
      <c r="AN341" t="s">
        <v>178</v>
      </c>
      <c r="AO341" t="s">
        <v>65</v>
      </c>
      <c r="AP341">
        <v>1205</v>
      </c>
      <c r="AQ341" t="s">
        <v>66</v>
      </c>
      <c r="AR341">
        <v>88723</v>
      </c>
      <c r="AU341" t="s">
        <v>57</v>
      </c>
      <c r="AV341" t="s">
        <v>68</v>
      </c>
      <c r="AX341" t="s">
        <v>57</v>
      </c>
      <c r="AY341">
        <v>631110</v>
      </c>
      <c r="AZ341">
        <v>1205.63111</v>
      </c>
      <c r="BA341" s="23" t="s">
        <v>13</v>
      </c>
    </row>
    <row r="342" spans="1:53" x14ac:dyDescent="0.25">
      <c r="A342" t="s">
        <v>134</v>
      </c>
      <c r="B342" t="s">
        <v>135</v>
      </c>
      <c r="C342">
        <v>22002323</v>
      </c>
      <c r="D342">
        <v>1205</v>
      </c>
      <c r="E342" s="11">
        <v>44783</v>
      </c>
      <c r="F342" t="s">
        <v>174</v>
      </c>
      <c r="G342" s="25">
        <v>10.47</v>
      </c>
      <c r="H342">
        <v>10.47</v>
      </c>
      <c r="I342" t="s">
        <v>56</v>
      </c>
      <c r="O342" t="s">
        <v>57</v>
      </c>
      <c r="Q342" t="s">
        <v>57</v>
      </c>
      <c r="R342" t="s">
        <v>137</v>
      </c>
      <c r="T342" t="s">
        <v>59</v>
      </c>
      <c r="U342" t="s">
        <v>60</v>
      </c>
      <c r="V342" t="s">
        <v>138</v>
      </c>
      <c r="W342" t="s">
        <v>139</v>
      </c>
      <c r="X342">
        <v>1930356</v>
      </c>
      <c r="Y342" s="11">
        <v>44783</v>
      </c>
      <c r="Z342" t="s">
        <v>57</v>
      </c>
      <c r="AA342">
        <v>2</v>
      </c>
      <c r="AB342" t="s">
        <v>57</v>
      </c>
      <c r="AD342" t="s">
        <v>57</v>
      </c>
      <c r="AE342" t="s">
        <v>57</v>
      </c>
      <c r="AF342" t="s">
        <v>57</v>
      </c>
      <c r="AG342">
        <v>1</v>
      </c>
      <c r="AH342" t="s">
        <v>57</v>
      </c>
      <c r="AL342" t="s">
        <v>57</v>
      </c>
      <c r="AM342" s="11">
        <v>44783</v>
      </c>
      <c r="AN342" t="s">
        <v>178</v>
      </c>
      <c r="AO342" t="s">
        <v>65</v>
      </c>
      <c r="AP342">
        <v>1205</v>
      </c>
      <c r="AQ342" t="s">
        <v>66</v>
      </c>
      <c r="AR342">
        <v>278540</v>
      </c>
      <c r="AU342" t="s">
        <v>57</v>
      </c>
      <c r="AV342" t="s">
        <v>68</v>
      </c>
      <c r="AX342" t="s">
        <v>57</v>
      </c>
      <c r="AY342">
        <v>631110</v>
      </c>
      <c r="AZ342">
        <v>1205.63111</v>
      </c>
      <c r="BA342" s="23" t="s">
        <v>13</v>
      </c>
    </row>
    <row r="343" spans="1:53" x14ac:dyDescent="0.25">
      <c r="A343" t="s">
        <v>134</v>
      </c>
      <c r="B343" t="s">
        <v>135</v>
      </c>
      <c r="C343">
        <v>22002311</v>
      </c>
      <c r="D343">
        <v>1205</v>
      </c>
      <c r="E343" s="11">
        <v>44781</v>
      </c>
      <c r="F343" t="s">
        <v>174</v>
      </c>
      <c r="G343" s="25">
        <v>10.86</v>
      </c>
      <c r="H343">
        <v>10.86</v>
      </c>
      <c r="I343" t="s">
        <v>56</v>
      </c>
      <c r="O343" t="s">
        <v>57</v>
      </c>
      <c r="Q343" t="s">
        <v>57</v>
      </c>
      <c r="R343" t="s">
        <v>137</v>
      </c>
      <c r="T343" t="s">
        <v>59</v>
      </c>
      <c r="U343" t="s">
        <v>60</v>
      </c>
      <c r="V343" t="s">
        <v>138</v>
      </c>
      <c r="W343" t="s">
        <v>139</v>
      </c>
      <c r="X343">
        <v>1928974</v>
      </c>
      <c r="Y343" s="11">
        <v>44781</v>
      </c>
      <c r="Z343" t="s">
        <v>57</v>
      </c>
      <c r="AA343">
        <v>28</v>
      </c>
      <c r="AB343" t="s">
        <v>57</v>
      </c>
      <c r="AD343" t="s">
        <v>57</v>
      </c>
      <c r="AE343" t="s">
        <v>57</v>
      </c>
      <c r="AF343" t="s">
        <v>57</v>
      </c>
      <c r="AG343">
        <v>3</v>
      </c>
      <c r="AH343" t="s">
        <v>57</v>
      </c>
      <c r="AL343" t="s">
        <v>57</v>
      </c>
      <c r="AM343" s="11">
        <v>44781</v>
      </c>
      <c r="AN343" t="s">
        <v>178</v>
      </c>
      <c r="AO343" t="s">
        <v>65</v>
      </c>
      <c r="AP343">
        <v>1205</v>
      </c>
      <c r="AQ343" t="s">
        <v>66</v>
      </c>
      <c r="AR343">
        <v>230640</v>
      </c>
      <c r="AU343" t="s">
        <v>57</v>
      </c>
      <c r="AV343" t="s">
        <v>68</v>
      </c>
      <c r="AX343" t="s">
        <v>57</v>
      </c>
      <c r="AY343">
        <v>631110</v>
      </c>
      <c r="AZ343">
        <v>1205.63111</v>
      </c>
      <c r="BA343" s="23" t="s">
        <v>13</v>
      </c>
    </row>
    <row r="344" spans="1:53" x14ac:dyDescent="0.25">
      <c r="A344" t="s">
        <v>134</v>
      </c>
      <c r="B344" t="s">
        <v>135</v>
      </c>
      <c r="C344">
        <v>22002317</v>
      </c>
      <c r="D344">
        <v>1205</v>
      </c>
      <c r="E344" s="11">
        <v>44782</v>
      </c>
      <c r="F344" t="s">
        <v>172</v>
      </c>
      <c r="G344" s="25">
        <v>11.21</v>
      </c>
      <c r="H344">
        <v>11.21</v>
      </c>
      <c r="I344" t="s">
        <v>56</v>
      </c>
      <c r="O344" t="s">
        <v>57</v>
      </c>
      <c r="Q344" t="s">
        <v>57</v>
      </c>
      <c r="R344" t="s">
        <v>137</v>
      </c>
      <c r="T344" t="s">
        <v>59</v>
      </c>
      <c r="U344" t="s">
        <v>60</v>
      </c>
      <c r="V344" t="s">
        <v>138</v>
      </c>
      <c r="W344" t="s">
        <v>139</v>
      </c>
      <c r="X344">
        <v>1929847</v>
      </c>
      <c r="Y344" s="11">
        <v>44782</v>
      </c>
      <c r="Z344" t="s">
        <v>57</v>
      </c>
      <c r="AA344">
        <v>2</v>
      </c>
      <c r="AB344" t="s">
        <v>57</v>
      </c>
      <c r="AD344" t="s">
        <v>57</v>
      </c>
      <c r="AE344" t="s">
        <v>57</v>
      </c>
      <c r="AF344" t="s">
        <v>57</v>
      </c>
      <c r="AG344">
        <v>1</v>
      </c>
      <c r="AH344" t="s">
        <v>57</v>
      </c>
      <c r="AL344" t="s">
        <v>57</v>
      </c>
      <c r="AM344" s="11">
        <v>44782</v>
      </c>
      <c r="AN344" t="s">
        <v>178</v>
      </c>
      <c r="AO344" t="s">
        <v>65</v>
      </c>
      <c r="AP344">
        <v>1205</v>
      </c>
      <c r="AQ344" t="s">
        <v>66</v>
      </c>
      <c r="AR344">
        <v>90109</v>
      </c>
      <c r="AU344" t="s">
        <v>57</v>
      </c>
      <c r="AV344" t="s">
        <v>68</v>
      </c>
      <c r="AX344" t="s">
        <v>57</v>
      </c>
      <c r="AY344">
        <v>631110</v>
      </c>
      <c r="AZ344">
        <v>1205.63111</v>
      </c>
      <c r="BA344" s="23" t="s">
        <v>13</v>
      </c>
    </row>
    <row r="345" spans="1:53" x14ac:dyDescent="0.25">
      <c r="A345" t="s">
        <v>134</v>
      </c>
      <c r="B345" t="s">
        <v>135</v>
      </c>
      <c r="C345">
        <v>22002311</v>
      </c>
      <c r="D345">
        <v>1205</v>
      </c>
      <c r="E345" s="11">
        <v>44781</v>
      </c>
      <c r="F345" t="s">
        <v>174</v>
      </c>
      <c r="G345" s="25">
        <v>11.36</v>
      </c>
      <c r="H345">
        <v>11.36</v>
      </c>
      <c r="I345" t="s">
        <v>56</v>
      </c>
      <c r="O345" t="s">
        <v>57</v>
      </c>
      <c r="Q345" t="s">
        <v>57</v>
      </c>
      <c r="R345" t="s">
        <v>137</v>
      </c>
      <c r="T345" t="s">
        <v>59</v>
      </c>
      <c r="U345" t="s">
        <v>60</v>
      </c>
      <c r="V345" t="s">
        <v>138</v>
      </c>
      <c r="W345" t="s">
        <v>139</v>
      </c>
      <c r="X345">
        <v>1928974</v>
      </c>
      <c r="Y345" s="11">
        <v>44781</v>
      </c>
      <c r="Z345" t="s">
        <v>57</v>
      </c>
      <c r="AA345">
        <v>24</v>
      </c>
      <c r="AB345" t="s">
        <v>57</v>
      </c>
      <c r="AD345" t="s">
        <v>57</v>
      </c>
      <c r="AE345" t="s">
        <v>57</v>
      </c>
      <c r="AF345" t="s">
        <v>57</v>
      </c>
      <c r="AG345">
        <v>8</v>
      </c>
      <c r="AH345" t="s">
        <v>57</v>
      </c>
      <c r="AL345" t="s">
        <v>57</v>
      </c>
      <c r="AM345" s="11">
        <v>44781</v>
      </c>
      <c r="AN345" t="s">
        <v>178</v>
      </c>
      <c r="AO345" t="s">
        <v>65</v>
      </c>
      <c r="AP345">
        <v>1205</v>
      </c>
      <c r="AQ345" t="s">
        <v>66</v>
      </c>
      <c r="AR345">
        <v>88624</v>
      </c>
      <c r="AU345" t="s">
        <v>57</v>
      </c>
      <c r="AV345" t="s">
        <v>68</v>
      </c>
      <c r="AX345" t="s">
        <v>57</v>
      </c>
      <c r="AY345">
        <v>631110</v>
      </c>
      <c r="AZ345">
        <v>1205.63111</v>
      </c>
      <c r="BA345" s="23" t="s">
        <v>13</v>
      </c>
    </row>
    <row r="346" spans="1:53" x14ac:dyDescent="0.25">
      <c r="A346" t="s">
        <v>134</v>
      </c>
      <c r="B346" t="s">
        <v>135</v>
      </c>
      <c r="C346">
        <v>22002345</v>
      </c>
      <c r="D346">
        <v>1205</v>
      </c>
      <c r="E346" s="11">
        <v>44788</v>
      </c>
      <c r="F346" t="s">
        <v>174</v>
      </c>
      <c r="G346" s="25">
        <v>12.65</v>
      </c>
      <c r="H346">
        <v>12.65</v>
      </c>
      <c r="I346" t="s">
        <v>56</v>
      </c>
      <c r="O346" t="s">
        <v>57</v>
      </c>
      <c r="Q346" t="s">
        <v>57</v>
      </c>
      <c r="R346" t="s">
        <v>137</v>
      </c>
      <c r="T346" t="s">
        <v>59</v>
      </c>
      <c r="U346" t="s">
        <v>60</v>
      </c>
      <c r="V346" t="s">
        <v>138</v>
      </c>
      <c r="W346" t="s">
        <v>139</v>
      </c>
      <c r="X346">
        <v>1931709</v>
      </c>
      <c r="Y346" s="11">
        <v>44788</v>
      </c>
      <c r="Z346" t="s">
        <v>57</v>
      </c>
      <c r="AA346">
        <v>8</v>
      </c>
      <c r="AB346" t="s">
        <v>57</v>
      </c>
      <c r="AD346" t="s">
        <v>57</v>
      </c>
      <c r="AE346" t="s">
        <v>57</v>
      </c>
      <c r="AF346" t="s">
        <v>57</v>
      </c>
      <c r="AG346">
        <v>3</v>
      </c>
      <c r="AH346" t="s">
        <v>57</v>
      </c>
      <c r="AL346" t="s">
        <v>57</v>
      </c>
      <c r="AM346" s="11">
        <v>44788</v>
      </c>
      <c r="AN346" t="s">
        <v>178</v>
      </c>
      <c r="AO346" t="s">
        <v>65</v>
      </c>
      <c r="AP346">
        <v>1205</v>
      </c>
      <c r="AQ346" t="s">
        <v>66</v>
      </c>
      <c r="AR346">
        <v>227905</v>
      </c>
      <c r="AU346" t="s">
        <v>57</v>
      </c>
      <c r="AV346" t="s">
        <v>68</v>
      </c>
      <c r="AX346" t="s">
        <v>57</v>
      </c>
      <c r="AY346">
        <v>631110</v>
      </c>
      <c r="AZ346">
        <v>1205.63111</v>
      </c>
      <c r="BA346" s="23" t="s">
        <v>13</v>
      </c>
    </row>
    <row r="347" spans="1:53" x14ac:dyDescent="0.25">
      <c r="A347" t="s">
        <v>134</v>
      </c>
      <c r="B347" t="s">
        <v>135</v>
      </c>
      <c r="C347">
        <v>22002341</v>
      </c>
      <c r="D347">
        <v>1205</v>
      </c>
      <c r="E347" s="11">
        <v>44785</v>
      </c>
      <c r="F347" t="s">
        <v>174</v>
      </c>
      <c r="G347" s="25">
        <v>13.05</v>
      </c>
      <c r="H347">
        <v>13.05</v>
      </c>
      <c r="I347" t="s">
        <v>56</v>
      </c>
      <c r="O347" t="s">
        <v>57</v>
      </c>
      <c r="Q347" t="s">
        <v>57</v>
      </c>
      <c r="R347" t="s">
        <v>137</v>
      </c>
      <c r="T347" t="s">
        <v>59</v>
      </c>
      <c r="U347" t="s">
        <v>60</v>
      </c>
      <c r="V347" t="s">
        <v>138</v>
      </c>
      <c r="W347" t="s">
        <v>139</v>
      </c>
      <c r="X347">
        <v>1930742</v>
      </c>
      <c r="Y347" s="11">
        <v>44785</v>
      </c>
      <c r="Z347" t="s">
        <v>57</v>
      </c>
      <c r="AA347">
        <v>16</v>
      </c>
      <c r="AB347" t="s">
        <v>57</v>
      </c>
      <c r="AD347" t="s">
        <v>57</v>
      </c>
      <c r="AE347" t="s">
        <v>57</v>
      </c>
      <c r="AF347" t="s">
        <v>57</v>
      </c>
      <c r="AG347">
        <v>1</v>
      </c>
      <c r="AH347" t="s">
        <v>57</v>
      </c>
      <c r="AL347" t="s">
        <v>57</v>
      </c>
      <c r="AM347" s="11">
        <v>44785</v>
      </c>
      <c r="AN347" t="s">
        <v>178</v>
      </c>
      <c r="AO347" t="s">
        <v>65</v>
      </c>
      <c r="AP347">
        <v>1205</v>
      </c>
      <c r="AQ347" t="s">
        <v>66</v>
      </c>
      <c r="AR347">
        <v>125611</v>
      </c>
      <c r="AU347" t="s">
        <v>57</v>
      </c>
      <c r="AV347" t="s">
        <v>68</v>
      </c>
      <c r="AX347" t="s">
        <v>57</v>
      </c>
      <c r="AY347">
        <v>631110</v>
      </c>
      <c r="AZ347">
        <v>1205.63111</v>
      </c>
      <c r="BA347" s="23" t="s">
        <v>13</v>
      </c>
    </row>
    <row r="348" spans="1:53" x14ac:dyDescent="0.25">
      <c r="A348" t="s">
        <v>134</v>
      </c>
      <c r="B348" t="s">
        <v>135</v>
      </c>
      <c r="C348">
        <v>22002345</v>
      </c>
      <c r="D348">
        <v>1205</v>
      </c>
      <c r="E348" s="11">
        <v>44788</v>
      </c>
      <c r="F348" t="s">
        <v>174</v>
      </c>
      <c r="G348" s="25">
        <v>13.32</v>
      </c>
      <c r="H348">
        <v>13.32</v>
      </c>
      <c r="I348" t="s">
        <v>56</v>
      </c>
      <c r="O348" t="s">
        <v>57</v>
      </c>
      <c r="Q348" t="s">
        <v>57</v>
      </c>
      <c r="R348" t="s">
        <v>137</v>
      </c>
      <c r="T348" t="s">
        <v>59</v>
      </c>
      <c r="U348" t="s">
        <v>60</v>
      </c>
      <c r="V348" t="s">
        <v>138</v>
      </c>
      <c r="W348" t="s">
        <v>139</v>
      </c>
      <c r="X348">
        <v>1931709</v>
      </c>
      <c r="Y348" s="11">
        <v>44788</v>
      </c>
      <c r="Z348" t="s">
        <v>57</v>
      </c>
      <c r="AA348">
        <v>2</v>
      </c>
      <c r="AB348" t="s">
        <v>57</v>
      </c>
      <c r="AD348" t="s">
        <v>57</v>
      </c>
      <c r="AE348" t="s">
        <v>57</v>
      </c>
      <c r="AF348" t="s">
        <v>57</v>
      </c>
      <c r="AG348">
        <v>6</v>
      </c>
      <c r="AH348" t="s">
        <v>57</v>
      </c>
      <c r="AL348" t="s">
        <v>57</v>
      </c>
      <c r="AM348" s="11">
        <v>44788</v>
      </c>
      <c r="AN348" t="s">
        <v>178</v>
      </c>
      <c r="AO348" t="s">
        <v>65</v>
      </c>
      <c r="AP348">
        <v>1205</v>
      </c>
      <c r="AQ348" t="s">
        <v>66</v>
      </c>
      <c r="AR348">
        <v>227904</v>
      </c>
      <c r="AU348" t="s">
        <v>57</v>
      </c>
      <c r="AV348" t="s">
        <v>68</v>
      </c>
      <c r="AX348" t="s">
        <v>57</v>
      </c>
      <c r="AY348">
        <v>631110</v>
      </c>
      <c r="AZ348">
        <v>1205.63111</v>
      </c>
      <c r="BA348" s="23" t="s">
        <v>13</v>
      </c>
    </row>
    <row r="349" spans="1:53" x14ac:dyDescent="0.25">
      <c r="A349" t="s">
        <v>134</v>
      </c>
      <c r="B349" t="s">
        <v>135</v>
      </c>
      <c r="C349">
        <v>22002349</v>
      </c>
      <c r="D349">
        <v>1205</v>
      </c>
      <c r="E349" s="11">
        <v>44788</v>
      </c>
      <c r="F349" t="s">
        <v>174</v>
      </c>
      <c r="G349" s="25">
        <v>15.31</v>
      </c>
      <c r="H349">
        <v>15.31</v>
      </c>
      <c r="I349" t="s">
        <v>56</v>
      </c>
      <c r="O349" t="s">
        <v>57</v>
      </c>
      <c r="Q349" t="s">
        <v>57</v>
      </c>
      <c r="R349" t="s">
        <v>137</v>
      </c>
      <c r="T349" t="s">
        <v>59</v>
      </c>
      <c r="U349" t="s">
        <v>60</v>
      </c>
      <c r="V349" t="s">
        <v>138</v>
      </c>
      <c r="W349" t="s">
        <v>139</v>
      </c>
      <c r="X349">
        <v>1931719</v>
      </c>
      <c r="Y349" s="11">
        <v>44788</v>
      </c>
      <c r="Z349" t="s">
        <v>57</v>
      </c>
      <c r="AA349">
        <v>2</v>
      </c>
      <c r="AB349" t="s">
        <v>57</v>
      </c>
      <c r="AD349" t="s">
        <v>57</v>
      </c>
      <c r="AE349" t="s">
        <v>57</v>
      </c>
      <c r="AF349" t="s">
        <v>57</v>
      </c>
      <c r="AG349">
        <v>5</v>
      </c>
      <c r="AH349" t="s">
        <v>57</v>
      </c>
      <c r="AL349" t="s">
        <v>57</v>
      </c>
      <c r="AM349" s="11">
        <v>44788</v>
      </c>
      <c r="AN349" t="s">
        <v>178</v>
      </c>
      <c r="AO349" t="s">
        <v>65</v>
      </c>
      <c r="AP349">
        <v>1205</v>
      </c>
      <c r="AQ349" t="s">
        <v>66</v>
      </c>
      <c r="AR349">
        <v>90503</v>
      </c>
      <c r="AU349" t="s">
        <v>57</v>
      </c>
      <c r="AV349" t="s">
        <v>68</v>
      </c>
      <c r="AX349" t="s">
        <v>57</v>
      </c>
      <c r="AY349">
        <v>631110</v>
      </c>
      <c r="AZ349">
        <v>1205.63111</v>
      </c>
      <c r="BA349" s="23" t="s">
        <v>13</v>
      </c>
    </row>
    <row r="350" spans="1:53" x14ac:dyDescent="0.25">
      <c r="A350" t="s">
        <v>134</v>
      </c>
      <c r="B350" t="s">
        <v>135</v>
      </c>
      <c r="C350">
        <v>22002366</v>
      </c>
      <c r="D350">
        <v>1205</v>
      </c>
      <c r="E350" s="11">
        <v>44791</v>
      </c>
      <c r="F350" t="s">
        <v>174</v>
      </c>
      <c r="G350" s="25">
        <v>15.31</v>
      </c>
      <c r="H350">
        <v>15.31</v>
      </c>
      <c r="I350" t="s">
        <v>56</v>
      </c>
      <c r="O350" t="s">
        <v>57</v>
      </c>
      <c r="Q350" t="s">
        <v>57</v>
      </c>
      <c r="R350" t="s">
        <v>137</v>
      </c>
      <c r="T350" t="s">
        <v>59</v>
      </c>
      <c r="U350" t="s">
        <v>60</v>
      </c>
      <c r="V350" t="s">
        <v>138</v>
      </c>
      <c r="W350" t="s">
        <v>139</v>
      </c>
      <c r="X350">
        <v>1933538</v>
      </c>
      <c r="Y350" s="11">
        <v>44791</v>
      </c>
      <c r="Z350" t="s">
        <v>57</v>
      </c>
      <c r="AA350">
        <v>6</v>
      </c>
      <c r="AB350" t="s">
        <v>57</v>
      </c>
      <c r="AD350" t="s">
        <v>57</v>
      </c>
      <c r="AE350" t="s">
        <v>57</v>
      </c>
      <c r="AF350" t="s">
        <v>57</v>
      </c>
      <c r="AG350">
        <v>5</v>
      </c>
      <c r="AH350" t="s">
        <v>57</v>
      </c>
      <c r="AL350" t="s">
        <v>57</v>
      </c>
      <c r="AM350" s="11">
        <v>44791</v>
      </c>
      <c r="AN350" t="s">
        <v>178</v>
      </c>
      <c r="AO350" t="s">
        <v>65</v>
      </c>
      <c r="AP350">
        <v>1205</v>
      </c>
      <c r="AQ350" t="s">
        <v>66</v>
      </c>
      <c r="AR350">
        <v>90503</v>
      </c>
      <c r="AU350" t="s">
        <v>57</v>
      </c>
      <c r="AV350" t="s">
        <v>68</v>
      </c>
      <c r="AX350" t="s">
        <v>57</v>
      </c>
      <c r="AY350">
        <v>631110</v>
      </c>
      <c r="AZ350">
        <v>1205.63111</v>
      </c>
      <c r="BA350" s="23" t="s">
        <v>13</v>
      </c>
    </row>
    <row r="351" spans="1:53" x14ac:dyDescent="0.25">
      <c r="A351" t="s">
        <v>134</v>
      </c>
      <c r="B351" t="s">
        <v>135</v>
      </c>
      <c r="C351">
        <v>22002375</v>
      </c>
      <c r="D351">
        <v>1205</v>
      </c>
      <c r="E351" s="11">
        <v>44792</v>
      </c>
      <c r="F351" t="s">
        <v>172</v>
      </c>
      <c r="G351" s="25">
        <v>15.88</v>
      </c>
      <c r="H351">
        <v>15.88</v>
      </c>
      <c r="I351" t="s">
        <v>56</v>
      </c>
      <c r="O351" t="s">
        <v>57</v>
      </c>
      <c r="Q351" t="s">
        <v>57</v>
      </c>
      <c r="R351" t="s">
        <v>137</v>
      </c>
      <c r="T351" t="s">
        <v>59</v>
      </c>
      <c r="U351" t="s">
        <v>60</v>
      </c>
      <c r="V351" t="s">
        <v>138</v>
      </c>
      <c r="W351" t="s">
        <v>139</v>
      </c>
      <c r="X351">
        <v>1934079</v>
      </c>
      <c r="Y351" s="11">
        <v>44792</v>
      </c>
      <c r="Z351" t="s">
        <v>57</v>
      </c>
      <c r="AA351">
        <v>2</v>
      </c>
      <c r="AB351" t="s">
        <v>57</v>
      </c>
      <c r="AD351" t="s">
        <v>57</v>
      </c>
      <c r="AE351" t="s">
        <v>57</v>
      </c>
      <c r="AF351" t="s">
        <v>57</v>
      </c>
      <c r="AG351">
        <v>2</v>
      </c>
      <c r="AH351" t="s">
        <v>57</v>
      </c>
      <c r="AL351" t="s">
        <v>57</v>
      </c>
      <c r="AM351" s="11">
        <v>44792</v>
      </c>
      <c r="AN351" t="s">
        <v>178</v>
      </c>
      <c r="AO351" t="s">
        <v>65</v>
      </c>
      <c r="AP351">
        <v>1205</v>
      </c>
      <c r="AQ351" t="s">
        <v>66</v>
      </c>
      <c r="AR351">
        <v>227112</v>
      </c>
      <c r="AU351" t="s">
        <v>57</v>
      </c>
      <c r="AV351" t="s">
        <v>68</v>
      </c>
      <c r="AX351" t="s">
        <v>57</v>
      </c>
      <c r="AY351">
        <v>631110</v>
      </c>
      <c r="AZ351">
        <v>1205.63111</v>
      </c>
      <c r="BA351" s="23" t="s">
        <v>13</v>
      </c>
    </row>
    <row r="352" spans="1:53" x14ac:dyDescent="0.25">
      <c r="A352" t="s">
        <v>134</v>
      </c>
      <c r="B352" t="s">
        <v>135</v>
      </c>
      <c r="C352">
        <v>22002347</v>
      </c>
      <c r="D352">
        <v>1205</v>
      </c>
      <c r="E352" s="11">
        <v>44788</v>
      </c>
      <c r="F352" t="s">
        <v>174</v>
      </c>
      <c r="G352" s="25">
        <v>16.010000000000002</v>
      </c>
      <c r="H352">
        <v>16.010000000000002</v>
      </c>
      <c r="I352" t="s">
        <v>56</v>
      </c>
      <c r="O352" t="s">
        <v>57</v>
      </c>
      <c r="Q352" t="s">
        <v>57</v>
      </c>
      <c r="R352" t="s">
        <v>137</v>
      </c>
      <c r="T352" t="s">
        <v>59</v>
      </c>
      <c r="U352" t="s">
        <v>60</v>
      </c>
      <c r="V352" t="s">
        <v>138</v>
      </c>
      <c r="W352" t="s">
        <v>139</v>
      </c>
      <c r="X352">
        <v>1931711</v>
      </c>
      <c r="Y352" s="11">
        <v>44788</v>
      </c>
      <c r="Z352" t="s">
        <v>57</v>
      </c>
      <c r="AA352">
        <v>2</v>
      </c>
      <c r="AB352" t="s">
        <v>57</v>
      </c>
      <c r="AD352" t="s">
        <v>57</v>
      </c>
      <c r="AE352" t="s">
        <v>57</v>
      </c>
      <c r="AF352" t="s">
        <v>57</v>
      </c>
      <c r="AG352">
        <v>2</v>
      </c>
      <c r="AH352" t="s">
        <v>57</v>
      </c>
      <c r="AL352" t="s">
        <v>57</v>
      </c>
      <c r="AM352" s="11">
        <v>44788</v>
      </c>
      <c r="AN352" t="s">
        <v>178</v>
      </c>
      <c r="AO352" t="s">
        <v>65</v>
      </c>
      <c r="AP352">
        <v>1205</v>
      </c>
      <c r="AQ352" t="s">
        <v>66</v>
      </c>
      <c r="AR352">
        <v>281047</v>
      </c>
      <c r="AU352" t="s">
        <v>57</v>
      </c>
      <c r="AV352" t="s">
        <v>68</v>
      </c>
      <c r="AX352" t="s">
        <v>57</v>
      </c>
      <c r="AY352">
        <v>631110</v>
      </c>
      <c r="AZ352">
        <v>1205.63111</v>
      </c>
      <c r="BA352" s="23" t="s">
        <v>13</v>
      </c>
    </row>
    <row r="353" spans="1:53" x14ac:dyDescent="0.25">
      <c r="A353" t="s">
        <v>134</v>
      </c>
      <c r="B353" t="s">
        <v>135</v>
      </c>
      <c r="C353">
        <v>22002316</v>
      </c>
      <c r="D353">
        <v>1205</v>
      </c>
      <c r="E353" s="11">
        <v>44782</v>
      </c>
      <c r="F353" t="s">
        <v>174</v>
      </c>
      <c r="G353" s="25">
        <v>16.690000000000001</v>
      </c>
      <c r="H353">
        <v>16.690000000000001</v>
      </c>
      <c r="I353" t="s">
        <v>56</v>
      </c>
      <c r="O353" t="s">
        <v>57</v>
      </c>
      <c r="Q353" t="s">
        <v>57</v>
      </c>
      <c r="R353" t="s">
        <v>137</v>
      </c>
      <c r="T353" t="s">
        <v>59</v>
      </c>
      <c r="U353" t="s">
        <v>60</v>
      </c>
      <c r="V353" t="s">
        <v>138</v>
      </c>
      <c r="W353" t="s">
        <v>139</v>
      </c>
      <c r="X353">
        <v>1929847</v>
      </c>
      <c r="Y353" s="11">
        <v>44782</v>
      </c>
      <c r="Z353" t="s">
        <v>57</v>
      </c>
      <c r="AA353">
        <v>26</v>
      </c>
      <c r="AB353" t="s">
        <v>57</v>
      </c>
      <c r="AD353" t="s">
        <v>57</v>
      </c>
      <c r="AE353" t="s">
        <v>57</v>
      </c>
      <c r="AF353" t="s">
        <v>57</v>
      </c>
      <c r="AG353">
        <v>1</v>
      </c>
      <c r="AH353" t="s">
        <v>57</v>
      </c>
      <c r="AL353" t="s">
        <v>57</v>
      </c>
      <c r="AM353" s="11">
        <v>44782</v>
      </c>
      <c r="AN353" t="s">
        <v>178</v>
      </c>
      <c r="AO353" t="s">
        <v>65</v>
      </c>
      <c r="AP353">
        <v>1205</v>
      </c>
      <c r="AQ353" t="s">
        <v>66</v>
      </c>
      <c r="AR353">
        <v>248680</v>
      </c>
      <c r="AU353" t="s">
        <v>57</v>
      </c>
      <c r="AV353" t="s">
        <v>68</v>
      </c>
      <c r="AX353" t="s">
        <v>57</v>
      </c>
      <c r="AY353">
        <v>631110</v>
      </c>
      <c r="AZ353">
        <v>1205.63111</v>
      </c>
      <c r="BA353" s="23" t="s">
        <v>13</v>
      </c>
    </row>
    <row r="354" spans="1:53" x14ac:dyDescent="0.25">
      <c r="A354" t="s">
        <v>134</v>
      </c>
      <c r="B354" t="s">
        <v>135</v>
      </c>
      <c r="C354">
        <v>22002265</v>
      </c>
      <c r="D354">
        <v>1205</v>
      </c>
      <c r="E354" s="11">
        <v>44775</v>
      </c>
      <c r="F354" t="s">
        <v>174</v>
      </c>
      <c r="G354" s="25">
        <v>21.17</v>
      </c>
      <c r="H354">
        <v>21.17</v>
      </c>
      <c r="I354" t="s">
        <v>56</v>
      </c>
      <c r="O354" t="s">
        <v>57</v>
      </c>
      <c r="Q354" t="s">
        <v>57</v>
      </c>
      <c r="R354" t="s">
        <v>137</v>
      </c>
      <c r="T354" t="s">
        <v>59</v>
      </c>
      <c r="U354" t="s">
        <v>60</v>
      </c>
      <c r="V354" t="s">
        <v>138</v>
      </c>
      <c r="W354" t="s">
        <v>139</v>
      </c>
      <c r="X354">
        <v>1926568</v>
      </c>
      <c r="Y354" s="11">
        <v>44775</v>
      </c>
      <c r="Z354" t="s">
        <v>57</v>
      </c>
      <c r="AA354">
        <v>18</v>
      </c>
      <c r="AB354" t="s">
        <v>57</v>
      </c>
      <c r="AD354" t="s">
        <v>57</v>
      </c>
      <c r="AE354" t="s">
        <v>57</v>
      </c>
      <c r="AF354" t="s">
        <v>57</v>
      </c>
      <c r="AG354">
        <v>1</v>
      </c>
      <c r="AH354" t="s">
        <v>57</v>
      </c>
      <c r="AL354" t="s">
        <v>57</v>
      </c>
      <c r="AM354" s="11">
        <v>44775</v>
      </c>
      <c r="AN354" t="s">
        <v>178</v>
      </c>
      <c r="AO354" t="s">
        <v>65</v>
      </c>
      <c r="AP354">
        <v>1205</v>
      </c>
      <c r="AQ354" t="s">
        <v>66</v>
      </c>
      <c r="AR354">
        <v>208951</v>
      </c>
      <c r="AU354" t="s">
        <v>57</v>
      </c>
      <c r="AV354" t="s">
        <v>68</v>
      </c>
      <c r="AX354" t="s">
        <v>57</v>
      </c>
      <c r="AY354">
        <v>631110</v>
      </c>
      <c r="AZ354">
        <v>1205.63111</v>
      </c>
      <c r="BA354" s="23" t="s">
        <v>13</v>
      </c>
    </row>
    <row r="355" spans="1:53" x14ac:dyDescent="0.25">
      <c r="A355" t="s">
        <v>134</v>
      </c>
      <c r="B355" t="s">
        <v>135</v>
      </c>
      <c r="C355">
        <v>22002262</v>
      </c>
      <c r="D355">
        <v>1205</v>
      </c>
      <c r="E355" s="11">
        <v>44774</v>
      </c>
      <c r="F355" t="s">
        <v>174</v>
      </c>
      <c r="G355" s="25">
        <v>21.24</v>
      </c>
      <c r="H355">
        <v>21.24</v>
      </c>
      <c r="I355" t="s">
        <v>56</v>
      </c>
      <c r="O355" t="s">
        <v>57</v>
      </c>
      <c r="Q355" t="s">
        <v>57</v>
      </c>
      <c r="R355" t="s">
        <v>137</v>
      </c>
      <c r="T355" t="s">
        <v>59</v>
      </c>
      <c r="U355" t="s">
        <v>60</v>
      </c>
      <c r="V355" t="s">
        <v>138</v>
      </c>
      <c r="W355" t="s">
        <v>139</v>
      </c>
      <c r="X355">
        <v>1925596</v>
      </c>
      <c r="Y355" s="11">
        <v>44774</v>
      </c>
      <c r="Z355" t="s">
        <v>57</v>
      </c>
      <c r="AA355">
        <v>20</v>
      </c>
      <c r="AB355" t="s">
        <v>57</v>
      </c>
      <c r="AD355" t="s">
        <v>57</v>
      </c>
      <c r="AE355" t="s">
        <v>57</v>
      </c>
      <c r="AF355" t="s">
        <v>57</v>
      </c>
      <c r="AG355">
        <v>1</v>
      </c>
      <c r="AH355" t="s">
        <v>57</v>
      </c>
      <c r="AL355" t="s">
        <v>57</v>
      </c>
      <c r="AM355" s="11">
        <v>44774</v>
      </c>
      <c r="AN355" t="s">
        <v>178</v>
      </c>
      <c r="AO355" t="s">
        <v>65</v>
      </c>
      <c r="AP355">
        <v>1205</v>
      </c>
      <c r="AQ355" t="s">
        <v>66</v>
      </c>
      <c r="AR355">
        <v>258398</v>
      </c>
      <c r="AU355" t="s">
        <v>57</v>
      </c>
      <c r="AV355" t="s">
        <v>68</v>
      </c>
      <c r="AX355" t="s">
        <v>57</v>
      </c>
      <c r="AY355">
        <v>631110</v>
      </c>
      <c r="AZ355">
        <v>1205.63111</v>
      </c>
      <c r="BA355" s="23" t="s">
        <v>13</v>
      </c>
    </row>
    <row r="356" spans="1:53" x14ac:dyDescent="0.25">
      <c r="A356" t="s">
        <v>134</v>
      </c>
      <c r="B356" t="s">
        <v>135</v>
      </c>
      <c r="C356">
        <v>22002263</v>
      </c>
      <c r="D356">
        <v>1205</v>
      </c>
      <c r="E356" s="11">
        <v>44774</v>
      </c>
      <c r="F356" t="s">
        <v>172</v>
      </c>
      <c r="G356" s="25">
        <v>23.83</v>
      </c>
      <c r="H356">
        <v>23.83</v>
      </c>
      <c r="I356" t="s">
        <v>56</v>
      </c>
      <c r="O356" t="s">
        <v>57</v>
      </c>
      <c r="Q356" t="s">
        <v>57</v>
      </c>
      <c r="R356" t="s">
        <v>137</v>
      </c>
      <c r="T356" t="s">
        <v>59</v>
      </c>
      <c r="U356" t="s">
        <v>60</v>
      </c>
      <c r="V356" t="s">
        <v>138</v>
      </c>
      <c r="W356" t="s">
        <v>139</v>
      </c>
      <c r="X356">
        <v>1925596</v>
      </c>
      <c r="Y356" s="11">
        <v>44774</v>
      </c>
      <c r="Z356" t="s">
        <v>57</v>
      </c>
      <c r="AA356">
        <v>2</v>
      </c>
      <c r="AB356" t="s">
        <v>57</v>
      </c>
      <c r="AD356" t="s">
        <v>57</v>
      </c>
      <c r="AE356" t="s">
        <v>57</v>
      </c>
      <c r="AF356" t="s">
        <v>57</v>
      </c>
      <c r="AG356">
        <v>3</v>
      </c>
      <c r="AH356" t="s">
        <v>57</v>
      </c>
      <c r="AL356" t="s">
        <v>57</v>
      </c>
      <c r="AM356" s="11">
        <v>44774</v>
      </c>
      <c r="AN356" t="s">
        <v>178</v>
      </c>
      <c r="AO356" t="s">
        <v>65</v>
      </c>
      <c r="AP356">
        <v>1205</v>
      </c>
      <c r="AQ356" t="s">
        <v>66</v>
      </c>
      <c r="AR356">
        <v>227112</v>
      </c>
      <c r="AU356" t="s">
        <v>57</v>
      </c>
      <c r="AV356" t="s">
        <v>68</v>
      </c>
      <c r="AX356" t="s">
        <v>57</v>
      </c>
      <c r="AY356">
        <v>631110</v>
      </c>
      <c r="AZ356">
        <v>1205.63111</v>
      </c>
      <c r="BA356" s="23" t="s">
        <v>13</v>
      </c>
    </row>
    <row r="357" spans="1:53" x14ac:dyDescent="0.25">
      <c r="A357" t="s">
        <v>134</v>
      </c>
      <c r="B357" t="s">
        <v>135</v>
      </c>
      <c r="C357">
        <v>22002341</v>
      </c>
      <c r="D357">
        <v>1205</v>
      </c>
      <c r="E357" s="11">
        <v>44785</v>
      </c>
      <c r="F357" t="s">
        <v>174</v>
      </c>
      <c r="G357" s="25">
        <v>25.07</v>
      </c>
      <c r="H357">
        <v>25.07</v>
      </c>
      <c r="I357" t="s">
        <v>56</v>
      </c>
      <c r="O357" t="s">
        <v>57</v>
      </c>
      <c r="Q357" t="s">
        <v>57</v>
      </c>
      <c r="R357" t="s">
        <v>137</v>
      </c>
      <c r="T357" t="s">
        <v>59</v>
      </c>
      <c r="U357" t="s">
        <v>60</v>
      </c>
      <c r="V357" t="s">
        <v>138</v>
      </c>
      <c r="W357" t="s">
        <v>139</v>
      </c>
      <c r="X357">
        <v>1930742</v>
      </c>
      <c r="Y357" s="11">
        <v>44785</v>
      </c>
      <c r="Z357" t="s">
        <v>57</v>
      </c>
      <c r="AA357">
        <v>20</v>
      </c>
      <c r="AB357" t="s">
        <v>57</v>
      </c>
      <c r="AD357" t="s">
        <v>57</v>
      </c>
      <c r="AE357" t="s">
        <v>57</v>
      </c>
      <c r="AF357" t="s">
        <v>57</v>
      </c>
      <c r="AG357">
        <v>36</v>
      </c>
      <c r="AH357" t="s">
        <v>57</v>
      </c>
      <c r="AL357" t="s">
        <v>57</v>
      </c>
      <c r="AM357" s="11">
        <v>44785</v>
      </c>
      <c r="AN357" t="s">
        <v>178</v>
      </c>
      <c r="AO357" t="s">
        <v>65</v>
      </c>
      <c r="AP357">
        <v>1205</v>
      </c>
      <c r="AQ357" t="s">
        <v>66</v>
      </c>
      <c r="AR357">
        <v>88732</v>
      </c>
      <c r="AU357" t="s">
        <v>57</v>
      </c>
      <c r="AV357" t="s">
        <v>68</v>
      </c>
      <c r="AX357" t="s">
        <v>57</v>
      </c>
      <c r="AY357">
        <v>631110</v>
      </c>
      <c r="AZ357">
        <v>1205.63111</v>
      </c>
      <c r="BA357" s="23" t="s">
        <v>13</v>
      </c>
    </row>
    <row r="358" spans="1:53" x14ac:dyDescent="0.25">
      <c r="A358" t="s">
        <v>134</v>
      </c>
      <c r="B358" t="s">
        <v>135</v>
      </c>
      <c r="C358">
        <v>22002298</v>
      </c>
      <c r="D358">
        <v>1205</v>
      </c>
      <c r="E358" s="11">
        <v>44778</v>
      </c>
      <c r="F358" t="s">
        <v>174</v>
      </c>
      <c r="G358" s="25">
        <v>25.1</v>
      </c>
      <c r="H358">
        <v>25.1</v>
      </c>
      <c r="I358" t="s">
        <v>56</v>
      </c>
      <c r="O358" t="s">
        <v>57</v>
      </c>
      <c r="Q358" t="s">
        <v>57</v>
      </c>
      <c r="R358" t="s">
        <v>137</v>
      </c>
      <c r="T358" t="s">
        <v>59</v>
      </c>
      <c r="U358" t="s">
        <v>60</v>
      </c>
      <c r="V358" t="s">
        <v>138</v>
      </c>
      <c r="W358" t="s">
        <v>139</v>
      </c>
      <c r="X358">
        <v>1928707</v>
      </c>
      <c r="Y358" s="11">
        <v>44778</v>
      </c>
      <c r="Z358" t="s">
        <v>57</v>
      </c>
      <c r="AA358">
        <v>8</v>
      </c>
      <c r="AB358" t="s">
        <v>57</v>
      </c>
      <c r="AD358" t="s">
        <v>57</v>
      </c>
      <c r="AE358" t="s">
        <v>57</v>
      </c>
      <c r="AF358" t="s">
        <v>57</v>
      </c>
      <c r="AG358">
        <v>1</v>
      </c>
      <c r="AH358" t="s">
        <v>57</v>
      </c>
      <c r="AL358" t="s">
        <v>57</v>
      </c>
      <c r="AM358" s="11">
        <v>44778</v>
      </c>
      <c r="AN358" t="s">
        <v>178</v>
      </c>
      <c r="AO358" t="s">
        <v>65</v>
      </c>
      <c r="AP358">
        <v>1205</v>
      </c>
      <c r="AQ358" t="s">
        <v>66</v>
      </c>
      <c r="AR358">
        <v>103860</v>
      </c>
      <c r="AU358" t="s">
        <v>57</v>
      </c>
      <c r="AV358" t="s">
        <v>68</v>
      </c>
      <c r="AX358" t="s">
        <v>57</v>
      </c>
      <c r="AY358">
        <v>631110</v>
      </c>
      <c r="AZ358">
        <v>1205.63111</v>
      </c>
      <c r="BA358" s="23" t="s">
        <v>13</v>
      </c>
    </row>
    <row r="359" spans="1:53" x14ac:dyDescent="0.25">
      <c r="A359" t="s">
        <v>134</v>
      </c>
      <c r="B359" t="s">
        <v>135</v>
      </c>
      <c r="C359">
        <v>22002346</v>
      </c>
      <c r="D359">
        <v>1205</v>
      </c>
      <c r="E359" s="11">
        <v>44788</v>
      </c>
      <c r="F359" t="s">
        <v>174</v>
      </c>
      <c r="G359" s="25">
        <v>25.1</v>
      </c>
      <c r="H359">
        <v>25.1</v>
      </c>
      <c r="I359" t="s">
        <v>56</v>
      </c>
      <c r="O359" t="s">
        <v>57</v>
      </c>
      <c r="Q359" t="s">
        <v>57</v>
      </c>
      <c r="R359" t="s">
        <v>137</v>
      </c>
      <c r="T359" t="s">
        <v>59</v>
      </c>
      <c r="U359" t="s">
        <v>60</v>
      </c>
      <c r="V359" t="s">
        <v>138</v>
      </c>
      <c r="W359" t="s">
        <v>139</v>
      </c>
      <c r="X359">
        <v>1931711</v>
      </c>
      <c r="Y359" s="11">
        <v>44788</v>
      </c>
      <c r="Z359" t="s">
        <v>57</v>
      </c>
      <c r="AA359">
        <v>2</v>
      </c>
      <c r="AB359" t="s">
        <v>57</v>
      </c>
      <c r="AD359" t="s">
        <v>57</v>
      </c>
      <c r="AE359" t="s">
        <v>57</v>
      </c>
      <c r="AF359" t="s">
        <v>57</v>
      </c>
      <c r="AG359">
        <v>1</v>
      </c>
      <c r="AH359" t="s">
        <v>57</v>
      </c>
      <c r="AL359" t="s">
        <v>57</v>
      </c>
      <c r="AM359" s="11">
        <v>44788</v>
      </c>
      <c r="AN359" t="s">
        <v>178</v>
      </c>
      <c r="AO359" t="s">
        <v>65</v>
      </c>
      <c r="AP359">
        <v>1205</v>
      </c>
      <c r="AQ359" t="s">
        <v>66</v>
      </c>
      <c r="AR359">
        <v>103860</v>
      </c>
      <c r="AU359" t="s">
        <v>57</v>
      </c>
      <c r="AV359" t="s">
        <v>68</v>
      </c>
      <c r="AX359" t="s">
        <v>57</v>
      </c>
      <c r="AY359">
        <v>631110</v>
      </c>
      <c r="AZ359">
        <v>1205.63111</v>
      </c>
      <c r="BA359" s="23" t="s">
        <v>13</v>
      </c>
    </row>
    <row r="360" spans="1:53" x14ac:dyDescent="0.25">
      <c r="A360" t="s">
        <v>134</v>
      </c>
      <c r="B360" t="s">
        <v>135</v>
      </c>
      <c r="C360">
        <v>22002311</v>
      </c>
      <c r="D360">
        <v>1205</v>
      </c>
      <c r="E360" s="11">
        <v>44781</v>
      </c>
      <c r="F360" t="s">
        <v>174</v>
      </c>
      <c r="G360" s="25">
        <v>27.16</v>
      </c>
      <c r="H360">
        <v>27.16</v>
      </c>
      <c r="I360" t="s">
        <v>56</v>
      </c>
      <c r="O360" t="s">
        <v>57</v>
      </c>
      <c r="Q360" t="s">
        <v>57</v>
      </c>
      <c r="R360" t="s">
        <v>137</v>
      </c>
      <c r="T360" t="s">
        <v>59</v>
      </c>
      <c r="U360" t="s">
        <v>60</v>
      </c>
      <c r="V360" t="s">
        <v>138</v>
      </c>
      <c r="W360" t="s">
        <v>139</v>
      </c>
      <c r="X360">
        <v>1928974</v>
      </c>
      <c r="Y360" s="11">
        <v>44781</v>
      </c>
      <c r="Z360" t="s">
        <v>57</v>
      </c>
      <c r="AA360">
        <v>18</v>
      </c>
      <c r="AB360" t="s">
        <v>57</v>
      </c>
      <c r="AD360" t="s">
        <v>57</v>
      </c>
      <c r="AE360" t="s">
        <v>57</v>
      </c>
      <c r="AF360" t="s">
        <v>57</v>
      </c>
      <c r="AG360">
        <v>1</v>
      </c>
      <c r="AH360" t="s">
        <v>57</v>
      </c>
      <c r="AL360" t="s">
        <v>57</v>
      </c>
      <c r="AM360" s="11">
        <v>44781</v>
      </c>
      <c r="AN360" t="s">
        <v>178</v>
      </c>
      <c r="AO360" t="s">
        <v>65</v>
      </c>
      <c r="AP360">
        <v>1205</v>
      </c>
      <c r="AQ360" t="s">
        <v>66</v>
      </c>
      <c r="AR360">
        <v>94322</v>
      </c>
      <c r="AU360" t="s">
        <v>57</v>
      </c>
      <c r="AV360" t="s">
        <v>68</v>
      </c>
      <c r="AX360" t="s">
        <v>57</v>
      </c>
      <c r="AY360">
        <v>631110</v>
      </c>
      <c r="AZ360">
        <v>1205.63111</v>
      </c>
      <c r="BA360" s="23" t="s">
        <v>13</v>
      </c>
    </row>
    <row r="361" spans="1:53" x14ac:dyDescent="0.25">
      <c r="A361" t="s">
        <v>134</v>
      </c>
      <c r="B361" t="s">
        <v>135</v>
      </c>
      <c r="C361">
        <v>22002345</v>
      </c>
      <c r="D361">
        <v>1205</v>
      </c>
      <c r="E361" s="11">
        <v>44788</v>
      </c>
      <c r="F361" t="s">
        <v>174</v>
      </c>
      <c r="G361" s="25">
        <v>31.13</v>
      </c>
      <c r="H361">
        <v>31.13</v>
      </c>
      <c r="I361" t="s">
        <v>56</v>
      </c>
      <c r="O361" t="s">
        <v>57</v>
      </c>
      <c r="Q361" t="s">
        <v>57</v>
      </c>
      <c r="R361" t="s">
        <v>137</v>
      </c>
      <c r="T361" t="s">
        <v>59</v>
      </c>
      <c r="U361" t="s">
        <v>60</v>
      </c>
      <c r="V361" t="s">
        <v>138</v>
      </c>
      <c r="W361" t="s">
        <v>139</v>
      </c>
      <c r="X361">
        <v>1931709</v>
      </c>
      <c r="Y361" s="11">
        <v>44788</v>
      </c>
      <c r="Z361" t="s">
        <v>57</v>
      </c>
      <c r="AA361">
        <v>6</v>
      </c>
      <c r="AB361" t="s">
        <v>57</v>
      </c>
      <c r="AD361" t="s">
        <v>57</v>
      </c>
      <c r="AE361" t="s">
        <v>57</v>
      </c>
      <c r="AF361" t="s">
        <v>57</v>
      </c>
      <c r="AG361">
        <v>1</v>
      </c>
      <c r="AH361" t="s">
        <v>57</v>
      </c>
      <c r="AL361" t="s">
        <v>57</v>
      </c>
      <c r="AM361" s="11">
        <v>44788</v>
      </c>
      <c r="AN361" t="s">
        <v>178</v>
      </c>
      <c r="AO361" t="s">
        <v>65</v>
      </c>
      <c r="AP361">
        <v>1205</v>
      </c>
      <c r="AQ361" t="s">
        <v>66</v>
      </c>
      <c r="AR361">
        <v>227906</v>
      </c>
      <c r="AU361" t="s">
        <v>57</v>
      </c>
      <c r="AV361" t="s">
        <v>68</v>
      </c>
      <c r="AX361" t="s">
        <v>57</v>
      </c>
      <c r="AY361">
        <v>631110</v>
      </c>
      <c r="AZ361">
        <v>1205.63111</v>
      </c>
      <c r="BA361" s="23" t="s">
        <v>13</v>
      </c>
    </row>
    <row r="362" spans="1:53" x14ac:dyDescent="0.25">
      <c r="A362" t="s">
        <v>134</v>
      </c>
      <c r="B362" t="s">
        <v>135</v>
      </c>
      <c r="C362">
        <v>22002353</v>
      </c>
      <c r="D362">
        <v>1205</v>
      </c>
      <c r="E362" s="11">
        <v>44788</v>
      </c>
      <c r="F362" t="s">
        <v>174</v>
      </c>
      <c r="G362" s="25">
        <v>31.13</v>
      </c>
      <c r="H362">
        <v>31.13</v>
      </c>
      <c r="I362" t="s">
        <v>56</v>
      </c>
      <c r="O362" t="s">
        <v>57</v>
      </c>
      <c r="Q362" t="s">
        <v>57</v>
      </c>
      <c r="R362" t="s">
        <v>137</v>
      </c>
      <c r="T362" t="s">
        <v>59</v>
      </c>
      <c r="U362" t="s">
        <v>60</v>
      </c>
      <c r="V362" t="s">
        <v>138</v>
      </c>
      <c r="W362" t="s">
        <v>139</v>
      </c>
      <c r="X362">
        <v>1932237</v>
      </c>
      <c r="Y362" s="11">
        <v>44788</v>
      </c>
      <c r="Z362" t="s">
        <v>57</v>
      </c>
      <c r="AA362">
        <v>2</v>
      </c>
      <c r="AB362" t="s">
        <v>57</v>
      </c>
      <c r="AD362" t="s">
        <v>57</v>
      </c>
      <c r="AE362" t="s">
        <v>57</v>
      </c>
      <c r="AF362" t="s">
        <v>57</v>
      </c>
      <c r="AG362">
        <v>1</v>
      </c>
      <c r="AH362" t="s">
        <v>57</v>
      </c>
      <c r="AL362" t="s">
        <v>57</v>
      </c>
      <c r="AM362" s="11">
        <v>44788</v>
      </c>
      <c r="AN362" t="s">
        <v>178</v>
      </c>
      <c r="AO362" t="s">
        <v>65</v>
      </c>
      <c r="AP362">
        <v>1205</v>
      </c>
      <c r="AQ362" t="s">
        <v>66</v>
      </c>
      <c r="AR362">
        <v>227906</v>
      </c>
      <c r="AU362" t="s">
        <v>57</v>
      </c>
      <c r="AV362" t="s">
        <v>68</v>
      </c>
      <c r="AX362" t="s">
        <v>57</v>
      </c>
      <c r="AY362">
        <v>631110</v>
      </c>
      <c r="AZ362">
        <v>1205.63111</v>
      </c>
      <c r="BA362" s="23" t="s">
        <v>13</v>
      </c>
    </row>
    <row r="363" spans="1:53" x14ac:dyDescent="0.25">
      <c r="A363" t="s">
        <v>134</v>
      </c>
      <c r="B363" t="s">
        <v>135</v>
      </c>
      <c r="C363">
        <v>22002287</v>
      </c>
      <c r="D363">
        <v>1205</v>
      </c>
      <c r="E363" s="11">
        <v>44777</v>
      </c>
      <c r="F363" t="s">
        <v>174</v>
      </c>
      <c r="G363" s="25">
        <v>32.299999999999997</v>
      </c>
      <c r="H363">
        <v>32.299999999999997</v>
      </c>
      <c r="I363" t="s">
        <v>56</v>
      </c>
      <c r="O363" t="s">
        <v>57</v>
      </c>
      <c r="Q363" t="s">
        <v>57</v>
      </c>
      <c r="R363" t="s">
        <v>137</v>
      </c>
      <c r="T363" t="s">
        <v>59</v>
      </c>
      <c r="U363" t="s">
        <v>60</v>
      </c>
      <c r="V363" t="s">
        <v>138</v>
      </c>
      <c r="W363" t="s">
        <v>139</v>
      </c>
      <c r="X363">
        <v>1927360</v>
      </c>
      <c r="Y363" s="11">
        <v>44777</v>
      </c>
      <c r="Z363" t="s">
        <v>57</v>
      </c>
      <c r="AA363">
        <v>4</v>
      </c>
      <c r="AB363" t="s">
        <v>57</v>
      </c>
      <c r="AD363" t="s">
        <v>57</v>
      </c>
      <c r="AE363" t="s">
        <v>57</v>
      </c>
      <c r="AF363" t="s">
        <v>57</v>
      </c>
      <c r="AG363">
        <v>2</v>
      </c>
      <c r="AH363" t="s">
        <v>57</v>
      </c>
      <c r="AL363" t="s">
        <v>57</v>
      </c>
      <c r="AM363" s="11">
        <v>44777</v>
      </c>
      <c r="AN363" t="s">
        <v>178</v>
      </c>
      <c r="AO363" t="s">
        <v>65</v>
      </c>
      <c r="AP363">
        <v>1205</v>
      </c>
      <c r="AQ363" t="s">
        <v>66</v>
      </c>
      <c r="AR363">
        <v>274601</v>
      </c>
      <c r="AU363" t="s">
        <v>57</v>
      </c>
      <c r="AV363" t="s">
        <v>68</v>
      </c>
      <c r="AX363" t="s">
        <v>57</v>
      </c>
      <c r="AY363">
        <v>631110</v>
      </c>
      <c r="AZ363">
        <v>1205.63111</v>
      </c>
      <c r="BA363" s="23" t="s">
        <v>13</v>
      </c>
    </row>
    <row r="364" spans="1:53" x14ac:dyDescent="0.25">
      <c r="A364" t="s">
        <v>134</v>
      </c>
      <c r="B364" t="s">
        <v>135</v>
      </c>
      <c r="C364">
        <v>22002356</v>
      </c>
      <c r="D364">
        <v>1205</v>
      </c>
      <c r="E364" s="11">
        <v>44789</v>
      </c>
      <c r="F364" t="s">
        <v>174</v>
      </c>
      <c r="G364" s="25">
        <v>41.54</v>
      </c>
      <c r="H364">
        <v>41.54</v>
      </c>
      <c r="I364" t="s">
        <v>56</v>
      </c>
      <c r="O364" t="s">
        <v>57</v>
      </c>
      <c r="Q364" t="s">
        <v>57</v>
      </c>
      <c r="R364" t="s">
        <v>137</v>
      </c>
      <c r="T364" t="s">
        <v>59</v>
      </c>
      <c r="U364" t="s">
        <v>60</v>
      </c>
      <c r="V364" t="s">
        <v>138</v>
      </c>
      <c r="W364" t="s">
        <v>139</v>
      </c>
      <c r="X364">
        <v>1933128</v>
      </c>
      <c r="Y364" s="11">
        <v>44789</v>
      </c>
      <c r="Z364" t="s">
        <v>57</v>
      </c>
      <c r="AA364">
        <v>10</v>
      </c>
      <c r="AB364" t="s">
        <v>57</v>
      </c>
      <c r="AD364" t="s">
        <v>57</v>
      </c>
      <c r="AE364" t="s">
        <v>57</v>
      </c>
      <c r="AF364" t="s">
        <v>57</v>
      </c>
      <c r="AG364">
        <v>1</v>
      </c>
      <c r="AH364" t="s">
        <v>57</v>
      </c>
      <c r="AL364" t="s">
        <v>57</v>
      </c>
      <c r="AM364" s="11">
        <v>44789</v>
      </c>
      <c r="AN364" t="s">
        <v>178</v>
      </c>
      <c r="AO364" t="s">
        <v>65</v>
      </c>
      <c r="AP364">
        <v>1205</v>
      </c>
      <c r="AQ364" t="s">
        <v>66</v>
      </c>
      <c r="AR364">
        <v>216340</v>
      </c>
      <c r="AU364" t="s">
        <v>57</v>
      </c>
      <c r="AV364" t="s">
        <v>68</v>
      </c>
      <c r="AX364" t="s">
        <v>57</v>
      </c>
      <c r="AY364">
        <v>631110</v>
      </c>
      <c r="AZ364">
        <v>1205.63111</v>
      </c>
      <c r="BA364" s="23" t="s">
        <v>13</v>
      </c>
    </row>
    <row r="365" spans="1:53" x14ac:dyDescent="0.25">
      <c r="A365" t="s">
        <v>134</v>
      </c>
      <c r="B365" t="s">
        <v>135</v>
      </c>
      <c r="C365">
        <v>22002265</v>
      </c>
      <c r="D365">
        <v>1205</v>
      </c>
      <c r="E365" s="11">
        <v>44775</v>
      </c>
      <c r="F365" t="s">
        <v>174</v>
      </c>
      <c r="G365" s="25">
        <v>51.2</v>
      </c>
      <c r="H365">
        <v>51.2</v>
      </c>
      <c r="I365" t="s">
        <v>56</v>
      </c>
      <c r="O365" t="s">
        <v>57</v>
      </c>
      <c r="Q365" t="s">
        <v>57</v>
      </c>
      <c r="R365" t="s">
        <v>137</v>
      </c>
      <c r="T365" t="s">
        <v>59</v>
      </c>
      <c r="U365" t="s">
        <v>60</v>
      </c>
      <c r="V365" t="s">
        <v>138</v>
      </c>
      <c r="W365" t="s">
        <v>139</v>
      </c>
      <c r="X365">
        <v>1926568</v>
      </c>
      <c r="Y365" s="11">
        <v>44775</v>
      </c>
      <c r="Z365" t="s">
        <v>57</v>
      </c>
      <c r="AA365">
        <v>16</v>
      </c>
      <c r="AB365" t="s">
        <v>57</v>
      </c>
      <c r="AD365" t="s">
        <v>57</v>
      </c>
      <c r="AE365" t="s">
        <v>57</v>
      </c>
      <c r="AF365" t="s">
        <v>57</v>
      </c>
      <c r="AG365">
        <v>1</v>
      </c>
      <c r="AH365" t="s">
        <v>57</v>
      </c>
      <c r="AL365" t="s">
        <v>57</v>
      </c>
      <c r="AM365" s="11">
        <v>44775</v>
      </c>
      <c r="AN365" t="s">
        <v>178</v>
      </c>
      <c r="AO365" t="s">
        <v>65</v>
      </c>
      <c r="AP365">
        <v>1205</v>
      </c>
      <c r="AQ365" t="s">
        <v>66</v>
      </c>
      <c r="AR365">
        <v>130047</v>
      </c>
      <c r="AU365" t="s">
        <v>57</v>
      </c>
      <c r="AV365" t="s">
        <v>68</v>
      </c>
      <c r="AX365" t="s">
        <v>57</v>
      </c>
      <c r="AY365">
        <v>631110</v>
      </c>
      <c r="AZ365">
        <v>1205.63111</v>
      </c>
      <c r="BA365" s="23" t="s">
        <v>13</v>
      </c>
    </row>
    <row r="366" spans="1:53" x14ac:dyDescent="0.25">
      <c r="A366" t="s">
        <v>134</v>
      </c>
      <c r="B366" t="s">
        <v>135</v>
      </c>
      <c r="C366">
        <v>22002306</v>
      </c>
      <c r="D366">
        <v>1205</v>
      </c>
      <c r="E366" s="11">
        <v>44778</v>
      </c>
      <c r="F366" t="s">
        <v>174</v>
      </c>
      <c r="G366" s="25">
        <v>55.03</v>
      </c>
      <c r="H366">
        <v>55.03</v>
      </c>
      <c r="I366" t="s">
        <v>56</v>
      </c>
      <c r="O366" t="s">
        <v>57</v>
      </c>
      <c r="Q366" t="s">
        <v>57</v>
      </c>
      <c r="R366" t="s">
        <v>137</v>
      </c>
      <c r="T366" t="s">
        <v>59</v>
      </c>
      <c r="U366" t="s">
        <v>60</v>
      </c>
      <c r="V366" t="s">
        <v>138</v>
      </c>
      <c r="W366" t="s">
        <v>139</v>
      </c>
      <c r="X366">
        <v>1928765</v>
      </c>
      <c r="Y366" s="11">
        <v>44778</v>
      </c>
      <c r="Z366" t="s">
        <v>57</v>
      </c>
      <c r="AA366">
        <v>2</v>
      </c>
      <c r="AB366" t="s">
        <v>57</v>
      </c>
      <c r="AD366" t="s">
        <v>57</v>
      </c>
      <c r="AE366" t="s">
        <v>57</v>
      </c>
      <c r="AF366" t="s">
        <v>57</v>
      </c>
      <c r="AG366">
        <v>1</v>
      </c>
      <c r="AH366" t="s">
        <v>57</v>
      </c>
      <c r="AL366" t="s">
        <v>57</v>
      </c>
      <c r="AM366" s="11">
        <v>44778</v>
      </c>
      <c r="AN366" t="s">
        <v>178</v>
      </c>
      <c r="AO366" t="s">
        <v>65</v>
      </c>
      <c r="AP366">
        <v>1205</v>
      </c>
      <c r="AQ366" t="s">
        <v>66</v>
      </c>
      <c r="AR366">
        <v>236484</v>
      </c>
      <c r="AU366" t="s">
        <v>57</v>
      </c>
      <c r="AV366" t="s">
        <v>68</v>
      </c>
      <c r="AX366" t="s">
        <v>57</v>
      </c>
      <c r="AY366">
        <v>631110</v>
      </c>
      <c r="AZ366">
        <v>1205.63111</v>
      </c>
      <c r="BA366" s="23" t="s">
        <v>13</v>
      </c>
    </row>
    <row r="367" spans="1:53" x14ac:dyDescent="0.25">
      <c r="A367" t="s">
        <v>134</v>
      </c>
      <c r="B367" t="s">
        <v>135</v>
      </c>
      <c r="C367">
        <v>22002311</v>
      </c>
      <c r="D367">
        <v>1205</v>
      </c>
      <c r="E367" s="11">
        <v>44781</v>
      </c>
      <c r="F367" t="s">
        <v>174</v>
      </c>
      <c r="G367" s="25">
        <v>55.03</v>
      </c>
      <c r="H367">
        <v>55.03</v>
      </c>
      <c r="I367" t="s">
        <v>56</v>
      </c>
      <c r="O367" t="s">
        <v>57</v>
      </c>
      <c r="Q367" t="s">
        <v>57</v>
      </c>
      <c r="R367" t="s">
        <v>137</v>
      </c>
      <c r="T367" t="s">
        <v>59</v>
      </c>
      <c r="U367" t="s">
        <v>60</v>
      </c>
      <c r="V367" t="s">
        <v>138</v>
      </c>
      <c r="W367" t="s">
        <v>139</v>
      </c>
      <c r="X367">
        <v>1928974</v>
      </c>
      <c r="Y367" s="11">
        <v>44781</v>
      </c>
      <c r="Z367" t="s">
        <v>57</v>
      </c>
      <c r="AA367">
        <v>34</v>
      </c>
      <c r="AB367" t="s">
        <v>57</v>
      </c>
      <c r="AD367" t="s">
        <v>57</v>
      </c>
      <c r="AE367" t="s">
        <v>57</v>
      </c>
      <c r="AF367" t="s">
        <v>57</v>
      </c>
      <c r="AG367">
        <v>1</v>
      </c>
      <c r="AH367" t="s">
        <v>57</v>
      </c>
      <c r="AL367" t="s">
        <v>57</v>
      </c>
      <c r="AM367" s="11">
        <v>44781</v>
      </c>
      <c r="AN367" t="s">
        <v>178</v>
      </c>
      <c r="AO367" t="s">
        <v>65</v>
      </c>
      <c r="AP367">
        <v>1205</v>
      </c>
      <c r="AQ367" t="s">
        <v>66</v>
      </c>
      <c r="AR367">
        <v>236484</v>
      </c>
      <c r="AU367" t="s">
        <v>57</v>
      </c>
      <c r="AV367" t="s">
        <v>68</v>
      </c>
      <c r="AX367" t="s">
        <v>57</v>
      </c>
      <c r="AY367">
        <v>631110</v>
      </c>
      <c r="AZ367">
        <v>1205.63111</v>
      </c>
      <c r="BA367" s="23" t="s">
        <v>13</v>
      </c>
    </row>
    <row r="368" spans="1:53" x14ac:dyDescent="0.25">
      <c r="A368" t="s">
        <v>134</v>
      </c>
      <c r="B368" t="s">
        <v>135</v>
      </c>
      <c r="C368">
        <v>22002345</v>
      </c>
      <c r="D368">
        <v>1205</v>
      </c>
      <c r="E368" s="11">
        <v>44788</v>
      </c>
      <c r="F368" t="s">
        <v>174</v>
      </c>
      <c r="G368" s="25">
        <v>62.17</v>
      </c>
      <c r="H368">
        <v>62.17</v>
      </c>
      <c r="I368" t="s">
        <v>56</v>
      </c>
      <c r="O368" t="s">
        <v>57</v>
      </c>
      <c r="Q368" t="s">
        <v>57</v>
      </c>
      <c r="R368" t="s">
        <v>137</v>
      </c>
      <c r="T368" t="s">
        <v>59</v>
      </c>
      <c r="U368" t="s">
        <v>60</v>
      </c>
      <c r="V368" t="s">
        <v>138</v>
      </c>
      <c r="W368" t="s">
        <v>139</v>
      </c>
      <c r="X368">
        <v>1931709</v>
      </c>
      <c r="Y368" s="11">
        <v>44788</v>
      </c>
      <c r="Z368" t="s">
        <v>57</v>
      </c>
      <c r="AA368">
        <v>4</v>
      </c>
      <c r="AB368" t="s">
        <v>57</v>
      </c>
      <c r="AD368" t="s">
        <v>57</v>
      </c>
      <c r="AE368" t="s">
        <v>57</v>
      </c>
      <c r="AF368" t="s">
        <v>57</v>
      </c>
      <c r="AG368">
        <v>2</v>
      </c>
      <c r="AH368" t="s">
        <v>57</v>
      </c>
      <c r="AL368" t="s">
        <v>57</v>
      </c>
      <c r="AM368" s="11">
        <v>44788</v>
      </c>
      <c r="AN368" t="s">
        <v>178</v>
      </c>
      <c r="AO368" t="s">
        <v>65</v>
      </c>
      <c r="AP368">
        <v>1205</v>
      </c>
      <c r="AQ368" t="s">
        <v>66</v>
      </c>
      <c r="AR368">
        <v>227906</v>
      </c>
      <c r="AU368" t="s">
        <v>57</v>
      </c>
      <c r="AV368" t="s">
        <v>68</v>
      </c>
      <c r="AX368" t="s">
        <v>57</v>
      </c>
      <c r="AY368">
        <v>631110</v>
      </c>
      <c r="AZ368">
        <v>1205.63111</v>
      </c>
      <c r="BA368" s="23" t="s">
        <v>13</v>
      </c>
    </row>
    <row r="369" spans="1:53" x14ac:dyDescent="0.25">
      <c r="A369" t="s">
        <v>134</v>
      </c>
      <c r="B369" t="s">
        <v>135</v>
      </c>
      <c r="C369">
        <v>22002280</v>
      </c>
      <c r="D369">
        <v>1205</v>
      </c>
      <c r="E369" s="11">
        <v>44776</v>
      </c>
      <c r="F369" t="s">
        <v>181</v>
      </c>
      <c r="G369" s="25">
        <v>64.510000000000005</v>
      </c>
      <c r="H369">
        <v>64.510000000000005</v>
      </c>
      <c r="I369" t="s">
        <v>56</v>
      </c>
      <c r="O369" t="s">
        <v>57</v>
      </c>
      <c r="Q369" t="s">
        <v>57</v>
      </c>
      <c r="R369" t="s">
        <v>137</v>
      </c>
      <c r="T369" t="s">
        <v>59</v>
      </c>
      <c r="U369" t="s">
        <v>60</v>
      </c>
      <c r="V369" t="s">
        <v>138</v>
      </c>
      <c r="W369" t="s">
        <v>139</v>
      </c>
      <c r="X369">
        <v>1927032</v>
      </c>
      <c r="Y369" s="11">
        <v>44776</v>
      </c>
      <c r="Z369" t="s">
        <v>57</v>
      </c>
      <c r="AA369">
        <v>2</v>
      </c>
      <c r="AB369" t="s">
        <v>57</v>
      </c>
      <c r="AD369" t="s">
        <v>57</v>
      </c>
      <c r="AE369" t="s">
        <v>57</v>
      </c>
      <c r="AF369" t="s">
        <v>57</v>
      </c>
      <c r="AG369">
        <v>5</v>
      </c>
      <c r="AH369" t="s">
        <v>57</v>
      </c>
      <c r="AL369" t="s">
        <v>57</v>
      </c>
      <c r="AM369" s="11">
        <v>44776</v>
      </c>
      <c r="AN369" t="s">
        <v>178</v>
      </c>
      <c r="AO369" t="s">
        <v>65</v>
      </c>
      <c r="AP369">
        <v>1205</v>
      </c>
      <c r="AQ369" t="s">
        <v>66</v>
      </c>
      <c r="AR369">
        <v>273012</v>
      </c>
      <c r="AU369" t="s">
        <v>57</v>
      </c>
      <c r="AV369" t="s">
        <v>68</v>
      </c>
      <c r="AX369" t="s">
        <v>57</v>
      </c>
      <c r="AY369">
        <v>631110</v>
      </c>
      <c r="AZ369">
        <v>1205.63111</v>
      </c>
      <c r="BA369" s="23" t="s">
        <v>13</v>
      </c>
    </row>
    <row r="370" spans="1:53" x14ac:dyDescent="0.25">
      <c r="A370" t="s">
        <v>134</v>
      </c>
      <c r="B370" t="s">
        <v>135</v>
      </c>
      <c r="C370">
        <v>22002293</v>
      </c>
      <c r="D370">
        <v>1205</v>
      </c>
      <c r="E370" s="11">
        <v>44777</v>
      </c>
      <c r="F370" t="s">
        <v>181</v>
      </c>
      <c r="G370" s="25">
        <v>64.510000000000005</v>
      </c>
      <c r="H370">
        <v>64.510000000000005</v>
      </c>
      <c r="I370" t="s">
        <v>56</v>
      </c>
      <c r="O370" t="s">
        <v>57</v>
      </c>
      <c r="Q370" t="s">
        <v>57</v>
      </c>
      <c r="R370" t="s">
        <v>137</v>
      </c>
      <c r="T370" t="s">
        <v>59</v>
      </c>
      <c r="U370" t="s">
        <v>60</v>
      </c>
      <c r="V370" t="s">
        <v>138</v>
      </c>
      <c r="W370" t="s">
        <v>139</v>
      </c>
      <c r="X370">
        <v>1927517</v>
      </c>
      <c r="Y370" s="11">
        <v>44777</v>
      </c>
      <c r="Z370" t="s">
        <v>57</v>
      </c>
      <c r="AA370">
        <v>6</v>
      </c>
      <c r="AB370" t="s">
        <v>57</v>
      </c>
      <c r="AD370" t="s">
        <v>57</v>
      </c>
      <c r="AE370" t="s">
        <v>57</v>
      </c>
      <c r="AF370" t="s">
        <v>57</v>
      </c>
      <c r="AG370">
        <v>5</v>
      </c>
      <c r="AH370" t="s">
        <v>57</v>
      </c>
      <c r="AL370" t="s">
        <v>57</v>
      </c>
      <c r="AM370" s="11">
        <v>44777</v>
      </c>
      <c r="AN370" t="s">
        <v>178</v>
      </c>
      <c r="AO370" t="s">
        <v>65</v>
      </c>
      <c r="AP370">
        <v>1205</v>
      </c>
      <c r="AQ370" t="s">
        <v>66</v>
      </c>
      <c r="AR370">
        <v>273012</v>
      </c>
      <c r="AU370" t="s">
        <v>57</v>
      </c>
      <c r="AV370" t="s">
        <v>68</v>
      </c>
      <c r="AX370" t="s">
        <v>57</v>
      </c>
      <c r="AY370">
        <v>631110</v>
      </c>
      <c r="AZ370">
        <v>1205.63111</v>
      </c>
      <c r="BA370" s="23" t="s">
        <v>13</v>
      </c>
    </row>
    <row r="371" spans="1:53" x14ac:dyDescent="0.25">
      <c r="A371" t="s">
        <v>134</v>
      </c>
      <c r="B371" t="s">
        <v>135</v>
      </c>
      <c r="C371">
        <v>22002309</v>
      </c>
      <c r="D371">
        <v>1205</v>
      </c>
      <c r="E371" s="11">
        <v>44781</v>
      </c>
      <c r="F371" t="s">
        <v>181</v>
      </c>
      <c r="G371" s="25">
        <v>64.510000000000005</v>
      </c>
      <c r="H371">
        <v>64.510000000000005</v>
      </c>
      <c r="I371" t="s">
        <v>56</v>
      </c>
      <c r="O371" t="s">
        <v>57</v>
      </c>
      <c r="Q371" t="s">
        <v>57</v>
      </c>
      <c r="R371" t="s">
        <v>137</v>
      </c>
      <c r="T371" t="s">
        <v>59</v>
      </c>
      <c r="U371" t="s">
        <v>60</v>
      </c>
      <c r="V371" t="s">
        <v>138</v>
      </c>
      <c r="W371" t="s">
        <v>139</v>
      </c>
      <c r="X371">
        <v>1928769</v>
      </c>
      <c r="Y371" s="11">
        <v>44781</v>
      </c>
      <c r="Z371" t="s">
        <v>57</v>
      </c>
      <c r="AA371">
        <v>6</v>
      </c>
      <c r="AB371" t="s">
        <v>57</v>
      </c>
      <c r="AD371" t="s">
        <v>57</v>
      </c>
      <c r="AE371" t="s">
        <v>57</v>
      </c>
      <c r="AF371" t="s">
        <v>57</v>
      </c>
      <c r="AG371">
        <v>5</v>
      </c>
      <c r="AH371" t="s">
        <v>57</v>
      </c>
      <c r="AL371" t="s">
        <v>57</v>
      </c>
      <c r="AM371" s="11">
        <v>44781</v>
      </c>
      <c r="AN371" t="s">
        <v>178</v>
      </c>
      <c r="AO371" t="s">
        <v>65</v>
      </c>
      <c r="AP371">
        <v>1205</v>
      </c>
      <c r="AQ371" t="s">
        <v>66</v>
      </c>
      <c r="AR371">
        <v>273012</v>
      </c>
      <c r="AU371" t="s">
        <v>57</v>
      </c>
      <c r="AV371" t="s">
        <v>68</v>
      </c>
      <c r="AX371" t="s">
        <v>57</v>
      </c>
      <c r="AY371">
        <v>631110</v>
      </c>
      <c r="AZ371">
        <v>1205.63111</v>
      </c>
      <c r="BA371" s="23" t="s">
        <v>13</v>
      </c>
    </row>
    <row r="372" spans="1:53" x14ac:dyDescent="0.25">
      <c r="A372" t="s">
        <v>134</v>
      </c>
      <c r="B372" t="s">
        <v>135</v>
      </c>
      <c r="C372">
        <v>22002265</v>
      </c>
      <c r="D372">
        <v>1205</v>
      </c>
      <c r="E372" s="11">
        <v>44775</v>
      </c>
      <c r="F372" t="s">
        <v>174</v>
      </c>
      <c r="G372" s="25">
        <v>90.43</v>
      </c>
      <c r="H372">
        <v>90.43</v>
      </c>
      <c r="I372" t="s">
        <v>56</v>
      </c>
      <c r="O372" t="s">
        <v>57</v>
      </c>
      <c r="Q372" t="s">
        <v>57</v>
      </c>
      <c r="R372" t="s">
        <v>137</v>
      </c>
      <c r="T372" t="s">
        <v>59</v>
      </c>
      <c r="U372" t="s">
        <v>60</v>
      </c>
      <c r="V372" t="s">
        <v>138</v>
      </c>
      <c r="W372" t="s">
        <v>139</v>
      </c>
      <c r="X372">
        <v>1926568</v>
      </c>
      <c r="Y372" s="11">
        <v>44775</v>
      </c>
      <c r="Z372" t="s">
        <v>57</v>
      </c>
      <c r="AA372">
        <v>22</v>
      </c>
      <c r="AB372" t="s">
        <v>57</v>
      </c>
      <c r="AD372" t="s">
        <v>57</v>
      </c>
      <c r="AE372" t="s">
        <v>57</v>
      </c>
      <c r="AF372" t="s">
        <v>57</v>
      </c>
      <c r="AG372">
        <v>1</v>
      </c>
      <c r="AH372" t="s">
        <v>57</v>
      </c>
      <c r="AL372" t="s">
        <v>57</v>
      </c>
      <c r="AM372" s="11">
        <v>44775</v>
      </c>
      <c r="AN372" t="s">
        <v>178</v>
      </c>
      <c r="AO372" t="s">
        <v>65</v>
      </c>
      <c r="AP372">
        <v>1205</v>
      </c>
      <c r="AQ372" t="s">
        <v>66</v>
      </c>
      <c r="AR372">
        <v>174262</v>
      </c>
      <c r="AU372" t="s">
        <v>57</v>
      </c>
      <c r="AV372" t="s">
        <v>68</v>
      </c>
      <c r="AX372" t="s">
        <v>57</v>
      </c>
      <c r="AY372">
        <v>631110</v>
      </c>
      <c r="AZ372">
        <v>1205.63111</v>
      </c>
      <c r="BA372" s="23" t="s">
        <v>13</v>
      </c>
    </row>
    <row r="373" spans="1:53" x14ac:dyDescent="0.25">
      <c r="A373" t="s">
        <v>134</v>
      </c>
      <c r="B373" t="s">
        <v>135</v>
      </c>
      <c r="C373">
        <v>22002316</v>
      </c>
      <c r="D373">
        <v>1205</v>
      </c>
      <c r="E373" s="11">
        <v>44782</v>
      </c>
      <c r="F373" t="s">
        <v>174</v>
      </c>
      <c r="G373" s="25">
        <v>90.43</v>
      </c>
      <c r="H373">
        <v>90.43</v>
      </c>
      <c r="I373" t="s">
        <v>56</v>
      </c>
      <c r="O373" t="s">
        <v>57</v>
      </c>
      <c r="Q373" t="s">
        <v>57</v>
      </c>
      <c r="R373" t="s">
        <v>137</v>
      </c>
      <c r="T373" t="s">
        <v>59</v>
      </c>
      <c r="U373" t="s">
        <v>60</v>
      </c>
      <c r="V373" t="s">
        <v>138</v>
      </c>
      <c r="W373" t="s">
        <v>139</v>
      </c>
      <c r="X373">
        <v>1929847</v>
      </c>
      <c r="Y373" s="11">
        <v>44782</v>
      </c>
      <c r="Z373" t="s">
        <v>57</v>
      </c>
      <c r="AA373">
        <v>12</v>
      </c>
      <c r="AB373" t="s">
        <v>57</v>
      </c>
      <c r="AD373" t="s">
        <v>57</v>
      </c>
      <c r="AE373" t="s">
        <v>57</v>
      </c>
      <c r="AF373" t="s">
        <v>57</v>
      </c>
      <c r="AG373">
        <v>1</v>
      </c>
      <c r="AH373" t="s">
        <v>57</v>
      </c>
      <c r="AL373" t="s">
        <v>57</v>
      </c>
      <c r="AM373" s="11">
        <v>44782</v>
      </c>
      <c r="AN373" t="s">
        <v>178</v>
      </c>
      <c r="AO373" t="s">
        <v>65</v>
      </c>
      <c r="AP373">
        <v>1205</v>
      </c>
      <c r="AQ373" t="s">
        <v>66</v>
      </c>
      <c r="AR373">
        <v>174262</v>
      </c>
      <c r="AU373" t="s">
        <v>57</v>
      </c>
      <c r="AV373" t="s">
        <v>68</v>
      </c>
      <c r="AX373" t="s">
        <v>57</v>
      </c>
      <c r="AY373">
        <v>631110</v>
      </c>
      <c r="AZ373">
        <v>1205.63111</v>
      </c>
      <c r="BA373" s="23" t="s">
        <v>13</v>
      </c>
    </row>
    <row r="374" spans="1:53" x14ac:dyDescent="0.25">
      <c r="A374" t="s">
        <v>134</v>
      </c>
      <c r="B374" t="s">
        <v>135</v>
      </c>
      <c r="C374">
        <v>22002316</v>
      </c>
      <c r="D374">
        <v>1205</v>
      </c>
      <c r="E374" s="11">
        <v>44782</v>
      </c>
      <c r="F374" t="s">
        <v>174</v>
      </c>
      <c r="G374" s="25">
        <v>92.07</v>
      </c>
      <c r="H374">
        <v>92.07</v>
      </c>
      <c r="I374" t="s">
        <v>56</v>
      </c>
      <c r="O374" t="s">
        <v>57</v>
      </c>
      <c r="Q374" t="s">
        <v>57</v>
      </c>
      <c r="R374" t="s">
        <v>137</v>
      </c>
      <c r="T374" t="s">
        <v>59</v>
      </c>
      <c r="U374" t="s">
        <v>60</v>
      </c>
      <c r="V374" t="s">
        <v>138</v>
      </c>
      <c r="W374" t="s">
        <v>139</v>
      </c>
      <c r="X374">
        <v>1929847</v>
      </c>
      <c r="Y374" s="11">
        <v>44782</v>
      </c>
      <c r="Z374" t="s">
        <v>57</v>
      </c>
      <c r="AA374">
        <v>32</v>
      </c>
      <c r="AB374" t="s">
        <v>57</v>
      </c>
      <c r="AD374" t="s">
        <v>57</v>
      </c>
      <c r="AE374" t="s">
        <v>57</v>
      </c>
      <c r="AF374" t="s">
        <v>57</v>
      </c>
      <c r="AG374">
        <v>1</v>
      </c>
      <c r="AH374" t="s">
        <v>57</v>
      </c>
      <c r="AL374" t="s">
        <v>57</v>
      </c>
      <c r="AM374" s="11">
        <v>44782</v>
      </c>
      <c r="AN374" t="s">
        <v>178</v>
      </c>
      <c r="AO374" t="s">
        <v>65</v>
      </c>
      <c r="AP374">
        <v>1205</v>
      </c>
      <c r="AQ374" t="s">
        <v>66</v>
      </c>
      <c r="AR374">
        <v>174262</v>
      </c>
      <c r="AU374" t="s">
        <v>57</v>
      </c>
      <c r="AV374" t="s">
        <v>68</v>
      </c>
      <c r="AX374" t="s">
        <v>57</v>
      </c>
      <c r="AY374">
        <v>631110</v>
      </c>
      <c r="AZ374">
        <v>1205.63111</v>
      </c>
      <c r="BA374" s="23" t="s">
        <v>13</v>
      </c>
    </row>
    <row r="375" spans="1:53" x14ac:dyDescent="0.25">
      <c r="A375" t="s">
        <v>134</v>
      </c>
      <c r="B375" t="s">
        <v>135</v>
      </c>
      <c r="C375">
        <v>22002293</v>
      </c>
      <c r="D375">
        <v>1205</v>
      </c>
      <c r="E375" s="11">
        <v>44777</v>
      </c>
      <c r="F375" t="s">
        <v>181</v>
      </c>
      <c r="G375" s="25">
        <v>107.51</v>
      </c>
      <c r="H375">
        <v>107.51</v>
      </c>
      <c r="I375" t="s">
        <v>56</v>
      </c>
      <c r="O375" t="s">
        <v>57</v>
      </c>
      <c r="Q375" t="s">
        <v>57</v>
      </c>
      <c r="R375" t="s">
        <v>137</v>
      </c>
      <c r="T375" t="s">
        <v>59</v>
      </c>
      <c r="U375" t="s">
        <v>60</v>
      </c>
      <c r="V375" t="s">
        <v>138</v>
      </c>
      <c r="W375" t="s">
        <v>139</v>
      </c>
      <c r="X375">
        <v>1927517</v>
      </c>
      <c r="Y375" s="11">
        <v>44777</v>
      </c>
      <c r="Z375" t="s">
        <v>57</v>
      </c>
      <c r="AA375">
        <v>4</v>
      </c>
      <c r="AB375" t="s">
        <v>57</v>
      </c>
      <c r="AD375" t="s">
        <v>57</v>
      </c>
      <c r="AE375" t="s">
        <v>57</v>
      </c>
      <c r="AF375" t="s">
        <v>57</v>
      </c>
      <c r="AG375">
        <v>5</v>
      </c>
      <c r="AH375" t="s">
        <v>57</v>
      </c>
      <c r="AL375" t="s">
        <v>57</v>
      </c>
      <c r="AM375" s="11">
        <v>44777</v>
      </c>
      <c r="AN375" t="s">
        <v>178</v>
      </c>
      <c r="AO375" t="s">
        <v>65</v>
      </c>
      <c r="AP375">
        <v>1205</v>
      </c>
      <c r="AQ375" t="s">
        <v>66</v>
      </c>
      <c r="AR375">
        <v>269871</v>
      </c>
      <c r="AU375" t="s">
        <v>57</v>
      </c>
      <c r="AV375" t="s">
        <v>68</v>
      </c>
      <c r="AX375" t="s">
        <v>57</v>
      </c>
      <c r="AY375">
        <v>631110</v>
      </c>
      <c r="AZ375">
        <v>1205.63111</v>
      </c>
      <c r="BA375" s="23" t="s">
        <v>13</v>
      </c>
    </row>
    <row r="376" spans="1:53" x14ac:dyDescent="0.25">
      <c r="A376" t="s">
        <v>134</v>
      </c>
      <c r="B376" t="s">
        <v>135</v>
      </c>
      <c r="C376">
        <v>22002309</v>
      </c>
      <c r="D376">
        <v>1205</v>
      </c>
      <c r="E376" s="11">
        <v>44781</v>
      </c>
      <c r="F376" t="s">
        <v>181</v>
      </c>
      <c r="G376" s="25">
        <v>107.51</v>
      </c>
      <c r="H376">
        <v>107.51</v>
      </c>
      <c r="I376" t="s">
        <v>56</v>
      </c>
      <c r="O376" t="s">
        <v>57</v>
      </c>
      <c r="Q376" t="s">
        <v>57</v>
      </c>
      <c r="R376" t="s">
        <v>137</v>
      </c>
      <c r="T376" t="s">
        <v>59</v>
      </c>
      <c r="U376" t="s">
        <v>60</v>
      </c>
      <c r="V376" t="s">
        <v>138</v>
      </c>
      <c r="W376" t="s">
        <v>139</v>
      </c>
      <c r="X376">
        <v>1928769</v>
      </c>
      <c r="Y376" s="11">
        <v>44781</v>
      </c>
      <c r="Z376" t="s">
        <v>57</v>
      </c>
      <c r="AA376">
        <v>4</v>
      </c>
      <c r="AB376" t="s">
        <v>57</v>
      </c>
      <c r="AD376" t="s">
        <v>57</v>
      </c>
      <c r="AE376" t="s">
        <v>57</v>
      </c>
      <c r="AF376" t="s">
        <v>57</v>
      </c>
      <c r="AG376">
        <v>5</v>
      </c>
      <c r="AH376" t="s">
        <v>57</v>
      </c>
      <c r="AL376" t="s">
        <v>57</v>
      </c>
      <c r="AM376" s="11">
        <v>44781</v>
      </c>
      <c r="AN376" t="s">
        <v>178</v>
      </c>
      <c r="AO376" t="s">
        <v>65</v>
      </c>
      <c r="AP376">
        <v>1205</v>
      </c>
      <c r="AQ376" t="s">
        <v>66</v>
      </c>
      <c r="AR376">
        <v>269871</v>
      </c>
      <c r="AU376" t="s">
        <v>57</v>
      </c>
      <c r="AV376" t="s">
        <v>68</v>
      </c>
      <c r="AX376" t="s">
        <v>57</v>
      </c>
      <c r="AY376">
        <v>631110</v>
      </c>
      <c r="AZ376">
        <v>1205.63111</v>
      </c>
      <c r="BA376" s="23" t="s">
        <v>13</v>
      </c>
    </row>
    <row r="377" spans="1:53" x14ac:dyDescent="0.25">
      <c r="A377" t="s">
        <v>134</v>
      </c>
      <c r="B377" t="s">
        <v>135</v>
      </c>
      <c r="C377">
        <v>22002265</v>
      </c>
      <c r="D377">
        <v>1205</v>
      </c>
      <c r="E377" s="11">
        <v>44775</v>
      </c>
      <c r="F377" t="s">
        <v>174</v>
      </c>
      <c r="G377" s="25">
        <v>124.5</v>
      </c>
      <c r="H377">
        <v>124.5</v>
      </c>
      <c r="I377" t="s">
        <v>56</v>
      </c>
      <c r="O377" t="s">
        <v>57</v>
      </c>
      <c r="Q377" t="s">
        <v>57</v>
      </c>
      <c r="R377" t="s">
        <v>137</v>
      </c>
      <c r="T377" t="s">
        <v>59</v>
      </c>
      <c r="U377" t="s">
        <v>60</v>
      </c>
      <c r="V377" t="s">
        <v>138</v>
      </c>
      <c r="W377" t="s">
        <v>139</v>
      </c>
      <c r="X377">
        <v>1926568</v>
      </c>
      <c r="Y377" s="11">
        <v>44775</v>
      </c>
      <c r="Z377" t="s">
        <v>57</v>
      </c>
      <c r="AA377">
        <v>26</v>
      </c>
      <c r="AB377" t="s">
        <v>57</v>
      </c>
      <c r="AD377" t="s">
        <v>57</v>
      </c>
      <c r="AE377" t="s">
        <v>57</v>
      </c>
      <c r="AF377" t="s">
        <v>57</v>
      </c>
      <c r="AG377">
        <v>4</v>
      </c>
      <c r="AH377" t="s">
        <v>57</v>
      </c>
      <c r="AL377" t="s">
        <v>57</v>
      </c>
      <c r="AM377" s="11">
        <v>44775</v>
      </c>
      <c r="AN377" t="s">
        <v>178</v>
      </c>
      <c r="AO377" t="s">
        <v>65</v>
      </c>
      <c r="AP377">
        <v>1205</v>
      </c>
      <c r="AQ377" t="s">
        <v>66</v>
      </c>
      <c r="AR377">
        <v>227906</v>
      </c>
      <c r="AU377" t="s">
        <v>57</v>
      </c>
      <c r="AV377" t="s">
        <v>68</v>
      </c>
      <c r="AX377" t="s">
        <v>57</v>
      </c>
      <c r="AY377">
        <v>631110</v>
      </c>
      <c r="AZ377">
        <v>1205.63111</v>
      </c>
      <c r="BA377" s="23" t="s">
        <v>13</v>
      </c>
    </row>
    <row r="378" spans="1:53" x14ac:dyDescent="0.25">
      <c r="A378" t="s">
        <v>134</v>
      </c>
      <c r="B378" t="s">
        <v>135</v>
      </c>
      <c r="C378">
        <v>22002338</v>
      </c>
      <c r="D378">
        <v>1205</v>
      </c>
      <c r="E378" s="11">
        <v>44784</v>
      </c>
      <c r="F378" t="s">
        <v>174</v>
      </c>
      <c r="G378" s="25">
        <v>124.5</v>
      </c>
      <c r="H378">
        <v>124.5</v>
      </c>
      <c r="I378" t="s">
        <v>56</v>
      </c>
      <c r="O378" t="s">
        <v>57</v>
      </c>
      <c r="Q378" t="s">
        <v>57</v>
      </c>
      <c r="R378" t="s">
        <v>137</v>
      </c>
      <c r="T378" t="s">
        <v>59</v>
      </c>
      <c r="U378" t="s">
        <v>60</v>
      </c>
      <c r="V378" t="s">
        <v>138</v>
      </c>
      <c r="W378" t="s">
        <v>139</v>
      </c>
      <c r="X378">
        <v>1930521</v>
      </c>
      <c r="Y378" s="11">
        <v>44784</v>
      </c>
      <c r="Z378" t="s">
        <v>57</v>
      </c>
      <c r="AA378">
        <v>4</v>
      </c>
      <c r="AB378" t="s">
        <v>57</v>
      </c>
      <c r="AD378" t="s">
        <v>57</v>
      </c>
      <c r="AE378" t="s">
        <v>57</v>
      </c>
      <c r="AF378" t="s">
        <v>57</v>
      </c>
      <c r="AG378">
        <v>4</v>
      </c>
      <c r="AH378" t="s">
        <v>57</v>
      </c>
      <c r="AL378" t="s">
        <v>57</v>
      </c>
      <c r="AM378" s="11">
        <v>44784</v>
      </c>
      <c r="AN378" t="s">
        <v>178</v>
      </c>
      <c r="AO378" t="s">
        <v>65</v>
      </c>
      <c r="AP378">
        <v>1205</v>
      </c>
      <c r="AQ378" t="s">
        <v>66</v>
      </c>
      <c r="AR378">
        <v>227906</v>
      </c>
      <c r="AU378" t="s">
        <v>57</v>
      </c>
      <c r="AV378" t="s">
        <v>68</v>
      </c>
      <c r="AX378" t="s">
        <v>57</v>
      </c>
      <c r="AY378">
        <v>631110</v>
      </c>
      <c r="AZ378">
        <v>1205.63111</v>
      </c>
      <c r="BA378" s="23" t="s">
        <v>13</v>
      </c>
    </row>
    <row r="379" spans="1:53" x14ac:dyDescent="0.25">
      <c r="A379" t="s">
        <v>134</v>
      </c>
      <c r="B379" t="s">
        <v>135</v>
      </c>
      <c r="C379">
        <v>22002164</v>
      </c>
      <c r="D379">
        <v>1205</v>
      </c>
      <c r="E379" s="11">
        <v>44776</v>
      </c>
      <c r="F379" t="s">
        <v>181</v>
      </c>
      <c r="G379" s="25">
        <v>157.91</v>
      </c>
      <c r="H379">
        <v>157.91</v>
      </c>
      <c r="I379" t="s">
        <v>56</v>
      </c>
      <c r="O379" t="s">
        <v>57</v>
      </c>
      <c r="Q379" t="s">
        <v>57</v>
      </c>
      <c r="R379" t="s">
        <v>137</v>
      </c>
      <c r="T379" t="s">
        <v>59</v>
      </c>
      <c r="U379" t="s">
        <v>60</v>
      </c>
      <c r="V379" t="s">
        <v>138</v>
      </c>
      <c r="W379" t="s">
        <v>139</v>
      </c>
      <c r="X379">
        <v>1920428</v>
      </c>
      <c r="Y379" s="11">
        <v>44754</v>
      </c>
      <c r="Z379" t="s">
        <v>57</v>
      </c>
      <c r="AA379">
        <v>4</v>
      </c>
      <c r="AB379" t="s">
        <v>57</v>
      </c>
      <c r="AD379" t="s">
        <v>57</v>
      </c>
      <c r="AE379" t="s">
        <v>57</v>
      </c>
      <c r="AF379" t="s">
        <v>57</v>
      </c>
      <c r="AG379">
        <v>10</v>
      </c>
      <c r="AH379" t="s">
        <v>57</v>
      </c>
      <c r="AL379" t="s">
        <v>57</v>
      </c>
      <c r="AM379" s="11">
        <v>44776</v>
      </c>
      <c r="AN379" t="s">
        <v>178</v>
      </c>
      <c r="AO379" t="s">
        <v>65</v>
      </c>
      <c r="AP379">
        <v>1205</v>
      </c>
      <c r="AQ379" t="s">
        <v>66</v>
      </c>
      <c r="AR379">
        <v>266673</v>
      </c>
      <c r="AU379" t="s">
        <v>57</v>
      </c>
      <c r="AV379" t="s">
        <v>68</v>
      </c>
      <c r="AX379" t="s">
        <v>57</v>
      </c>
      <c r="AY379">
        <v>631110</v>
      </c>
      <c r="AZ379">
        <v>1205.63111</v>
      </c>
      <c r="BA379" s="23" t="s">
        <v>13</v>
      </c>
    </row>
    <row r="380" spans="1:53" x14ac:dyDescent="0.25">
      <c r="A380" t="s">
        <v>134</v>
      </c>
      <c r="B380" t="s">
        <v>135</v>
      </c>
      <c r="C380">
        <v>22002278</v>
      </c>
      <c r="D380">
        <v>1205</v>
      </c>
      <c r="E380" s="11">
        <v>44776</v>
      </c>
      <c r="F380" t="s">
        <v>181</v>
      </c>
      <c r="G380" s="25">
        <v>185.06</v>
      </c>
      <c r="H380">
        <v>185.06</v>
      </c>
      <c r="I380" t="s">
        <v>56</v>
      </c>
      <c r="O380" t="s">
        <v>57</v>
      </c>
      <c r="Q380" t="s">
        <v>57</v>
      </c>
      <c r="R380" t="s">
        <v>137</v>
      </c>
      <c r="T380" t="s">
        <v>59</v>
      </c>
      <c r="U380" t="s">
        <v>60</v>
      </c>
      <c r="V380" t="s">
        <v>138</v>
      </c>
      <c r="W380" t="s">
        <v>139</v>
      </c>
      <c r="X380">
        <v>1927032</v>
      </c>
      <c r="Y380" s="11">
        <v>44776</v>
      </c>
      <c r="Z380" t="s">
        <v>57</v>
      </c>
      <c r="AA380">
        <v>2</v>
      </c>
      <c r="AB380" t="s">
        <v>57</v>
      </c>
      <c r="AD380" t="s">
        <v>57</v>
      </c>
      <c r="AE380" t="s">
        <v>57</v>
      </c>
      <c r="AF380" t="s">
        <v>57</v>
      </c>
      <c r="AG380">
        <v>10</v>
      </c>
      <c r="AH380" t="s">
        <v>57</v>
      </c>
      <c r="AL380" t="s">
        <v>57</v>
      </c>
      <c r="AM380" s="11">
        <v>44776</v>
      </c>
      <c r="AN380" t="s">
        <v>178</v>
      </c>
      <c r="AO380" t="s">
        <v>65</v>
      </c>
      <c r="AP380">
        <v>1205</v>
      </c>
      <c r="AQ380" t="s">
        <v>66</v>
      </c>
      <c r="AR380">
        <v>268408</v>
      </c>
      <c r="AU380" t="s">
        <v>57</v>
      </c>
      <c r="AV380" t="s">
        <v>68</v>
      </c>
      <c r="AX380" t="s">
        <v>57</v>
      </c>
      <c r="AY380">
        <v>631110</v>
      </c>
      <c r="AZ380">
        <v>1205.63111</v>
      </c>
      <c r="BA380" s="23" t="s">
        <v>13</v>
      </c>
    </row>
    <row r="381" spans="1:53" x14ac:dyDescent="0.25">
      <c r="A381" t="s">
        <v>134</v>
      </c>
      <c r="B381" t="s">
        <v>135</v>
      </c>
      <c r="C381">
        <v>22002293</v>
      </c>
      <c r="D381">
        <v>1205</v>
      </c>
      <c r="E381" s="11">
        <v>44777</v>
      </c>
      <c r="F381" t="s">
        <v>181</v>
      </c>
      <c r="G381" s="25">
        <v>185.06</v>
      </c>
      <c r="H381">
        <v>185.06</v>
      </c>
      <c r="I381" t="s">
        <v>56</v>
      </c>
      <c r="O381" t="s">
        <v>57</v>
      </c>
      <c r="Q381" t="s">
        <v>57</v>
      </c>
      <c r="R381" t="s">
        <v>137</v>
      </c>
      <c r="T381" t="s">
        <v>59</v>
      </c>
      <c r="U381" t="s">
        <v>60</v>
      </c>
      <c r="V381" t="s">
        <v>138</v>
      </c>
      <c r="W381" t="s">
        <v>139</v>
      </c>
      <c r="X381">
        <v>1927517</v>
      </c>
      <c r="Y381" s="11">
        <v>44777</v>
      </c>
      <c r="Z381" t="s">
        <v>57</v>
      </c>
      <c r="AA381">
        <v>2</v>
      </c>
      <c r="AB381" t="s">
        <v>57</v>
      </c>
      <c r="AD381" t="s">
        <v>57</v>
      </c>
      <c r="AE381" t="s">
        <v>57</v>
      </c>
      <c r="AF381" t="s">
        <v>57</v>
      </c>
      <c r="AG381">
        <v>10</v>
      </c>
      <c r="AH381" t="s">
        <v>57</v>
      </c>
      <c r="AL381" t="s">
        <v>57</v>
      </c>
      <c r="AM381" s="11">
        <v>44777</v>
      </c>
      <c r="AN381" t="s">
        <v>178</v>
      </c>
      <c r="AO381" t="s">
        <v>65</v>
      </c>
      <c r="AP381">
        <v>1205</v>
      </c>
      <c r="AQ381" t="s">
        <v>66</v>
      </c>
      <c r="AR381">
        <v>268408</v>
      </c>
      <c r="AU381" t="s">
        <v>57</v>
      </c>
      <c r="AV381" t="s">
        <v>68</v>
      </c>
      <c r="AX381" t="s">
        <v>57</v>
      </c>
      <c r="AY381">
        <v>631110</v>
      </c>
      <c r="AZ381">
        <v>1205.63111</v>
      </c>
      <c r="BA381" s="23" t="s">
        <v>13</v>
      </c>
    </row>
    <row r="382" spans="1:53" x14ac:dyDescent="0.25">
      <c r="A382" t="s">
        <v>134</v>
      </c>
      <c r="B382" t="s">
        <v>135</v>
      </c>
      <c r="C382">
        <v>22002309</v>
      </c>
      <c r="D382">
        <v>1205</v>
      </c>
      <c r="E382" s="11">
        <v>44781</v>
      </c>
      <c r="F382" t="s">
        <v>181</v>
      </c>
      <c r="G382" s="25">
        <v>185.06</v>
      </c>
      <c r="H382">
        <v>185.06</v>
      </c>
      <c r="I382" t="s">
        <v>56</v>
      </c>
      <c r="O382" t="s">
        <v>57</v>
      </c>
      <c r="Q382" t="s">
        <v>57</v>
      </c>
      <c r="R382" t="s">
        <v>137</v>
      </c>
      <c r="T382" t="s">
        <v>59</v>
      </c>
      <c r="U382" t="s">
        <v>60</v>
      </c>
      <c r="V382" t="s">
        <v>138</v>
      </c>
      <c r="W382" t="s">
        <v>139</v>
      </c>
      <c r="X382">
        <v>1928769</v>
      </c>
      <c r="Y382" s="11">
        <v>44781</v>
      </c>
      <c r="Z382" t="s">
        <v>57</v>
      </c>
      <c r="AA382">
        <v>2</v>
      </c>
      <c r="AB382" t="s">
        <v>57</v>
      </c>
      <c r="AD382" t="s">
        <v>57</v>
      </c>
      <c r="AE382" t="s">
        <v>57</v>
      </c>
      <c r="AF382" t="s">
        <v>57</v>
      </c>
      <c r="AG382">
        <v>10</v>
      </c>
      <c r="AH382" t="s">
        <v>57</v>
      </c>
      <c r="AL382" t="s">
        <v>57</v>
      </c>
      <c r="AM382" s="11">
        <v>44781</v>
      </c>
      <c r="AN382" t="s">
        <v>178</v>
      </c>
      <c r="AO382" t="s">
        <v>65</v>
      </c>
      <c r="AP382">
        <v>1205</v>
      </c>
      <c r="AQ382" t="s">
        <v>66</v>
      </c>
      <c r="AR382">
        <v>268408</v>
      </c>
      <c r="AU382" t="s">
        <v>57</v>
      </c>
      <c r="AV382" t="s">
        <v>68</v>
      </c>
      <c r="AX382" t="s">
        <v>57</v>
      </c>
      <c r="AY382">
        <v>631110</v>
      </c>
      <c r="AZ382">
        <v>1205.63111</v>
      </c>
      <c r="BA382" s="23" t="s">
        <v>13</v>
      </c>
    </row>
    <row r="383" spans="1:53" x14ac:dyDescent="0.25">
      <c r="A383" t="s">
        <v>134</v>
      </c>
      <c r="B383" t="s">
        <v>135</v>
      </c>
      <c r="C383">
        <v>22002320</v>
      </c>
      <c r="D383">
        <v>1205</v>
      </c>
      <c r="E383" s="11">
        <v>44783</v>
      </c>
      <c r="F383" t="s">
        <v>181</v>
      </c>
      <c r="G383" s="25">
        <v>185.06</v>
      </c>
      <c r="H383">
        <v>185.06</v>
      </c>
      <c r="I383" t="s">
        <v>56</v>
      </c>
      <c r="O383" t="s">
        <v>57</v>
      </c>
      <c r="Q383" t="s">
        <v>57</v>
      </c>
      <c r="R383" t="s">
        <v>137</v>
      </c>
      <c r="T383" t="s">
        <v>59</v>
      </c>
      <c r="U383" t="s">
        <v>60</v>
      </c>
      <c r="V383" t="s">
        <v>138</v>
      </c>
      <c r="W383" t="s">
        <v>139</v>
      </c>
      <c r="X383">
        <v>1929854</v>
      </c>
      <c r="Y383" s="11">
        <v>44783</v>
      </c>
      <c r="Z383" t="s">
        <v>57</v>
      </c>
      <c r="AA383">
        <v>2</v>
      </c>
      <c r="AB383" t="s">
        <v>57</v>
      </c>
      <c r="AD383" t="s">
        <v>57</v>
      </c>
      <c r="AE383" t="s">
        <v>57</v>
      </c>
      <c r="AF383" t="s">
        <v>57</v>
      </c>
      <c r="AG383">
        <v>10</v>
      </c>
      <c r="AH383" t="s">
        <v>57</v>
      </c>
      <c r="AL383" t="s">
        <v>57</v>
      </c>
      <c r="AM383" s="11">
        <v>44783</v>
      </c>
      <c r="AN383" t="s">
        <v>178</v>
      </c>
      <c r="AO383" t="s">
        <v>65</v>
      </c>
      <c r="AP383">
        <v>1205</v>
      </c>
      <c r="AQ383" t="s">
        <v>66</v>
      </c>
      <c r="AR383">
        <v>268408</v>
      </c>
      <c r="AU383" t="s">
        <v>57</v>
      </c>
      <c r="AV383" t="s">
        <v>68</v>
      </c>
      <c r="AX383" t="s">
        <v>57</v>
      </c>
      <c r="AY383">
        <v>631110</v>
      </c>
      <c r="AZ383">
        <v>1205.63111</v>
      </c>
      <c r="BA383" s="23" t="s">
        <v>13</v>
      </c>
    </row>
    <row r="384" spans="1:53" x14ac:dyDescent="0.25">
      <c r="A384" t="s">
        <v>134</v>
      </c>
      <c r="B384" t="s">
        <v>135</v>
      </c>
      <c r="C384">
        <v>22002351</v>
      </c>
      <c r="D384">
        <v>1205</v>
      </c>
      <c r="E384" s="11">
        <v>44788</v>
      </c>
      <c r="F384" t="s">
        <v>181</v>
      </c>
      <c r="G384" s="25">
        <v>185.06</v>
      </c>
      <c r="H384">
        <v>185.06</v>
      </c>
      <c r="I384" t="s">
        <v>56</v>
      </c>
      <c r="O384" t="s">
        <v>57</v>
      </c>
      <c r="Q384" t="s">
        <v>57</v>
      </c>
      <c r="R384" t="s">
        <v>137</v>
      </c>
      <c r="T384" t="s">
        <v>59</v>
      </c>
      <c r="U384" t="s">
        <v>60</v>
      </c>
      <c r="V384" t="s">
        <v>138</v>
      </c>
      <c r="W384" t="s">
        <v>139</v>
      </c>
      <c r="X384">
        <v>1932181</v>
      </c>
      <c r="Y384" s="11">
        <v>44788</v>
      </c>
      <c r="Z384" t="s">
        <v>57</v>
      </c>
      <c r="AA384">
        <v>2</v>
      </c>
      <c r="AB384" t="s">
        <v>57</v>
      </c>
      <c r="AD384" t="s">
        <v>57</v>
      </c>
      <c r="AE384" t="s">
        <v>57</v>
      </c>
      <c r="AF384" t="s">
        <v>57</v>
      </c>
      <c r="AG384">
        <v>10</v>
      </c>
      <c r="AH384" t="s">
        <v>57</v>
      </c>
      <c r="AL384" t="s">
        <v>57</v>
      </c>
      <c r="AM384" s="11">
        <v>44788</v>
      </c>
      <c r="AN384" t="s">
        <v>178</v>
      </c>
      <c r="AO384" t="s">
        <v>65</v>
      </c>
      <c r="AP384">
        <v>1205</v>
      </c>
      <c r="AQ384" t="s">
        <v>66</v>
      </c>
      <c r="AR384">
        <v>268408</v>
      </c>
      <c r="AU384" t="s">
        <v>57</v>
      </c>
      <c r="AV384" t="s">
        <v>68</v>
      </c>
      <c r="AX384" t="s">
        <v>57</v>
      </c>
      <c r="AY384">
        <v>631110</v>
      </c>
      <c r="AZ384">
        <v>1205.63111</v>
      </c>
      <c r="BA384" s="23" t="s">
        <v>13</v>
      </c>
    </row>
    <row r="385" spans="1:53" x14ac:dyDescent="0.25">
      <c r="A385" t="s">
        <v>134</v>
      </c>
      <c r="B385" t="s">
        <v>135</v>
      </c>
      <c r="C385">
        <v>22002279</v>
      </c>
      <c r="D385">
        <v>1205</v>
      </c>
      <c r="E385" s="11">
        <v>44776</v>
      </c>
      <c r="F385" t="s">
        <v>181</v>
      </c>
      <c r="G385" s="25">
        <v>215.03</v>
      </c>
      <c r="H385">
        <v>215.03</v>
      </c>
      <c r="I385" t="s">
        <v>56</v>
      </c>
      <c r="O385" t="s">
        <v>57</v>
      </c>
      <c r="Q385" t="s">
        <v>57</v>
      </c>
      <c r="R385" t="s">
        <v>137</v>
      </c>
      <c r="T385" t="s">
        <v>59</v>
      </c>
      <c r="U385" t="s">
        <v>60</v>
      </c>
      <c r="V385" t="s">
        <v>138</v>
      </c>
      <c r="W385" t="s">
        <v>139</v>
      </c>
      <c r="X385">
        <v>1927033</v>
      </c>
      <c r="Y385" s="11">
        <v>44776</v>
      </c>
      <c r="Z385" t="s">
        <v>57</v>
      </c>
      <c r="AA385">
        <v>2</v>
      </c>
      <c r="AB385" t="s">
        <v>57</v>
      </c>
      <c r="AD385" t="s">
        <v>57</v>
      </c>
      <c r="AE385" t="s">
        <v>57</v>
      </c>
      <c r="AF385" t="s">
        <v>57</v>
      </c>
      <c r="AG385">
        <v>10</v>
      </c>
      <c r="AH385" t="s">
        <v>57</v>
      </c>
      <c r="AL385" t="s">
        <v>57</v>
      </c>
      <c r="AM385" s="11">
        <v>44776</v>
      </c>
      <c r="AN385" t="s">
        <v>178</v>
      </c>
      <c r="AO385" t="s">
        <v>65</v>
      </c>
      <c r="AP385">
        <v>1205</v>
      </c>
      <c r="AQ385" t="s">
        <v>66</v>
      </c>
      <c r="AR385">
        <v>269871</v>
      </c>
      <c r="AU385" t="s">
        <v>57</v>
      </c>
      <c r="AV385" t="s">
        <v>68</v>
      </c>
      <c r="AX385" t="s">
        <v>57</v>
      </c>
      <c r="AY385">
        <v>631110</v>
      </c>
      <c r="AZ385">
        <v>1205.63111</v>
      </c>
      <c r="BA385" s="23" t="s">
        <v>13</v>
      </c>
    </row>
    <row r="386" spans="1:53" x14ac:dyDescent="0.25">
      <c r="A386" t="s">
        <v>134</v>
      </c>
      <c r="B386" t="s">
        <v>135</v>
      </c>
      <c r="C386">
        <v>22002273</v>
      </c>
      <c r="D386">
        <v>1205</v>
      </c>
      <c r="E386" s="11">
        <v>44776</v>
      </c>
      <c r="F386" t="s">
        <v>181</v>
      </c>
      <c r="G386" s="25">
        <v>258.02999999999997</v>
      </c>
      <c r="H386">
        <v>258.02999999999997</v>
      </c>
      <c r="I386" t="s">
        <v>56</v>
      </c>
      <c r="O386" t="s">
        <v>57</v>
      </c>
      <c r="Q386" t="s">
        <v>57</v>
      </c>
      <c r="R386" t="s">
        <v>137</v>
      </c>
      <c r="T386" t="s">
        <v>59</v>
      </c>
      <c r="U386" t="s">
        <v>60</v>
      </c>
      <c r="V386" t="s">
        <v>138</v>
      </c>
      <c r="W386" t="s">
        <v>139</v>
      </c>
      <c r="X386">
        <v>1926736</v>
      </c>
      <c r="Y386" s="11">
        <v>44776</v>
      </c>
      <c r="Z386" t="s">
        <v>57</v>
      </c>
      <c r="AA386">
        <v>2</v>
      </c>
      <c r="AB386" t="s">
        <v>57</v>
      </c>
      <c r="AD386" t="s">
        <v>57</v>
      </c>
      <c r="AE386" t="s">
        <v>57</v>
      </c>
      <c r="AF386" t="s">
        <v>57</v>
      </c>
      <c r="AG386">
        <v>20</v>
      </c>
      <c r="AH386" t="s">
        <v>57</v>
      </c>
      <c r="AL386" t="s">
        <v>57</v>
      </c>
      <c r="AM386" s="11">
        <v>44776</v>
      </c>
      <c r="AN386" t="s">
        <v>178</v>
      </c>
      <c r="AO386" t="s">
        <v>65</v>
      </c>
      <c r="AP386">
        <v>1205</v>
      </c>
      <c r="AQ386" t="s">
        <v>66</v>
      </c>
      <c r="AR386">
        <v>273012</v>
      </c>
      <c r="AU386" t="s">
        <v>57</v>
      </c>
      <c r="AV386" t="s">
        <v>68</v>
      </c>
      <c r="AX386" t="s">
        <v>57</v>
      </c>
      <c r="AY386">
        <v>631110</v>
      </c>
      <c r="AZ386">
        <v>1205.63111</v>
      </c>
      <c r="BA386" s="23" t="s">
        <v>13</v>
      </c>
    </row>
    <row r="387" spans="1:53" x14ac:dyDescent="0.25">
      <c r="A387" t="s">
        <v>134</v>
      </c>
      <c r="B387" t="s">
        <v>135</v>
      </c>
      <c r="C387">
        <v>22002273</v>
      </c>
      <c r="D387">
        <v>1205</v>
      </c>
      <c r="E387" s="11">
        <v>44776</v>
      </c>
      <c r="F387" t="s">
        <v>181</v>
      </c>
      <c r="G387" s="25">
        <v>315.82</v>
      </c>
      <c r="H387">
        <v>315.82</v>
      </c>
      <c r="I387" t="s">
        <v>56</v>
      </c>
      <c r="O387" t="s">
        <v>57</v>
      </c>
      <c r="Q387" t="s">
        <v>57</v>
      </c>
      <c r="R387" t="s">
        <v>137</v>
      </c>
      <c r="T387" t="s">
        <v>59</v>
      </c>
      <c r="U387" t="s">
        <v>60</v>
      </c>
      <c r="V387" t="s">
        <v>138</v>
      </c>
      <c r="W387" t="s">
        <v>139</v>
      </c>
      <c r="X387">
        <v>1926736</v>
      </c>
      <c r="Y387" s="11">
        <v>44776</v>
      </c>
      <c r="Z387" t="s">
        <v>57</v>
      </c>
      <c r="AA387">
        <v>4</v>
      </c>
      <c r="AB387" t="s">
        <v>57</v>
      </c>
      <c r="AD387" t="s">
        <v>57</v>
      </c>
      <c r="AE387" t="s">
        <v>57</v>
      </c>
      <c r="AF387" t="s">
        <v>57</v>
      </c>
      <c r="AG387">
        <v>20</v>
      </c>
      <c r="AH387" t="s">
        <v>57</v>
      </c>
      <c r="AL387" t="s">
        <v>57</v>
      </c>
      <c r="AM387" s="11">
        <v>44776</v>
      </c>
      <c r="AN387" t="s">
        <v>178</v>
      </c>
      <c r="AO387" t="s">
        <v>65</v>
      </c>
      <c r="AP387">
        <v>1205</v>
      </c>
      <c r="AQ387" t="s">
        <v>66</v>
      </c>
      <c r="AR387">
        <v>266673</v>
      </c>
      <c r="AU387" t="s">
        <v>57</v>
      </c>
      <c r="AV387" t="s">
        <v>68</v>
      </c>
      <c r="AX387" t="s">
        <v>57</v>
      </c>
      <c r="AY387">
        <v>631110</v>
      </c>
      <c r="AZ387">
        <v>1205.63111</v>
      </c>
      <c r="BA387" s="23" t="s">
        <v>13</v>
      </c>
    </row>
    <row r="388" spans="1:53" x14ac:dyDescent="0.25">
      <c r="A388" t="s">
        <v>134</v>
      </c>
      <c r="B388" t="s">
        <v>135</v>
      </c>
      <c r="C388">
        <v>22002273</v>
      </c>
      <c r="D388">
        <v>1205</v>
      </c>
      <c r="E388" s="11">
        <v>44776</v>
      </c>
      <c r="F388" t="s">
        <v>181</v>
      </c>
      <c r="G388" s="25">
        <v>332.37</v>
      </c>
      <c r="H388">
        <v>332.37</v>
      </c>
      <c r="I388" t="s">
        <v>56</v>
      </c>
      <c r="O388" t="s">
        <v>57</v>
      </c>
      <c r="Q388" t="s">
        <v>57</v>
      </c>
      <c r="R388" t="s">
        <v>137</v>
      </c>
      <c r="T388" t="s">
        <v>59</v>
      </c>
      <c r="U388" t="s">
        <v>60</v>
      </c>
      <c r="V388" t="s">
        <v>138</v>
      </c>
      <c r="W388" t="s">
        <v>139</v>
      </c>
      <c r="X388">
        <v>1926736</v>
      </c>
      <c r="Y388" s="11">
        <v>44776</v>
      </c>
      <c r="Z388" t="s">
        <v>57</v>
      </c>
      <c r="AA388">
        <v>12</v>
      </c>
      <c r="AB388" t="s">
        <v>57</v>
      </c>
      <c r="AD388" t="s">
        <v>57</v>
      </c>
      <c r="AE388" t="s">
        <v>57</v>
      </c>
      <c r="AF388" t="s">
        <v>57</v>
      </c>
      <c r="AG388">
        <v>10</v>
      </c>
      <c r="AH388" t="s">
        <v>57</v>
      </c>
      <c r="AL388" t="s">
        <v>57</v>
      </c>
      <c r="AM388" s="11">
        <v>44776</v>
      </c>
      <c r="AN388" t="s">
        <v>178</v>
      </c>
      <c r="AO388" t="s">
        <v>65</v>
      </c>
      <c r="AP388">
        <v>1205</v>
      </c>
      <c r="AQ388" t="s">
        <v>66</v>
      </c>
      <c r="AR388">
        <v>277194</v>
      </c>
      <c r="AU388" t="s">
        <v>57</v>
      </c>
      <c r="AV388" t="s">
        <v>68</v>
      </c>
      <c r="AX388" t="s">
        <v>57</v>
      </c>
      <c r="AY388">
        <v>631110</v>
      </c>
      <c r="AZ388">
        <v>1205.63111</v>
      </c>
      <c r="BA388" s="23" t="s">
        <v>13</v>
      </c>
    </row>
    <row r="389" spans="1:53" x14ac:dyDescent="0.25">
      <c r="A389" t="s">
        <v>134</v>
      </c>
      <c r="B389" t="s">
        <v>135</v>
      </c>
      <c r="C389">
        <v>22002273</v>
      </c>
      <c r="D389">
        <v>1205</v>
      </c>
      <c r="E389" s="11">
        <v>44776</v>
      </c>
      <c r="F389" t="s">
        <v>181</v>
      </c>
      <c r="G389" s="27">
        <v>430.05</v>
      </c>
      <c r="H389">
        <v>430.05</v>
      </c>
      <c r="I389" t="s">
        <v>56</v>
      </c>
      <c r="O389" t="s">
        <v>57</v>
      </c>
      <c r="Q389" t="s">
        <v>57</v>
      </c>
      <c r="R389" t="s">
        <v>137</v>
      </c>
      <c r="T389" t="s">
        <v>59</v>
      </c>
      <c r="U389" t="s">
        <v>60</v>
      </c>
      <c r="V389" t="s">
        <v>138</v>
      </c>
      <c r="W389" t="s">
        <v>139</v>
      </c>
      <c r="X389">
        <v>1926736</v>
      </c>
      <c r="Y389" s="11">
        <v>44776</v>
      </c>
      <c r="Z389" t="s">
        <v>57</v>
      </c>
      <c r="AA389">
        <v>10</v>
      </c>
      <c r="AB389" t="s">
        <v>57</v>
      </c>
      <c r="AD389" t="s">
        <v>57</v>
      </c>
      <c r="AE389" t="s">
        <v>57</v>
      </c>
      <c r="AF389" t="s">
        <v>57</v>
      </c>
      <c r="AG389">
        <v>20</v>
      </c>
      <c r="AH389" t="s">
        <v>57</v>
      </c>
      <c r="AL389" t="s">
        <v>57</v>
      </c>
      <c r="AM389" s="11">
        <v>44776</v>
      </c>
      <c r="AN389" t="s">
        <v>178</v>
      </c>
      <c r="AO389" t="s">
        <v>65</v>
      </c>
      <c r="AP389">
        <v>1205</v>
      </c>
      <c r="AQ389" t="s">
        <v>66</v>
      </c>
      <c r="AR389">
        <v>269871</v>
      </c>
      <c r="AU389" t="s">
        <v>57</v>
      </c>
      <c r="AV389" t="s">
        <v>68</v>
      </c>
      <c r="AX389" t="s">
        <v>57</v>
      </c>
      <c r="AY389">
        <v>631110</v>
      </c>
      <c r="AZ389">
        <v>1205.63111</v>
      </c>
      <c r="BA389" s="23" t="s">
        <v>13</v>
      </c>
    </row>
    <row r="390" spans="1:53" x14ac:dyDescent="0.25">
      <c r="A390" t="s">
        <v>134</v>
      </c>
      <c r="B390" t="s">
        <v>135</v>
      </c>
      <c r="C390">
        <v>22002273</v>
      </c>
      <c r="D390">
        <v>1205</v>
      </c>
      <c r="E390" s="11">
        <v>44776</v>
      </c>
      <c r="F390" t="s">
        <v>181</v>
      </c>
      <c r="G390" s="27">
        <v>554.36</v>
      </c>
      <c r="H390">
        <v>554.36</v>
      </c>
      <c r="I390" t="s">
        <v>56</v>
      </c>
      <c r="O390" t="s">
        <v>57</v>
      </c>
      <c r="Q390" t="s">
        <v>57</v>
      </c>
      <c r="R390" t="s">
        <v>137</v>
      </c>
      <c r="T390" t="s">
        <v>59</v>
      </c>
      <c r="U390" t="s">
        <v>60</v>
      </c>
      <c r="V390" t="s">
        <v>138</v>
      </c>
      <c r="W390" t="s">
        <v>139</v>
      </c>
      <c r="X390">
        <v>1926736</v>
      </c>
      <c r="Y390" s="11">
        <v>44776</v>
      </c>
      <c r="Z390" t="s">
        <v>57</v>
      </c>
      <c r="AA390">
        <v>6</v>
      </c>
      <c r="AB390" t="s">
        <v>57</v>
      </c>
      <c r="AD390" t="s">
        <v>57</v>
      </c>
      <c r="AE390" t="s">
        <v>57</v>
      </c>
      <c r="AF390" t="s">
        <v>57</v>
      </c>
      <c r="AG390">
        <v>30</v>
      </c>
      <c r="AH390" t="s">
        <v>57</v>
      </c>
      <c r="AL390" t="s">
        <v>57</v>
      </c>
      <c r="AM390" s="11">
        <v>44776</v>
      </c>
      <c r="AN390" t="s">
        <v>178</v>
      </c>
      <c r="AO390" t="s">
        <v>65</v>
      </c>
      <c r="AP390">
        <v>1205</v>
      </c>
      <c r="AQ390" t="s">
        <v>66</v>
      </c>
      <c r="AR390">
        <v>268408</v>
      </c>
      <c r="AU390" t="s">
        <v>57</v>
      </c>
      <c r="AV390" t="s">
        <v>68</v>
      </c>
      <c r="AX390" t="s">
        <v>57</v>
      </c>
      <c r="AY390">
        <v>631110</v>
      </c>
      <c r="AZ390">
        <v>1205.63111</v>
      </c>
      <c r="BA390" s="23" t="s">
        <v>13</v>
      </c>
    </row>
    <row r="391" spans="1:53" x14ac:dyDescent="0.25">
      <c r="A391" t="s">
        <v>134</v>
      </c>
      <c r="B391" t="s">
        <v>135</v>
      </c>
      <c r="C391">
        <v>22002273</v>
      </c>
      <c r="D391">
        <v>1205</v>
      </c>
      <c r="E391" s="11">
        <v>44776</v>
      </c>
      <c r="F391" t="s">
        <v>181</v>
      </c>
      <c r="G391" s="27">
        <v>554.36</v>
      </c>
      <c r="H391">
        <v>554.36</v>
      </c>
      <c r="I391" t="s">
        <v>56</v>
      </c>
      <c r="O391" t="s">
        <v>57</v>
      </c>
      <c r="Q391" t="s">
        <v>57</v>
      </c>
      <c r="R391" t="s">
        <v>137</v>
      </c>
      <c r="T391" t="s">
        <v>59</v>
      </c>
      <c r="U391" t="s">
        <v>60</v>
      </c>
      <c r="V391" t="s">
        <v>138</v>
      </c>
      <c r="W391" t="s">
        <v>139</v>
      </c>
      <c r="X391">
        <v>1926736</v>
      </c>
      <c r="Y391" s="11">
        <v>44776</v>
      </c>
      <c r="Z391" t="s">
        <v>57</v>
      </c>
      <c r="AA391">
        <v>8</v>
      </c>
      <c r="AB391" t="s">
        <v>57</v>
      </c>
      <c r="AD391" t="s">
        <v>57</v>
      </c>
      <c r="AE391" t="s">
        <v>57</v>
      </c>
      <c r="AF391" t="s">
        <v>57</v>
      </c>
      <c r="AG391">
        <v>30</v>
      </c>
      <c r="AH391" t="s">
        <v>57</v>
      </c>
      <c r="AL391" t="s">
        <v>57</v>
      </c>
      <c r="AM391" s="11">
        <v>44776</v>
      </c>
      <c r="AN391" t="s">
        <v>178</v>
      </c>
      <c r="AO391" t="s">
        <v>65</v>
      </c>
      <c r="AP391">
        <v>1205</v>
      </c>
      <c r="AQ391" t="s">
        <v>66</v>
      </c>
      <c r="AR391">
        <v>268408</v>
      </c>
      <c r="AU391" t="s">
        <v>57</v>
      </c>
      <c r="AV391" t="s">
        <v>68</v>
      </c>
      <c r="AX391" t="s">
        <v>57</v>
      </c>
      <c r="AY391">
        <v>631110</v>
      </c>
      <c r="AZ391">
        <v>1205.63111</v>
      </c>
      <c r="BA391" s="23" t="s">
        <v>13</v>
      </c>
    </row>
    <row r="392" spans="1:53" x14ac:dyDescent="0.25">
      <c r="A392" t="s">
        <v>134</v>
      </c>
      <c r="B392" t="s">
        <v>135</v>
      </c>
      <c r="C392">
        <v>22002367</v>
      </c>
      <c r="D392">
        <v>1205</v>
      </c>
      <c r="E392" s="11">
        <v>44791</v>
      </c>
      <c r="F392" t="s">
        <v>174</v>
      </c>
      <c r="G392" s="27">
        <v>942.74</v>
      </c>
      <c r="H392">
        <v>942.74</v>
      </c>
      <c r="I392" t="s">
        <v>56</v>
      </c>
      <c r="O392" t="s">
        <v>57</v>
      </c>
      <c r="Q392" t="s">
        <v>57</v>
      </c>
      <c r="R392" t="s">
        <v>137</v>
      </c>
      <c r="T392" t="s">
        <v>59</v>
      </c>
      <c r="U392" t="s">
        <v>60</v>
      </c>
      <c r="V392" t="s">
        <v>138</v>
      </c>
      <c r="W392" t="s">
        <v>139</v>
      </c>
      <c r="X392">
        <v>1933538</v>
      </c>
      <c r="Y392" s="11">
        <v>44791</v>
      </c>
      <c r="Z392" t="s">
        <v>57</v>
      </c>
      <c r="AA392">
        <v>2</v>
      </c>
      <c r="AB392" t="s">
        <v>57</v>
      </c>
      <c r="AD392" t="s">
        <v>57</v>
      </c>
      <c r="AE392" t="s">
        <v>57</v>
      </c>
      <c r="AF392" t="s">
        <v>57</v>
      </c>
      <c r="AG392">
        <v>1</v>
      </c>
      <c r="AH392" t="s">
        <v>57</v>
      </c>
      <c r="AL392" t="s">
        <v>57</v>
      </c>
      <c r="AM392" s="11">
        <v>44791</v>
      </c>
      <c r="AN392" t="s">
        <v>178</v>
      </c>
      <c r="AO392" t="s">
        <v>65</v>
      </c>
      <c r="AP392">
        <v>1205</v>
      </c>
      <c r="AQ392" t="s">
        <v>66</v>
      </c>
      <c r="AR392">
        <v>275460</v>
      </c>
      <c r="AU392" t="s">
        <v>57</v>
      </c>
      <c r="AV392" t="s">
        <v>68</v>
      </c>
      <c r="AX392" t="s">
        <v>57</v>
      </c>
      <c r="AY392">
        <v>631110</v>
      </c>
      <c r="AZ392">
        <v>1205.63111</v>
      </c>
      <c r="BA392" s="23" t="s">
        <v>13</v>
      </c>
    </row>
    <row r="393" spans="1:53" x14ac:dyDescent="0.25">
      <c r="A393" t="s">
        <v>134</v>
      </c>
      <c r="B393" t="s">
        <v>135</v>
      </c>
      <c r="C393">
        <v>22002374</v>
      </c>
      <c r="D393">
        <v>1205</v>
      </c>
      <c r="E393" s="11">
        <v>44792</v>
      </c>
      <c r="F393" t="s">
        <v>174</v>
      </c>
      <c r="I393" t="s">
        <v>56</v>
      </c>
      <c r="O393" t="s">
        <v>57</v>
      </c>
      <c r="Q393" t="s">
        <v>57</v>
      </c>
      <c r="R393" t="s">
        <v>137</v>
      </c>
      <c r="T393" t="s">
        <v>59</v>
      </c>
      <c r="U393" t="s">
        <v>60</v>
      </c>
      <c r="V393" t="s">
        <v>138</v>
      </c>
      <c r="W393" t="s">
        <v>139</v>
      </c>
      <c r="X393">
        <v>1934079</v>
      </c>
      <c r="Y393" s="11">
        <v>44792</v>
      </c>
      <c r="Z393" t="s">
        <v>57</v>
      </c>
      <c r="AA393">
        <v>10</v>
      </c>
      <c r="AB393" t="s">
        <v>57</v>
      </c>
      <c r="AD393" t="s">
        <v>57</v>
      </c>
      <c r="AE393" t="s">
        <v>57</v>
      </c>
      <c r="AF393" t="s">
        <v>57</v>
      </c>
      <c r="AG393">
        <v>1</v>
      </c>
      <c r="AH393" t="s">
        <v>57</v>
      </c>
      <c r="AL393" t="s">
        <v>57</v>
      </c>
      <c r="AM393" s="11">
        <v>44792</v>
      </c>
      <c r="AN393" t="s">
        <v>178</v>
      </c>
      <c r="AO393" t="s">
        <v>65</v>
      </c>
      <c r="AP393">
        <v>1205</v>
      </c>
      <c r="AQ393" t="s">
        <v>66</v>
      </c>
      <c r="AR393">
        <v>222067</v>
      </c>
      <c r="AU393" t="s">
        <v>57</v>
      </c>
      <c r="AV393" t="s">
        <v>68</v>
      </c>
      <c r="AX393" t="s">
        <v>57</v>
      </c>
      <c r="AY393">
        <v>631110</v>
      </c>
      <c r="AZ393">
        <v>1205.63111</v>
      </c>
      <c r="BA393" s="23" t="s">
        <v>13</v>
      </c>
    </row>
  </sheetData>
  <autoFilter ref="A3:BA3" xr:uid="{07C18CE3-9BF9-4398-ABB2-4D453AC50FA9}"/>
  <sortState xmlns:xlrd2="http://schemas.microsoft.com/office/spreadsheetml/2017/richdata2" ref="A4:BA393">
    <sortCondition ref="G4:G100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C3AF-2E4C-40DF-8F0B-511162834D4D}">
  <dimension ref="A1:BA301"/>
  <sheetViews>
    <sheetView workbookViewId="0"/>
  </sheetViews>
  <sheetFormatPr defaultRowHeight="15" x14ac:dyDescent="0.25"/>
  <cols>
    <col min="7" max="7" width="9.5703125" style="25" bestFit="1" customWidth="1"/>
  </cols>
  <sheetData>
    <row r="1" spans="1:53" x14ac:dyDescent="0.25">
      <c r="G1" s="26">
        <v>4000</v>
      </c>
    </row>
    <row r="2" spans="1:53" x14ac:dyDescent="0.25">
      <c r="G2" s="26">
        <f>SUBTOTAL(9,G4:G1000002)</f>
        <v>4085.4799999999996</v>
      </c>
    </row>
    <row r="3" spans="1:53" s="3" customFormat="1" x14ac:dyDescent="0.25">
      <c r="A3" s="3" t="s">
        <v>194</v>
      </c>
      <c r="B3" s="3" t="s">
        <v>195</v>
      </c>
      <c r="C3" s="3" t="s">
        <v>196</v>
      </c>
      <c r="D3" s="3" t="s">
        <v>197</v>
      </c>
      <c r="E3" s="3" t="s">
        <v>198</v>
      </c>
      <c r="F3" s="3" t="s">
        <v>199</v>
      </c>
      <c r="G3" s="26" t="s">
        <v>200</v>
      </c>
      <c r="H3" s="3" t="s">
        <v>201</v>
      </c>
      <c r="I3" s="3" t="s">
        <v>202</v>
      </c>
      <c r="J3" s="3" t="s">
        <v>203</v>
      </c>
      <c r="K3" s="3" t="s">
        <v>204</v>
      </c>
      <c r="L3" s="3" t="s">
        <v>205</v>
      </c>
      <c r="M3" s="3" t="s">
        <v>206</v>
      </c>
      <c r="N3" s="3" t="s">
        <v>207</v>
      </c>
      <c r="O3" s="3" t="s">
        <v>208</v>
      </c>
      <c r="P3" s="3" t="s">
        <v>209</v>
      </c>
      <c r="Q3" s="3" t="s">
        <v>210</v>
      </c>
      <c r="R3" s="3" t="s">
        <v>211</v>
      </c>
      <c r="S3" s="3" t="s">
        <v>212</v>
      </c>
      <c r="T3" s="3" t="s">
        <v>213</v>
      </c>
      <c r="U3" s="3" t="s">
        <v>214</v>
      </c>
      <c r="V3" s="3" t="s">
        <v>215</v>
      </c>
      <c r="W3" s="3" t="s">
        <v>216</v>
      </c>
      <c r="X3" s="3" t="s">
        <v>217</v>
      </c>
      <c r="Y3" s="3" t="s">
        <v>218</v>
      </c>
      <c r="Z3" s="3" t="s">
        <v>219</v>
      </c>
      <c r="AA3" s="3" t="s">
        <v>220</v>
      </c>
      <c r="AB3" s="3" t="s">
        <v>221</v>
      </c>
      <c r="AC3" s="3" t="s">
        <v>222</v>
      </c>
      <c r="AD3" s="3" t="s">
        <v>223</v>
      </c>
      <c r="AE3" s="3" t="s">
        <v>224</v>
      </c>
      <c r="AF3" s="3" t="s">
        <v>225</v>
      </c>
      <c r="AG3" s="3" t="s">
        <v>226</v>
      </c>
      <c r="AH3" s="3" t="s">
        <v>227</v>
      </c>
      <c r="AI3" s="3" t="s">
        <v>228</v>
      </c>
      <c r="AJ3" s="3" t="s">
        <v>229</v>
      </c>
      <c r="AK3" s="3" t="s">
        <v>230</v>
      </c>
      <c r="AL3" s="3" t="s">
        <v>231</v>
      </c>
      <c r="AM3" s="3" t="s">
        <v>232</v>
      </c>
      <c r="AN3" s="3" t="s">
        <v>233</v>
      </c>
      <c r="AO3" s="3" t="s">
        <v>234</v>
      </c>
      <c r="AP3" s="3" t="s">
        <v>235</v>
      </c>
      <c r="AQ3" s="3" t="s">
        <v>236</v>
      </c>
      <c r="AR3" s="3" t="s">
        <v>237</v>
      </c>
      <c r="AS3" s="3" t="s">
        <v>238</v>
      </c>
      <c r="AT3" s="3" t="s">
        <v>239</v>
      </c>
      <c r="AU3" s="3" t="s">
        <v>240</v>
      </c>
      <c r="AV3" s="3" t="s">
        <v>241</v>
      </c>
      <c r="AW3" s="3" t="s">
        <v>242</v>
      </c>
      <c r="AX3" s="3" t="s">
        <v>243</v>
      </c>
      <c r="AY3" s="3" t="s">
        <v>244</v>
      </c>
      <c r="AZ3" s="3" t="s">
        <v>245</v>
      </c>
      <c r="BA3" s="3" t="s">
        <v>19</v>
      </c>
    </row>
    <row r="4" spans="1:53" x14ac:dyDescent="0.25">
      <c r="A4" t="s">
        <v>134</v>
      </c>
      <c r="B4" t="s">
        <v>135</v>
      </c>
      <c r="C4">
        <v>22002524</v>
      </c>
      <c r="D4">
        <v>1206</v>
      </c>
      <c r="E4" s="11">
        <v>44778</v>
      </c>
      <c r="F4" t="s">
        <v>174</v>
      </c>
      <c r="G4" s="25">
        <v>7.0000000000000007E-2</v>
      </c>
      <c r="H4">
        <v>7.0000000000000007E-2</v>
      </c>
      <c r="I4" t="s">
        <v>56</v>
      </c>
      <c r="O4" t="s">
        <v>57</v>
      </c>
      <c r="Q4" t="s">
        <v>57</v>
      </c>
      <c r="R4" t="s">
        <v>137</v>
      </c>
      <c r="T4" t="s">
        <v>59</v>
      </c>
      <c r="U4" t="s">
        <v>60</v>
      </c>
      <c r="V4" t="s">
        <v>138</v>
      </c>
      <c r="W4" t="s">
        <v>139</v>
      </c>
      <c r="X4">
        <v>1928766</v>
      </c>
      <c r="Y4" s="11">
        <v>44778</v>
      </c>
      <c r="Z4" t="s">
        <v>57</v>
      </c>
      <c r="AA4">
        <v>10</v>
      </c>
      <c r="AB4" t="s">
        <v>57</v>
      </c>
      <c r="AD4" t="s">
        <v>57</v>
      </c>
      <c r="AE4" t="s">
        <v>57</v>
      </c>
      <c r="AF4" t="s">
        <v>57</v>
      </c>
      <c r="AG4">
        <v>1</v>
      </c>
      <c r="AH4" t="s">
        <v>57</v>
      </c>
      <c r="AL4" t="s">
        <v>57</v>
      </c>
      <c r="AM4" s="11">
        <v>44778</v>
      </c>
      <c r="AN4" t="s">
        <v>184</v>
      </c>
      <c r="AO4" t="s">
        <v>65</v>
      </c>
      <c r="AP4">
        <v>1206</v>
      </c>
      <c r="AQ4" t="s">
        <v>66</v>
      </c>
      <c r="AR4">
        <v>88799</v>
      </c>
      <c r="AU4" t="s">
        <v>57</v>
      </c>
      <c r="AV4" t="s">
        <v>68</v>
      </c>
      <c r="AX4" t="s">
        <v>57</v>
      </c>
      <c r="AY4">
        <v>631110</v>
      </c>
      <c r="AZ4">
        <v>1206.63111</v>
      </c>
      <c r="BA4" s="23" t="s">
        <v>14</v>
      </c>
    </row>
    <row r="5" spans="1:53" x14ac:dyDescent="0.25">
      <c r="A5" t="s">
        <v>134</v>
      </c>
      <c r="B5" t="s">
        <v>135</v>
      </c>
      <c r="C5">
        <v>22002508</v>
      </c>
      <c r="D5">
        <v>1206</v>
      </c>
      <c r="E5" s="11">
        <v>44777</v>
      </c>
      <c r="F5" t="s">
        <v>174</v>
      </c>
      <c r="G5" s="25">
        <v>0.12</v>
      </c>
      <c r="H5">
        <v>0.12</v>
      </c>
      <c r="I5" t="s">
        <v>56</v>
      </c>
      <c r="O5" t="s">
        <v>57</v>
      </c>
      <c r="Q5" t="s">
        <v>57</v>
      </c>
      <c r="R5" t="s">
        <v>137</v>
      </c>
      <c r="T5" t="s">
        <v>59</v>
      </c>
      <c r="U5" t="s">
        <v>60</v>
      </c>
      <c r="V5" t="s">
        <v>138</v>
      </c>
      <c r="W5" t="s">
        <v>139</v>
      </c>
      <c r="X5">
        <v>1927633</v>
      </c>
      <c r="Y5" s="11">
        <v>44777</v>
      </c>
      <c r="Z5" t="s">
        <v>57</v>
      </c>
      <c r="AA5">
        <v>6</v>
      </c>
      <c r="AB5" t="s">
        <v>57</v>
      </c>
      <c r="AD5" t="s">
        <v>57</v>
      </c>
      <c r="AE5" t="s">
        <v>57</v>
      </c>
      <c r="AF5" t="s">
        <v>57</v>
      </c>
      <c r="AG5">
        <v>1</v>
      </c>
      <c r="AH5" t="s">
        <v>57</v>
      </c>
      <c r="AL5" t="s">
        <v>57</v>
      </c>
      <c r="AM5" s="11">
        <v>44777</v>
      </c>
      <c r="AN5" t="s">
        <v>184</v>
      </c>
      <c r="AO5" t="s">
        <v>65</v>
      </c>
      <c r="AP5">
        <v>1206</v>
      </c>
      <c r="AQ5" t="s">
        <v>66</v>
      </c>
      <c r="AR5">
        <v>226150</v>
      </c>
      <c r="AU5" t="s">
        <v>57</v>
      </c>
      <c r="AV5" t="s">
        <v>68</v>
      </c>
      <c r="AX5" t="s">
        <v>57</v>
      </c>
      <c r="AY5">
        <v>631110</v>
      </c>
      <c r="AZ5">
        <v>1206.63111</v>
      </c>
      <c r="BA5" s="23" t="s">
        <v>14</v>
      </c>
    </row>
    <row r="6" spans="1:53" x14ac:dyDescent="0.25">
      <c r="A6" t="s">
        <v>134</v>
      </c>
      <c r="B6" t="s">
        <v>135</v>
      </c>
      <c r="C6">
        <v>22002524</v>
      </c>
      <c r="D6">
        <v>1206</v>
      </c>
      <c r="E6" s="11">
        <v>44778</v>
      </c>
      <c r="F6" t="s">
        <v>174</v>
      </c>
      <c r="G6" s="25">
        <v>0.12</v>
      </c>
      <c r="H6">
        <v>0.12</v>
      </c>
      <c r="I6" t="s">
        <v>56</v>
      </c>
      <c r="O6" t="s">
        <v>57</v>
      </c>
      <c r="Q6" t="s">
        <v>57</v>
      </c>
      <c r="R6" t="s">
        <v>137</v>
      </c>
      <c r="T6" t="s">
        <v>59</v>
      </c>
      <c r="U6" t="s">
        <v>60</v>
      </c>
      <c r="V6" t="s">
        <v>138</v>
      </c>
      <c r="W6" t="s">
        <v>139</v>
      </c>
      <c r="X6">
        <v>1928766</v>
      </c>
      <c r="Y6" s="11">
        <v>44778</v>
      </c>
      <c r="Z6" t="s">
        <v>57</v>
      </c>
      <c r="AA6">
        <v>6</v>
      </c>
      <c r="AB6" t="s">
        <v>57</v>
      </c>
      <c r="AD6" t="s">
        <v>57</v>
      </c>
      <c r="AE6" t="s">
        <v>57</v>
      </c>
      <c r="AF6" t="s">
        <v>57</v>
      </c>
      <c r="AG6">
        <v>1</v>
      </c>
      <c r="AH6" t="s">
        <v>57</v>
      </c>
      <c r="AL6" t="s">
        <v>57</v>
      </c>
      <c r="AM6" s="11">
        <v>44778</v>
      </c>
      <c r="AN6" t="s">
        <v>184</v>
      </c>
      <c r="AO6" t="s">
        <v>65</v>
      </c>
      <c r="AP6">
        <v>1206</v>
      </c>
      <c r="AQ6" t="s">
        <v>66</v>
      </c>
      <c r="AR6">
        <v>226150</v>
      </c>
      <c r="AU6" t="s">
        <v>57</v>
      </c>
      <c r="AV6" t="s">
        <v>68</v>
      </c>
      <c r="AX6" t="s">
        <v>57</v>
      </c>
      <c r="AY6">
        <v>631110</v>
      </c>
      <c r="AZ6">
        <v>1206.63111</v>
      </c>
      <c r="BA6" s="23" t="s">
        <v>14</v>
      </c>
    </row>
    <row r="7" spans="1:53" x14ac:dyDescent="0.25">
      <c r="A7" t="s">
        <v>134</v>
      </c>
      <c r="B7" t="s">
        <v>135</v>
      </c>
      <c r="C7">
        <v>22002496</v>
      </c>
      <c r="D7">
        <v>1206</v>
      </c>
      <c r="E7" s="11">
        <v>44775</v>
      </c>
      <c r="F7" t="s">
        <v>174</v>
      </c>
      <c r="G7" s="25">
        <v>0.14000000000000001</v>
      </c>
      <c r="H7">
        <v>0.14000000000000001</v>
      </c>
      <c r="I7" t="s">
        <v>56</v>
      </c>
      <c r="O7" t="s">
        <v>57</v>
      </c>
      <c r="Q7" t="s">
        <v>57</v>
      </c>
      <c r="R7" t="s">
        <v>137</v>
      </c>
      <c r="T7" t="s">
        <v>59</v>
      </c>
      <c r="U7" t="s">
        <v>60</v>
      </c>
      <c r="V7" t="s">
        <v>138</v>
      </c>
      <c r="W7" t="s">
        <v>139</v>
      </c>
      <c r="X7">
        <v>1926655</v>
      </c>
      <c r="Y7" s="11">
        <v>44775</v>
      </c>
      <c r="Z7" t="s">
        <v>57</v>
      </c>
      <c r="AA7">
        <v>6</v>
      </c>
      <c r="AB7" t="s">
        <v>57</v>
      </c>
      <c r="AD7" t="s">
        <v>57</v>
      </c>
      <c r="AE7" t="s">
        <v>57</v>
      </c>
      <c r="AF7" t="s">
        <v>57</v>
      </c>
      <c r="AG7">
        <v>1</v>
      </c>
      <c r="AH7" t="s">
        <v>57</v>
      </c>
      <c r="AL7" t="s">
        <v>57</v>
      </c>
      <c r="AM7" s="11">
        <v>44775</v>
      </c>
      <c r="AN7" t="s">
        <v>184</v>
      </c>
      <c r="AO7" t="s">
        <v>65</v>
      </c>
      <c r="AP7">
        <v>1206</v>
      </c>
      <c r="AQ7" t="s">
        <v>66</v>
      </c>
      <c r="AR7">
        <v>90039</v>
      </c>
      <c r="AU7" t="s">
        <v>57</v>
      </c>
      <c r="AV7" t="s">
        <v>68</v>
      </c>
      <c r="AX7" t="s">
        <v>57</v>
      </c>
      <c r="AY7">
        <v>631110</v>
      </c>
      <c r="AZ7">
        <v>1206.63111</v>
      </c>
      <c r="BA7" s="23" t="s">
        <v>14</v>
      </c>
    </row>
    <row r="8" spans="1:53" x14ac:dyDescent="0.25">
      <c r="A8" t="s">
        <v>134</v>
      </c>
      <c r="B8" t="s">
        <v>135</v>
      </c>
      <c r="C8">
        <v>22002541</v>
      </c>
      <c r="D8">
        <v>1206</v>
      </c>
      <c r="E8" s="11">
        <v>44782</v>
      </c>
      <c r="F8" t="s">
        <v>174</v>
      </c>
      <c r="G8" s="25">
        <v>0.14000000000000001</v>
      </c>
      <c r="H8">
        <v>0.14000000000000001</v>
      </c>
      <c r="I8" t="s">
        <v>56</v>
      </c>
      <c r="O8" t="s">
        <v>57</v>
      </c>
      <c r="Q8" t="s">
        <v>57</v>
      </c>
      <c r="R8" t="s">
        <v>137</v>
      </c>
      <c r="T8" t="s">
        <v>59</v>
      </c>
      <c r="U8" t="s">
        <v>60</v>
      </c>
      <c r="V8" t="s">
        <v>138</v>
      </c>
      <c r="W8" t="s">
        <v>139</v>
      </c>
      <c r="X8">
        <v>1929848</v>
      </c>
      <c r="Y8" s="11">
        <v>44782</v>
      </c>
      <c r="Z8" t="s">
        <v>57</v>
      </c>
      <c r="AA8">
        <v>6</v>
      </c>
      <c r="AB8" t="s">
        <v>57</v>
      </c>
      <c r="AD8" t="s">
        <v>57</v>
      </c>
      <c r="AE8" t="s">
        <v>57</v>
      </c>
      <c r="AF8" t="s">
        <v>57</v>
      </c>
      <c r="AG8">
        <v>2</v>
      </c>
      <c r="AH8" t="s">
        <v>57</v>
      </c>
      <c r="AL8" t="s">
        <v>57</v>
      </c>
      <c r="AM8" s="11">
        <v>44782</v>
      </c>
      <c r="AN8" t="s">
        <v>184</v>
      </c>
      <c r="AO8" t="s">
        <v>65</v>
      </c>
      <c r="AP8">
        <v>1206</v>
      </c>
      <c r="AQ8" t="s">
        <v>66</v>
      </c>
      <c r="AR8">
        <v>88799</v>
      </c>
      <c r="AU8" t="s">
        <v>57</v>
      </c>
      <c r="AV8" t="s">
        <v>68</v>
      </c>
      <c r="AX8" t="s">
        <v>57</v>
      </c>
      <c r="AY8">
        <v>631110</v>
      </c>
      <c r="AZ8">
        <v>1206.63111</v>
      </c>
      <c r="BA8" s="23" t="s">
        <v>14</v>
      </c>
    </row>
    <row r="9" spans="1:53" x14ac:dyDescent="0.25">
      <c r="A9" t="s">
        <v>134</v>
      </c>
      <c r="B9" t="s">
        <v>135</v>
      </c>
      <c r="C9">
        <v>22002499</v>
      </c>
      <c r="D9">
        <v>1206</v>
      </c>
      <c r="E9" s="11">
        <v>44774</v>
      </c>
      <c r="F9" t="s">
        <v>185</v>
      </c>
      <c r="G9" s="25">
        <v>0.16</v>
      </c>
      <c r="H9">
        <v>0.16</v>
      </c>
      <c r="I9" t="s">
        <v>56</v>
      </c>
      <c r="O9" t="s">
        <v>57</v>
      </c>
      <c r="Q9" t="s">
        <v>57</v>
      </c>
      <c r="R9" t="s">
        <v>137</v>
      </c>
      <c r="T9" t="s">
        <v>59</v>
      </c>
      <c r="U9" t="s">
        <v>60</v>
      </c>
      <c r="V9" t="s">
        <v>138</v>
      </c>
      <c r="W9" t="s">
        <v>139</v>
      </c>
      <c r="X9">
        <v>1926722</v>
      </c>
      <c r="Y9" s="11">
        <v>44776</v>
      </c>
      <c r="Z9" t="s">
        <v>57</v>
      </c>
      <c r="AA9">
        <v>14</v>
      </c>
      <c r="AB9" t="s">
        <v>57</v>
      </c>
      <c r="AD9" t="s">
        <v>57</v>
      </c>
      <c r="AE9" t="s">
        <v>57</v>
      </c>
      <c r="AF9" t="s">
        <v>57</v>
      </c>
      <c r="AG9">
        <v>1</v>
      </c>
      <c r="AH9" t="s">
        <v>57</v>
      </c>
      <c r="AL9" t="s">
        <v>57</v>
      </c>
      <c r="AM9" s="11">
        <v>44774</v>
      </c>
      <c r="AN9" t="s">
        <v>183</v>
      </c>
      <c r="AO9" t="s">
        <v>65</v>
      </c>
      <c r="AP9">
        <v>1206</v>
      </c>
      <c r="AQ9" t="s">
        <v>66</v>
      </c>
      <c r="AR9">
        <v>265528</v>
      </c>
      <c r="AU9" t="s">
        <v>57</v>
      </c>
      <c r="AV9" t="s">
        <v>68</v>
      </c>
      <c r="AX9" t="s">
        <v>57</v>
      </c>
      <c r="AY9">
        <v>631110</v>
      </c>
      <c r="AZ9">
        <v>1206.63111</v>
      </c>
      <c r="BA9" s="23" t="s">
        <v>14</v>
      </c>
    </row>
    <row r="10" spans="1:53" x14ac:dyDescent="0.25">
      <c r="A10" t="s">
        <v>134</v>
      </c>
      <c r="B10" t="s">
        <v>135</v>
      </c>
      <c r="C10">
        <v>22002500</v>
      </c>
      <c r="D10">
        <v>1206</v>
      </c>
      <c r="E10" s="11">
        <v>44775</v>
      </c>
      <c r="F10" t="s">
        <v>185</v>
      </c>
      <c r="G10" s="25">
        <v>0.16</v>
      </c>
      <c r="H10">
        <v>0.16</v>
      </c>
      <c r="I10" t="s">
        <v>56</v>
      </c>
      <c r="O10" t="s">
        <v>57</v>
      </c>
      <c r="Q10" t="s">
        <v>57</v>
      </c>
      <c r="R10" t="s">
        <v>137</v>
      </c>
      <c r="T10" t="s">
        <v>59</v>
      </c>
      <c r="U10" t="s">
        <v>60</v>
      </c>
      <c r="V10" t="s">
        <v>138</v>
      </c>
      <c r="W10" t="s">
        <v>139</v>
      </c>
      <c r="X10">
        <v>1926722</v>
      </c>
      <c r="Y10" s="11">
        <v>44776</v>
      </c>
      <c r="Z10" t="s">
        <v>57</v>
      </c>
      <c r="AA10">
        <v>8</v>
      </c>
      <c r="AB10" t="s">
        <v>57</v>
      </c>
      <c r="AD10" t="s">
        <v>57</v>
      </c>
      <c r="AE10" t="s">
        <v>57</v>
      </c>
      <c r="AF10" t="s">
        <v>57</v>
      </c>
      <c r="AG10">
        <v>1</v>
      </c>
      <c r="AH10" t="s">
        <v>57</v>
      </c>
      <c r="AL10" t="s">
        <v>57</v>
      </c>
      <c r="AM10" s="11">
        <v>44775</v>
      </c>
      <c r="AN10" t="s">
        <v>183</v>
      </c>
      <c r="AO10" t="s">
        <v>65</v>
      </c>
      <c r="AP10">
        <v>1206</v>
      </c>
      <c r="AQ10" t="s">
        <v>66</v>
      </c>
      <c r="AR10">
        <v>265528</v>
      </c>
      <c r="AU10" t="s">
        <v>57</v>
      </c>
      <c r="AV10" t="s">
        <v>68</v>
      </c>
      <c r="AX10" t="s">
        <v>57</v>
      </c>
      <c r="AY10">
        <v>631110</v>
      </c>
      <c r="AZ10">
        <v>1206.63111</v>
      </c>
      <c r="BA10" s="23" t="s">
        <v>14</v>
      </c>
    </row>
    <row r="11" spans="1:53" x14ac:dyDescent="0.25">
      <c r="A11" t="s">
        <v>134</v>
      </c>
      <c r="B11" t="s">
        <v>135</v>
      </c>
      <c r="C11">
        <v>22002505</v>
      </c>
      <c r="D11">
        <v>1206</v>
      </c>
      <c r="E11" s="11">
        <v>44776</v>
      </c>
      <c r="F11" t="s">
        <v>185</v>
      </c>
      <c r="G11" s="25">
        <v>0.41</v>
      </c>
      <c r="H11">
        <v>0.41</v>
      </c>
      <c r="I11" t="s">
        <v>56</v>
      </c>
      <c r="O11" t="s">
        <v>57</v>
      </c>
      <c r="Q11" t="s">
        <v>57</v>
      </c>
      <c r="R11" t="s">
        <v>137</v>
      </c>
      <c r="T11" t="s">
        <v>59</v>
      </c>
      <c r="U11" t="s">
        <v>60</v>
      </c>
      <c r="V11" t="s">
        <v>138</v>
      </c>
      <c r="W11" t="s">
        <v>139</v>
      </c>
      <c r="X11">
        <v>1927077</v>
      </c>
      <c r="Y11" s="11">
        <v>44777</v>
      </c>
      <c r="Z11" t="s">
        <v>57</v>
      </c>
      <c r="AA11">
        <v>10</v>
      </c>
      <c r="AB11" t="s">
        <v>57</v>
      </c>
      <c r="AD11" t="s">
        <v>57</v>
      </c>
      <c r="AE11" t="s">
        <v>57</v>
      </c>
      <c r="AF11" t="s">
        <v>57</v>
      </c>
      <c r="AG11">
        <v>5</v>
      </c>
      <c r="AH11" t="s">
        <v>57</v>
      </c>
      <c r="AL11" t="s">
        <v>57</v>
      </c>
      <c r="AM11" s="11">
        <v>44776</v>
      </c>
      <c r="AN11" t="s">
        <v>183</v>
      </c>
      <c r="AO11" t="s">
        <v>65</v>
      </c>
      <c r="AP11">
        <v>1206</v>
      </c>
      <c r="AQ11" t="s">
        <v>66</v>
      </c>
      <c r="AR11">
        <v>93455</v>
      </c>
      <c r="AU11" t="s">
        <v>57</v>
      </c>
      <c r="AV11" t="s">
        <v>68</v>
      </c>
      <c r="AX11" t="s">
        <v>57</v>
      </c>
      <c r="AY11">
        <v>631110</v>
      </c>
      <c r="AZ11">
        <v>1206.63111</v>
      </c>
      <c r="BA11" s="23" t="s">
        <v>14</v>
      </c>
    </row>
    <row r="12" spans="1:53" x14ac:dyDescent="0.25">
      <c r="A12" t="s">
        <v>134</v>
      </c>
      <c r="B12" t="s">
        <v>135</v>
      </c>
      <c r="C12">
        <v>22002495</v>
      </c>
      <c r="D12">
        <v>1206</v>
      </c>
      <c r="E12" s="11">
        <v>44775</v>
      </c>
      <c r="F12" t="s">
        <v>174</v>
      </c>
      <c r="G12" s="25">
        <v>0.47</v>
      </c>
      <c r="H12">
        <v>0.47</v>
      </c>
      <c r="I12" t="s">
        <v>56</v>
      </c>
      <c r="O12" t="s">
        <v>57</v>
      </c>
      <c r="Q12" t="s">
        <v>57</v>
      </c>
      <c r="R12" t="s">
        <v>137</v>
      </c>
      <c r="T12" t="s">
        <v>59</v>
      </c>
      <c r="U12" t="s">
        <v>60</v>
      </c>
      <c r="V12" t="s">
        <v>138</v>
      </c>
      <c r="W12" t="s">
        <v>139</v>
      </c>
      <c r="X12">
        <v>1926655</v>
      </c>
      <c r="Y12" s="11">
        <v>44775</v>
      </c>
      <c r="Z12" t="s">
        <v>57</v>
      </c>
      <c r="AA12">
        <v>4</v>
      </c>
      <c r="AB12" t="s">
        <v>57</v>
      </c>
      <c r="AD12" t="s">
        <v>57</v>
      </c>
      <c r="AE12" t="s">
        <v>57</v>
      </c>
      <c r="AF12" t="s">
        <v>57</v>
      </c>
      <c r="AG12">
        <v>1</v>
      </c>
      <c r="AH12" t="s">
        <v>57</v>
      </c>
      <c r="AL12" t="s">
        <v>57</v>
      </c>
      <c r="AM12" s="11">
        <v>44775</v>
      </c>
      <c r="AN12" t="s">
        <v>184</v>
      </c>
      <c r="AO12" t="s">
        <v>65</v>
      </c>
      <c r="AP12">
        <v>1206</v>
      </c>
      <c r="AQ12" t="s">
        <v>66</v>
      </c>
      <c r="AR12">
        <v>267365</v>
      </c>
      <c r="AU12" t="s">
        <v>57</v>
      </c>
      <c r="AV12" t="s">
        <v>68</v>
      </c>
      <c r="AX12" t="s">
        <v>57</v>
      </c>
      <c r="AY12">
        <v>631110</v>
      </c>
      <c r="AZ12">
        <v>1206.63111</v>
      </c>
      <c r="BA12" s="23" t="s">
        <v>14</v>
      </c>
    </row>
    <row r="13" spans="1:53" x14ac:dyDescent="0.25">
      <c r="A13" t="s">
        <v>134</v>
      </c>
      <c r="B13" t="s">
        <v>135</v>
      </c>
      <c r="C13">
        <v>22002492</v>
      </c>
      <c r="D13">
        <v>1206</v>
      </c>
      <c r="E13" s="11">
        <v>44775</v>
      </c>
      <c r="F13" t="s">
        <v>174</v>
      </c>
      <c r="G13" s="25">
        <v>0.48</v>
      </c>
      <c r="H13">
        <v>0.48</v>
      </c>
      <c r="I13" t="s">
        <v>56</v>
      </c>
      <c r="O13" t="s">
        <v>57</v>
      </c>
      <c r="Q13" t="s">
        <v>57</v>
      </c>
      <c r="R13" t="s">
        <v>137</v>
      </c>
      <c r="T13" t="s">
        <v>59</v>
      </c>
      <c r="U13" t="s">
        <v>60</v>
      </c>
      <c r="V13" t="s">
        <v>138</v>
      </c>
      <c r="W13" t="s">
        <v>139</v>
      </c>
      <c r="X13">
        <v>1926655</v>
      </c>
      <c r="Y13" s="11">
        <v>44775</v>
      </c>
      <c r="Z13" t="s">
        <v>57</v>
      </c>
      <c r="AA13">
        <v>8</v>
      </c>
      <c r="AB13" t="s">
        <v>57</v>
      </c>
      <c r="AD13" t="s">
        <v>57</v>
      </c>
      <c r="AE13" t="s">
        <v>57</v>
      </c>
      <c r="AF13" t="s">
        <v>57</v>
      </c>
      <c r="AG13">
        <v>1</v>
      </c>
      <c r="AH13" t="s">
        <v>57</v>
      </c>
      <c r="AL13" t="s">
        <v>57</v>
      </c>
      <c r="AM13" s="11">
        <v>44775</v>
      </c>
      <c r="AN13" t="s">
        <v>184</v>
      </c>
      <c r="AO13" t="s">
        <v>65</v>
      </c>
      <c r="AP13">
        <v>1206</v>
      </c>
      <c r="AQ13" t="s">
        <v>66</v>
      </c>
      <c r="AR13">
        <v>90122</v>
      </c>
      <c r="AU13" t="s">
        <v>57</v>
      </c>
      <c r="AV13" t="s">
        <v>68</v>
      </c>
      <c r="AX13" t="s">
        <v>57</v>
      </c>
      <c r="AY13">
        <v>631110</v>
      </c>
      <c r="AZ13">
        <v>1206.63111</v>
      </c>
      <c r="BA13" s="23" t="s">
        <v>14</v>
      </c>
    </row>
    <row r="14" spans="1:53" x14ac:dyDescent="0.25">
      <c r="A14" t="s">
        <v>134</v>
      </c>
      <c r="B14" t="s">
        <v>135</v>
      </c>
      <c r="C14">
        <v>22002497</v>
      </c>
      <c r="D14">
        <v>1206</v>
      </c>
      <c r="E14" s="11">
        <v>44775</v>
      </c>
      <c r="F14" t="s">
        <v>174</v>
      </c>
      <c r="G14" s="25">
        <v>0.48</v>
      </c>
      <c r="H14">
        <v>0.48</v>
      </c>
      <c r="I14" t="s">
        <v>56</v>
      </c>
      <c r="O14" t="s">
        <v>57</v>
      </c>
      <c r="Q14" t="s">
        <v>57</v>
      </c>
      <c r="R14" t="s">
        <v>137</v>
      </c>
      <c r="T14" t="s">
        <v>59</v>
      </c>
      <c r="U14" t="s">
        <v>60</v>
      </c>
      <c r="V14" t="s">
        <v>138</v>
      </c>
      <c r="W14" t="s">
        <v>139</v>
      </c>
      <c r="X14">
        <v>1926655</v>
      </c>
      <c r="Y14" s="11">
        <v>44775</v>
      </c>
      <c r="Z14" t="s">
        <v>57</v>
      </c>
      <c r="AA14">
        <v>2</v>
      </c>
      <c r="AB14" t="s">
        <v>57</v>
      </c>
      <c r="AD14" t="s">
        <v>57</v>
      </c>
      <c r="AE14" t="s">
        <v>57</v>
      </c>
      <c r="AF14" t="s">
        <v>57</v>
      </c>
      <c r="AG14">
        <v>1</v>
      </c>
      <c r="AH14" t="s">
        <v>57</v>
      </c>
      <c r="AL14" t="s">
        <v>57</v>
      </c>
      <c r="AM14" s="11">
        <v>44775</v>
      </c>
      <c r="AN14" t="s">
        <v>184</v>
      </c>
      <c r="AO14" t="s">
        <v>65</v>
      </c>
      <c r="AP14">
        <v>1206</v>
      </c>
      <c r="AQ14" t="s">
        <v>66</v>
      </c>
      <c r="AR14">
        <v>90122</v>
      </c>
      <c r="AU14" t="s">
        <v>57</v>
      </c>
      <c r="AV14" t="s">
        <v>68</v>
      </c>
      <c r="AX14" t="s">
        <v>57</v>
      </c>
      <c r="AY14">
        <v>631110</v>
      </c>
      <c r="AZ14">
        <v>1206.63111</v>
      </c>
      <c r="BA14" s="23" t="s">
        <v>14</v>
      </c>
    </row>
    <row r="15" spans="1:53" x14ac:dyDescent="0.25">
      <c r="A15" t="s">
        <v>134</v>
      </c>
      <c r="B15" t="s">
        <v>135</v>
      </c>
      <c r="C15">
        <v>22002560</v>
      </c>
      <c r="D15">
        <v>1206</v>
      </c>
      <c r="E15" s="11">
        <v>44784</v>
      </c>
      <c r="F15" t="s">
        <v>174</v>
      </c>
      <c r="G15" s="25">
        <v>0.48</v>
      </c>
      <c r="H15">
        <v>0.48</v>
      </c>
      <c r="I15" t="s">
        <v>56</v>
      </c>
      <c r="O15" t="s">
        <v>57</v>
      </c>
      <c r="Q15" t="s">
        <v>57</v>
      </c>
      <c r="R15" t="s">
        <v>137</v>
      </c>
      <c r="T15" t="s">
        <v>59</v>
      </c>
      <c r="U15" t="s">
        <v>60</v>
      </c>
      <c r="V15" t="s">
        <v>138</v>
      </c>
      <c r="W15" t="s">
        <v>139</v>
      </c>
      <c r="X15">
        <v>1930489</v>
      </c>
      <c r="Y15" s="11">
        <v>44784</v>
      </c>
      <c r="Z15" t="s">
        <v>57</v>
      </c>
      <c r="AA15">
        <v>2</v>
      </c>
      <c r="AB15" t="s">
        <v>57</v>
      </c>
      <c r="AD15" t="s">
        <v>57</v>
      </c>
      <c r="AE15" t="s">
        <v>57</v>
      </c>
      <c r="AF15" t="s">
        <v>57</v>
      </c>
      <c r="AG15">
        <v>1</v>
      </c>
      <c r="AH15" t="s">
        <v>57</v>
      </c>
      <c r="AL15" t="s">
        <v>57</v>
      </c>
      <c r="AM15" s="11">
        <v>44784</v>
      </c>
      <c r="AN15" t="s">
        <v>184</v>
      </c>
      <c r="AO15" t="s">
        <v>65</v>
      </c>
      <c r="AP15">
        <v>1206</v>
      </c>
      <c r="AQ15" t="s">
        <v>66</v>
      </c>
      <c r="AR15">
        <v>90122</v>
      </c>
      <c r="AU15" t="s">
        <v>57</v>
      </c>
      <c r="AV15" t="s">
        <v>68</v>
      </c>
      <c r="AX15" t="s">
        <v>57</v>
      </c>
      <c r="AY15">
        <v>631110</v>
      </c>
      <c r="AZ15">
        <v>1206.63111</v>
      </c>
      <c r="BA15" s="23" t="s">
        <v>14</v>
      </c>
    </row>
    <row r="16" spans="1:53" x14ac:dyDescent="0.25">
      <c r="A16" t="s">
        <v>134</v>
      </c>
      <c r="B16" t="s">
        <v>135</v>
      </c>
      <c r="C16">
        <v>22002586</v>
      </c>
      <c r="D16">
        <v>1206</v>
      </c>
      <c r="E16" s="11">
        <v>44788</v>
      </c>
      <c r="F16" t="s">
        <v>174</v>
      </c>
      <c r="G16" s="25">
        <v>0.48</v>
      </c>
      <c r="H16">
        <v>0.48</v>
      </c>
      <c r="I16" t="s">
        <v>56</v>
      </c>
      <c r="O16" t="s">
        <v>57</v>
      </c>
      <c r="Q16" t="s">
        <v>57</v>
      </c>
      <c r="R16" t="s">
        <v>137</v>
      </c>
      <c r="T16" t="s">
        <v>59</v>
      </c>
      <c r="U16" t="s">
        <v>60</v>
      </c>
      <c r="V16" t="s">
        <v>138</v>
      </c>
      <c r="W16" t="s">
        <v>139</v>
      </c>
      <c r="X16">
        <v>1933170</v>
      </c>
      <c r="Y16" s="11">
        <v>44789</v>
      </c>
      <c r="Z16" t="s">
        <v>57</v>
      </c>
      <c r="AA16">
        <v>6</v>
      </c>
      <c r="AB16" t="s">
        <v>57</v>
      </c>
      <c r="AD16" t="s">
        <v>57</v>
      </c>
      <c r="AE16" t="s">
        <v>57</v>
      </c>
      <c r="AF16" t="s">
        <v>57</v>
      </c>
      <c r="AG16">
        <v>1</v>
      </c>
      <c r="AH16" t="s">
        <v>57</v>
      </c>
      <c r="AL16" t="s">
        <v>57</v>
      </c>
      <c r="AM16" s="11">
        <v>44788</v>
      </c>
      <c r="AN16" t="s">
        <v>184</v>
      </c>
      <c r="AO16" t="s">
        <v>65</v>
      </c>
      <c r="AP16">
        <v>1206</v>
      </c>
      <c r="AQ16" t="s">
        <v>66</v>
      </c>
      <c r="AR16">
        <v>232942</v>
      </c>
      <c r="AU16" t="s">
        <v>57</v>
      </c>
      <c r="AV16" t="s">
        <v>68</v>
      </c>
      <c r="AX16" t="s">
        <v>57</v>
      </c>
      <c r="AY16">
        <v>631110</v>
      </c>
      <c r="AZ16">
        <v>1206.63111</v>
      </c>
      <c r="BA16" s="23" t="s">
        <v>14</v>
      </c>
    </row>
    <row r="17" spans="1:53" x14ac:dyDescent="0.25">
      <c r="A17" t="s">
        <v>134</v>
      </c>
      <c r="B17" t="s">
        <v>135</v>
      </c>
      <c r="C17">
        <v>22002601</v>
      </c>
      <c r="D17">
        <v>1206</v>
      </c>
      <c r="E17" s="11">
        <v>44791</v>
      </c>
      <c r="F17" t="s">
        <v>174</v>
      </c>
      <c r="G17" s="25">
        <v>0.48</v>
      </c>
      <c r="H17">
        <v>0.48</v>
      </c>
      <c r="I17" t="s">
        <v>56</v>
      </c>
      <c r="O17" t="s">
        <v>57</v>
      </c>
      <c r="Q17" t="s">
        <v>57</v>
      </c>
      <c r="R17" t="s">
        <v>137</v>
      </c>
      <c r="T17" t="s">
        <v>59</v>
      </c>
      <c r="U17" t="s">
        <v>60</v>
      </c>
      <c r="V17" t="s">
        <v>138</v>
      </c>
      <c r="W17" t="s">
        <v>139</v>
      </c>
      <c r="X17">
        <v>1934071</v>
      </c>
      <c r="Y17" s="11">
        <v>44792</v>
      </c>
      <c r="Z17" t="s">
        <v>57</v>
      </c>
      <c r="AA17">
        <v>4</v>
      </c>
      <c r="AB17" t="s">
        <v>57</v>
      </c>
      <c r="AD17" t="s">
        <v>57</v>
      </c>
      <c r="AE17" t="s">
        <v>57</v>
      </c>
      <c r="AF17" t="s">
        <v>57</v>
      </c>
      <c r="AG17">
        <v>1</v>
      </c>
      <c r="AH17" t="s">
        <v>57</v>
      </c>
      <c r="AL17" t="s">
        <v>57</v>
      </c>
      <c r="AM17" s="11">
        <v>44791</v>
      </c>
      <c r="AN17" t="s">
        <v>184</v>
      </c>
      <c r="AO17" t="s">
        <v>65</v>
      </c>
      <c r="AP17">
        <v>1206</v>
      </c>
      <c r="AQ17" t="s">
        <v>66</v>
      </c>
      <c r="AR17">
        <v>90122</v>
      </c>
      <c r="AU17" t="s">
        <v>57</v>
      </c>
      <c r="AV17" t="s">
        <v>68</v>
      </c>
      <c r="AX17" t="s">
        <v>57</v>
      </c>
      <c r="AY17">
        <v>631110</v>
      </c>
      <c r="AZ17">
        <v>1206.63111</v>
      </c>
      <c r="BA17" s="23" t="s">
        <v>14</v>
      </c>
    </row>
    <row r="18" spans="1:53" x14ac:dyDescent="0.25">
      <c r="A18" t="s">
        <v>134</v>
      </c>
      <c r="B18" t="s">
        <v>135</v>
      </c>
      <c r="C18">
        <v>22002607</v>
      </c>
      <c r="D18">
        <v>1206</v>
      </c>
      <c r="E18" s="11">
        <v>44792</v>
      </c>
      <c r="F18" t="s">
        <v>174</v>
      </c>
      <c r="G18" s="25">
        <v>0.48</v>
      </c>
      <c r="H18">
        <v>0.48</v>
      </c>
      <c r="I18" t="s">
        <v>56</v>
      </c>
      <c r="O18" t="s">
        <v>57</v>
      </c>
      <c r="Q18" t="s">
        <v>57</v>
      </c>
      <c r="R18" t="s">
        <v>137</v>
      </c>
      <c r="T18" t="s">
        <v>59</v>
      </c>
      <c r="U18" t="s">
        <v>60</v>
      </c>
      <c r="V18" t="s">
        <v>138</v>
      </c>
      <c r="W18" t="s">
        <v>139</v>
      </c>
      <c r="X18">
        <v>1934080</v>
      </c>
      <c r="Y18" s="11">
        <v>44792</v>
      </c>
      <c r="Z18" t="s">
        <v>57</v>
      </c>
      <c r="AA18">
        <v>2</v>
      </c>
      <c r="AB18" t="s">
        <v>57</v>
      </c>
      <c r="AD18" t="s">
        <v>57</v>
      </c>
      <c r="AE18" t="s">
        <v>57</v>
      </c>
      <c r="AF18" t="s">
        <v>57</v>
      </c>
      <c r="AG18">
        <v>1</v>
      </c>
      <c r="AH18" t="s">
        <v>57</v>
      </c>
      <c r="AL18" t="s">
        <v>57</v>
      </c>
      <c r="AM18" s="11">
        <v>44792</v>
      </c>
      <c r="AN18" t="s">
        <v>184</v>
      </c>
      <c r="AO18" t="s">
        <v>65</v>
      </c>
      <c r="AP18">
        <v>1206</v>
      </c>
      <c r="AQ18" t="s">
        <v>66</v>
      </c>
      <c r="AR18">
        <v>90122</v>
      </c>
      <c r="AU18" t="s">
        <v>57</v>
      </c>
      <c r="AV18" t="s">
        <v>68</v>
      </c>
      <c r="AX18" t="s">
        <v>57</v>
      </c>
      <c r="AY18">
        <v>631110</v>
      </c>
      <c r="AZ18">
        <v>1206.63111</v>
      </c>
      <c r="BA18" s="23" t="s">
        <v>14</v>
      </c>
    </row>
    <row r="19" spans="1:53" x14ac:dyDescent="0.25">
      <c r="A19" t="s">
        <v>134</v>
      </c>
      <c r="B19" t="s">
        <v>135</v>
      </c>
      <c r="C19">
        <v>22002486</v>
      </c>
      <c r="D19">
        <v>1206</v>
      </c>
      <c r="E19" s="11">
        <v>44774</v>
      </c>
      <c r="F19" t="s">
        <v>174</v>
      </c>
      <c r="G19" s="25">
        <v>0.53</v>
      </c>
      <c r="H19">
        <v>0.53</v>
      </c>
      <c r="I19" t="s">
        <v>56</v>
      </c>
      <c r="O19" t="s">
        <v>57</v>
      </c>
      <c r="Q19" t="s">
        <v>57</v>
      </c>
      <c r="R19" t="s">
        <v>137</v>
      </c>
      <c r="T19" t="s">
        <v>59</v>
      </c>
      <c r="U19" t="s">
        <v>60</v>
      </c>
      <c r="V19" t="s">
        <v>138</v>
      </c>
      <c r="W19" t="s">
        <v>139</v>
      </c>
      <c r="X19">
        <v>1925600</v>
      </c>
      <c r="Y19" s="11">
        <v>44774</v>
      </c>
      <c r="Z19" t="s">
        <v>57</v>
      </c>
      <c r="AA19">
        <v>2</v>
      </c>
      <c r="AB19" t="s">
        <v>57</v>
      </c>
      <c r="AD19" t="s">
        <v>57</v>
      </c>
      <c r="AE19" t="s">
        <v>57</v>
      </c>
      <c r="AF19" t="s">
        <v>57</v>
      </c>
      <c r="AG19">
        <v>1</v>
      </c>
      <c r="AH19" t="s">
        <v>57</v>
      </c>
      <c r="AL19" t="s">
        <v>57</v>
      </c>
      <c r="AM19" s="11">
        <v>44774</v>
      </c>
      <c r="AN19" t="s">
        <v>184</v>
      </c>
      <c r="AO19" t="s">
        <v>65</v>
      </c>
      <c r="AP19">
        <v>1206</v>
      </c>
      <c r="AQ19" t="s">
        <v>66</v>
      </c>
      <c r="AR19">
        <v>89777</v>
      </c>
      <c r="AU19" t="s">
        <v>57</v>
      </c>
      <c r="AV19" t="s">
        <v>68</v>
      </c>
      <c r="AX19" t="s">
        <v>57</v>
      </c>
      <c r="AY19">
        <v>631110</v>
      </c>
      <c r="AZ19">
        <v>1206.63111</v>
      </c>
      <c r="BA19" s="23" t="s">
        <v>14</v>
      </c>
    </row>
    <row r="20" spans="1:53" x14ac:dyDescent="0.25">
      <c r="A20" t="s">
        <v>134</v>
      </c>
      <c r="B20" t="s">
        <v>135</v>
      </c>
      <c r="C20">
        <v>22002502</v>
      </c>
      <c r="D20">
        <v>1206</v>
      </c>
      <c r="E20" s="11">
        <v>44776</v>
      </c>
      <c r="F20" t="s">
        <v>174</v>
      </c>
      <c r="G20" s="25">
        <v>0.53</v>
      </c>
      <c r="H20">
        <v>0.53</v>
      </c>
      <c r="I20" t="s">
        <v>56</v>
      </c>
      <c r="O20" t="s">
        <v>57</v>
      </c>
      <c r="Q20" t="s">
        <v>57</v>
      </c>
      <c r="R20" t="s">
        <v>137</v>
      </c>
      <c r="T20" t="s">
        <v>59</v>
      </c>
      <c r="U20" t="s">
        <v>60</v>
      </c>
      <c r="V20" t="s">
        <v>138</v>
      </c>
      <c r="W20" t="s">
        <v>139</v>
      </c>
      <c r="X20">
        <v>1927037</v>
      </c>
      <c r="Y20" s="11">
        <v>44776</v>
      </c>
      <c r="Z20" t="s">
        <v>57</v>
      </c>
      <c r="AA20">
        <v>2</v>
      </c>
      <c r="AB20" t="s">
        <v>57</v>
      </c>
      <c r="AD20" t="s">
        <v>57</v>
      </c>
      <c r="AE20" t="s">
        <v>57</v>
      </c>
      <c r="AF20" t="s">
        <v>57</v>
      </c>
      <c r="AG20">
        <v>1</v>
      </c>
      <c r="AH20" t="s">
        <v>57</v>
      </c>
      <c r="AL20" t="s">
        <v>57</v>
      </c>
      <c r="AM20" s="11">
        <v>44776</v>
      </c>
      <c r="AN20" t="s">
        <v>184</v>
      </c>
      <c r="AO20" t="s">
        <v>65</v>
      </c>
      <c r="AP20">
        <v>1206</v>
      </c>
      <c r="AQ20" t="s">
        <v>66</v>
      </c>
      <c r="AR20">
        <v>89777</v>
      </c>
      <c r="AU20" t="s">
        <v>57</v>
      </c>
      <c r="AV20" t="s">
        <v>68</v>
      </c>
      <c r="AX20" t="s">
        <v>57</v>
      </c>
      <c r="AY20">
        <v>631110</v>
      </c>
      <c r="AZ20">
        <v>1206.63111</v>
      </c>
      <c r="BA20" s="23" t="s">
        <v>14</v>
      </c>
    </row>
    <row r="21" spans="1:53" x14ac:dyDescent="0.25">
      <c r="A21" t="s">
        <v>134</v>
      </c>
      <c r="B21" t="s">
        <v>135</v>
      </c>
      <c r="C21">
        <v>22002489</v>
      </c>
      <c r="D21">
        <v>1206</v>
      </c>
      <c r="E21" s="11">
        <v>44774</v>
      </c>
      <c r="F21" t="s">
        <v>174</v>
      </c>
      <c r="G21" s="25">
        <v>0.56000000000000005</v>
      </c>
      <c r="H21">
        <v>0.56000000000000005</v>
      </c>
      <c r="I21" t="s">
        <v>56</v>
      </c>
      <c r="O21" t="s">
        <v>57</v>
      </c>
      <c r="Q21" t="s">
        <v>57</v>
      </c>
      <c r="R21" t="s">
        <v>137</v>
      </c>
      <c r="T21" t="s">
        <v>59</v>
      </c>
      <c r="U21" t="s">
        <v>60</v>
      </c>
      <c r="V21" t="s">
        <v>138</v>
      </c>
      <c r="W21" t="s">
        <v>139</v>
      </c>
      <c r="X21">
        <v>1926655</v>
      </c>
      <c r="Y21" s="11">
        <v>44775</v>
      </c>
      <c r="Z21" t="s">
        <v>57</v>
      </c>
      <c r="AA21">
        <v>6</v>
      </c>
      <c r="AB21" t="s">
        <v>57</v>
      </c>
      <c r="AD21" t="s">
        <v>57</v>
      </c>
      <c r="AE21" t="s">
        <v>57</v>
      </c>
      <c r="AF21" t="s">
        <v>57</v>
      </c>
      <c r="AG21">
        <v>1</v>
      </c>
      <c r="AH21" t="s">
        <v>57</v>
      </c>
      <c r="AL21" t="s">
        <v>57</v>
      </c>
      <c r="AM21" s="11">
        <v>44774</v>
      </c>
      <c r="AN21" t="s">
        <v>184</v>
      </c>
      <c r="AO21" t="s">
        <v>65</v>
      </c>
      <c r="AP21">
        <v>1206</v>
      </c>
      <c r="AQ21" t="s">
        <v>66</v>
      </c>
      <c r="AR21">
        <v>140249</v>
      </c>
      <c r="AU21" t="s">
        <v>57</v>
      </c>
      <c r="AV21" t="s">
        <v>68</v>
      </c>
      <c r="AX21" t="s">
        <v>57</v>
      </c>
      <c r="AY21">
        <v>631110</v>
      </c>
      <c r="AZ21">
        <v>1206.63111</v>
      </c>
      <c r="BA21" s="23" t="s">
        <v>14</v>
      </c>
    </row>
    <row r="22" spans="1:53" x14ac:dyDescent="0.25">
      <c r="A22" t="s">
        <v>134</v>
      </c>
      <c r="B22" t="s">
        <v>135</v>
      </c>
      <c r="C22">
        <v>22002506</v>
      </c>
      <c r="D22">
        <v>1206</v>
      </c>
      <c r="E22" s="11">
        <v>44776</v>
      </c>
      <c r="F22" t="s">
        <v>174</v>
      </c>
      <c r="G22" s="25">
        <v>0.56000000000000005</v>
      </c>
      <c r="H22">
        <v>0.56000000000000005</v>
      </c>
      <c r="I22" t="s">
        <v>56</v>
      </c>
      <c r="O22" t="s">
        <v>57</v>
      </c>
      <c r="Q22" t="s">
        <v>57</v>
      </c>
      <c r="R22" t="s">
        <v>137</v>
      </c>
      <c r="T22" t="s">
        <v>59</v>
      </c>
      <c r="U22" t="s">
        <v>60</v>
      </c>
      <c r="V22" t="s">
        <v>138</v>
      </c>
      <c r="W22" t="s">
        <v>139</v>
      </c>
      <c r="X22">
        <v>1927633</v>
      </c>
      <c r="Y22" s="11">
        <v>44777</v>
      </c>
      <c r="Z22" t="s">
        <v>57</v>
      </c>
      <c r="AA22">
        <v>10</v>
      </c>
      <c r="AB22" t="s">
        <v>57</v>
      </c>
      <c r="AD22" t="s">
        <v>57</v>
      </c>
      <c r="AE22" t="s">
        <v>57</v>
      </c>
      <c r="AF22" t="s">
        <v>57</v>
      </c>
      <c r="AG22">
        <v>1</v>
      </c>
      <c r="AH22" t="s">
        <v>57</v>
      </c>
      <c r="AL22" t="s">
        <v>57</v>
      </c>
      <c r="AM22" s="11">
        <v>44776</v>
      </c>
      <c r="AN22" t="s">
        <v>184</v>
      </c>
      <c r="AO22" t="s">
        <v>65</v>
      </c>
      <c r="AP22">
        <v>1206</v>
      </c>
      <c r="AQ22" t="s">
        <v>66</v>
      </c>
      <c r="AR22">
        <v>140249</v>
      </c>
      <c r="AU22" t="s">
        <v>57</v>
      </c>
      <c r="AV22" t="s">
        <v>68</v>
      </c>
      <c r="AX22" t="s">
        <v>57</v>
      </c>
      <c r="AY22">
        <v>631110</v>
      </c>
      <c r="AZ22">
        <v>1206.63111</v>
      </c>
      <c r="BA22" s="23" t="s">
        <v>14</v>
      </c>
    </row>
    <row r="23" spans="1:53" x14ac:dyDescent="0.25">
      <c r="A23" t="s">
        <v>134</v>
      </c>
      <c r="B23" t="s">
        <v>135</v>
      </c>
      <c r="C23">
        <v>22002511</v>
      </c>
      <c r="D23">
        <v>1206</v>
      </c>
      <c r="E23" s="11">
        <v>44777</v>
      </c>
      <c r="F23" t="s">
        <v>174</v>
      </c>
      <c r="G23" s="25">
        <v>0.6</v>
      </c>
      <c r="H23">
        <v>0.6</v>
      </c>
      <c r="I23" t="s">
        <v>56</v>
      </c>
      <c r="O23" t="s">
        <v>57</v>
      </c>
      <c r="Q23" t="s">
        <v>57</v>
      </c>
      <c r="R23" t="s">
        <v>137</v>
      </c>
      <c r="T23" t="s">
        <v>59</v>
      </c>
      <c r="U23" t="s">
        <v>60</v>
      </c>
      <c r="V23" t="s">
        <v>138</v>
      </c>
      <c r="W23" t="s">
        <v>139</v>
      </c>
      <c r="X23">
        <v>1927633</v>
      </c>
      <c r="Y23" s="11">
        <v>44777</v>
      </c>
      <c r="Z23" t="s">
        <v>57</v>
      </c>
      <c r="AA23">
        <v>2</v>
      </c>
      <c r="AB23" t="s">
        <v>57</v>
      </c>
      <c r="AD23" t="s">
        <v>57</v>
      </c>
      <c r="AE23" t="s">
        <v>57</v>
      </c>
      <c r="AF23" t="s">
        <v>57</v>
      </c>
      <c r="AG23">
        <v>1</v>
      </c>
      <c r="AH23" t="s">
        <v>57</v>
      </c>
      <c r="AL23" t="s">
        <v>57</v>
      </c>
      <c r="AM23" s="11">
        <v>44777</v>
      </c>
      <c r="AN23" t="s">
        <v>184</v>
      </c>
      <c r="AO23" t="s">
        <v>65</v>
      </c>
      <c r="AP23">
        <v>1206</v>
      </c>
      <c r="AQ23" t="s">
        <v>66</v>
      </c>
      <c r="AR23">
        <v>271900</v>
      </c>
      <c r="AU23" t="s">
        <v>57</v>
      </c>
      <c r="AV23" t="s">
        <v>68</v>
      </c>
      <c r="AX23" t="s">
        <v>57</v>
      </c>
      <c r="AY23">
        <v>631110</v>
      </c>
      <c r="AZ23">
        <v>1206.63111</v>
      </c>
      <c r="BA23" s="23" t="s">
        <v>14</v>
      </c>
    </row>
    <row r="24" spans="1:53" x14ac:dyDescent="0.25">
      <c r="A24" t="s">
        <v>134</v>
      </c>
      <c r="B24" t="s">
        <v>135</v>
      </c>
      <c r="C24">
        <v>22002527</v>
      </c>
      <c r="D24">
        <v>1206</v>
      </c>
      <c r="E24" s="11">
        <v>44778</v>
      </c>
      <c r="F24" t="s">
        <v>174</v>
      </c>
      <c r="G24" s="25">
        <v>0.6</v>
      </c>
      <c r="H24">
        <v>0.6</v>
      </c>
      <c r="I24" t="s">
        <v>56</v>
      </c>
      <c r="O24" t="s">
        <v>57</v>
      </c>
      <c r="Q24" t="s">
        <v>57</v>
      </c>
      <c r="R24" t="s">
        <v>137</v>
      </c>
      <c r="T24" t="s">
        <v>59</v>
      </c>
      <c r="U24" t="s">
        <v>60</v>
      </c>
      <c r="V24" t="s">
        <v>138</v>
      </c>
      <c r="W24" t="s">
        <v>139</v>
      </c>
      <c r="X24">
        <v>1928766</v>
      </c>
      <c r="Y24" s="11">
        <v>44778</v>
      </c>
      <c r="Z24" t="s">
        <v>57</v>
      </c>
      <c r="AA24">
        <v>2</v>
      </c>
      <c r="AB24" t="s">
        <v>57</v>
      </c>
      <c r="AD24" t="s">
        <v>57</v>
      </c>
      <c r="AE24" t="s">
        <v>57</v>
      </c>
      <c r="AF24" t="s">
        <v>57</v>
      </c>
      <c r="AG24">
        <v>1</v>
      </c>
      <c r="AH24" t="s">
        <v>57</v>
      </c>
      <c r="AL24" t="s">
        <v>57</v>
      </c>
      <c r="AM24" s="11">
        <v>44778</v>
      </c>
      <c r="AN24" t="s">
        <v>184</v>
      </c>
      <c r="AO24" t="s">
        <v>65</v>
      </c>
      <c r="AP24">
        <v>1206</v>
      </c>
      <c r="AQ24" t="s">
        <v>66</v>
      </c>
      <c r="AR24">
        <v>271900</v>
      </c>
      <c r="AU24" t="s">
        <v>57</v>
      </c>
      <c r="AV24" t="s">
        <v>68</v>
      </c>
      <c r="AX24" t="s">
        <v>57</v>
      </c>
      <c r="AY24">
        <v>631110</v>
      </c>
      <c r="AZ24">
        <v>1206.63111</v>
      </c>
      <c r="BA24" s="23" t="s">
        <v>14</v>
      </c>
    </row>
    <row r="25" spans="1:53" x14ac:dyDescent="0.25">
      <c r="A25" t="s">
        <v>134</v>
      </c>
      <c r="B25" t="s">
        <v>135</v>
      </c>
      <c r="C25">
        <v>22002548</v>
      </c>
      <c r="D25">
        <v>1206</v>
      </c>
      <c r="E25" s="11">
        <v>44782</v>
      </c>
      <c r="F25" t="s">
        <v>174</v>
      </c>
      <c r="G25" s="25">
        <v>0.6</v>
      </c>
      <c r="H25">
        <v>0.6</v>
      </c>
      <c r="I25" t="s">
        <v>56</v>
      </c>
      <c r="O25" t="s">
        <v>57</v>
      </c>
      <c r="Q25" t="s">
        <v>57</v>
      </c>
      <c r="R25" t="s">
        <v>137</v>
      </c>
      <c r="T25" t="s">
        <v>59</v>
      </c>
      <c r="U25" t="s">
        <v>60</v>
      </c>
      <c r="V25" t="s">
        <v>138</v>
      </c>
      <c r="W25" t="s">
        <v>139</v>
      </c>
      <c r="X25">
        <v>1930246</v>
      </c>
      <c r="Y25" s="11">
        <v>44783</v>
      </c>
      <c r="Z25" t="s">
        <v>57</v>
      </c>
      <c r="AA25">
        <v>8</v>
      </c>
      <c r="AB25" t="s">
        <v>57</v>
      </c>
      <c r="AD25" t="s">
        <v>57</v>
      </c>
      <c r="AE25" t="s">
        <v>57</v>
      </c>
      <c r="AF25" t="s">
        <v>57</v>
      </c>
      <c r="AG25">
        <v>1</v>
      </c>
      <c r="AH25" t="s">
        <v>57</v>
      </c>
      <c r="AL25" t="s">
        <v>57</v>
      </c>
      <c r="AM25" s="11">
        <v>44782</v>
      </c>
      <c r="AN25" t="s">
        <v>184</v>
      </c>
      <c r="AO25" t="s">
        <v>65</v>
      </c>
      <c r="AP25">
        <v>1206</v>
      </c>
      <c r="AQ25" t="s">
        <v>66</v>
      </c>
      <c r="AR25">
        <v>271900</v>
      </c>
      <c r="AU25" t="s">
        <v>57</v>
      </c>
      <c r="AV25" t="s">
        <v>68</v>
      </c>
      <c r="AX25" t="s">
        <v>57</v>
      </c>
      <c r="AY25">
        <v>631110</v>
      </c>
      <c r="AZ25">
        <v>1206.63111</v>
      </c>
      <c r="BA25" s="23" t="s">
        <v>14</v>
      </c>
    </row>
    <row r="26" spans="1:53" x14ac:dyDescent="0.25">
      <c r="A26" t="s">
        <v>134</v>
      </c>
      <c r="B26" t="s">
        <v>135</v>
      </c>
      <c r="C26">
        <v>22002555</v>
      </c>
      <c r="D26">
        <v>1206</v>
      </c>
      <c r="E26" s="11">
        <v>44783</v>
      </c>
      <c r="F26" t="s">
        <v>174</v>
      </c>
      <c r="G26" s="25">
        <v>0.6</v>
      </c>
      <c r="H26">
        <v>0.6</v>
      </c>
      <c r="I26" t="s">
        <v>56</v>
      </c>
      <c r="O26" t="s">
        <v>57</v>
      </c>
      <c r="Q26" t="s">
        <v>57</v>
      </c>
      <c r="R26" t="s">
        <v>137</v>
      </c>
      <c r="T26" t="s">
        <v>59</v>
      </c>
      <c r="U26" t="s">
        <v>60</v>
      </c>
      <c r="V26" t="s">
        <v>138</v>
      </c>
      <c r="W26" t="s">
        <v>139</v>
      </c>
      <c r="X26">
        <v>1930431</v>
      </c>
      <c r="Y26" s="11">
        <v>44784</v>
      </c>
      <c r="Z26" t="s">
        <v>57</v>
      </c>
      <c r="AA26">
        <v>4</v>
      </c>
      <c r="AB26" t="s">
        <v>57</v>
      </c>
      <c r="AD26" t="s">
        <v>57</v>
      </c>
      <c r="AE26" t="s">
        <v>57</v>
      </c>
      <c r="AF26" t="s">
        <v>57</v>
      </c>
      <c r="AG26">
        <v>1</v>
      </c>
      <c r="AH26" t="s">
        <v>57</v>
      </c>
      <c r="AL26" t="s">
        <v>57</v>
      </c>
      <c r="AM26" s="11">
        <v>44783</v>
      </c>
      <c r="AN26" t="s">
        <v>184</v>
      </c>
      <c r="AO26" t="s">
        <v>65</v>
      </c>
      <c r="AP26">
        <v>1206</v>
      </c>
      <c r="AQ26" t="s">
        <v>66</v>
      </c>
      <c r="AR26">
        <v>271900</v>
      </c>
      <c r="AU26" t="s">
        <v>57</v>
      </c>
      <c r="AV26" t="s">
        <v>68</v>
      </c>
      <c r="AX26" t="s">
        <v>57</v>
      </c>
      <c r="AY26">
        <v>631110</v>
      </c>
      <c r="AZ26">
        <v>1206.63111</v>
      </c>
      <c r="BA26" s="23" t="s">
        <v>14</v>
      </c>
    </row>
    <row r="27" spans="1:53" x14ac:dyDescent="0.25">
      <c r="A27" t="s">
        <v>134</v>
      </c>
      <c r="B27" t="s">
        <v>135</v>
      </c>
      <c r="C27">
        <v>22002495</v>
      </c>
      <c r="D27">
        <v>1206</v>
      </c>
      <c r="E27" s="11">
        <v>44775</v>
      </c>
      <c r="F27" t="s">
        <v>174</v>
      </c>
      <c r="G27" s="25">
        <v>0.61</v>
      </c>
      <c r="H27">
        <v>0.61</v>
      </c>
      <c r="I27" t="s">
        <v>56</v>
      </c>
      <c r="O27" t="s">
        <v>57</v>
      </c>
      <c r="Q27" t="s">
        <v>57</v>
      </c>
      <c r="R27" t="s">
        <v>137</v>
      </c>
      <c r="T27" t="s">
        <v>59</v>
      </c>
      <c r="U27" t="s">
        <v>60</v>
      </c>
      <c r="V27" t="s">
        <v>138</v>
      </c>
      <c r="W27" t="s">
        <v>139</v>
      </c>
      <c r="X27">
        <v>1926655</v>
      </c>
      <c r="Y27" s="11">
        <v>44775</v>
      </c>
      <c r="Z27" t="s">
        <v>57</v>
      </c>
      <c r="AA27">
        <v>2</v>
      </c>
      <c r="AB27" t="s">
        <v>57</v>
      </c>
      <c r="AD27" t="s">
        <v>57</v>
      </c>
      <c r="AE27" t="s">
        <v>57</v>
      </c>
      <c r="AF27" t="s">
        <v>57</v>
      </c>
      <c r="AG27">
        <v>1</v>
      </c>
      <c r="AH27" t="s">
        <v>57</v>
      </c>
      <c r="AL27" t="s">
        <v>57</v>
      </c>
      <c r="AM27" s="11">
        <v>44775</v>
      </c>
      <c r="AN27" t="s">
        <v>184</v>
      </c>
      <c r="AO27" t="s">
        <v>65</v>
      </c>
      <c r="AP27">
        <v>1206</v>
      </c>
      <c r="AQ27" t="s">
        <v>66</v>
      </c>
      <c r="AR27">
        <v>220123</v>
      </c>
      <c r="AU27" t="s">
        <v>57</v>
      </c>
      <c r="AV27" t="s">
        <v>68</v>
      </c>
      <c r="AX27" t="s">
        <v>57</v>
      </c>
      <c r="AY27">
        <v>631110</v>
      </c>
      <c r="AZ27">
        <v>1206.63111</v>
      </c>
      <c r="BA27" s="23" t="s">
        <v>14</v>
      </c>
    </row>
    <row r="28" spans="1:53" x14ac:dyDescent="0.25">
      <c r="A28" t="s">
        <v>134</v>
      </c>
      <c r="B28" t="s">
        <v>135</v>
      </c>
      <c r="C28">
        <v>22002532</v>
      </c>
      <c r="D28">
        <v>1206</v>
      </c>
      <c r="E28" s="11">
        <v>44781</v>
      </c>
      <c r="F28" t="s">
        <v>174</v>
      </c>
      <c r="G28" s="25">
        <v>0.61</v>
      </c>
      <c r="H28">
        <v>0.61</v>
      </c>
      <c r="I28" t="s">
        <v>56</v>
      </c>
      <c r="O28" t="s">
        <v>57</v>
      </c>
      <c r="Q28" t="s">
        <v>57</v>
      </c>
      <c r="R28" t="s">
        <v>137</v>
      </c>
      <c r="T28" t="s">
        <v>59</v>
      </c>
      <c r="U28" t="s">
        <v>60</v>
      </c>
      <c r="V28" t="s">
        <v>138</v>
      </c>
      <c r="W28" t="s">
        <v>139</v>
      </c>
      <c r="X28">
        <v>1928975</v>
      </c>
      <c r="Y28" s="11">
        <v>44781</v>
      </c>
      <c r="Z28" t="s">
        <v>57</v>
      </c>
      <c r="AA28">
        <v>4</v>
      </c>
      <c r="AB28" t="s">
        <v>57</v>
      </c>
      <c r="AD28" t="s">
        <v>57</v>
      </c>
      <c r="AE28" t="s">
        <v>57</v>
      </c>
      <c r="AF28" t="s">
        <v>57</v>
      </c>
      <c r="AG28">
        <v>1</v>
      </c>
      <c r="AH28" t="s">
        <v>57</v>
      </c>
      <c r="AL28" t="s">
        <v>57</v>
      </c>
      <c r="AM28" s="11">
        <v>44781</v>
      </c>
      <c r="AN28" t="s">
        <v>184</v>
      </c>
      <c r="AO28" t="s">
        <v>65</v>
      </c>
      <c r="AP28">
        <v>1206</v>
      </c>
      <c r="AQ28" t="s">
        <v>66</v>
      </c>
      <c r="AR28">
        <v>142793</v>
      </c>
      <c r="AU28" t="s">
        <v>57</v>
      </c>
      <c r="AV28" t="s">
        <v>68</v>
      </c>
      <c r="AX28" t="s">
        <v>57</v>
      </c>
      <c r="AY28">
        <v>631110</v>
      </c>
      <c r="AZ28">
        <v>1206.63111</v>
      </c>
      <c r="BA28" s="23" t="s">
        <v>14</v>
      </c>
    </row>
    <row r="29" spans="1:53" x14ac:dyDescent="0.25">
      <c r="A29" t="s">
        <v>134</v>
      </c>
      <c r="B29" t="s">
        <v>135</v>
      </c>
      <c r="C29">
        <v>22002601</v>
      </c>
      <c r="D29">
        <v>1206</v>
      </c>
      <c r="E29" s="11">
        <v>44791</v>
      </c>
      <c r="F29" t="s">
        <v>174</v>
      </c>
      <c r="G29" s="25">
        <v>0.61</v>
      </c>
      <c r="H29">
        <v>0.61</v>
      </c>
      <c r="I29" t="s">
        <v>56</v>
      </c>
      <c r="O29" t="s">
        <v>57</v>
      </c>
      <c r="Q29" t="s">
        <v>57</v>
      </c>
      <c r="R29" t="s">
        <v>137</v>
      </c>
      <c r="T29" t="s">
        <v>59</v>
      </c>
      <c r="U29" t="s">
        <v>60</v>
      </c>
      <c r="V29" t="s">
        <v>138</v>
      </c>
      <c r="W29" t="s">
        <v>139</v>
      </c>
      <c r="X29">
        <v>1934071</v>
      </c>
      <c r="Y29" s="11">
        <v>44792</v>
      </c>
      <c r="Z29" t="s">
        <v>57</v>
      </c>
      <c r="AA29">
        <v>2</v>
      </c>
      <c r="AB29" t="s">
        <v>57</v>
      </c>
      <c r="AD29" t="s">
        <v>57</v>
      </c>
      <c r="AE29" t="s">
        <v>57</v>
      </c>
      <c r="AF29" t="s">
        <v>57</v>
      </c>
      <c r="AG29">
        <v>1</v>
      </c>
      <c r="AH29" t="s">
        <v>57</v>
      </c>
      <c r="AL29" t="s">
        <v>57</v>
      </c>
      <c r="AM29" s="11">
        <v>44791</v>
      </c>
      <c r="AN29" t="s">
        <v>184</v>
      </c>
      <c r="AO29" t="s">
        <v>65</v>
      </c>
      <c r="AP29">
        <v>1206</v>
      </c>
      <c r="AQ29" t="s">
        <v>66</v>
      </c>
      <c r="AR29">
        <v>142793</v>
      </c>
      <c r="AU29" t="s">
        <v>57</v>
      </c>
      <c r="AV29" t="s">
        <v>68</v>
      </c>
      <c r="AX29" t="s">
        <v>57</v>
      </c>
      <c r="AY29">
        <v>631110</v>
      </c>
      <c r="AZ29">
        <v>1206.63111</v>
      </c>
      <c r="BA29" s="23" t="s">
        <v>14</v>
      </c>
    </row>
    <row r="30" spans="1:53" x14ac:dyDescent="0.25">
      <c r="A30" t="s">
        <v>134</v>
      </c>
      <c r="B30" t="s">
        <v>135</v>
      </c>
      <c r="C30">
        <v>22002507</v>
      </c>
      <c r="D30">
        <v>1206</v>
      </c>
      <c r="E30" s="11">
        <v>44777</v>
      </c>
      <c r="F30" t="s">
        <v>159</v>
      </c>
      <c r="G30" s="25">
        <v>0.68</v>
      </c>
      <c r="H30">
        <v>0.68</v>
      </c>
      <c r="I30" t="s">
        <v>56</v>
      </c>
      <c r="O30" t="s">
        <v>57</v>
      </c>
      <c r="Q30" t="s">
        <v>57</v>
      </c>
      <c r="R30" t="s">
        <v>137</v>
      </c>
      <c r="T30" t="s">
        <v>59</v>
      </c>
      <c r="U30" t="s">
        <v>60</v>
      </c>
      <c r="V30" t="s">
        <v>138</v>
      </c>
      <c r="W30" t="s">
        <v>139</v>
      </c>
      <c r="X30">
        <v>1927633</v>
      </c>
      <c r="Y30" s="11">
        <v>44777</v>
      </c>
      <c r="Z30" t="s">
        <v>57</v>
      </c>
      <c r="AA30">
        <v>2</v>
      </c>
      <c r="AB30" t="s">
        <v>57</v>
      </c>
      <c r="AD30" t="s">
        <v>57</v>
      </c>
      <c r="AE30" t="s">
        <v>57</v>
      </c>
      <c r="AF30" t="s">
        <v>57</v>
      </c>
      <c r="AG30">
        <v>1</v>
      </c>
      <c r="AH30" t="s">
        <v>57</v>
      </c>
      <c r="AL30" t="s">
        <v>57</v>
      </c>
      <c r="AM30" s="11">
        <v>44777</v>
      </c>
      <c r="AN30" t="s">
        <v>184</v>
      </c>
      <c r="AO30" t="s">
        <v>65</v>
      </c>
      <c r="AP30">
        <v>1206</v>
      </c>
      <c r="AQ30" t="s">
        <v>66</v>
      </c>
      <c r="AR30">
        <v>88732</v>
      </c>
      <c r="AU30" t="s">
        <v>57</v>
      </c>
      <c r="AV30" t="s">
        <v>68</v>
      </c>
      <c r="AX30" t="s">
        <v>57</v>
      </c>
      <c r="AY30">
        <v>631110</v>
      </c>
      <c r="AZ30">
        <v>1206.63111</v>
      </c>
      <c r="BA30" s="23" t="s">
        <v>14</v>
      </c>
    </row>
    <row r="31" spans="1:53" x14ac:dyDescent="0.25">
      <c r="A31" t="s">
        <v>134</v>
      </c>
      <c r="B31" t="s">
        <v>135</v>
      </c>
      <c r="C31">
        <v>22002525</v>
      </c>
      <c r="D31">
        <v>1206</v>
      </c>
      <c r="E31" s="11">
        <v>44778</v>
      </c>
      <c r="F31" t="s">
        <v>159</v>
      </c>
      <c r="G31" s="25">
        <v>0.68</v>
      </c>
      <c r="H31">
        <v>0.68</v>
      </c>
      <c r="I31" t="s">
        <v>56</v>
      </c>
      <c r="O31" t="s">
        <v>57</v>
      </c>
      <c r="Q31" t="s">
        <v>57</v>
      </c>
      <c r="R31" t="s">
        <v>137</v>
      </c>
      <c r="T31" t="s">
        <v>59</v>
      </c>
      <c r="U31" t="s">
        <v>60</v>
      </c>
      <c r="V31" t="s">
        <v>138</v>
      </c>
      <c r="W31" t="s">
        <v>139</v>
      </c>
      <c r="X31">
        <v>1928766</v>
      </c>
      <c r="Y31" s="11">
        <v>44778</v>
      </c>
      <c r="Z31" t="s">
        <v>57</v>
      </c>
      <c r="AA31">
        <v>2</v>
      </c>
      <c r="AB31" t="s">
        <v>57</v>
      </c>
      <c r="AD31" t="s">
        <v>57</v>
      </c>
      <c r="AE31" t="s">
        <v>57</v>
      </c>
      <c r="AF31" t="s">
        <v>57</v>
      </c>
      <c r="AG31">
        <v>1</v>
      </c>
      <c r="AH31" t="s">
        <v>57</v>
      </c>
      <c r="AL31" t="s">
        <v>57</v>
      </c>
      <c r="AM31" s="11">
        <v>44778</v>
      </c>
      <c r="AN31" t="s">
        <v>184</v>
      </c>
      <c r="AO31" t="s">
        <v>65</v>
      </c>
      <c r="AP31">
        <v>1206</v>
      </c>
      <c r="AQ31" t="s">
        <v>66</v>
      </c>
      <c r="AR31">
        <v>88732</v>
      </c>
      <c r="AU31" t="s">
        <v>57</v>
      </c>
      <c r="AV31" t="s">
        <v>68</v>
      </c>
      <c r="AX31" t="s">
        <v>57</v>
      </c>
      <c r="AY31">
        <v>631110</v>
      </c>
      <c r="AZ31">
        <v>1206.63111</v>
      </c>
      <c r="BA31" s="23" t="s">
        <v>14</v>
      </c>
    </row>
    <row r="32" spans="1:53" x14ac:dyDescent="0.25">
      <c r="A32" t="s">
        <v>134</v>
      </c>
      <c r="B32" t="s">
        <v>135</v>
      </c>
      <c r="C32">
        <v>22002543</v>
      </c>
      <c r="D32">
        <v>1206</v>
      </c>
      <c r="E32" s="11">
        <v>44782</v>
      </c>
      <c r="F32" t="s">
        <v>159</v>
      </c>
      <c r="G32" s="25">
        <v>0.68</v>
      </c>
      <c r="H32">
        <v>0.68</v>
      </c>
      <c r="I32" t="s">
        <v>56</v>
      </c>
      <c r="O32" t="s">
        <v>57</v>
      </c>
      <c r="Q32" t="s">
        <v>57</v>
      </c>
      <c r="R32" t="s">
        <v>137</v>
      </c>
      <c r="T32" t="s">
        <v>59</v>
      </c>
      <c r="U32" t="s">
        <v>60</v>
      </c>
      <c r="V32" t="s">
        <v>138</v>
      </c>
      <c r="W32" t="s">
        <v>139</v>
      </c>
      <c r="X32">
        <v>1929848</v>
      </c>
      <c r="Y32" s="11">
        <v>44782</v>
      </c>
      <c r="Z32" t="s">
        <v>57</v>
      </c>
      <c r="AA32">
        <v>6</v>
      </c>
      <c r="AB32" t="s">
        <v>57</v>
      </c>
      <c r="AD32" t="s">
        <v>57</v>
      </c>
      <c r="AE32" t="s">
        <v>57</v>
      </c>
      <c r="AF32" t="s">
        <v>57</v>
      </c>
      <c r="AG32">
        <v>1</v>
      </c>
      <c r="AH32" t="s">
        <v>57</v>
      </c>
      <c r="AL32" t="s">
        <v>57</v>
      </c>
      <c r="AM32" s="11">
        <v>44782</v>
      </c>
      <c r="AN32" t="s">
        <v>184</v>
      </c>
      <c r="AO32" t="s">
        <v>65</v>
      </c>
      <c r="AP32">
        <v>1206</v>
      </c>
      <c r="AQ32" t="s">
        <v>66</v>
      </c>
      <c r="AR32">
        <v>88732</v>
      </c>
      <c r="AU32" t="s">
        <v>57</v>
      </c>
      <c r="AV32" t="s">
        <v>68</v>
      </c>
      <c r="AX32" t="s">
        <v>57</v>
      </c>
      <c r="AY32">
        <v>631110</v>
      </c>
      <c r="AZ32">
        <v>1206.63111</v>
      </c>
      <c r="BA32" s="23" t="s">
        <v>14</v>
      </c>
    </row>
    <row r="33" spans="1:53" x14ac:dyDescent="0.25">
      <c r="A33" t="s">
        <v>134</v>
      </c>
      <c r="B33" t="s">
        <v>135</v>
      </c>
      <c r="C33">
        <v>22002588</v>
      </c>
      <c r="D33">
        <v>1206</v>
      </c>
      <c r="E33" s="11">
        <v>44788</v>
      </c>
      <c r="F33" t="s">
        <v>159</v>
      </c>
      <c r="G33" s="25">
        <v>0.68</v>
      </c>
      <c r="H33">
        <v>0.68</v>
      </c>
      <c r="I33" t="s">
        <v>56</v>
      </c>
      <c r="O33" t="s">
        <v>57</v>
      </c>
      <c r="Q33" t="s">
        <v>57</v>
      </c>
      <c r="R33" t="s">
        <v>137</v>
      </c>
      <c r="T33" t="s">
        <v>59</v>
      </c>
      <c r="U33" t="s">
        <v>60</v>
      </c>
      <c r="V33" t="s">
        <v>138</v>
      </c>
      <c r="W33" t="s">
        <v>139</v>
      </c>
      <c r="X33">
        <v>1933170</v>
      </c>
      <c r="Y33" s="11">
        <v>44789</v>
      </c>
      <c r="Z33" t="s">
        <v>57</v>
      </c>
      <c r="AA33">
        <v>2</v>
      </c>
      <c r="AB33" t="s">
        <v>57</v>
      </c>
      <c r="AD33" t="s">
        <v>57</v>
      </c>
      <c r="AE33" t="s">
        <v>57</v>
      </c>
      <c r="AF33" t="s">
        <v>57</v>
      </c>
      <c r="AG33">
        <v>1</v>
      </c>
      <c r="AH33" t="s">
        <v>57</v>
      </c>
      <c r="AL33" t="s">
        <v>57</v>
      </c>
      <c r="AM33" s="11">
        <v>44788</v>
      </c>
      <c r="AN33" t="s">
        <v>184</v>
      </c>
      <c r="AO33" t="s">
        <v>65</v>
      </c>
      <c r="AP33">
        <v>1206</v>
      </c>
      <c r="AQ33" t="s">
        <v>66</v>
      </c>
      <c r="AR33">
        <v>88732</v>
      </c>
      <c r="AU33" t="s">
        <v>57</v>
      </c>
      <c r="AV33" t="s">
        <v>68</v>
      </c>
      <c r="AX33" t="s">
        <v>57</v>
      </c>
      <c r="AY33">
        <v>631110</v>
      </c>
      <c r="AZ33">
        <v>1206.63111</v>
      </c>
      <c r="BA33" s="23" t="s">
        <v>14</v>
      </c>
    </row>
    <row r="34" spans="1:53" x14ac:dyDescent="0.25">
      <c r="A34" t="s">
        <v>134</v>
      </c>
      <c r="B34" t="s">
        <v>135</v>
      </c>
      <c r="C34">
        <v>22002492</v>
      </c>
      <c r="D34">
        <v>1206</v>
      </c>
      <c r="E34" s="11">
        <v>44775</v>
      </c>
      <c r="F34" t="s">
        <v>174</v>
      </c>
      <c r="G34" s="25">
        <v>0.69</v>
      </c>
      <c r="H34">
        <v>0.69</v>
      </c>
      <c r="I34" t="s">
        <v>56</v>
      </c>
      <c r="O34" t="s">
        <v>57</v>
      </c>
      <c r="Q34" t="s">
        <v>57</v>
      </c>
      <c r="R34" t="s">
        <v>137</v>
      </c>
      <c r="T34" t="s">
        <v>59</v>
      </c>
      <c r="U34" t="s">
        <v>60</v>
      </c>
      <c r="V34" t="s">
        <v>138</v>
      </c>
      <c r="W34" t="s">
        <v>139</v>
      </c>
      <c r="X34">
        <v>1926655</v>
      </c>
      <c r="Y34" s="11">
        <v>44775</v>
      </c>
      <c r="Z34" t="s">
        <v>57</v>
      </c>
      <c r="AA34">
        <v>2</v>
      </c>
      <c r="AB34" t="s">
        <v>57</v>
      </c>
      <c r="AD34" t="s">
        <v>57</v>
      </c>
      <c r="AE34" t="s">
        <v>57</v>
      </c>
      <c r="AF34" t="s">
        <v>57</v>
      </c>
      <c r="AG34">
        <v>1</v>
      </c>
      <c r="AH34" t="s">
        <v>57</v>
      </c>
      <c r="AL34" t="s">
        <v>57</v>
      </c>
      <c r="AM34" s="11">
        <v>44775</v>
      </c>
      <c r="AN34" t="s">
        <v>184</v>
      </c>
      <c r="AO34" t="s">
        <v>65</v>
      </c>
      <c r="AP34">
        <v>1206</v>
      </c>
      <c r="AQ34" t="s">
        <v>66</v>
      </c>
      <c r="AR34">
        <v>90167</v>
      </c>
      <c r="AU34" t="s">
        <v>57</v>
      </c>
      <c r="AV34" t="s">
        <v>68</v>
      </c>
      <c r="AX34" t="s">
        <v>57</v>
      </c>
      <c r="AY34">
        <v>631110</v>
      </c>
      <c r="AZ34">
        <v>1206.63111</v>
      </c>
      <c r="BA34" s="23" t="s">
        <v>14</v>
      </c>
    </row>
    <row r="35" spans="1:53" x14ac:dyDescent="0.25">
      <c r="A35" t="s">
        <v>134</v>
      </c>
      <c r="B35" t="s">
        <v>135</v>
      </c>
      <c r="C35">
        <v>22002497</v>
      </c>
      <c r="D35">
        <v>1206</v>
      </c>
      <c r="E35" s="11">
        <v>44775</v>
      </c>
      <c r="F35" t="s">
        <v>174</v>
      </c>
      <c r="G35" s="25">
        <v>0.69</v>
      </c>
      <c r="H35">
        <v>0.69</v>
      </c>
      <c r="I35" t="s">
        <v>56</v>
      </c>
      <c r="O35" t="s">
        <v>57</v>
      </c>
      <c r="Q35" t="s">
        <v>57</v>
      </c>
      <c r="R35" t="s">
        <v>137</v>
      </c>
      <c r="T35" t="s">
        <v>59</v>
      </c>
      <c r="U35" t="s">
        <v>60</v>
      </c>
      <c r="V35" t="s">
        <v>138</v>
      </c>
      <c r="W35" t="s">
        <v>139</v>
      </c>
      <c r="X35">
        <v>1926655</v>
      </c>
      <c r="Y35" s="11">
        <v>44775</v>
      </c>
      <c r="Z35" t="s">
        <v>57</v>
      </c>
      <c r="AA35">
        <v>4</v>
      </c>
      <c r="AB35" t="s">
        <v>57</v>
      </c>
      <c r="AD35" t="s">
        <v>57</v>
      </c>
      <c r="AE35" t="s">
        <v>57</v>
      </c>
      <c r="AF35" t="s">
        <v>57</v>
      </c>
      <c r="AG35">
        <v>1</v>
      </c>
      <c r="AH35" t="s">
        <v>57</v>
      </c>
      <c r="AL35" t="s">
        <v>57</v>
      </c>
      <c r="AM35" s="11">
        <v>44775</v>
      </c>
      <c r="AN35" t="s">
        <v>184</v>
      </c>
      <c r="AO35" t="s">
        <v>65</v>
      </c>
      <c r="AP35">
        <v>1206</v>
      </c>
      <c r="AQ35" t="s">
        <v>66</v>
      </c>
      <c r="AR35">
        <v>112854</v>
      </c>
      <c r="AU35" t="s">
        <v>57</v>
      </c>
      <c r="AV35" t="s">
        <v>68</v>
      </c>
      <c r="AX35" t="s">
        <v>57</v>
      </c>
      <c r="AY35">
        <v>631110</v>
      </c>
      <c r="AZ35">
        <v>1206.63111</v>
      </c>
      <c r="BA35" s="23" t="s">
        <v>14</v>
      </c>
    </row>
    <row r="36" spans="1:53" x14ac:dyDescent="0.25">
      <c r="A36" t="s">
        <v>134</v>
      </c>
      <c r="B36" t="s">
        <v>135</v>
      </c>
      <c r="C36">
        <v>22002531</v>
      </c>
      <c r="D36">
        <v>1206</v>
      </c>
      <c r="E36" s="11">
        <v>44781</v>
      </c>
      <c r="F36" t="s">
        <v>174</v>
      </c>
      <c r="G36" s="25">
        <v>0.69</v>
      </c>
      <c r="H36">
        <v>0.69</v>
      </c>
      <c r="I36" t="s">
        <v>56</v>
      </c>
      <c r="O36" t="s">
        <v>57</v>
      </c>
      <c r="Q36" t="s">
        <v>57</v>
      </c>
      <c r="R36" t="s">
        <v>137</v>
      </c>
      <c r="T36" t="s">
        <v>59</v>
      </c>
      <c r="U36" t="s">
        <v>60</v>
      </c>
      <c r="V36" t="s">
        <v>138</v>
      </c>
      <c r="W36" t="s">
        <v>139</v>
      </c>
      <c r="X36">
        <v>1928975</v>
      </c>
      <c r="Y36" s="11">
        <v>44781</v>
      </c>
      <c r="Z36" t="s">
        <v>57</v>
      </c>
      <c r="AA36">
        <v>2</v>
      </c>
      <c r="AB36" t="s">
        <v>57</v>
      </c>
      <c r="AD36" t="s">
        <v>57</v>
      </c>
      <c r="AE36" t="s">
        <v>57</v>
      </c>
      <c r="AF36" t="s">
        <v>57</v>
      </c>
      <c r="AG36">
        <v>1</v>
      </c>
      <c r="AH36" t="s">
        <v>57</v>
      </c>
      <c r="AL36" t="s">
        <v>57</v>
      </c>
      <c r="AM36" s="11">
        <v>44781</v>
      </c>
      <c r="AN36" t="s">
        <v>184</v>
      </c>
      <c r="AO36" t="s">
        <v>65</v>
      </c>
      <c r="AP36">
        <v>1206</v>
      </c>
      <c r="AQ36" t="s">
        <v>66</v>
      </c>
      <c r="AR36">
        <v>112854</v>
      </c>
      <c r="AU36" t="s">
        <v>57</v>
      </c>
      <c r="AV36" t="s">
        <v>68</v>
      </c>
      <c r="AX36" t="s">
        <v>57</v>
      </c>
      <c r="AY36">
        <v>631110</v>
      </c>
      <c r="AZ36">
        <v>1206.63111</v>
      </c>
      <c r="BA36" s="23" t="s">
        <v>14</v>
      </c>
    </row>
    <row r="37" spans="1:53" x14ac:dyDescent="0.25">
      <c r="A37" t="s">
        <v>134</v>
      </c>
      <c r="B37" t="s">
        <v>135</v>
      </c>
      <c r="C37">
        <v>22002551</v>
      </c>
      <c r="D37">
        <v>1206</v>
      </c>
      <c r="E37" s="11">
        <v>44783</v>
      </c>
      <c r="F37" t="s">
        <v>174</v>
      </c>
      <c r="G37" s="25">
        <v>0.69</v>
      </c>
      <c r="H37">
        <v>0.69</v>
      </c>
      <c r="I37" t="s">
        <v>56</v>
      </c>
      <c r="O37" t="s">
        <v>57</v>
      </c>
      <c r="Q37" t="s">
        <v>57</v>
      </c>
      <c r="R37" t="s">
        <v>137</v>
      </c>
      <c r="T37" t="s">
        <v>59</v>
      </c>
      <c r="U37" t="s">
        <v>60</v>
      </c>
      <c r="V37" t="s">
        <v>138</v>
      </c>
      <c r="W37" t="s">
        <v>139</v>
      </c>
      <c r="X37">
        <v>1930353</v>
      </c>
      <c r="Y37" s="11">
        <v>44783</v>
      </c>
      <c r="Z37" t="s">
        <v>57</v>
      </c>
      <c r="AA37">
        <v>4</v>
      </c>
      <c r="AB37" t="s">
        <v>57</v>
      </c>
      <c r="AD37" t="s">
        <v>57</v>
      </c>
      <c r="AE37" t="s">
        <v>57</v>
      </c>
      <c r="AF37" t="s">
        <v>57</v>
      </c>
      <c r="AG37">
        <v>1</v>
      </c>
      <c r="AH37" t="s">
        <v>57</v>
      </c>
      <c r="AL37" t="s">
        <v>57</v>
      </c>
      <c r="AM37" s="11">
        <v>44783</v>
      </c>
      <c r="AN37" t="s">
        <v>184</v>
      </c>
      <c r="AO37" t="s">
        <v>65</v>
      </c>
      <c r="AP37">
        <v>1206</v>
      </c>
      <c r="AQ37" t="s">
        <v>66</v>
      </c>
      <c r="AR37">
        <v>90167</v>
      </c>
      <c r="AU37" t="s">
        <v>57</v>
      </c>
      <c r="AV37" t="s">
        <v>68</v>
      </c>
      <c r="AX37" t="s">
        <v>57</v>
      </c>
      <c r="AY37">
        <v>631110</v>
      </c>
      <c r="AZ37">
        <v>1206.63111</v>
      </c>
      <c r="BA37" s="23" t="s">
        <v>14</v>
      </c>
    </row>
    <row r="38" spans="1:53" x14ac:dyDescent="0.25">
      <c r="A38" t="s">
        <v>134</v>
      </c>
      <c r="B38" t="s">
        <v>135</v>
      </c>
      <c r="C38">
        <v>22002561</v>
      </c>
      <c r="D38">
        <v>1206</v>
      </c>
      <c r="E38" s="11">
        <v>44784</v>
      </c>
      <c r="F38" t="s">
        <v>174</v>
      </c>
      <c r="G38" s="25">
        <v>0.69</v>
      </c>
      <c r="H38">
        <v>0.69</v>
      </c>
      <c r="I38" t="s">
        <v>56</v>
      </c>
      <c r="O38" t="s">
        <v>57</v>
      </c>
      <c r="Q38" t="s">
        <v>57</v>
      </c>
      <c r="R38" t="s">
        <v>137</v>
      </c>
      <c r="T38" t="s">
        <v>59</v>
      </c>
      <c r="U38" t="s">
        <v>60</v>
      </c>
      <c r="V38" t="s">
        <v>138</v>
      </c>
      <c r="W38" t="s">
        <v>139</v>
      </c>
      <c r="X38">
        <v>1930520</v>
      </c>
      <c r="Y38" s="11">
        <v>44784</v>
      </c>
      <c r="Z38" t="s">
        <v>57</v>
      </c>
      <c r="AA38">
        <v>2</v>
      </c>
      <c r="AB38" t="s">
        <v>57</v>
      </c>
      <c r="AD38" t="s">
        <v>57</v>
      </c>
      <c r="AE38" t="s">
        <v>57</v>
      </c>
      <c r="AF38" t="s">
        <v>57</v>
      </c>
      <c r="AG38">
        <v>1</v>
      </c>
      <c r="AH38" t="s">
        <v>57</v>
      </c>
      <c r="AL38" t="s">
        <v>57</v>
      </c>
      <c r="AM38" s="11">
        <v>44784</v>
      </c>
      <c r="AN38" t="s">
        <v>184</v>
      </c>
      <c r="AO38" t="s">
        <v>65</v>
      </c>
      <c r="AP38">
        <v>1206</v>
      </c>
      <c r="AQ38" t="s">
        <v>66</v>
      </c>
      <c r="AR38">
        <v>112854</v>
      </c>
      <c r="AU38" t="s">
        <v>57</v>
      </c>
      <c r="AV38" t="s">
        <v>68</v>
      </c>
      <c r="AX38" t="s">
        <v>57</v>
      </c>
      <c r="AY38">
        <v>631110</v>
      </c>
      <c r="AZ38">
        <v>1206.63111</v>
      </c>
      <c r="BA38" s="23" t="s">
        <v>14</v>
      </c>
    </row>
    <row r="39" spans="1:53" x14ac:dyDescent="0.25">
      <c r="A39" t="s">
        <v>134</v>
      </c>
      <c r="B39" t="s">
        <v>135</v>
      </c>
      <c r="C39">
        <v>22002562</v>
      </c>
      <c r="D39">
        <v>1206</v>
      </c>
      <c r="E39" s="11">
        <v>44784</v>
      </c>
      <c r="F39" t="s">
        <v>174</v>
      </c>
      <c r="G39" s="25">
        <v>0.69</v>
      </c>
      <c r="H39">
        <v>0.69</v>
      </c>
      <c r="I39" t="s">
        <v>56</v>
      </c>
      <c r="O39" t="s">
        <v>57</v>
      </c>
      <c r="Q39" t="s">
        <v>57</v>
      </c>
      <c r="R39" t="s">
        <v>137</v>
      </c>
      <c r="T39" t="s">
        <v>59</v>
      </c>
      <c r="U39" t="s">
        <v>60</v>
      </c>
      <c r="V39" t="s">
        <v>138</v>
      </c>
      <c r="W39" t="s">
        <v>139</v>
      </c>
      <c r="X39">
        <v>1930520</v>
      </c>
      <c r="Y39" s="11">
        <v>44784</v>
      </c>
      <c r="Z39" t="s">
        <v>57</v>
      </c>
      <c r="AA39">
        <v>4</v>
      </c>
      <c r="AB39" t="s">
        <v>57</v>
      </c>
      <c r="AD39" t="s">
        <v>57</v>
      </c>
      <c r="AE39" t="s">
        <v>57</v>
      </c>
      <c r="AF39" t="s">
        <v>57</v>
      </c>
      <c r="AG39">
        <v>1</v>
      </c>
      <c r="AH39" t="s">
        <v>57</v>
      </c>
      <c r="AL39" t="s">
        <v>57</v>
      </c>
      <c r="AM39" s="11">
        <v>44784</v>
      </c>
      <c r="AN39" t="s">
        <v>184</v>
      </c>
      <c r="AO39" t="s">
        <v>65</v>
      </c>
      <c r="AP39">
        <v>1206</v>
      </c>
      <c r="AQ39" t="s">
        <v>66</v>
      </c>
      <c r="AR39">
        <v>90167</v>
      </c>
      <c r="AU39" t="s">
        <v>57</v>
      </c>
      <c r="AV39" t="s">
        <v>68</v>
      </c>
      <c r="AX39" t="s">
        <v>57</v>
      </c>
      <c r="AY39">
        <v>631110</v>
      </c>
      <c r="AZ39">
        <v>1206.63111</v>
      </c>
      <c r="BA39" s="23" t="s">
        <v>14</v>
      </c>
    </row>
    <row r="40" spans="1:53" x14ac:dyDescent="0.25">
      <c r="A40" t="s">
        <v>134</v>
      </c>
      <c r="B40" t="s">
        <v>135</v>
      </c>
      <c r="C40">
        <v>22002540</v>
      </c>
      <c r="D40">
        <v>1206</v>
      </c>
      <c r="E40" s="11">
        <v>44782</v>
      </c>
      <c r="F40" t="s">
        <v>174</v>
      </c>
      <c r="G40" s="25">
        <v>0.74</v>
      </c>
      <c r="H40">
        <v>0.74</v>
      </c>
      <c r="I40" t="s">
        <v>56</v>
      </c>
      <c r="O40" t="s">
        <v>57</v>
      </c>
      <c r="Q40" t="s">
        <v>57</v>
      </c>
      <c r="R40" t="s">
        <v>137</v>
      </c>
      <c r="T40" t="s">
        <v>59</v>
      </c>
      <c r="U40" t="s">
        <v>60</v>
      </c>
      <c r="V40" t="s">
        <v>138</v>
      </c>
      <c r="W40" t="s">
        <v>139</v>
      </c>
      <c r="X40">
        <v>1929247</v>
      </c>
      <c r="Y40" s="11">
        <v>44782</v>
      </c>
      <c r="Z40" t="s">
        <v>57</v>
      </c>
      <c r="AA40">
        <v>6</v>
      </c>
      <c r="AB40" t="s">
        <v>57</v>
      </c>
      <c r="AD40" t="s">
        <v>57</v>
      </c>
      <c r="AE40" t="s">
        <v>57</v>
      </c>
      <c r="AF40" t="s">
        <v>57</v>
      </c>
      <c r="AG40">
        <v>1</v>
      </c>
      <c r="AH40" t="s">
        <v>57</v>
      </c>
      <c r="AL40" t="s">
        <v>57</v>
      </c>
      <c r="AM40" s="11">
        <v>44782</v>
      </c>
      <c r="AN40" t="s">
        <v>184</v>
      </c>
      <c r="AO40" t="s">
        <v>65</v>
      </c>
      <c r="AP40">
        <v>1206</v>
      </c>
      <c r="AQ40" t="s">
        <v>66</v>
      </c>
      <c r="AR40">
        <v>284097</v>
      </c>
      <c r="AU40" t="s">
        <v>57</v>
      </c>
      <c r="AV40" t="s">
        <v>68</v>
      </c>
      <c r="AX40" t="s">
        <v>57</v>
      </c>
      <c r="AY40">
        <v>631110</v>
      </c>
      <c r="AZ40">
        <v>1206.63111</v>
      </c>
      <c r="BA40" s="23" t="s">
        <v>14</v>
      </c>
    </row>
    <row r="41" spans="1:53" x14ac:dyDescent="0.25">
      <c r="A41" t="s">
        <v>134</v>
      </c>
      <c r="B41" t="s">
        <v>135</v>
      </c>
      <c r="C41">
        <v>22002495</v>
      </c>
      <c r="D41">
        <v>1206</v>
      </c>
      <c r="E41" s="11">
        <v>44775</v>
      </c>
      <c r="F41" t="s">
        <v>174</v>
      </c>
      <c r="G41" s="25">
        <v>0.75</v>
      </c>
      <c r="H41">
        <v>0.75</v>
      </c>
      <c r="I41" t="s">
        <v>56</v>
      </c>
      <c r="O41" t="s">
        <v>57</v>
      </c>
      <c r="Q41" t="s">
        <v>57</v>
      </c>
      <c r="R41" t="s">
        <v>137</v>
      </c>
      <c r="T41" t="s">
        <v>59</v>
      </c>
      <c r="U41" t="s">
        <v>60</v>
      </c>
      <c r="V41" t="s">
        <v>138</v>
      </c>
      <c r="W41" t="s">
        <v>139</v>
      </c>
      <c r="X41">
        <v>1926655</v>
      </c>
      <c r="Y41" s="11">
        <v>44775</v>
      </c>
      <c r="Z41" t="s">
        <v>57</v>
      </c>
      <c r="AA41">
        <v>6</v>
      </c>
      <c r="AB41" t="s">
        <v>57</v>
      </c>
      <c r="AD41" t="s">
        <v>57</v>
      </c>
      <c r="AE41" t="s">
        <v>57</v>
      </c>
      <c r="AF41" t="s">
        <v>57</v>
      </c>
      <c r="AG41">
        <v>1</v>
      </c>
      <c r="AH41" t="s">
        <v>57</v>
      </c>
      <c r="AL41" t="s">
        <v>57</v>
      </c>
      <c r="AM41" s="11">
        <v>44775</v>
      </c>
      <c r="AN41" t="s">
        <v>184</v>
      </c>
      <c r="AO41" t="s">
        <v>65</v>
      </c>
      <c r="AP41">
        <v>1206</v>
      </c>
      <c r="AQ41" t="s">
        <v>66</v>
      </c>
      <c r="AR41">
        <v>278248</v>
      </c>
      <c r="AU41" t="s">
        <v>57</v>
      </c>
      <c r="AV41" t="s">
        <v>68</v>
      </c>
      <c r="AX41" t="s">
        <v>57</v>
      </c>
      <c r="AY41">
        <v>631110</v>
      </c>
      <c r="AZ41">
        <v>1206.63111</v>
      </c>
      <c r="BA41" s="23" t="s">
        <v>14</v>
      </c>
    </row>
    <row r="42" spans="1:53" x14ac:dyDescent="0.25">
      <c r="A42" t="s">
        <v>134</v>
      </c>
      <c r="B42" t="s">
        <v>135</v>
      </c>
      <c r="C42">
        <v>22002499</v>
      </c>
      <c r="D42">
        <v>1206</v>
      </c>
      <c r="E42" s="11">
        <v>44774</v>
      </c>
      <c r="F42" t="s">
        <v>185</v>
      </c>
      <c r="G42" s="25">
        <v>0.76</v>
      </c>
      <c r="H42">
        <v>0.76</v>
      </c>
      <c r="I42" t="s">
        <v>56</v>
      </c>
      <c r="O42" t="s">
        <v>57</v>
      </c>
      <c r="Q42" t="s">
        <v>57</v>
      </c>
      <c r="R42" t="s">
        <v>137</v>
      </c>
      <c r="T42" t="s">
        <v>59</v>
      </c>
      <c r="U42" t="s">
        <v>60</v>
      </c>
      <c r="V42" t="s">
        <v>138</v>
      </c>
      <c r="W42" t="s">
        <v>139</v>
      </c>
      <c r="X42">
        <v>1926722</v>
      </c>
      <c r="Y42" s="11">
        <v>44776</v>
      </c>
      <c r="Z42" t="s">
        <v>57</v>
      </c>
      <c r="AA42">
        <v>12</v>
      </c>
      <c r="AB42" t="s">
        <v>57</v>
      </c>
      <c r="AD42" t="s">
        <v>57</v>
      </c>
      <c r="AE42" t="s">
        <v>57</v>
      </c>
      <c r="AF42" t="s">
        <v>57</v>
      </c>
      <c r="AG42">
        <v>10</v>
      </c>
      <c r="AH42" t="s">
        <v>57</v>
      </c>
      <c r="AL42" t="s">
        <v>57</v>
      </c>
      <c r="AM42" s="11">
        <v>44774</v>
      </c>
      <c r="AN42" t="s">
        <v>183</v>
      </c>
      <c r="AO42" t="s">
        <v>65</v>
      </c>
      <c r="AP42">
        <v>1206</v>
      </c>
      <c r="AQ42" t="s">
        <v>66</v>
      </c>
      <c r="AR42">
        <v>91479</v>
      </c>
      <c r="AU42" t="s">
        <v>57</v>
      </c>
      <c r="AV42" t="s">
        <v>68</v>
      </c>
      <c r="AX42" t="s">
        <v>57</v>
      </c>
      <c r="AY42">
        <v>631110</v>
      </c>
      <c r="AZ42">
        <v>1206.63111</v>
      </c>
      <c r="BA42" s="23" t="s">
        <v>14</v>
      </c>
    </row>
    <row r="43" spans="1:53" x14ac:dyDescent="0.25">
      <c r="A43" t="s">
        <v>134</v>
      </c>
      <c r="B43" t="s">
        <v>135</v>
      </c>
      <c r="C43">
        <v>22002500</v>
      </c>
      <c r="D43">
        <v>1206</v>
      </c>
      <c r="E43" s="11">
        <v>44775</v>
      </c>
      <c r="F43" t="s">
        <v>185</v>
      </c>
      <c r="G43" s="25">
        <v>0.76</v>
      </c>
      <c r="H43">
        <v>0.76</v>
      </c>
      <c r="I43" t="s">
        <v>56</v>
      </c>
      <c r="O43" t="s">
        <v>57</v>
      </c>
      <c r="Q43" t="s">
        <v>57</v>
      </c>
      <c r="R43" t="s">
        <v>137</v>
      </c>
      <c r="T43" t="s">
        <v>59</v>
      </c>
      <c r="U43" t="s">
        <v>60</v>
      </c>
      <c r="V43" t="s">
        <v>138</v>
      </c>
      <c r="W43" t="s">
        <v>139</v>
      </c>
      <c r="X43">
        <v>1926722</v>
      </c>
      <c r="Y43" s="11">
        <v>44776</v>
      </c>
      <c r="Z43" t="s">
        <v>57</v>
      </c>
      <c r="AA43">
        <v>12</v>
      </c>
      <c r="AB43" t="s">
        <v>57</v>
      </c>
      <c r="AD43" t="s">
        <v>57</v>
      </c>
      <c r="AE43" t="s">
        <v>57</v>
      </c>
      <c r="AF43" t="s">
        <v>57</v>
      </c>
      <c r="AG43">
        <v>10</v>
      </c>
      <c r="AH43" t="s">
        <v>57</v>
      </c>
      <c r="AL43" t="s">
        <v>57</v>
      </c>
      <c r="AM43" s="11">
        <v>44775</v>
      </c>
      <c r="AN43" t="s">
        <v>183</v>
      </c>
      <c r="AO43" t="s">
        <v>65</v>
      </c>
      <c r="AP43">
        <v>1206</v>
      </c>
      <c r="AQ43" t="s">
        <v>66</v>
      </c>
      <c r="AR43">
        <v>91479</v>
      </c>
      <c r="AU43" t="s">
        <v>57</v>
      </c>
      <c r="AV43" t="s">
        <v>68</v>
      </c>
      <c r="AX43" t="s">
        <v>57</v>
      </c>
      <c r="AY43">
        <v>631110</v>
      </c>
      <c r="AZ43">
        <v>1206.63111</v>
      </c>
      <c r="BA43" s="23" t="s">
        <v>14</v>
      </c>
    </row>
    <row r="44" spans="1:53" x14ac:dyDescent="0.25">
      <c r="A44" t="s">
        <v>134</v>
      </c>
      <c r="B44" t="s">
        <v>135</v>
      </c>
      <c r="C44">
        <v>22002484</v>
      </c>
      <c r="D44">
        <v>1206</v>
      </c>
      <c r="E44" s="11">
        <v>44774</v>
      </c>
      <c r="F44" t="s">
        <v>182</v>
      </c>
      <c r="G44" s="25">
        <v>0.77</v>
      </c>
      <c r="H44">
        <v>0.77</v>
      </c>
      <c r="I44" t="s">
        <v>56</v>
      </c>
      <c r="O44" t="s">
        <v>57</v>
      </c>
      <c r="Q44" t="s">
        <v>57</v>
      </c>
      <c r="R44" t="s">
        <v>137</v>
      </c>
      <c r="T44" t="s">
        <v>59</v>
      </c>
      <c r="U44" t="s">
        <v>60</v>
      </c>
      <c r="V44" t="s">
        <v>138</v>
      </c>
      <c r="W44" t="s">
        <v>139</v>
      </c>
      <c r="X44">
        <v>1925387</v>
      </c>
      <c r="Y44" s="11">
        <v>44774</v>
      </c>
      <c r="Z44" t="s">
        <v>57</v>
      </c>
      <c r="AA44">
        <v>10</v>
      </c>
      <c r="AB44" t="s">
        <v>57</v>
      </c>
      <c r="AD44" t="s">
        <v>57</v>
      </c>
      <c r="AE44" t="s">
        <v>57</v>
      </c>
      <c r="AF44" t="s">
        <v>57</v>
      </c>
      <c r="AG44">
        <v>10</v>
      </c>
      <c r="AH44" t="s">
        <v>57</v>
      </c>
      <c r="AL44" t="s">
        <v>57</v>
      </c>
      <c r="AM44" s="11">
        <v>44774</v>
      </c>
      <c r="AN44" t="s">
        <v>183</v>
      </c>
      <c r="AO44" t="s">
        <v>65</v>
      </c>
      <c r="AP44">
        <v>1206</v>
      </c>
      <c r="AQ44" t="s">
        <v>66</v>
      </c>
      <c r="AR44">
        <v>91479</v>
      </c>
      <c r="AU44" t="s">
        <v>57</v>
      </c>
      <c r="AV44" t="s">
        <v>68</v>
      </c>
      <c r="AX44" t="s">
        <v>57</v>
      </c>
      <c r="AY44">
        <v>631110</v>
      </c>
      <c r="AZ44">
        <v>1206.63111</v>
      </c>
      <c r="BA44" s="23" t="s">
        <v>14</v>
      </c>
    </row>
    <row r="45" spans="1:53" x14ac:dyDescent="0.25">
      <c r="A45" t="s">
        <v>134</v>
      </c>
      <c r="B45" t="s">
        <v>135</v>
      </c>
      <c r="C45">
        <v>22002505</v>
      </c>
      <c r="D45">
        <v>1206</v>
      </c>
      <c r="E45" s="11">
        <v>44776</v>
      </c>
      <c r="F45" t="s">
        <v>185</v>
      </c>
      <c r="G45" s="25">
        <v>0.77</v>
      </c>
      <c r="H45">
        <v>0.77</v>
      </c>
      <c r="I45" t="s">
        <v>56</v>
      </c>
      <c r="O45" t="s">
        <v>57</v>
      </c>
      <c r="Q45" t="s">
        <v>57</v>
      </c>
      <c r="R45" t="s">
        <v>137</v>
      </c>
      <c r="T45" t="s">
        <v>59</v>
      </c>
      <c r="U45" t="s">
        <v>60</v>
      </c>
      <c r="V45" t="s">
        <v>138</v>
      </c>
      <c r="W45" t="s">
        <v>139</v>
      </c>
      <c r="X45">
        <v>1927077</v>
      </c>
      <c r="Y45" s="11">
        <v>44777</v>
      </c>
      <c r="Z45" t="s">
        <v>57</v>
      </c>
      <c r="AA45">
        <v>8</v>
      </c>
      <c r="AB45" t="s">
        <v>57</v>
      </c>
      <c r="AD45" t="s">
        <v>57</v>
      </c>
      <c r="AE45" t="s">
        <v>57</v>
      </c>
      <c r="AF45" t="s">
        <v>57</v>
      </c>
      <c r="AG45">
        <v>10</v>
      </c>
      <c r="AH45" t="s">
        <v>57</v>
      </c>
      <c r="AL45" t="s">
        <v>57</v>
      </c>
      <c r="AM45" s="11">
        <v>44776</v>
      </c>
      <c r="AN45" t="s">
        <v>183</v>
      </c>
      <c r="AO45" t="s">
        <v>65</v>
      </c>
      <c r="AP45">
        <v>1206</v>
      </c>
      <c r="AQ45" t="s">
        <v>66</v>
      </c>
      <c r="AR45">
        <v>267129</v>
      </c>
      <c r="AU45" t="s">
        <v>57</v>
      </c>
      <c r="AV45" t="s">
        <v>68</v>
      </c>
      <c r="AX45" t="s">
        <v>57</v>
      </c>
      <c r="AY45">
        <v>631110</v>
      </c>
      <c r="AZ45">
        <v>1206.63111</v>
      </c>
      <c r="BA45" s="23" t="s">
        <v>14</v>
      </c>
    </row>
    <row r="46" spans="1:53" x14ac:dyDescent="0.25">
      <c r="A46" t="s">
        <v>134</v>
      </c>
      <c r="B46" t="s">
        <v>135</v>
      </c>
      <c r="C46">
        <v>22002518</v>
      </c>
      <c r="D46">
        <v>1206</v>
      </c>
      <c r="E46" s="11">
        <v>44777</v>
      </c>
      <c r="F46" t="s">
        <v>185</v>
      </c>
      <c r="G46" s="25">
        <v>0.77</v>
      </c>
      <c r="H46">
        <v>0.77</v>
      </c>
      <c r="I46" t="s">
        <v>56</v>
      </c>
      <c r="O46" t="s">
        <v>57</v>
      </c>
      <c r="Q46" t="s">
        <v>57</v>
      </c>
      <c r="R46" t="s">
        <v>137</v>
      </c>
      <c r="T46" t="s">
        <v>59</v>
      </c>
      <c r="U46" t="s">
        <v>60</v>
      </c>
      <c r="V46" t="s">
        <v>138</v>
      </c>
      <c r="W46" t="s">
        <v>139</v>
      </c>
      <c r="X46">
        <v>1927715</v>
      </c>
      <c r="Y46" s="11">
        <v>44778</v>
      </c>
      <c r="Z46" t="s">
        <v>57</v>
      </c>
      <c r="AA46">
        <v>8</v>
      </c>
      <c r="AB46" t="s">
        <v>57</v>
      </c>
      <c r="AD46" t="s">
        <v>57</v>
      </c>
      <c r="AE46" t="s">
        <v>57</v>
      </c>
      <c r="AF46" t="s">
        <v>57</v>
      </c>
      <c r="AG46">
        <v>10</v>
      </c>
      <c r="AH46" t="s">
        <v>57</v>
      </c>
      <c r="AL46" t="s">
        <v>57</v>
      </c>
      <c r="AM46" s="11">
        <v>44777</v>
      </c>
      <c r="AN46" t="s">
        <v>183</v>
      </c>
      <c r="AO46" t="s">
        <v>65</v>
      </c>
      <c r="AP46">
        <v>1206</v>
      </c>
      <c r="AQ46" t="s">
        <v>66</v>
      </c>
      <c r="AR46">
        <v>267129</v>
      </c>
      <c r="AU46" t="s">
        <v>57</v>
      </c>
      <c r="AV46" t="s">
        <v>68</v>
      </c>
      <c r="AX46" t="s">
        <v>57</v>
      </c>
      <c r="AY46">
        <v>631110</v>
      </c>
      <c r="AZ46">
        <v>1206.63111</v>
      </c>
      <c r="BA46" s="23" t="s">
        <v>14</v>
      </c>
    </row>
    <row r="47" spans="1:53" x14ac:dyDescent="0.25">
      <c r="A47" t="s">
        <v>134</v>
      </c>
      <c r="B47" t="s">
        <v>135</v>
      </c>
      <c r="C47">
        <v>22002518</v>
      </c>
      <c r="D47">
        <v>1206</v>
      </c>
      <c r="E47" s="11">
        <v>44777</v>
      </c>
      <c r="F47" t="s">
        <v>185</v>
      </c>
      <c r="G47" s="25">
        <v>0.77</v>
      </c>
      <c r="H47">
        <v>0.77</v>
      </c>
      <c r="I47" t="s">
        <v>56</v>
      </c>
      <c r="O47" t="s">
        <v>57</v>
      </c>
      <c r="Q47" t="s">
        <v>57</v>
      </c>
      <c r="R47" t="s">
        <v>137</v>
      </c>
      <c r="T47" t="s">
        <v>59</v>
      </c>
      <c r="U47" t="s">
        <v>60</v>
      </c>
      <c r="V47" t="s">
        <v>138</v>
      </c>
      <c r="W47" t="s">
        <v>139</v>
      </c>
      <c r="X47">
        <v>1927715</v>
      </c>
      <c r="Y47" s="11">
        <v>44778</v>
      </c>
      <c r="Z47" t="s">
        <v>57</v>
      </c>
      <c r="AA47">
        <v>10</v>
      </c>
      <c r="AB47" t="s">
        <v>57</v>
      </c>
      <c r="AD47" t="s">
        <v>57</v>
      </c>
      <c r="AE47" t="s">
        <v>57</v>
      </c>
      <c r="AF47" t="s">
        <v>57</v>
      </c>
      <c r="AG47">
        <v>10</v>
      </c>
      <c r="AH47" t="s">
        <v>57</v>
      </c>
      <c r="AL47" t="s">
        <v>57</v>
      </c>
      <c r="AM47" s="11">
        <v>44777</v>
      </c>
      <c r="AN47" t="s">
        <v>183</v>
      </c>
      <c r="AO47" t="s">
        <v>65</v>
      </c>
      <c r="AP47">
        <v>1206</v>
      </c>
      <c r="AQ47" t="s">
        <v>66</v>
      </c>
      <c r="AR47">
        <v>91479</v>
      </c>
      <c r="AU47" t="s">
        <v>57</v>
      </c>
      <c r="AV47" t="s">
        <v>68</v>
      </c>
      <c r="AX47" t="s">
        <v>57</v>
      </c>
      <c r="AY47">
        <v>631110</v>
      </c>
      <c r="AZ47">
        <v>1206.63111</v>
      </c>
      <c r="BA47" s="23" t="s">
        <v>14</v>
      </c>
    </row>
    <row r="48" spans="1:53" x14ac:dyDescent="0.25">
      <c r="A48" t="s">
        <v>134</v>
      </c>
      <c r="B48" t="s">
        <v>135</v>
      </c>
      <c r="C48">
        <v>22002530</v>
      </c>
      <c r="D48">
        <v>1206</v>
      </c>
      <c r="E48" s="11">
        <v>44778</v>
      </c>
      <c r="F48" t="s">
        <v>185</v>
      </c>
      <c r="G48" s="25">
        <v>0.77</v>
      </c>
      <c r="H48">
        <v>0.77</v>
      </c>
      <c r="I48" t="s">
        <v>56</v>
      </c>
      <c r="O48" t="s">
        <v>57</v>
      </c>
      <c r="Q48" t="s">
        <v>57</v>
      </c>
      <c r="R48" t="s">
        <v>137</v>
      </c>
      <c r="T48" t="s">
        <v>59</v>
      </c>
      <c r="U48" t="s">
        <v>60</v>
      </c>
      <c r="V48" t="s">
        <v>138</v>
      </c>
      <c r="W48" t="s">
        <v>139</v>
      </c>
      <c r="X48">
        <v>1928799</v>
      </c>
      <c r="Y48" s="11">
        <v>44781</v>
      </c>
      <c r="Z48" t="s">
        <v>57</v>
      </c>
      <c r="AA48">
        <v>8</v>
      </c>
      <c r="AB48" t="s">
        <v>57</v>
      </c>
      <c r="AD48" t="s">
        <v>57</v>
      </c>
      <c r="AE48" t="s">
        <v>57</v>
      </c>
      <c r="AF48" t="s">
        <v>57</v>
      </c>
      <c r="AG48">
        <v>10</v>
      </c>
      <c r="AH48" t="s">
        <v>57</v>
      </c>
      <c r="AL48" t="s">
        <v>57</v>
      </c>
      <c r="AM48" s="11">
        <v>44778</v>
      </c>
      <c r="AN48" t="s">
        <v>183</v>
      </c>
      <c r="AO48" t="s">
        <v>65</v>
      </c>
      <c r="AP48">
        <v>1206</v>
      </c>
      <c r="AQ48" t="s">
        <v>66</v>
      </c>
      <c r="AR48">
        <v>91479</v>
      </c>
      <c r="AU48" t="s">
        <v>57</v>
      </c>
      <c r="AV48" t="s">
        <v>68</v>
      </c>
      <c r="AX48" t="s">
        <v>57</v>
      </c>
      <c r="AY48">
        <v>631110</v>
      </c>
      <c r="AZ48">
        <v>1206.63111</v>
      </c>
      <c r="BA48" s="23" t="s">
        <v>14</v>
      </c>
    </row>
    <row r="49" spans="1:53" x14ac:dyDescent="0.25">
      <c r="A49" t="s">
        <v>134</v>
      </c>
      <c r="B49" t="s">
        <v>135</v>
      </c>
      <c r="C49">
        <v>22002566</v>
      </c>
      <c r="D49">
        <v>1206</v>
      </c>
      <c r="E49" s="11">
        <v>44784</v>
      </c>
      <c r="F49" t="s">
        <v>185</v>
      </c>
      <c r="G49" s="25">
        <v>0.77</v>
      </c>
      <c r="H49">
        <v>0.77</v>
      </c>
      <c r="I49" t="s">
        <v>56</v>
      </c>
      <c r="O49" t="s">
        <v>57</v>
      </c>
      <c r="Q49" t="s">
        <v>57</v>
      </c>
      <c r="R49" t="s">
        <v>137</v>
      </c>
      <c r="T49" t="s">
        <v>59</v>
      </c>
      <c r="U49" t="s">
        <v>60</v>
      </c>
      <c r="V49" t="s">
        <v>138</v>
      </c>
      <c r="W49" t="s">
        <v>139</v>
      </c>
      <c r="X49">
        <v>1930539</v>
      </c>
      <c r="Y49" s="11">
        <v>44785</v>
      </c>
      <c r="Z49" t="s">
        <v>57</v>
      </c>
      <c r="AA49">
        <v>8</v>
      </c>
      <c r="AB49" t="s">
        <v>57</v>
      </c>
      <c r="AD49" t="s">
        <v>57</v>
      </c>
      <c r="AE49" t="s">
        <v>57</v>
      </c>
      <c r="AF49" t="s">
        <v>57</v>
      </c>
      <c r="AG49">
        <v>10</v>
      </c>
      <c r="AH49" t="s">
        <v>57</v>
      </c>
      <c r="AL49" t="s">
        <v>57</v>
      </c>
      <c r="AM49" s="11">
        <v>44784</v>
      </c>
      <c r="AN49" t="s">
        <v>183</v>
      </c>
      <c r="AO49" t="s">
        <v>65</v>
      </c>
      <c r="AP49">
        <v>1206</v>
      </c>
      <c r="AQ49" t="s">
        <v>66</v>
      </c>
      <c r="AR49">
        <v>267129</v>
      </c>
      <c r="AU49" t="s">
        <v>57</v>
      </c>
      <c r="AV49" t="s">
        <v>68</v>
      </c>
      <c r="AX49" t="s">
        <v>57</v>
      </c>
      <c r="AY49">
        <v>631110</v>
      </c>
      <c r="AZ49">
        <v>1206.63111</v>
      </c>
      <c r="BA49" s="23" t="s">
        <v>14</v>
      </c>
    </row>
    <row r="50" spans="1:53" x14ac:dyDescent="0.25">
      <c r="A50" t="s">
        <v>134</v>
      </c>
      <c r="B50" t="s">
        <v>135</v>
      </c>
      <c r="C50">
        <v>22002566</v>
      </c>
      <c r="D50">
        <v>1206</v>
      </c>
      <c r="E50" s="11">
        <v>44784</v>
      </c>
      <c r="F50" t="s">
        <v>185</v>
      </c>
      <c r="G50" s="25">
        <v>0.77</v>
      </c>
      <c r="H50">
        <v>0.77</v>
      </c>
      <c r="I50" t="s">
        <v>56</v>
      </c>
      <c r="O50" t="s">
        <v>57</v>
      </c>
      <c r="Q50" t="s">
        <v>57</v>
      </c>
      <c r="R50" t="s">
        <v>137</v>
      </c>
      <c r="T50" t="s">
        <v>59</v>
      </c>
      <c r="U50" t="s">
        <v>60</v>
      </c>
      <c r="V50" t="s">
        <v>138</v>
      </c>
      <c r="W50" t="s">
        <v>139</v>
      </c>
      <c r="X50">
        <v>1930539</v>
      </c>
      <c r="Y50" s="11">
        <v>44785</v>
      </c>
      <c r="Z50" t="s">
        <v>57</v>
      </c>
      <c r="AA50">
        <v>10</v>
      </c>
      <c r="AB50" t="s">
        <v>57</v>
      </c>
      <c r="AD50" t="s">
        <v>57</v>
      </c>
      <c r="AE50" t="s">
        <v>57</v>
      </c>
      <c r="AF50" t="s">
        <v>57</v>
      </c>
      <c r="AG50">
        <v>10</v>
      </c>
      <c r="AH50" t="s">
        <v>57</v>
      </c>
      <c r="AL50" t="s">
        <v>57</v>
      </c>
      <c r="AM50" s="11">
        <v>44784</v>
      </c>
      <c r="AN50" t="s">
        <v>183</v>
      </c>
      <c r="AO50" t="s">
        <v>65</v>
      </c>
      <c r="AP50">
        <v>1206</v>
      </c>
      <c r="AQ50" t="s">
        <v>66</v>
      </c>
      <c r="AR50">
        <v>91479</v>
      </c>
      <c r="AU50" t="s">
        <v>57</v>
      </c>
      <c r="AV50" t="s">
        <v>68</v>
      </c>
      <c r="AX50" t="s">
        <v>57</v>
      </c>
      <c r="AY50">
        <v>631110</v>
      </c>
      <c r="AZ50">
        <v>1206.63111</v>
      </c>
      <c r="BA50" s="23" t="s">
        <v>14</v>
      </c>
    </row>
    <row r="51" spans="1:53" x14ac:dyDescent="0.25">
      <c r="A51" t="s">
        <v>134</v>
      </c>
      <c r="B51" t="s">
        <v>135</v>
      </c>
      <c r="C51">
        <v>22002598</v>
      </c>
      <c r="D51">
        <v>1206</v>
      </c>
      <c r="E51" s="11">
        <v>44791</v>
      </c>
      <c r="F51" t="s">
        <v>185</v>
      </c>
      <c r="G51" s="25">
        <v>0.77</v>
      </c>
      <c r="H51">
        <v>0.77</v>
      </c>
      <c r="I51" t="s">
        <v>56</v>
      </c>
      <c r="O51" t="s">
        <v>57</v>
      </c>
      <c r="Q51" t="s">
        <v>57</v>
      </c>
      <c r="R51" t="s">
        <v>137</v>
      </c>
      <c r="T51" t="s">
        <v>59</v>
      </c>
      <c r="U51" t="s">
        <v>60</v>
      </c>
      <c r="V51" t="s">
        <v>138</v>
      </c>
      <c r="W51" t="s">
        <v>139</v>
      </c>
      <c r="X51">
        <v>1933578</v>
      </c>
      <c r="Y51" s="11">
        <v>44792</v>
      </c>
      <c r="Z51" t="s">
        <v>57</v>
      </c>
      <c r="AA51">
        <v>8</v>
      </c>
      <c r="AB51" t="s">
        <v>57</v>
      </c>
      <c r="AD51" t="s">
        <v>57</v>
      </c>
      <c r="AE51" t="s">
        <v>57</v>
      </c>
      <c r="AF51" t="s">
        <v>57</v>
      </c>
      <c r="AG51">
        <v>10</v>
      </c>
      <c r="AH51" t="s">
        <v>57</v>
      </c>
      <c r="AL51" t="s">
        <v>57</v>
      </c>
      <c r="AM51" s="11">
        <v>44791</v>
      </c>
      <c r="AN51" t="s">
        <v>183</v>
      </c>
      <c r="AO51" t="s">
        <v>65</v>
      </c>
      <c r="AP51">
        <v>1206</v>
      </c>
      <c r="AQ51" t="s">
        <v>66</v>
      </c>
      <c r="AR51">
        <v>267129</v>
      </c>
      <c r="AU51" t="s">
        <v>57</v>
      </c>
      <c r="AV51" t="s">
        <v>68</v>
      </c>
      <c r="AX51" t="s">
        <v>57</v>
      </c>
      <c r="AY51">
        <v>631110</v>
      </c>
      <c r="AZ51">
        <v>1206.63111</v>
      </c>
      <c r="BA51" s="23" t="s">
        <v>14</v>
      </c>
    </row>
    <row r="52" spans="1:53" x14ac:dyDescent="0.25">
      <c r="A52" t="s">
        <v>134</v>
      </c>
      <c r="B52" t="s">
        <v>135</v>
      </c>
      <c r="C52">
        <v>22002598</v>
      </c>
      <c r="D52">
        <v>1206</v>
      </c>
      <c r="E52" s="11">
        <v>44791</v>
      </c>
      <c r="F52" t="s">
        <v>185</v>
      </c>
      <c r="G52" s="25">
        <v>0.77</v>
      </c>
      <c r="H52">
        <v>0.77</v>
      </c>
      <c r="I52" t="s">
        <v>56</v>
      </c>
      <c r="O52" t="s">
        <v>57</v>
      </c>
      <c r="Q52" t="s">
        <v>57</v>
      </c>
      <c r="R52" t="s">
        <v>137</v>
      </c>
      <c r="T52" t="s">
        <v>59</v>
      </c>
      <c r="U52" t="s">
        <v>60</v>
      </c>
      <c r="V52" t="s">
        <v>138</v>
      </c>
      <c r="W52" t="s">
        <v>139</v>
      </c>
      <c r="X52">
        <v>1933578</v>
      </c>
      <c r="Y52" s="11">
        <v>44792</v>
      </c>
      <c r="Z52" t="s">
        <v>57</v>
      </c>
      <c r="AA52">
        <v>12</v>
      </c>
      <c r="AB52" t="s">
        <v>57</v>
      </c>
      <c r="AD52" t="s">
        <v>57</v>
      </c>
      <c r="AE52" t="s">
        <v>57</v>
      </c>
      <c r="AF52" t="s">
        <v>57</v>
      </c>
      <c r="AG52">
        <v>10</v>
      </c>
      <c r="AH52" t="s">
        <v>57</v>
      </c>
      <c r="AL52" t="s">
        <v>57</v>
      </c>
      <c r="AM52" s="11">
        <v>44791</v>
      </c>
      <c r="AN52" t="s">
        <v>183</v>
      </c>
      <c r="AO52" t="s">
        <v>65</v>
      </c>
      <c r="AP52">
        <v>1206</v>
      </c>
      <c r="AQ52" t="s">
        <v>66</v>
      </c>
      <c r="AR52">
        <v>91479</v>
      </c>
      <c r="AU52" t="s">
        <v>57</v>
      </c>
      <c r="AV52" t="s">
        <v>68</v>
      </c>
      <c r="AX52" t="s">
        <v>57</v>
      </c>
      <c r="AY52">
        <v>631110</v>
      </c>
      <c r="AZ52">
        <v>1206.63111</v>
      </c>
      <c r="BA52" s="23" t="s">
        <v>14</v>
      </c>
    </row>
    <row r="53" spans="1:53" x14ac:dyDescent="0.25">
      <c r="A53" t="s">
        <v>134</v>
      </c>
      <c r="B53" t="s">
        <v>135</v>
      </c>
      <c r="C53">
        <v>22002527</v>
      </c>
      <c r="D53">
        <v>1206</v>
      </c>
      <c r="E53" s="11">
        <v>44778</v>
      </c>
      <c r="F53" t="s">
        <v>174</v>
      </c>
      <c r="G53" s="25">
        <v>0.79</v>
      </c>
      <c r="H53">
        <v>0.79</v>
      </c>
      <c r="I53" t="s">
        <v>56</v>
      </c>
      <c r="O53" t="s">
        <v>57</v>
      </c>
      <c r="Q53" t="s">
        <v>57</v>
      </c>
      <c r="R53" t="s">
        <v>137</v>
      </c>
      <c r="T53" t="s">
        <v>59</v>
      </c>
      <c r="U53" t="s">
        <v>60</v>
      </c>
      <c r="V53" t="s">
        <v>138</v>
      </c>
      <c r="W53" t="s">
        <v>139</v>
      </c>
      <c r="X53">
        <v>1928766</v>
      </c>
      <c r="Y53" s="11">
        <v>44778</v>
      </c>
      <c r="Z53" t="s">
        <v>57</v>
      </c>
      <c r="AA53">
        <v>8</v>
      </c>
      <c r="AB53" t="s">
        <v>57</v>
      </c>
      <c r="AD53" t="s">
        <v>57</v>
      </c>
      <c r="AE53" t="s">
        <v>57</v>
      </c>
      <c r="AF53" t="s">
        <v>57</v>
      </c>
      <c r="AG53">
        <v>1</v>
      </c>
      <c r="AH53" t="s">
        <v>57</v>
      </c>
      <c r="AL53" t="s">
        <v>57</v>
      </c>
      <c r="AM53" s="11">
        <v>44778</v>
      </c>
      <c r="AN53" t="s">
        <v>184</v>
      </c>
      <c r="AO53" t="s">
        <v>65</v>
      </c>
      <c r="AP53">
        <v>1206</v>
      </c>
      <c r="AQ53" t="s">
        <v>66</v>
      </c>
      <c r="AR53">
        <v>220124</v>
      </c>
      <c r="AU53" t="s">
        <v>57</v>
      </c>
      <c r="AV53" t="s">
        <v>68</v>
      </c>
      <c r="AX53" t="s">
        <v>57</v>
      </c>
      <c r="AY53">
        <v>631110</v>
      </c>
      <c r="AZ53">
        <v>1206.63111</v>
      </c>
      <c r="BA53" s="23" t="s">
        <v>14</v>
      </c>
    </row>
    <row r="54" spans="1:53" x14ac:dyDescent="0.25">
      <c r="A54" t="s">
        <v>134</v>
      </c>
      <c r="B54" t="s">
        <v>135</v>
      </c>
      <c r="C54">
        <v>22002600</v>
      </c>
      <c r="D54">
        <v>1206</v>
      </c>
      <c r="E54" s="11">
        <v>44791</v>
      </c>
      <c r="F54" t="s">
        <v>174</v>
      </c>
      <c r="G54" s="25">
        <v>0.79</v>
      </c>
      <c r="H54">
        <v>0.79</v>
      </c>
      <c r="I54" t="s">
        <v>56</v>
      </c>
      <c r="O54" t="s">
        <v>57</v>
      </c>
      <c r="Q54" t="s">
        <v>57</v>
      </c>
      <c r="R54" t="s">
        <v>137</v>
      </c>
      <c r="T54" t="s">
        <v>59</v>
      </c>
      <c r="U54" t="s">
        <v>60</v>
      </c>
      <c r="V54" t="s">
        <v>138</v>
      </c>
      <c r="W54" t="s">
        <v>139</v>
      </c>
      <c r="X54">
        <v>1934071</v>
      </c>
      <c r="Y54" s="11">
        <v>44792</v>
      </c>
      <c r="Z54" t="s">
        <v>57</v>
      </c>
      <c r="AA54">
        <v>4</v>
      </c>
      <c r="AB54" t="s">
        <v>57</v>
      </c>
      <c r="AD54" t="s">
        <v>57</v>
      </c>
      <c r="AE54" t="s">
        <v>57</v>
      </c>
      <c r="AF54" t="s">
        <v>57</v>
      </c>
      <c r="AG54">
        <v>1</v>
      </c>
      <c r="AH54" t="s">
        <v>57</v>
      </c>
      <c r="AL54" t="s">
        <v>57</v>
      </c>
      <c r="AM54" s="11">
        <v>44791</v>
      </c>
      <c r="AN54" t="s">
        <v>184</v>
      </c>
      <c r="AO54" t="s">
        <v>65</v>
      </c>
      <c r="AP54">
        <v>1206</v>
      </c>
      <c r="AQ54" t="s">
        <v>66</v>
      </c>
      <c r="AR54">
        <v>247349</v>
      </c>
      <c r="AU54" t="s">
        <v>57</v>
      </c>
      <c r="AV54" t="s">
        <v>68</v>
      </c>
      <c r="AX54" t="s">
        <v>57</v>
      </c>
      <c r="AY54">
        <v>631110</v>
      </c>
      <c r="AZ54">
        <v>1206.63111</v>
      </c>
      <c r="BA54" s="23" t="s">
        <v>14</v>
      </c>
    </row>
    <row r="55" spans="1:53" x14ac:dyDescent="0.25">
      <c r="A55" t="s">
        <v>134</v>
      </c>
      <c r="B55" t="s">
        <v>135</v>
      </c>
      <c r="C55">
        <v>22002609</v>
      </c>
      <c r="D55">
        <v>1206</v>
      </c>
      <c r="E55" s="11">
        <v>44792</v>
      </c>
      <c r="F55" t="s">
        <v>174</v>
      </c>
      <c r="G55" s="25">
        <v>0.79</v>
      </c>
      <c r="H55">
        <v>0.79</v>
      </c>
      <c r="I55" t="s">
        <v>56</v>
      </c>
      <c r="O55" t="s">
        <v>57</v>
      </c>
      <c r="Q55" t="s">
        <v>57</v>
      </c>
      <c r="R55" t="s">
        <v>137</v>
      </c>
      <c r="T55" t="s">
        <v>59</v>
      </c>
      <c r="U55" t="s">
        <v>60</v>
      </c>
      <c r="V55" t="s">
        <v>138</v>
      </c>
      <c r="W55" t="s">
        <v>139</v>
      </c>
      <c r="X55">
        <v>1934080</v>
      </c>
      <c r="Y55" s="11">
        <v>44792</v>
      </c>
      <c r="Z55" t="s">
        <v>57</v>
      </c>
      <c r="AA55">
        <v>6</v>
      </c>
      <c r="AB55" t="s">
        <v>57</v>
      </c>
      <c r="AD55" t="s">
        <v>57</v>
      </c>
      <c r="AE55" t="s">
        <v>57</v>
      </c>
      <c r="AF55" t="s">
        <v>57</v>
      </c>
      <c r="AG55">
        <v>1</v>
      </c>
      <c r="AH55" t="s">
        <v>57</v>
      </c>
      <c r="AL55" t="s">
        <v>57</v>
      </c>
      <c r="AM55" s="11">
        <v>44792</v>
      </c>
      <c r="AN55" t="s">
        <v>184</v>
      </c>
      <c r="AO55" t="s">
        <v>65</v>
      </c>
      <c r="AP55">
        <v>1206</v>
      </c>
      <c r="AQ55" t="s">
        <v>66</v>
      </c>
      <c r="AR55">
        <v>247349</v>
      </c>
      <c r="AU55" t="s">
        <v>57</v>
      </c>
      <c r="AV55" t="s">
        <v>68</v>
      </c>
      <c r="AX55" t="s">
        <v>57</v>
      </c>
      <c r="AY55">
        <v>631110</v>
      </c>
      <c r="AZ55">
        <v>1206.63111</v>
      </c>
      <c r="BA55" s="23" t="s">
        <v>14</v>
      </c>
    </row>
    <row r="56" spans="1:53" x14ac:dyDescent="0.25">
      <c r="A56" t="s">
        <v>134</v>
      </c>
      <c r="B56" t="s">
        <v>135</v>
      </c>
      <c r="C56">
        <v>22002524</v>
      </c>
      <c r="D56">
        <v>1206</v>
      </c>
      <c r="E56" s="11">
        <v>44778</v>
      </c>
      <c r="F56" t="s">
        <v>174</v>
      </c>
      <c r="G56" s="25">
        <v>0.81</v>
      </c>
      <c r="H56">
        <v>0.81</v>
      </c>
      <c r="I56" t="s">
        <v>56</v>
      </c>
      <c r="O56" t="s">
        <v>57</v>
      </c>
      <c r="Q56" t="s">
        <v>57</v>
      </c>
      <c r="R56" t="s">
        <v>137</v>
      </c>
      <c r="T56" t="s">
        <v>59</v>
      </c>
      <c r="U56" t="s">
        <v>60</v>
      </c>
      <c r="V56" t="s">
        <v>138</v>
      </c>
      <c r="W56" t="s">
        <v>139</v>
      </c>
      <c r="X56">
        <v>1928766</v>
      </c>
      <c r="Y56" s="11">
        <v>44778</v>
      </c>
      <c r="Z56" t="s">
        <v>57</v>
      </c>
      <c r="AA56">
        <v>18</v>
      </c>
      <c r="AB56" t="s">
        <v>57</v>
      </c>
      <c r="AD56" t="s">
        <v>57</v>
      </c>
      <c r="AE56" t="s">
        <v>57</v>
      </c>
      <c r="AF56" t="s">
        <v>57</v>
      </c>
      <c r="AG56">
        <v>1</v>
      </c>
      <c r="AH56" t="s">
        <v>57</v>
      </c>
      <c r="AL56" t="s">
        <v>57</v>
      </c>
      <c r="AM56" s="11">
        <v>44778</v>
      </c>
      <c r="AN56" t="s">
        <v>184</v>
      </c>
      <c r="AO56" t="s">
        <v>65</v>
      </c>
      <c r="AP56">
        <v>1206</v>
      </c>
      <c r="AQ56" t="s">
        <v>66</v>
      </c>
      <c r="AR56">
        <v>270709</v>
      </c>
      <c r="AU56" t="s">
        <v>57</v>
      </c>
      <c r="AV56" t="s">
        <v>68</v>
      </c>
      <c r="AX56" t="s">
        <v>57</v>
      </c>
      <c r="AY56">
        <v>631110</v>
      </c>
      <c r="AZ56">
        <v>1206.63111</v>
      </c>
      <c r="BA56" s="23" t="s">
        <v>14</v>
      </c>
    </row>
    <row r="57" spans="1:53" x14ac:dyDescent="0.25">
      <c r="A57" t="s">
        <v>134</v>
      </c>
      <c r="B57" t="s">
        <v>135</v>
      </c>
      <c r="C57">
        <v>22002540</v>
      </c>
      <c r="D57">
        <v>1206</v>
      </c>
      <c r="E57" s="11">
        <v>44782</v>
      </c>
      <c r="F57" t="s">
        <v>174</v>
      </c>
      <c r="G57" s="25">
        <v>0.81</v>
      </c>
      <c r="H57">
        <v>0.81</v>
      </c>
      <c r="I57" t="s">
        <v>56</v>
      </c>
      <c r="O57" t="s">
        <v>57</v>
      </c>
      <c r="Q57" t="s">
        <v>57</v>
      </c>
      <c r="R57" t="s">
        <v>137</v>
      </c>
      <c r="T57" t="s">
        <v>59</v>
      </c>
      <c r="U57" t="s">
        <v>60</v>
      </c>
      <c r="V57" t="s">
        <v>138</v>
      </c>
      <c r="W57" t="s">
        <v>139</v>
      </c>
      <c r="X57">
        <v>1929247</v>
      </c>
      <c r="Y57" s="11">
        <v>44782</v>
      </c>
      <c r="Z57" t="s">
        <v>57</v>
      </c>
      <c r="AA57">
        <v>4</v>
      </c>
      <c r="AB57" t="s">
        <v>57</v>
      </c>
      <c r="AD57" t="s">
        <v>57</v>
      </c>
      <c r="AE57" t="s">
        <v>57</v>
      </c>
      <c r="AF57" t="s">
        <v>57</v>
      </c>
      <c r="AG57">
        <v>1</v>
      </c>
      <c r="AH57" t="s">
        <v>57</v>
      </c>
      <c r="AL57" t="s">
        <v>57</v>
      </c>
      <c r="AM57" s="11">
        <v>44782</v>
      </c>
      <c r="AN57" t="s">
        <v>184</v>
      </c>
      <c r="AO57" t="s">
        <v>65</v>
      </c>
      <c r="AP57">
        <v>1206</v>
      </c>
      <c r="AQ57" t="s">
        <v>66</v>
      </c>
      <c r="AR57">
        <v>270709</v>
      </c>
      <c r="AU57" t="s">
        <v>57</v>
      </c>
      <c r="AV57" t="s">
        <v>68</v>
      </c>
      <c r="AX57" t="s">
        <v>57</v>
      </c>
      <c r="AY57">
        <v>631110</v>
      </c>
      <c r="AZ57">
        <v>1206.63111</v>
      </c>
      <c r="BA57" s="23" t="s">
        <v>14</v>
      </c>
    </row>
    <row r="58" spans="1:53" x14ac:dyDescent="0.25">
      <c r="A58" t="s">
        <v>134</v>
      </c>
      <c r="B58" t="s">
        <v>135</v>
      </c>
      <c r="C58">
        <v>22002593</v>
      </c>
      <c r="D58">
        <v>1206</v>
      </c>
      <c r="E58" s="11">
        <v>44789</v>
      </c>
      <c r="F58" t="s">
        <v>174</v>
      </c>
      <c r="G58" s="25">
        <v>0.83</v>
      </c>
      <c r="H58">
        <v>0.83</v>
      </c>
      <c r="I58" t="s">
        <v>56</v>
      </c>
      <c r="O58" t="s">
        <v>57</v>
      </c>
      <c r="Q58" t="s">
        <v>57</v>
      </c>
      <c r="R58" t="s">
        <v>137</v>
      </c>
      <c r="T58" t="s">
        <v>59</v>
      </c>
      <c r="U58" t="s">
        <v>60</v>
      </c>
      <c r="V58" t="s">
        <v>138</v>
      </c>
      <c r="W58" t="s">
        <v>139</v>
      </c>
      <c r="X58">
        <v>1933529</v>
      </c>
      <c r="Y58" s="11">
        <v>44791</v>
      </c>
      <c r="Z58" t="s">
        <v>57</v>
      </c>
      <c r="AA58">
        <v>16</v>
      </c>
      <c r="AB58" t="s">
        <v>57</v>
      </c>
      <c r="AD58" t="s">
        <v>57</v>
      </c>
      <c r="AE58" t="s">
        <v>57</v>
      </c>
      <c r="AF58" t="s">
        <v>57</v>
      </c>
      <c r="AG58">
        <v>1</v>
      </c>
      <c r="AH58" t="s">
        <v>57</v>
      </c>
      <c r="AL58" t="s">
        <v>57</v>
      </c>
      <c r="AM58" s="11">
        <v>44789</v>
      </c>
      <c r="AN58" t="s">
        <v>184</v>
      </c>
      <c r="AO58" t="s">
        <v>65</v>
      </c>
      <c r="AP58">
        <v>1206</v>
      </c>
      <c r="AQ58" t="s">
        <v>66</v>
      </c>
      <c r="AR58">
        <v>227796</v>
      </c>
      <c r="AU58" t="s">
        <v>57</v>
      </c>
      <c r="AV58" t="s">
        <v>68</v>
      </c>
      <c r="AX58" t="s">
        <v>57</v>
      </c>
      <c r="AY58">
        <v>631110</v>
      </c>
      <c r="AZ58">
        <v>1206.63111</v>
      </c>
      <c r="BA58" s="23" t="s">
        <v>14</v>
      </c>
    </row>
    <row r="59" spans="1:53" x14ac:dyDescent="0.25">
      <c r="A59" t="s">
        <v>134</v>
      </c>
      <c r="B59" t="s">
        <v>135</v>
      </c>
      <c r="C59">
        <v>22002484</v>
      </c>
      <c r="D59">
        <v>1206</v>
      </c>
      <c r="E59" s="11">
        <v>44774</v>
      </c>
      <c r="F59" t="s">
        <v>182</v>
      </c>
      <c r="G59" s="25">
        <v>0.86</v>
      </c>
      <c r="H59">
        <v>0.86</v>
      </c>
      <c r="I59" t="s">
        <v>56</v>
      </c>
      <c r="O59" t="s">
        <v>57</v>
      </c>
      <c r="Q59" t="s">
        <v>57</v>
      </c>
      <c r="R59" t="s">
        <v>137</v>
      </c>
      <c r="T59" t="s">
        <v>59</v>
      </c>
      <c r="U59" t="s">
        <v>60</v>
      </c>
      <c r="V59" t="s">
        <v>138</v>
      </c>
      <c r="W59" t="s">
        <v>139</v>
      </c>
      <c r="X59">
        <v>1925387</v>
      </c>
      <c r="Y59" s="11">
        <v>44774</v>
      </c>
      <c r="Z59" t="s">
        <v>57</v>
      </c>
      <c r="AA59">
        <v>12</v>
      </c>
      <c r="AB59" t="s">
        <v>57</v>
      </c>
      <c r="AD59" t="s">
        <v>57</v>
      </c>
      <c r="AE59" t="s">
        <v>57</v>
      </c>
      <c r="AF59" t="s">
        <v>57</v>
      </c>
      <c r="AG59">
        <v>10</v>
      </c>
      <c r="AH59" t="s">
        <v>57</v>
      </c>
      <c r="AL59" t="s">
        <v>57</v>
      </c>
      <c r="AM59" s="11">
        <v>44774</v>
      </c>
      <c r="AN59" t="s">
        <v>183</v>
      </c>
      <c r="AO59" t="s">
        <v>65</v>
      </c>
      <c r="AP59">
        <v>1206</v>
      </c>
      <c r="AQ59" t="s">
        <v>66</v>
      </c>
      <c r="AR59">
        <v>92908</v>
      </c>
      <c r="AU59" t="s">
        <v>57</v>
      </c>
      <c r="AV59" t="s">
        <v>68</v>
      </c>
      <c r="AX59" t="s">
        <v>57</v>
      </c>
      <c r="AY59">
        <v>631110</v>
      </c>
      <c r="AZ59">
        <v>1206.63111</v>
      </c>
      <c r="BA59" s="23" t="s">
        <v>14</v>
      </c>
    </row>
    <row r="60" spans="1:53" x14ac:dyDescent="0.25">
      <c r="A60" t="s">
        <v>134</v>
      </c>
      <c r="B60" t="s">
        <v>135</v>
      </c>
      <c r="C60">
        <v>22002518</v>
      </c>
      <c r="D60">
        <v>1206</v>
      </c>
      <c r="E60" s="11">
        <v>44777</v>
      </c>
      <c r="F60" t="s">
        <v>185</v>
      </c>
      <c r="G60" s="25">
        <v>0.86</v>
      </c>
      <c r="H60">
        <v>0.86</v>
      </c>
      <c r="I60" t="s">
        <v>56</v>
      </c>
      <c r="O60" t="s">
        <v>57</v>
      </c>
      <c r="Q60" t="s">
        <v>57</v>
      </c>
      <c r="R60" t="s">
        <v>137</v>
      </c>
      <c r="T60" t="s">
        <v>59</v>
      </c>
      <c r="U60" t="s">
        <v>60</v>
      </c>
      <c r="V60" t="s">
        <v>138</v>
      </c>
      <c r="W60" t="s">
        <v>139</v>
      </c>
      <c r="X60">
        <v>1927715</v>
      </c>
      <c r="Y60" s="11">
        <v>44778</v>
      </c>
      <c r="Z60" t="s">
        <v>57</v>
      </c>
      <c r="AA60">
        <v>12</v>
      </c>
      <c r="AB60" t="s">
        <v>57</v>
      </c>
      <c r="AD60" t="s">
        <v>57</v>
      </c>
      <c r="AE60" t="s">
        <v>57</v>
      </c>
      <c r="AF60" t="s">
        <v>57</v>
      </c>
      <c r="AG60">
        <v>10</v>
      </c>
      <c r="AH60" t="s">
        <v>57</v>
      </c>
      <c r="AL60" t="s">
        <v>57</v>
      </c>
      <c r="AM60" s="11">
        <v>44777</v>
      </c>
      <c r="AN60" t="s">
        <v>183</v>
      </c>
      <c r="AO60" t="s">
        <v>65</v>
      </c>
      <c r="AP60">
        <v>1206</v>
      </c>
      <c r="AQ60" t="s">
        <v>66</v>
      </c>
      <c r="AR60">
        <v>92908</v>
      </c>
      <c r="AU60" t="s">
        <v>57</v>
      </c>
      <c r="AV60" t="s">
        <v>68</v>
      </c>
      <c r="AX60" t="s">
        <v>57</v>
      </c>
      <c r="AY60">
        <v>631110</v>
      </c>
      <c r="AZ60">
        <v>1206.63111</v>
      </c>
      <c r="BA60" s="23" t="s">
        <v>14</v>
      </c>
    </row>
    <row r="61" spans="1:53" x14ac:dyDescent="0.25">
      <c r="A61" t="s">
        <v>134</v>
      </c>
      <c r="B61" t="s">
        <v>135</v>
      </c>
      <c r="C61">
        <v>22002548</v>
      </c>
      <c r="D61">
        <v>1206</v>
      </c>
      <c r="E61" s="11">
        <v>44782</v>
      </c>
      <c r="F61" t="s">
        <v>174</v>
      </c>
      <c r="G61" s="25">
        <v>0.86</v>
      </c>
      <c r="H61">
        <v>0.86</v>
      </c>
      <c r="I61" t="s">
        <v>56</v>
      </c>
      <c r="O61" t="s">
        <v>57</v>
      </c>
      <c r="Q61" t="s">
        <v>57</v>
      </c>
      <c r="R61" t="s">
        <v>137</v>
      </c>
      <c r="T61" t="s">
        <v>59</v>
      </c>
      <c r="U61" t="s">
        <v>60</v>
      </c>
      <c r="V61" t="s">
        <v>138</v>
      </c>
      <c r="W61" t="s">
        <v>139</v>
      </c>
      <c r="X61">
        <v>1930246</v>
      </c>
      <c r="Y61" s="11">
        <v>44783</v>
      </c>
      <c r="Z61" t="s">
        <v>57</v>
      </c>
      <c r="AA61">
        <v>10</v>
      </c>
      <c r="AB61" t="s">
        <v>57</v>
      </c>
      <c r="AD61" t="s">
        <v>57</v>
      </c>
      <c r="AE61" t="s">
        <v>57</v>
      </c>
      <c r="AF61" t="s">
        <v>57</v>
      </c>
      <c r="AG61">
        <v>1</v>
      </c>
      <c r="AH61" t="s">
        <v>57</v>
      </c>
      <c r="AL61" t="s">
        <v>57</v>
      </c>
      <c r="AM61" s="11">
        <v>44782</v>
      </c>
      <c r="AN61" t="s">
        <v>184</v>
      </c>
      <c r="AO61" t="s">
        <v>65</v>
      </c>
      <c r="AP61">
        <v>1206</v>
      </c>
      <c r="AQ61" t="s">
        <v>66</v>
      </c>
      <c r="AR61">
        <v>271901</v>
      </c>
      <c r="AU61" t="s">
        <v>57</v>
      </c>
      <c r="AV61" t="s">
        <v>68</v>
      </c>
      <c r="AX61" t="s">
        <v>57</v>
      </c>
      <c r="AY61">
        <v>631110</v>
      </c>
      <c r="AZ61">
        <v>1206.63111</v>
      </c>
      <c r="BA61" s="23" t="s">
        <v>14</v>
      </c>
    </row>
    <row r="62" spans="1:53" x14ac:dyDescent="0.25">
      <c r="A62" t="s">
        <v>134</v>
      </c>
      <c r="B62" t="s">
        <v>135</v>
      </c>
      <c r="C62">
        <v>22002598</v>
      </c>
      <c r="D62">
        <v>1206</v>
      </c>
      <c r="E62" s="11">
        <v>44791</v>
      </c>
      <c r="F62" t="s">
        <v>185</v>
      </c>
      <c r="G62" s="25">
        <v>0.86</v>
      </c>
      <c r="H62">
        <v>0.86</v>
      </c>
      <c r="I62" t="s">
        <v>56</v>
      </c>
      <c r="O62" t="s">
        <v>57</v>
      </c>
      <c r="Q62" t="s">
        <v>57</v>
      </c>
      <c r="R62" t="s">
        <v>137</v>
      </c>
      <c r="T62" t="s">
        <v>59</v>
      </c>
      <c r="U62" t="s">
        <v>60</v>
      </c>
      <c r="V62" t="s">
        <v>138</v>
      </c>
      <c r="W62" t="s">
        <v>139</v>
      </c>
      <c r="X62">
        <v>1933578</v>
      </c>
      <c r="Y62" s="11">
        <v>44792</v>
      </c>
      <c r="Z62" t="s">
        <v>57</v>
      </c>
      <c r="AA62">
        <v>14</v>
      </c>
      <c r="AB62" t="s">
        <v>57</v>
      </c>
      <c r="AD62" t="s">
        <v>57</v>
      </c>
      <c r="AE62" t="s">
        <v>57</v>
      </c>
      <c r="AF62" t="s">
        <v>57</v>
      </c>
      <c r="AG62">
        <v>10</v>
      </c>
      <c r="AH62" t="s">
        <v>57</v>
      </c>
      <c r="AL62" t="s">
        <v>57</v>
      </c>
      <c r="AM62" s="11">
        <v>44791</v>
      </c>
      <c r="AN62" t="s">
        <v>183</v>
      </c>
      <c r="AO62" t="s">
        <v>65</v>
      </c>
      <c r="AP62">
        <v>1206</v>
      </c>
      <c r="AQ62" t="s">
        <v>66</v>
      </c>
      <c r="AR62">
        <v>92908</v>
      </c>
      <c r="AU62" t="s">
        <v>57</v>
      </c>
      <c r="AV62" t="s">
        <v>68</v>
      </c>
      <c r="AX62" t="s">
        <v>57</v>
      </c>
      <c r="AY62">
        <v>631110</v>
      </c>
      <c r="AZ62">
        <v>1206.63111</v>
      </c>
      <c r="BA62" s="23" t="s">
        <v>14</v>
      </c>
    </row>
    <row r="63" spans="1:53" x14ac:dyDescent="0.25">
      <c r="A63" t="s">
        <v>134</v>
      </c>
      <c r="B63" t="s">
        <v>135</v>
      </c>
      <c r="C63">
        <v>22002578</v>
      </c>
      <c r="D63">
        <v>1206</v>
      </c>
      <c r="E63" s="11">
        <v>44785</v>
      </c>
      <c r="F63" t="s">
        <v>174</v>
      </c>
      <c r="G63" s="25">
        <v>0.9</v>
      </c>
      <c r="H63">
        <v>0.9</v>
      </c>
      <c r="I63" t="s">
        <v>56</v>
      </c>
      <c r="O63" t="s">
        <v>57</v>
      </c>
      <c r="Q63" t="s">
        <v>57</v>
      </c>
      <c r="R63" t="s">
        <v>137</v>
      </c>
      <c r="T63" t="s">
        <v>59</v>
      </c>
      <c r="U63" t="s">
        <v>60</v>
      </c>
      <c r="V63" t="s">
        <v>138</v>
      </c>
      <c r="W63" t="s">
        <v>139</v>
      </c>
      <c r="X63">
        <v>1930743</v>
      </c>
      <c r="Y63" s="11">
        <v>44785</v>
      </c>
      <c r="Z63" t="s">
        <v>57</v>
      </c>
      <c r="AA63">
        <v>8</v>
      </c>
      <c r="AB63" t="s">
        <v>57</v>
      </c>
      <c r="AD63" t="s">
        <v>57</v>
      </c>
      <c r="AE63" t="s">
        <v>57</v>
      </c>
      <c r="AF63" t="s">
        <v>57</v>
      </c>
      <c r="AG63">
        <v>1</v>
      </c>
      <c r="AH63" t="s">
        <v>57</v>
      </c>
      <c r="AL63" t="s">
        <v>57</v>
      </c>
      <c r="AM63" s="11">
        <v>44785</v>
      </c>
      <c r="AN63" t="s">
        <v>184</v>
      </c>
      <c r="AO63" t="s">
        <v>65</v>
      </c>
      <c r="AP63">
        <v>1206</v>
      </c>
      <c r="AQ63" t="s">
        <v>66</v>
      </c>
      <c r="AR63">
        <v>205690</v>
      </c>
      <c r="AU63" t="s">
        <v>57</v>
      </c>
      <c r="AV63" t="s">
        <v>68</v>
      </c>
      <c r="AX63" t="s">
        <v>57</v>
      </c>
      <c r="AY63">
        <v>631110</v>
      </c>
      <c r="AZ63">
        <v>1206.63111</v>
      </c>
      <c r="BA63" s="23" t="s">
        <v>14</v>
      </c>
    </row>
    <row r="64" spans="1:53" x14ac:dyDescent="0.25">
      <c r="A64" t="s">
        <v>134</v>
      </c>
      <c r="B64" t="s">
        <v>135</v>
      </c>
      <c r="C64">
        <v>22002587</v>
      </c>
      <c r="D64">
        <v>1206</v>
      </c>
      <c r="E64" s="11">
        <v>44788</v>
      </c>
      <c r="F64" t="s">
        <v>174</v>
      </c>
      <c r="G64" s="25">
        <v>0.9</v>
      </c>
      <c r="H64">
        <v>0.9</v>
      </c>
      <c r="I64" t="s">
        <v>56</v>
      </c>
      <c r="O64" t="s">
        <v>57</v>
      </c>
      <c r="Q64" t="s">
        <v>57</v>
      </c>
      <c r="R64" t="s">
        <v>137</v>
      </c>
      <c r="T64" t="s">
        <v>59</v>
      </c>
      <c r="U64" t="s">
        <v>60</v>
      </c>
      <c r="V64" t="s">
        <v>138</v>
      </c>
      <c r="W64" t="s">
        <v>139</v>
      </c>
      <c r="X64">
        <v>1933170</v>
      </c>
      <c r="Y64" s="11">
        <v>44789</v>
      </c>
      <c r="Z64" t="s">
        <v>57</v>
      </c>
      <c r="AA64">
        <v>6</v>
      </c>
      <c r="AB64" t="s">
        <v>57</v>
      </c>
      <c r="AD64" t="s">
        <v>57</v>
      </c>
      <c r="AE64" t="s">
        <v>57</v>
      </c>
      <c r="AF64" t="s">
        <v>57</v>
      </c>
      <c r="AG64">
        <v>1</v>
      </c>
      <c r="AH64" t="s">
        <v>57</v>
      </c>
      <c r="AL64" t="s">
        <v>57</v>
      </c>
      <c r="AM64" s="11">
        <v>44788</v>
      </c>
      <c r="AN64" t="s">
        <v>184</v>
      </c>
      <c r="AO64" t="s">
        <v>65</v>
      </c>
      <c r="AP64">
        <v>1206</v>
      </c>
      <c r="AQ64" t="s">
        <v>66</v>
      </c>
      <c r="AR64">
        <v>205690</v>
      </c>
      <c r="AU64" t="s">
        <v>57</v>
      </c>
      <c r="AV64" t="s">
        <v>68</v>
      </c>
      <c r="AX64" t="s">
        <v>57</v>
      </c>
      <c r="AY64">
        <v>631110</v>
      </c>
      <c r="AZ64">
        <v>1206.63111</v>
      </c>
      <c r="BA64" s="23" t="s">
        <v>14</v>
      </c>
    </row>
    <row r="65" spans="1:53" x14ac:dyDescent="0.25">
      <c r="A65" t="s">
        <v>134</v>
      </c>
      <c r="B65" t="s">
        <v>135</v>
      </c>
      <c r="C65">
        <v>22002607</v>
      </c>
      <c r="D65">
        <v>1206</v>
      </c>
      <c r="E65" s="11">
        <v>44792</v>
      </c>
      <c r="F65" t="s">
        <v>174</v>
      </c>
      <c r="G65" s="25">
        <v>0.9</v>
      </c>
      <c r="H65">
        <v>0.9</v>
      </c>
      <c r="I65" t="s">
        <v>56</v>
      </c>
      <c r="O65" t="s">
        <v>57</v>
      </c>
      <c r="Q65" t="s">
        <v>57</v>
      </c>
      <c r="R65" t="s">
        <v>137</v>
      </c>
      <c r="T65" t="s">
        <v>59</v>
      </c>
      <c r="U65" t="s">
        <v>60</v>
      </c>
      <c r="V65" t="s">
        <v>138</v>
      </c>
      <c r="W65" t="s">
        <v>139</v>
      </c>
      <c r="X65">
        <v>1934080</v>
      </c>
      <c r="Y65" s="11">
        <v>44792</v>
      </c>
      <c r="Z65" t="s">
        <v>57</v>
      </c>
      <c r="AA65">
        <v>6</v>
      </c>
      <c r="AB65" t="s">
        <v>57</v>
      </c>
      <c r="AD65" t="s">
        <v>57</v>
      </c>
      <c r="AE65" t="s">
        <v>57</v>
      </c>
      <c r="AF65" t="s">
        <v>57</v>
      </c>
      <c r="AG65">
        <v>1</v>
      </c>
      <c r="AH65" t="s">
        <v>57</v>
      </c>
      <c r="AL65" t="s">
        <v>57</v>
      </c>
      <c r="AM65" s="11">
        <v>44792</v>
      </c>
      <c r="AN65" t="s">
        <v>184</v>
      </c>
      <c r="AO65" t="s">
        <v>65</v>
      </c>
      <c r="AP65">
        <v>1206</v>
      </c>
      <c r="AQ65" t="s">
        <v>66</v>
      </c>
      <c r="AR65">
        <v>205690</v>
      </c>
      <c r="AU65" t="s">
        <v>57</v>
      </c>
      <c r="AV65" t="s">
        <v>68</v>
      </c>
      <c r="AX65" t="s">
        <v>57</v>
      </c>
      <c r="AY65">
        <v>631110</v>
      </c>
      <c r="AZ65">
        <v>1206.63111</v>
      </c>
      <c r="BA65" s="23" t="s">
        <v>14</v>
      </c>
    </row>
    <row r="66" spans="1:53" x14ac:dyDescent="0.25">
      <c r="A66" t="s">
        <v>134</v>
      </c>
      <c r="B66" t="s">
        <v>135</v>
      </c>
      <c r="C66">
        <v>22002578</v>
      </c>
      <c r="D66">
        <v>1206</v>
      </c>
      <c r="E66" s="11">
        <v>44785</v>
      </c>
      <c r="F66" t="s">
        <v>174</v>
      </c>
      <c r="G66" s="25">
        <v>0.92</v>
      </c>
      <c r="H66">
        <v>0.92</v>
      </c>
      <c r="I66" t="s">
        <v>56</v>
      </c>
      <c r="O66" t="s">
        <v>57</v>
      </c>
      <c r="Q66" t="s">
        <v>57</v>
      </c>
      <c r="R66" t="s">
        <v>137</v>
      </c>
      <c r="T66" t="s">
        <v>59</v>
      </c>
      <c r="U66" t="s">
        <v>60</v>
      </c>
      <c r="V66" t="s">
        <v>138</v>
      </c>
      <c r="W66" t="s">
        <v>139</v>
      </c>
      <c r="X66">
        <v>1930743</v>
      </c>
      <c r="Y66" s="11">
        <v>44785</v>
      </c>
      <c r="Z66" t="s">
        <v>57</v>
      </c>
      <c r="AA66">
        <v>4</v>
      </c>
      <c r="AB66" t="s">
        <v>57</v>
      </c>
      <c r="AD66" t="s">
        <v>57</v>
      </c>
      <c r="AE66" t="s">
        <v>57</v>
      </c>
      <c r="AF66" t="s">
        <v>57</v>
      </c>
      <c r="AG66">
        <v>1</v>
      </c>
      <c r="AH66" t="s">
        <v>57</v>
      </c>
      <c r="AL66" t="s">
        <v>57</v>
      </c>
      <c r="AM66" s="11">
        <v>44785</v>
      </c>
      <c r="AN66" t="s">
        <v>184</v>
      </c>
      <c r="AO66" t="s">
        <v>65</v>
      </c>
      <c r="AP66">
        <v>1206</v>
      </c>
      <c r="AQ66" t="s">
        <v>66</v>
      </c>
      <c r="AR66">
        <v>205690</v>
      </c>
      <c r="AU66" t="s">
        <v>57</v>
      </c>
      <c r="AV66" t="s">
        <v>68</v>
      </c>
      <c r="AX66" t="s">
        <v>57</v>
      </c>
      <c r="AY66">
        <v>631110</v>
      </c>
      <c r="AZ66">
        <v>1206.63111</v>
      </c>
      <c r="BA66" s="23" t="s">
        <v>14</v>
      </c>
    </row>
    <row r="67" spans="1:53" x14ac:dyDescent="0.25">
      <c r="A67" t="s">
        <v>134</v>
      </c>
      <c r="B67" t="s">
        <v>135</v>
      </c>
      <c r="C67">
        <v>22002524</v>
      </c>
      <c r="D67">
        <v>1206</v>
      </c>
      <c r="E67" s="11">
        <v>44778</v>
      </c>
      <c r="F67" t="s">
        <v>174</v>
      </c>
      <c r="G67" s="25">
        <v>0.97</v>
      </c>
      <c r="H67">
        <v>0.97</v>
      </c>
      <c r="I67" t="s">
        <v>56</v>
      </c>
      <c r="O67" t="s">
        <v>57</v>
      </c>
      <c r="Q67" t="s">
        <v>57</v>
      </c>
      <c r="R67" t="s">
        <v>137</v>
      </c>
      <c r="T67" t="s">
        <v>59</v>
      </c>
      <c r="U67" t="s">
        <v>60</v>
      </c>
      <c r="V67" t="s">
        <v>138</v>
      </c>
      <c r="W67" t="s">
        <v>139</v>
      </c>
      <c r="X67">
        <v>1928766</v>
      </c>
      <c r="Y67" s="11">
        <v>44778</v>
      </c>
      <c r="Z67" t="s">
        <v>57</v>
      </c>
      <c r="AA67">
        <v>4</v>
      </c>
      <c r="AB67" t="s">
        <v>57</v>
      </c>
      <c r="AD67" t="s">
        <v>57</v>
      </c>
      <c r="AE67" t="s">
        <v>57</v>
      </c>
      <c r="AF67" t="s">
        <v>57</v>
      </c>
      <c r="AG67">
        <v>2</v>
      </c>
      <c r="AH67" t="s">
        <v>57</v>
      </c>
      <c r="AL67" t="s">
        <v>57</v>
      </c>
      <c r="AM67" s="11">
        <v>44778</v>
      </c>
      <c r="AN67" t="s">
        <v>184</v>
      </c>
      <c r="AO67" t="s">
        <v>65</v>
      </c>
      <c r="AP67">
        <v>1206</v>
      </c>
      <c r="AQ67" t="s">
        <v>66</v>
      </c>
      <c r="AR67">
        <v>90122</v>
      </c>
      <c r="AU67" t="s">
        <v>57</v>
      </c>
      <c r="AV67" t="s">
        <v>68</v>
      </c>
      <c r="AX67" t="s">
        <v>57</v>
      </c>
      <c r="AY67">
        <v>631110</v>
      </c>
      <c r="AZ67">
        <v>1206.63111</v>
      </c>
      <c r="BA67" s="23" t="s">
        <v>14</v>
      </c>
    </row>
    <row r="68" spans="1:53" x14ac:dyDescent="0.25">
      <c r="A68" t="s">
        <v>134</v>
      </c>
      <c r="B68" t="s">
        <v>135</v>
      </c>
      <c r="C68">
        <v>22002551</v>
      </c>
      <c r="D68">
        <v>1206</v>
      </c>
      <c r="E68" s="11">
        <v>44783</v>
      </c>
      <c r="F68" t="s">
        <v>174</v>
      </c>
      <c r="G68" s="25">
        <v>1.03</v>
      </c>
      <c r="H68">
        <v>1.03</v>
      </c>
      <c r="I68" t="s">
        <v>56</v>
      </c>
      <c r="O68" t="s">
        <v>57</v>
      </c>
      <c r="Q68" t="s">
        <v>57</v>
      </c>
      <c r="R68" t="s">
        <v>137</v>
      </c>
      <c r="T68" t="s">
        <v>59</v>
      </c>
      <c r="U68" t="s">
        <v>60</v>
      </c>
      <c r="V68" t="s">
        <v>138</v>
      </c>
      <c r="W68" t="s">
        <v>139</v>
      </c>
      <c r="X68">
        <v>1930353</v>
      </c>
      <c r="Y68" s="11">
        <v>44783</v>
      </c>
      <c r="Z68" t="s">
        <v>57</v>
      </c>
      <c r="AA68">
        <v>2</v>
      </c>
      <c r="AB68" t="s">
        <v>57</v>
      </c>
      <c r="AD68" t="s">
        <v>57</v>
      </c>
      <c r="AE68" t="s">
        <v>57</v>
      </c>
      <c r="AF68" t="s">
        <v>57</v>
      </c>
      <c r="AG68">
        <v>1</v>
      </c>
      <c r="AH68" t="s">
        <v>57</v>
      </c>
      <c r="AL68" t="s">
        <v>57</v>
      </c>
      <c r="AM68" s="11">
        <v>44783</v>
      </c>
      <c r="AN68" t="s">
        <v>184</v>
      </c>
      <c r="AO68" t="s">
        <v>65</v>
      </c>
      <c r="AP68">
        <v>1206</v>
      </c>
      <c r="AQ68" t="s">
        <v>66</v>
      </c>
      <c r="AR68">
        <v>187398</v>
      </c>
      <c r="AU68" t="s">
        <v>57</v>
      </c>
      <c r="AV68" t="s">
        <v>68</v>
      </c>
      <c r="AX68" t="s">
        <v>57</v>
      </c>
      <c r="AY68">
        <v>631110</v>
      </c>
      <c r="AZ68">
        <v>1206.63111</v>
      </c>
      <c r="BA68" s="23" t="s">
        <v>14</v>
      </c>
    </row>
    <row r="69" spans="1:53" x14ac:dyDescent="0.25">
      <c r="A69" t="s">
        <v>134</v>
      </c>
      <c r="B69" t="s">
        <v>135</v>
      </c>
      <c r="C69">
        <v>22002524</v>
      </c>
      <c r="D69">
        <v>1206</v>
      </c>
      <c r="E69" s="11">
        <v>44778</v>
      </c>
      <c r="F69" t="s">
        <v>174</v>
      </c>
      <c r="G69" s="25">
        <v>1.04</v>
      </c>
      <c r="H69">
        <v>1.04</v>
      </c>
      <c r="I69" t="s">
        <v>56</v>
      </c>
      <c r="O69" t="s">
        <v>57</v>
      </c>
      <c r="Q69" t="s">
        <v>57</v>
      </c>
      <c r="R69" t="s">
        <v>137</v>
      </c>
      <c r="T69" t="s">
        <v>59</v>
      </c>
      <c r="U69" t="s">
        <v>60</v>
      </c>
      <c r="V69" t="s">
        <v>138</v>
      </c>
      <c r="W69" t="s">
        <v>139</v>
      </c>
      <c r="X69">
        <v>1928766</v>
      </c>
      <c r="Y69" s="11">
        <v>44778</v>
      </c>
      <c r="Z69" t="s">
        <v>57</v>
      </c>
      <c r="AA69">
        <v>16</v>
      </c>
      <c r="AB69" t="s">
        <v>57</v>
      </c>
      <c r="AD69" t="s">
        <v>57</v>
      </c>
      <c r="AE69" t="s">
        <v>57</v>
      </c>
      <c r="AF69" t="s">
        <v>57</v>
      </c>
      <c r="AG69">
        <v>1</v>
      </c>
      <c r="AH69" t="s">
        <v>57</v>
      </c>
      <c r="AL69" t="s">
        <v>57</v>
      </c>
      <c r="AM69" s="11">
        <v>44778</v>
      </c>
      <c r="AN69" t="s">
        <v>184</v>
      </c>
      <c r="AO69" t="s">
        <v>65</v>
      </c>
      <c r="AP69">
        <v>1206</v>
      </c>
      <c r="AQ69" t="s">
        <v>66</v>
      </c>
      <c r="AR69">
        <v>88527</v>
      </c>
      <c r="AU69" t="s">
        <v>57</v>
      </c>
      <c r="AV69" t="s">
        <v>68</v>
      </c>
      <c r="AX69" t="s">
        <v>57</v>
      </c>
      <c r="AY69">
        <v>631110</v>
      </c>
      <c r="AZ69">
        <v>1206.63111</v>
      </c>
      <c r="BA69" s="23" t="s">
        <v>14</v>
      </c>
    </row>
    <row r="70" spans="1:53" x14ac:dyDescent="0.25">
      <c r="A70" t="s">
        <v>134</v>
      </c>
      <c r="B70" t="s">
        <v>135</v>
      </c>
      <c r="C70">
        <v>22002605</v>
      </c>
      <c r="D70">
        <v>1206</v>
      </c>
      <c r="E70" s="11">
        <v>44792</v>
      </c>
      <c r="F70" t="s">
        <v>174</v>
      </c>
      <c r="G70" s="25">
        <v>1.05</v>
      </c>
      <c r="H70">
        <v>1.05</v>
      </c>
      <c r="I70" t="s">
        <v>56</v>
      </c>
      <c r="O70" t="s">
        <v>57</v>
      </c>
      <c r="Q70" t="s">
        <v>57</v>
      </c>
      <c r="R70" t="s">
        <v>137</v>
      </c>
      <c r="T70" t="s">
        <v>59</v>
      </c>
      <c r="U70" t="s">
        <v>60</v>
      </c>
      <c r="V70" t="s">
        <v>138</v>
      </c>
      <c r="W70" t="s">
        <v>139</v>
      </c>
      <c r="X70">
        <v>1934080</v>
      </c>
      <c r="Y70" s="11">
        <v>44792</v>
      </c>
      <c r="Z70" t="s">
        <v>57</v>
      </c>
      <c r="AA70">
        <v>6</v>
      </c>
      <c r="AB70" t="s">
        <v>57</v>
      </c>
      <c r="AD70" t="s">
        <v>57</v>
      </c>
      <c r="AE70" t="s">
        <v>57</v>
      </c>
      <c r="AF70" t="s">
        <v>57</v>
      </c>
      <c r="AG70">
        <v>1</v>
      </c>
      <c r="AH70" t="s">
        <v>57</v>
      </c>
      <c r="AL70" t="s">
        <v>57</v>
      </c>
      <c r="AM70" s="11">
        <v>44792</v>
      </c>
      <c r="AN70" t="s">
        <v>184</v>
      </c>
      <c r="AO70" t="s">
        <v>65</v>
      </c>
      <c r="AP70">
        <v>1206</v>
      </c>
      <c r="AQ70" t="s">
        <v>66</v>
      </c>
      <c r="AR70">
        <v>190627</v>
      </c>
      <c r="AU70" t="s">
        <v>57</v>
      </c>
      <c r="AV70" t="s">
        <v>68</v>
      </c>
      <c r="AX70" t="s">
        <v>57</v>
      </c>
      <c r="AY70">
        <v>631110</v>
      </c>
      <c r="AZ70">
        <v>1206.63111</v>
      </c>
      <c r="BA70" s="23" t="s">
        <v>14</v>
      </c>
    </row>
    <row r="71" spans="1:53" x14ac:dyDescent="0.25">
      <c r="A71" t="s">
        <v>134</v>
      </c>
      <c r="B71" t="s">
        <v>135</v>
      </c>
      <c r="C71">
        <v>22002605</v>
      </c>
      <c r="D71">
        <v>1206</v>
      </c>
      <c r="E71" s="11">
        <v>44792</v>
      </c>
      <c r="F71" t="s">
        <v>174</v>
      </c>
      <c r="G71" s="25">
        <v>1.05</v>
      </c>
      <c r="H71">
        <v>1.05</v>
      </c>
      <c r="I71" t="s">
        <v>56</v>
      </c>
      <c r="O71" t="s">
        <v>57</v>
      </c>
      <c r="Q71" t="s">
        <v>57</v>
      </c>
      <c r="R71" t="s">
        <v>137</v>
      </c>
      <c r="T71" t="s">
        <v>59</v>
      </c>
      <c r="U71" t="s">
        <v>60</v>
      </c>
      <c r="V71" t="s">
        <v>138</v>
      </c>
      <c r="W71" t="s">
        <v>139</v>
      </c>
      <c r="X71">
        <v>1934080</v>
      </c>
      <c r="Y71" s="11">
        <v>44792</v>
      </c>
      <c r="Z71" t="s">
        <v>57</v>
      </c>
      <c r="AA71">
        <v>8</v>
      </c>
      <c r="AB71" t="s">
        <v>57</v>
      </c>
      <c r="AD71" t="s">
        <v>57</v>
      </c>
      <c r="AE71" t="s">
        <v>57</v>
      </c>
      <c r="AF71" t="s">
        <v>57</v>
      </c>
      <c r="AG71">
        <v>1</v>
      </c>
      <c r="AH71" t="s">
        <v>57</v>
      </c>
      <c r="AL71" t="s">
        <v>57</v>
      </c>
      <c r="AM71" s="11">
        <v>44792</v>
      </c>
      <c r="AN71" t="s">
        <v>184</v>
      </c>
      <c r="AO71" t="s">
        <v>65</v>
      </c>
      <c r="AP71">
        <v>1206</v>
      </c>
      <c r="AQ71" t="s">
        <v>66</v>
      </c>
      <c r="AR71">
        <v>190625</v>
      </c>
      <c r="AU71" t="s">
        <v>57</v>
      </c>
      <c r="AV71" t="s">
        <v>68</v>
      </c>
      <c r="AX71" t="s">
        <v>57</v>
      </c>
      <c r="AY71">
        <v>631110</v>
      </c>
      <c r="AZ71">
        <v>1206.63111</v>
      </c>
      <c r="BA71" s="23" t="s">
        <v>14</v>
      </c>
    </row>
    <row r="72" spans="1:53" x14ac:dyDescent="0.25">
      <c r="A72" t="s">
        <v>134</v>
      </c>
      <c r="B72" t="s">
        <v>135</v>
      </c>
      <c r="C72">
        <v>22002598</v>
      </c>
      <c r="D72">
        <v>1206</v>
      </c>
      <c r="E72" s="11">
        <v>44791</v>
      </c>
      <c r="F72" t="s">
        <v>185</v>
      </c>
      <c r="G72" s="25">
        <v>1.1100000000000001</v>
      </c>
      <c r="H72">
        <v>1.1100000000000001</v>
      </c>
      <c r="I72" t="s">
        <v>56</v>
      </c>
      <c r="O72" t="s">
        <v>57</v>
      </c>
      <c r="Q72" t="s">
        <v>57</v>
      </c>
      <c r="R72" t="s">
        <v>137</v>
      </c>
      <c r="T72" t="s">
        <v>59</v>
      </c>
      <c r="U72" t="s">
        <v>60</v>
      </c>
      <c r="V72" t="s">
        <v>138</v>
      </c>
      <c r="W72" t="s">
        <v>139</v>
      </c>
      <c r="X72">
        <v>1933578</v>
      </c>
      <c r="Y72" s="11">
        <v>44792</v>
      </c>
      <c r="Z72" t="s">
        <v>57</v>
      </c>
      <c r="AA72">
        <v>10</v>
      </c>
      <c r="AB72" t="s">
        <v>57</v>
      </c>
      <c r="AD72" t="s">
        <v>57</v>
      </c>
      <c r="AE72" t="s">
        <v>57</v>
      </c>
      <c r="AF72" t="s">
        <v>57</v>
      </c>
      <c r="AG72">
        <v>10</v>
      </c>
      <c r="AH72" t="s">
        <v>57</v>
      </c>
      <c r="AL72" t="s">
        <v>57</v>
      </c>
      <c r="AM72" s="11">
        <v>44791</v>
      </c>
      <c r="AN72" t="s">
        <v>183</v>
      </c>
      <c r="AO72" t="s">
        <v>65</v>
      </c>
      <c r="AP72">
        <v>1206</v>
      </c>
      <c r="AQ72" t="s">
        <v>66</v>
      </c>
      <c r="AR72">
        <v>265267</v>
      </c>
      <c r="AU72" t="s">
        <v>57</v>
      </c>
      <c r="AV72" t="s">
        <v>68</v>
      </c>
      <c r="AX72" t="s">
        <v>57</v>
      </c>
      <c r="AY72">
        <v>631110</v>
      </c>
      <c r="AZ72">
        <v>1206.63111</v>
      </c>
      <c r="BA72" s="23" t="s">
        <v>14</v>
      </c>
    </row>
    <row r="73" spans="1:53" x14ac:dyDescent="0.25">
      <c r="A73" t="s">
        <v>134</v>
      </c>
      <c r="B73" t="s">
        <v>135</v>
      </c>
      <c r="C73">
        <v>22002600</v>
      </c>
      <c r="D73">
        <v>1206</v>
      </c>
      <c r="E73" s="11">
        <v>44791</v>
      </c>
      <c r="F73" t="s">
        <v>174</v>
      </c>
      <c r="G73" s="25">
        <v>1.21</v>
      </c>
      <c r="H73">
        <v>1.21</v>
      </c>
      <c r="I73" t="s">
        <v>56</v>
      </c>
      <c r="O73" t="s">
        <v>57</v>
      </c>
      <c r="Q73" t="s">
        <v>57</v>
      </c>
      <c r="R73" t="s">
        <v>137</v>
      </c>
      <c r="T73" t="s">
        <v>59</v>
      </c>
      <c r="U73" t="s">
        <v>60</v>
      </c>
      <c r="V73" t="s">
        <v>138</v>
      </c>
      <c r="W73" t="s">
        <v>139</v>
      </c>
      <c r="X73">
        <v>1934071</v>
      </c>
      <c r="Y73" s="11">
        <v>44792</v>
      </c>
      <c r="Z73" t="s">
        <v>57</v>
      </c>
      <c r="AA73">
        <v>6</v>
      </c>
      <c r="AB73" t="s">
        <v>57</v>
      </c>
      <c r="AD73" t="s">
        <v>57</v>
      </c>
      <c r="AE73" t="s">
        <v>57</v>
      </c>
      <c r="AF73" t="s">
        <v>57</v>
      </c>
      <c r="AG73">
        <v>2</v>
      </c>
      <c r="AH73" t="s">
        <v>57</v>
      </c>
      <c r="AL73" t="s">
        <v>57</v>
      </c>
      <c r="AM73" s="11">
        <v>44791</v>
      </c>
      <c r="AN73" t="s">
        <v>184</v>
      </c>
      <c r="AO73" t="s">
        <v>65</v>
      </c>
      <c r="AP73">
        <v>1206</v>
      </c>
      <c r="AQ73" t="s">
        <v>66</v>
      </c>
      <c r="AR73">
        <v>271900</v>
      </c>
      <c r="AU73" t="s">
        <v>57</v>
      </c>
      <c r="AV73" t="s">
        <v>68</v>
      </c>
      <c r="AX73" t="s">
        <v>57</v>
      </c>
      <c r="AY73">
        <v>631110</v>
      </c>
      <c r="AZ73">
        <v>1206.63111</v>
      </c>
      <c r="BA73" s="23" t="s">
        <v>14</v>
      </c>
    </row>
    <row r="74" spans="1:53" x14ac:dyDescent="0.25">
      <c r="A74" t="s">
        <v>134</v>
      </c>
      <c r="B74" t="s">
        <v>135</v>
      </c>
      <c r="C74">
        <v>22002560</v>
      </c>
      <c r="D74">
        <v>1206</v>
      </c>
      <c r="E74" s="11">
        <v>44784</v>
      </c>
      <c r="F74" t="s">
        <v>174</v>
      </c>
      <c r="G74" s="25">
        <v>1.22</v>
      </c>
      <c r="H74">
        <v>1.22</v>
      </c>
      <c r="I74" t="s">
        <v>56</v>
      </c>
      <c r="O74" t="s">
        <v>57</v>
      </c>
      <c r="Q74" t="s">
        <v>57</v>
      </c>
      <c r="R74" t="s">
        <v>137</v>
      </c>
      <c r="T74" t="s">
        <v>59</v>
      </c>
      <c r="U74" t="s">
        <v>60</v>
      </c>
      <c r="V74" t="s">
        <v>138</v>
      </c>
      <c r="W74" t="s">
        <v>139</v>
      </c>
      <c r="X74">
        <v>1930489</v>
      </c>
      <c r="Y74" s="11">
        <v>44784</v>
      </c>
      <c r="Z74" t="s">
        <v>57</v>
      </c>
      <c r="AA74">
        <v>4</v>
      </c>
      <c r="AB74" t="s">
        <v>57</v>
      </c>
      <c r="AD74" t="s">
        <v>57</v>
      </c>
      <c r="AE74" t="s">
        <v>57</v>
      </c>
      <c r="AF74" t="s">
        <v>57</v>
      </c>
      <c r="AG74">
        <v>2</v>
      </c>
      <c r="AH74" t="s">
        <v>57</v>
      </c>
      <c r="AL74" t="s">
        <v>57</v>
      </c>
      <c r="AM74" s="11">
        <v>44784</v>
      </c>
      <c r="AN74" t="s">
        <v>184</v>
      </c>
      <c r="AO74" t="s">
        <v>65</v>
      </c>
      <c r="AP74">
        <v>1206</v>
      </c>
      <c r="AQ74" t="s">
        <v>66</v>
      </c>
      <c r="AR74">
        <v>142793</v>
      </c>
      <c r="AU74" t="s">
        <v>57</v>
      </c>
      <c r="AV74" t="s">
        <v>68</v>
      </c>
      <c r="AX74" t="s">
        <v>57</v>
      </c>
      <c r="AY74">
        <v>631110</v>
      </c>
      <c r="AZ74">
        <v>1206.63111</v>
      </c>
      <c r="BA74" s="23" t="s">
        <v>14</v>
      </c>
    </row>
    <row r="75" spans="1:53" x14ac:dyDescent="0.25">
      <c r="A75" t="s">
        <v>134</v>
      </c>
      <c r="B75" t="s">
        <v>135</v>
      </c>
      <c r="C75">
        <v>22002484</v>
      </c>
      <c r="D75">
        <v>1206</v>
      </c>
      <c r="E75" s="11">
        <v>44774</v>
      </c>
      <c r="F75" t="s">
        <v>182</v>
      </c>
      <c r="G75" s="25">
        <v>1.24</v>
      </c>
      <c r="H75">
        <v>1.24</v>
      </c>
      <c r="I75" t="s">
        <v>56</v>
      </c>
      <c r="O75" t="s">
        <v>57</v>
      </c>
      <c r="Q75" t="s">
        <v>57</v>
      </c>
      <c r="R75" t="s">
        <v>137</v>
      </c>
      <c r="T75" t="s">
        <v>59</v>
      </c>
      <c r="U75" t="s">
        <v>60</v>
      </c>
      <c r="V75" t="s">
        <v>138</v>
      </c>
      <c r="W75" t="s">
        <v>139</v>
      </c>
      <c r="X75">
        <v>1925387</v>
      </c>
      <c r="Y75" s="11">
        <v>44774</v>
      </c>
      <c r="Z75" t="s">
        <v>57</v>
      </c>
      <c r="AA75">
        <v>8</v>
      </c>
      <c r="AB75" t="s">
        <v>57</v>
      </c>
      <c r="AD75" t="s">
        <v>57</v>
      </c>
      <c r="AE75" t="s">
        <v>57</v>
      </c>
      <c r="AF75" t="s">
        <v>57</v>
      </c>
      <c r="AG75">
        <v>10</v>
      </c>
      <c r="AH75" t="s">
        <v>57</v>
      </c>
      <c r="AL75" t="s">
        <v>57</v>
      </c>
      <c r="AM75" s="11">
        <v>44774</v>
      </c>
      <c r="AN75" t="s">
        <v>183</v>
      </c>
      <c r="AO75" t="s">
        <v>65</v>
      </c>
      <c r="AP75">
        <v>1206</v>
      </c>
      <c r="AQ75" t="s">
        <v>66</v>
      </c>
      <c r="AR75">
        <v>267129</v>
      </c>
      <c r="AU75" t="s">
        <v>57</v>
      </c>
      <c r="AV75" t="s">
        <v>68</v>
      </c>
      <c r="AX75" t="s">
        <v>57</v>
      </c>
      <c r="AY75">
        <v>631110</v>
      </c>
      <c r="AZ75">
        <v>1206.63111</v>
      </c>
      <c r="BA75" s="23" t="s">
        <v>14</v>
      </c>
    </row>
    <row r="76" spans="1:53" x14ac:dyDescent="0.25">
      <c r="A76" t="s">
        <v>134</v>
      </c>
      <c r="B76" t="s">
        <v>135</v>
      </c>
      <c r="C76">
        <v>22002500</v>
      </c>
      <c r="D76">
        <v>1206</v>
      </c>
      <c r="E76" s="11">
        <v>44775</v>
      </c>
      <c r="F76" t="s">
        <v>185</v>
      </c>
      <c r="G76" s="25">
        <v>1.24</v>
      </c>
      <c r="H76">
        <v>1.24</v>
      </c>
      <c r="I76" t="s">
        <v>56</v>
      </c>
      <c r="O76" t="s">
        <v>57</v>
      </c>
      <c r="Q76" t="s">
        <v>57</v>
      </c>
      <c r="R76" t="s">
        <v>137</v>
      </c>
      <c r="T76" t="s">
        <v>59</v>
      </c>
      <c r="U76" t="s">
        <v>60</v>
      </c>
      <c r="V76" t="s">
        <v>138</v>
      </c>
      <c r="W76" t="s">
        <v>139</v>
      </c>
      <c r="X76">
        <v>1926722</v>
      </c>
      <c r="Y76" s="11">
        <v>44776</v>
      </c>
      <c r="Z76" t="s">
        <v>57</v>
      </c>
      <c r="AA76">
        <v>10</v>
      </c>
      <c r="AB76" t="s">
        <v>57</v>
      </c>
      <c r="AD76" t="s">
        <v>57</v>
      </c>
      <c r="AE76" t="s">
        <v>57</v>
      </c>
      <c r="AF76" t="s">
        <v>57</v>
      </c>
      <c r="AG76">
        <v>10</v>
      </c>
      <c r="AH76" t="s">
        <v>57</v>
      </c>
      <c r="AL76" t="s">
        <v>57</v>
      </c>
      <c r="AM76" s="11">
        <v>44775</v>
      </c>
      <c r="AN76" t="s">
        <v>183</v>
      </c>
      <c r="AO76" t="s">
        <v>65</v>
      </c>
      <c r="AP76">
        <v>1206</v>
      </c>
      <c r="AQ76" t="s">
        <v>66</v>
      </c>
      <c r="AR76">
        <v>267129</v>
      </c>
      <c r="AU76" t="s">
        <v>57</v>
      </c>
      <c r="AV76" t="s">
        <v>68</v>
      </c>
      <c r="AX76" t="s">
        <v>57</v>
      </c>
      <c r="AY76">
        <v>631110</v>
      </c>
      <c r="AZ76">
        <v>1206.63111</v>
      </c>
      <c r="BA76" s="23" t="s">
        <v>14</v>
      </c>
    </row>
    <row r="77" spans="1:53" x14ac:dyDescent="0.25">
      <c r="A77" t="s">
        <v>134</v>
      </c>
      <c r="B77" t="s">
        <v>135</v>
      </c>
      <c r="C77">
        <v>22002508</v>
      </c>
      <c r="D77">
        <v>1206</v>
      </c>
      <c r="E77" s="11">
        <v>44777</v>
      </c>
      <c r="F77" t="s">
        <v>174</v>
      </c>
      <c r="G77" s="25">
        <v>1.25</v>
      </c>
      <c r="H77">
        <v>1.25</v>
      </c>
      <c r="I77" t="s">
        <v>56</v>
      </c>
      <c r="O77" t="s">
        <v>57</v>
      </c>
      <c r="Q77" t="s">
        <v>57</v>
      </c>
      <c r="R77" t="s">
        <v>137</v>
      </c>
      <c r="T77" t="s">
        <v>59</v>
      </c>
      <c r="U77" t="s">
        <v>60</v>
      </c>
      <c r="V77" t="s">
        <v>138</v>
      </c>
      <c r="W77" t="s">
        <v>139</v>
      </c>
      <c r="X77">
        <v>1927633</v>
      </c>
      <c r="Y77" s="11">
        <v>44777</v>
      </c>
      <c r="Z77" t="s">
        <v>57</v>
      </c>
      <c r="AA77">
        <v>10</v>
      </c>
      <c r="AB77" t="s">
        <v>57</v>
      </c>
      <c r="AD77" t="s">
        <v>57</v>
      </c>
      <c r="AE77" t="s">
        <v>57</v>
      </c>
      <c r="AF77" t="s">
        <v>57</v>
      </c>
      <c r="AG77">
        <v>1</v>
      </c>
      <c r="AH77" t="s">
        <v>57</v>
      </c>
      <c r="AL77" t="s">
        <v>57</v>
      </c>
      <c r="AM77" s="11">
        <v>44777</v>
      </c>
      <c r="AN77" t="s">
        <v>184</v>
      </c>
      <c r="AO77" t="s">
        <v>65</v>
      </c>
      <c r="AP77">
        <v>1206</v>
      </c>
      <c r="AQ77" t="s">
        <v>66</v>
      </c>
      <c r="AR77">
        <v>215741</v>
      </c>
      <c r="AU77" t="s">
        <v>57</v>
      </c>
      <c r="AV77" t="s">
        <v>68</v>
      </c>
      <c r="AX77" t="s">
        <v>57</v>
      </c>
      <c r="AY77">
        <v>631110</v>
      </c>
      <c r="AZ77">
        <v>1206.63111</v>
      </c>
      <c r="BA77" s="23" t="s">
        <v>14</v>
      </c>
    </row>
    <row r="78" spans="1:53" x14ac:dyDescent="0.25">
      <c r="A78" t="s">
        <v>134</v>
      </c>
      <c r="B78" t="s">
        <v>135</v>
      </c>
      <c r="C78">
        <v>22002524</v>
      </c>
      <c r="D78">
        <v>1206</v>
      </c>
      <c r="E78" s="11">
        <v>44778</v>
      </c>
      <c r="F78" t="s">
        <v>174</v>
      </c>
      <c r="G78" s="25">
        <v>1.25</v>
      </c>
      <c r="H78">
        <v>1.25</v>
      </c>
      <c r="I78" t="s">
        <v>56</v>
      </c>
      <c r="O78" t="s">
        <v>57</v>
      </c>
      <c r="Q78" t="s">
        <v>57</v>
      </c>
      <c r="R78" t="s">
        <v>137</v>
      </c>
      <c r="T78" t="s">
        <v>59</v>
      </c>
      <c r="U78" t="s">
        <v>60</v>
      </c>
      <c r="V78" t="s">
        <v>138</v>
      </c>
      <c r="W78" t="s">
        <v>139</v>
      </c>
      <c r="X78">
        <v>1928766</v>
      </c>
      <c r="Y78" s="11">
        <v>44778</v>
      </c>
      <c r="Z78" t="s">
        <v>57</v>
      </c>
      <c r="AA78">
        <v>12</v>
      </c>
      <c r="AB78" t="s">
        <v>57</v>
      </c>
      <c r="AD78" t="s">
        <v>57</v>
      </c>
      <c r="AE78" t="s">
        <v>57</v>
      </c>
      <c r="AF78" t="s">
        <v>57</v>
      </c>
      <c r="AG78">
        <v>1</v>
      </c>
      <c r="AH78" t="s">
        <v>57</v>
      </c>
      <c r="AL78" t="s">
        <v>57</v>
      </c>
      <c r="AM78" s="11">
        <v>44778</v>
      </c>
      <c r="AN78" t="s">
        <v>184</v>
      </c>
      <c r="AO78" t="s">
        <v>65</v>
      </c>
      <c r="AP78">
        <v>1206</v>
      </c>
      <c r="AQ78" t="s">
        <v>66</v>
      </c>
      <c r="AR78">
        <v>215741</v>
      </c>
      <c r="AU78" t="s">
        <v>57</v>
      </c>
      <c r="AV78" t="s">
        <v>68</v>
      </c>
      <c r="AX78" t="s">
        <v>57</v>
      </c>
      <c r="AY78">
        <v>631110</v>
      </c>
      <c r="AZ78">
        <v>1206.63111</v>
      </c>
      <c r="BA78" s="23" t="s">
        <v>14</v>
      </c>
    </row>
    <row r="79" spans="1:53" x14ac:dyDescent="0.25">
      <c r="A79" t="s">
        <v>134</v>
      </c>
      <c r="B79" t="s">
        <v>135</v>
      </c>
      <c r="C79">
        <v>22002481</v>
      </c>
      <c r="D79">
        <v>1206</v>
      </c>
      <c r="E79" s="11">
        <v>44778</v>
      </c>
      <c r="F79" t="s">
        <v>159</v>
      </c>
      <c r="G79" s="25">
        <v>1.36</v>
      </c>
      <c r="H79">
        <v>1.36</v>
      </c>
      <c r="I79" t="s">
        <v>56</v>
      </c>
      <c r="O79" t="s">
        <v>57</v>
      </c>
      <c r="Q79" t="s">
        <v>57</v>
      </c>
      <c r="R79" t="s">
        <v>137</v>
      </c>
      <c r="T79" t="s">
        <v>59</v>
      </c>
      <c r="U79" t="s">
        <v>60</v>
      </c>
      <c r="V79" t="s">
        <v>138</v>
      </c>
      <c r="W79" t="s">
        <v>139</v>
      </c>
      <c r="X79">
        <v>1925333</v>
      </c>
      <c r="Y79" s="11">
        <v>44771</v>
      </c>
      <c r="Z79" t="s">
        <v>57</v>
      </c>
      <c r="AA79">
        <v>2</v>
      </c>
      <c r="AB79" t="s">
        <v>57</v>
      </c>
      <c r="AD79" t="s">
        <v>57</v>
      </c>
      <c r="AE79" t="s">
        <v>57</v>
      </c>
      <c r="AF79" t="s">
        <v>57</v>
      </c>
      <c r="AG79">
        <v>2</v>
      </c>
      <c r="AH79" t="s">
        <v>57</v>
      </c>
      <c r="AL79" t="s">
        <v>57</v>
      </c>
      <c r="AM79" s="11">
        <v>44778</v>
      </c>
      <c r="AN79" t="s">
        <v>184</v>
      </c>
      <c r="AO79" t="s">
        <v>65</v>
      </c>
      <c r="AP79">
        <v>1206</v>
      </c>
      <c r="AQ79" t="s">
        <v>66</v>
      </c>
      <c r="AR79">
        <v>88732</v>
      </c>
      <c r="AU79" t="s">
        <v>57</v>
      </c>
      <c r="AV79" t="s">
        <v>68</v>
      </c>
      <c r="AX79" t="s">
        <v>57</v>
      </c>
      <c r="AY79">
        <v>631110</v>
      </c>
      <c r="AZ79">
        <v>1206.63111</v>
      </c>
      <c r="BA79" s="23" t="s">
        <v>14</v>
      </c>
    </row>
    <row r="80" spans="1:53" x14ac:dyDescent="0.25">
      <c r="A80" t="s">
        <v>134</v>
      </c>
      <c r="B80" t="s">
        <v>135</v>
      </c>
      <c r="C80">
        <v>22002508</v>
      </c>
      <c r="D80">
        <v>1206</v>
      </c>
      <c r="E80" s="11">
        <v>44777</v>
      </c>
      <c r="F80" t="s">
        <v>174</v>
      </c>
      <c r="G80" s="25">
        <v>1.37</v>
      </c>
      <c r="H80">
        <v>1.37</v>
      </c>
      <c r="I80" t="s">
        <v>56</v>
      </c>
      <c r="O80" t="s">
        <v>57</v>
      </c>
      <c r="Q80" t="s">
        <v>57</v>
      </c>
      <c r="R80" t="s">
        <v>137</v>
      </c>
      <c r="T80" t="s">
        <v>59</v>
      </c>
      <c r="U80" t="s">
        <v>60</v>
      </c>
      <c r="V80" t="s">
        <v>138</v>
      </c>
      <c r="W80" t="s">
        <v>139</v>
      </c>
      <c r="X80">
        <v>1927633</v>
      </c>
      <c r="Y80" s="11">
        <v>44777</v>
      </c>
      <c r="Z80" t="s">
        <v>57</v>
      </c>
      <c r="AA80">
        <v>14</v>
      </c>
      <c r="AB80" t="s">
        <v>57</v>
      </c>
      <c r="AD80" t="s">
        <v>57</v>
      </c>
      <c r="AE80" t="s">
        <v>57</v>
      </c>
      <c r="AF80" t="s">
        <v>57</v>
      </c>
      <c r="AG80">
        <v>2</v>
      </c>
      <c r="AH80" t="s">
        <v>57</v>
      </c>
      <c r="AL80" t="s">
        <v>57</v>
      </c>
      <c r="AM80" s="11">
        <v>44777</v>
      </c>
      <c r="AN80" t="s">
        <v>184</v>
      </c>
      <c r="AO80" t="s">
        <v>65</v>
      </c>
      <c r="AP80">
        <v>1206</v>
      </c>
      <c r="AQ80" t="s">
        <v>66</v>
      </c>
      <c r="AR80">
        <v>90167</v>
      </c>
      <c r="AU80" t="s">
        <v>57</v>
      </c>
      <c r="AV80" t="s">
        <v>68</v>
      </c>
      <c r="AX80" t="s">
        <v>57</v>
      </c>
      <c r="AY80">
        <v>631110</v>
      </c>
      <c r="AZ80">
        <v>1206.63111</v>
      </c>
      <c r="BA80" s="23" t="s">
        <v>14</v>
      </c>
    </row>
    <row r="81" spans="1:53" x14ac:dyDescent="0.25">
      <c r="A81" t="s">
        <v>134</v>
      </c>
      <c r="B81" t="s">
        <v>135</v>
      </c>
      <c r="C81">
        <v>22002605</v>
      </c>
      <c r="D81">
        <v>1206</v>
      </c>
      <c r="E81" s="11">
        <v>44792</v>
      </c>
      <c r="F81" t="s">
        <v>174</v>
      </c>
      <c r="G81" s="25">
        <v>1.37</v>
      </c>
      <c r="H81">
        <v>1.37</v>
      </c>
      <c r="I81" t="s">
        <v>56</v>
      </c>
      <c r="O81" t="s">
        <v>57</v>
      </c>
      <c r="Q81" t="s">
        <v>57</v>
      </c>
      <c r="R81" t="s">
        <v>137</v>
      </c>
      <c r="T81" t="s">
        <v>59</v>
      </c>
      <c r="U81" t="s">
        <v>60</v>
      </c>
      <c r="V81" t="s">
        <v>138</v>
      </c>
      <c r="W81" t="s">
        <v>139</v>
      </c>
      <c r="X81">
        <v>1934080</v>
      </c>
      <c r="Y81" s="11">
        <v>44792</v>
      </c>
      <c r="Z81" t="s">
        <v>57</v>
      </c>
      <c r="AA81">
        <v>14</v>
      </c>
      <c r="AB81" t="s">
        <v>57</v>
      </c>
      <c r="AD81" t="s">
        <v>57</v>
      </c>
      <c r="AE81" t="s">
        <v>57</v>
      </c>
      <c r="AF81" t="s">
        <v>57</v>
      </c>
      <c r="AG81">
        <v>2</v>
      </c>
      <c r="AH81" t="s">
        <v>57</v>
      </c>
      <c r="AL81" t="s">
        <v>57</v>
      </c>
      <c r="AM81" s="11">
        <v>44792</v>
      </c>
      <c r="AN81" t="s">
        <v>184</v>
      </c>
      <c r="AO81" t="s">
        <v>65</v>
      </c>
      <c r="AP81">
        <v>1206</v>
      </c>
      <c r="AQ81" t="s">
        <v>66</v>
      </c>
      <c r="AR81">
        <v>112854</v>
      </c>
      <c r="AU81" t="s">
        <v>57</v>
      </c>
      <c r="AV81" t="s">
        <v>68</v>
      </c>
      <c r="AX81" t="s">
        <v>57</v>
      </c>
      <c r="AY81">
        <v>631110</v>
      </c>
      <c r="AZ81">
        <v>1206.63111</v>
      </c>
      <c r="BA81" s="23" t="s">
        <v>14</v>
      </c>
    </row>
    <row r="82" spans="1:53" x14ac:dyDescent="0.25">
      <c r="A82" t="s">
        <v>134</v>
      </c>
      <c r="B82" t="s">
        <v>135</v>
      </c>
      <c r="C82">
        <v>22002566</v>
      </c>
      <c r="D82">
        <v>1206</v>
      </c>
      <c r="E82" s="11">
        <v>44784</v>
      </c>
      <c r="F82" t="s">
        <v>185</v>
      </c>
      <c r="G82" s="25">
        <v>1.5</v>
      </c>
      <c r="H82">
        <v>1.5</v>
      </c>
      <c r="I82" t="s">
        <v>56</v>
      </c>
      <c r="O82" t="s">
        <v>57</v>
      </c>
      <c r="Q82" t="s">
        <v>57</v>
      </c>
      <c r="R82" t="s">
        <v>137</v>
      </c>
      <c r="T82" t="s">
        <v>59</v>
      </c>
      <c r="U82" t="s">
        <v>60</v>
      </c>
      <c r="V82" t="s">
        <v>138</v>
      </c>
      <c r="W82" t="s">
        <v>139</v>
      </c>
      <c r="X82">
        <v>1930539</v>
      </c>
      <c r="Y82" s="11">
        <v>44785</v>
      </c>
      <c r="Z82" t="s">
        <v>57</v>
      </c>
      <c r="AA82">
        <v>4</v>
      </c>
      <c r="AB82" t="s">
        <v>57</v>
      </c>
      <c r="AD82" t="s">
        <v>57</v>
      </c>
      <c r="AE82" t="s">
        <v>57</v>
      </c>
      <c r="AF82" t="s">
        <v>57</v>
      </c>
      <c r="AG82">
        <v>10</v>
      </c>
      <c r="AH82" t="s">
        <v>57</v>
      </c>
      <c r="AL82" t="s">
        <v>57</v>
      </c>
      <c r="AM82" s="11">
        <v>44784</v>
      </c>
      <c r="AN82" t="s">
        <v>183</v>
      </c>
      <c r="AO82" t="s">
        <v>65</v>
      </c>
      <c r="AP82">
        <v>1206</v>
      </c>
      <c r="AQ82" t="s">
        <v>66</v>
      </c>
      <c r="AR82">
        <v>144854</v>
      </c>
      <c r="AU82" t="s">
        <v>57</v>
      </c>
      <c r="AV82" t="s">
        <v>68</v>
      </c>
      <c r="AX82" t="s">
        <v>57</v>
      </c>
      <c r="AY82">
        <v>631110</v>
      </c>
      <c r="AZ82">
        <v>1206.63111</v>
      </c>
      <c r="BA82" s="23" t="s">
        <v>14</v>
      </c>
    </row>
    <row r="83" spans="1:53" x14ac:dyDescent="0.25">
      <c r="A83" t="s">
        <v>134</v>
      </c>
      <c r="B83" t="s">
        <v>135</v>
      </c>
      <c r="C83">
        <v>22002597</v>
      </c>
      <c r="D83">
        <v>1206</v>
      </c>
      <c r="E83" s="11">
        <v>44789</v>
      </c>
      <c r="F83" t="s">
        <v>185</v>
      </c>
      <c r="G83" s="25">
        <v>1.5</v>
      </c>
      <c r="H83">
        <v>1.5</v>
      </c>
      <c r="I83" t="s">
        <v>56</v>
      </c>
      <c r="O83" t="s">
        <v>57</v>
      </c>
      <c r="Q83" t="s">
        <v>57</v>
      </c>
      <c r="R83" t="s">
        <v>137</v>
      </c>
      <c r="T83" t="s">
        <v>59</v>
      </c>
      <c r="U83" t="s">
        <v>60</v>
      </c>
      <c r="V83" t="s">
        <v>138</v>
      </c>
      <c r="W83" t="s">
        <v>139</v>
      </c>
      <c r="X83">
        <v>1933574</v>
      </c>
      <c r="Y83" s="11">
        <v>44792</v>
      </c>
      <c r="Z83" t="s">
        <v>57</v>
      </c>
      <c r="AA83">
        <v>4</v>
      </c>
      <c r="AB83" t="s">
        <v>57</v>
      </c>
      <c r="AD83" t="s">
        <v>57</v>
      </c>
      <c r="AE83" t="s">
        <v>57</v>
      </c>
      <c r="AF83" t="s">
        <v>57</v>
      </c>
      <c r="AG83">
        <v>10</v>
      </c>
      <c r="AH83" t="s">
        <v>57</v>
      </c>
      <c r="AL83" t="s">
        <v>57</v>
      </c>
      <c r="AM83" s="11">
        <v>44789</v>
      </c>
      <c r="AN83" t="s">
        <v>183</v>
      </c>
      <c r="AO83" t="s">
        <v>65</v>
      </c>
      <c r="AP83">
        <v>1206</v>
      </c>
      <c r="AQ83" t="s">
        <v>66</v>
      </c>
      <c r="AR83">
        <v>144854</v>
      </c>
      <c r="AU83" t="s">
        <v>57</v>
      </c>
      <c r="AV83" t="s">
        <v>68</v>
      </c>
      <c r="AX83" t="s">
        <v>57</v>
      </c>
      <c r="AY83">
        <v>631110</v>
      </c>
      <c r="AZ83">
        <v>1206.63111</v>
      </c>
      <c r="BA83" s="23" t="s">
        <v>14</v>
      </c>
    </row>
    <row r="84" spans="1:53" x14ac:dyDescent="0.25">
      <c r="A84" t="s">
        <v>134</v>
      </c>
      <c r="B84" t="s">
        <v>135</v>
      </c>
      <c r="C84">
        <v>22002499</v>
      </c>
      <c r="D84">
        <v>1206</v>
      </c>
      <c r="E84" s="11">
        <v>44774</v>
      </c>
      <c r="F84" t="s">
        <v>185</v>
      </c>
      <c r="G84" s="25">
        <v>1.53</v>
      </c>
      <c r="H84">
        <v>1.53</v>
      </c>
      <c r="I84" t="s">
        <v>56</v>
      </c>
      <c r="O84" t="s">
        <v>57</v>
      </c>
      <c r="Q84" t="s">
        <v>57</v>
      </c>
      <c r="R84" t="s">
        <v>137</v>
      </c>
      <c r="T84" t="s">
        <v>59</v>
      </c>
      <c r="U84" t="s">
        <v>60</v>
      </c>
      <c r="V84" t="s">
        <v>138</v>
      </c>
      <c r="W84" t="s">
        <v>139</v>
      </c>
      <c r="X84">
        <v>1926722</v>
      </c>
      <c r="Y84" s="11">
        <v>44776</v>
      </c>
      <c r="Z84" t="s">
        <v>57</v>
      </c>
      <c r="AA84">
        <v>4</v>
      </c>
      <c r="AB84" t="s">
        <v>57</v>
      </c>
      <c r="AD84" t="s">
        <v>57</v>
      </c>
      <c r="AE84" t="s">
        <v>57</v>
      </c>
      <c r="AF84" t="s">
        <v>57</v>
      </c>
      <c r="AG84">
        <v>10</v>
      </c>
      <c r="AH84" t="s">
        <v>57</v>
      </c>
      <c r="AL84" t="s">
        <v>57</v>
      </c>
      <c r="AM84" s="11">
        <v>44774</v>
      </c>
      <c r="AN84" t="s">
        <v>183</v>
      </c>
      <c r="AO84" t="s">
        <v>65</v>
      </c>
      <c r="AP84">
        <v>1206</v>
      </c>
      <c r="AQ84" t="s">
        <v>66</v>
      </c>
      <c r="AR84">
        <v>144854</v>
      </c>
      <c r="AU84" t="s">
        <v>57</v>
      </c>
      <c r="AV84" t="s">
        <v>68</v>
      </c>
      <c r="AX84" t="s">
        <v>57</v>
      </c>
      <c r="AY84">
        <v>631110</v>
      </c>
      <c r="AZ84">
        <v>1206.63111</v>
      </c>
      <c r="BA84" s="23" t="s">
        <v>14</v>
      </c>
    </row>
    <row r="85" spans="1:53" x14ac:dyDescent="0.25">
      <c r="A85" t="s">
        <v>134</v>
      </c>
      <c r="B85" t="s">
        <v>135</v>
      </c>
      <c r="C85">
        <v>22002518</v>
      </c>
      <c r="D85">
        <v>1206</v>
      </c>
      <c r="E85" s="11">
        <v>44777</v>
      </c>
      <c r="F85" t="s">
        <v>185</v>
      </c>
      <c r="G85" s="25">
        <v>1.53</v>
      </c>
      <c r="H85">
        <v>1.53</v>
      </c>
      <c r="I85" t="s">
        <v>56</v>
      </c>
      <c r="O85" t="s">
        <v>57</v>
      </c>
      <c r="Q85" t="s">
        <v>57</v>
      </c>
      <c r="R85" t="s">
        <v>137</v>
      </c>
      <c r="T85" t="s">
        <v>59</v>
      </c>
      <c r="U85" t="s">
        <v>60</v>
      </c>
      <c r="V85" t="s">
        <v>138</v>
      </c>
      <c r="W85" t="s">
        <v>139</v>
      </c>
      <c r="X85">
        <v>1927715</v>
      </c>
      <c r="Y85" s="11">
        <v>44778</v>
      </c>
      <c r="Z85" t="s">
        <v>57</v>
      </c>
      <c r="AA85">
        <v>4</v>
      </c>
      <c r="AB85" t="s">
        <v>57</v>
      </c>
      <c r="AD85" t="s">
        <v>57</v>
      </c>
      <c r="AE85" t="s">
        <v>57</v>
      </c>
      <c r="AF85" t="s">
        <v>57</v>
      </c>
      <c r="AG85">
        <v>10</v>
      </c>
      <c r="AH85" t="s">
        <v>57</v>
      </c>
      <c r="AL85" t="s">
        <v>57</v>
      </c>
      <c r="AM85" s="11">
        <v>44777</v>
      </c>
      <c r="AN85" t="s">
        <v>183</v>
      </c>
      <c r="AO85" t="s">
        <v>65</v>
      </c>
      <c r="AP85">
        <v>1206</v>
      </c>
      <c r="AQ85" t="s">
        <v>66</v>
      </c>
      <c r="AR85">
        <v>144854</v>
      </c>
      <c r="AU85" t="s">
        <v>57</v>
      </c>
      <c r="AV85" t="s">
        <v>68</v>
      </c>
      <c r="AX85" t="s">
        <v>57</v>
      </c>
      <c r="AY85">
        <v>631110</v>
      </c>
      <c r="AZ85">
        <v>1206.63111</v>
      </c>
      <c r="BA85" s="23" t="s">
        <v>14</v>
      </c>
    </row>
    <row r="86" spans="1:53" x14ac:dyDescent="0.25">
      <c r="A86" t="s">
        <v>134</v>
      </c>
      <c r="B86" t="s">
        <v>135</v>
      </c>
      <c r="C86">
        <v>22002546</v>
      </c>
      <c r="D86">
        <v>1206</v>
      </c>
      <c r="E86" s="11">
        <v>44782</v>
      </c>
      <c r="F86" t="s">
        <v>185</v>
      </c>
      <c r="G86" s="25">
        <v>1.53</v>
      </c>
      <c r="H86">
        <v>1.53</v>
      </c>
      <c r="I86" t="s">
        <v>56</v>
      </c>
      <c r="O86" t="s">
        <v>57</v>
      </c>
      <c r="Q86" t="s">
        <v>57</v>
      </c>
      <c r="R86" t="s">
        <v>137</v>
      </c>
      <c r="T86" t="s">
        <v>59</v>
      </c>
      <c r="U86" t="s">
        <v>60</v>
      </c>
      <c r="V86" t="s">
        <v>138</v>
      </c>
      <c r="W86" t="s">
        <v>139</v>
      </c>
      <c r="X86">
        <v>1930065</v>
      </c>
      <c r="Y86" s="11">
        <v>44783</v>
      </c>
      <c r="Z86" t="s">
        <v>57</v>
      </c>
      <c r="AA86">
        <v>4</v>
      </c>
      <c r="AB86" t="s">
        <v>57</v>
      </c>
      <c r="AD86" t="s">
        <v>57</v>
      </c>
      <c r="AE86" t="s">
        <v>57</v>
      </c>
      <c r="AF86" t="s">
        <v>57</v>
      </c>
      <c r="AG86">
        <v>10</v>
      </c>
      <c r="AH86" t="s">
        <v>57</v>
      </c>
      <c r="AL86" t="s">
        <v>57</v>
      </c>
      <c r="AM86" s="11">
        <v>44782</v>
      </c>
      <c r="AN86" t="s">
        <v>183</v>
      </c>
      <c r="AO86" t="s">
        <v>65</v>
      </c>
      <c r="AP86">
        <v>1206</v>
      </c>
      <c r="AQ86" t="s">
        <v>66</v>
      </c>
      <c r="AR86">
        <v>144854</v>
      </c>
      <c r="AU86" t="s">
        <v>57</v>
      </c>
      <c r="AV86" t="s">
        <v>68</v>
      </c>
      <c r="AX86" t="s">
        <v>57</v>
      </c>
      <c r="AY86">
        <v>631110</v>
      </c>
      <c r="AZ86">
        <v>1206.63111</v>
      </c>
      <c r="BA86" s="23" t="s">
        <v>14</v>
      </c>
    </row>
    <row r="87" spans="1:53" x14ac:dyDescent="0.25">
      <c r="A87" t="s">
        <v>134</v>
      </c>
      <c r="B87" t="s">
        <v>135</v>
      </c>
      <c r="C87">
        <v>22002546</v>
      </c>
      <c r="D87">
        <v>1206</v>
      </c>
      <c r="E87" s="11">
        <v>44782</v>
      </c>
      <c r="F87" t="s">
        <v>185</v>
      </c>
      <c r="G87" s="25">
        <v>1.54</v>
      </c>
      <c r="H87">
        <v>1.54</v>
      </c>
      <c r="I87" t="s">
        <v>56</v>
      </c>
      <c r="O87" t="s">
        <v>57</v>
      </c>
      <c r="Q87" t="s">
        <v>57</v>
      </c>
      <c r="R87" t="s">
        <v>137</v>
      </c>
      <c r="T87" t="s">
        <v>59</v>
      </c>
      <c r="U87" t="s">
        <v>60</v>
      </c>
      <c r="V87" t="s">
        <v>138</v>
      </c>
      <c r="W87" t="s">
        <v>139</v>
      </c>
      <c r="X87">
        <v>1930065</v>
      </c>
      <c r="Y87" s="11">
        <v>44783</v>
      </c>
      <c r="Z87" t="s">
        <v>57</v>
      </c>
      <c r="AA87">
        <v>8</v>
      </c>
      <c r="AB87" t="s">
        <v>57</v>
      </c>
      <c r="AD87" t="s">
        <v>57</v>
      </c>
      <c r="AE87" t="s">
        <v>57</v>
      </c>
      <c r="AF87" t="s">
        <v>57</v>
      </c>
      <c r="AG87">
        <v>20</v>
      </c>
      <c r="AH87" t="s">
        <v>57</v>
      </c>
      <c r="AL87" t="s">
        <v>57</v>
      </c>
      <c r="AM87" s="11">
        <v>44782</v>
      </c>
      <c r="AN87" t="s">
        <v>183</v>
      </c>
      <c r="AO87" t="s">
        <v>65</v>
      </c>
      <c r="AP87">
        <v>1206</v>
      </c>
      <c r="AQ87" t="s">
        <v>66</v>
      </c>
      <c r="AR87">
        <v>91479</v>
      </c>
      <c r="AU87" t="s">
        <v>57</v>
      </c>
      <c r="AV87" t="s">
        <v>68</v>
      </c>
      <c r="AX87" t="s">
        <v>57</v>
      </c>
      <c r="AY87">
        <v>631110</v>
      </c>
      <c r="AZ87">
        <v>1206.63111</v>
      </c>
      <c r="BA87" s="23" t="s">
        <v>14</v>
      </c>
    </row>
    <row r="88" spans="1:53" x14ac:dyDescent="0.25">
      <c r="A88" t="s">
        <v>134</v>
      </c>
      <c r="B88" t="s">
        <v>135</v>
      </c>
      <c r="C88">
        <v>22002553</v>
      </c>
      <c r="D88">
        <v>1206</v>
      </c>
      <c r="E88" s="11">
        <v>44783</v>
      </c>
      <c r="F88" t="s">
        <v>290</v>
      </c>
      <c r="G88" s="25">
        <v>1.57</v>
      </c>
      <c r="H88">
        <v>1.57</v>
      </c>
      <c r="I88" t="s">
        <v>56</v>
      </c>
      <c r="O88" t="s">
        <v>57</v>
      </c>
      <c r="Q88" t="s">
        <v>57</v>
      </c>
      <c r="R88" t="s">
        <v>137</v>
      </c>
      <c r="T88" t="s">
        <v>59</v>
      </c>
      <c r="U88" t="s">
        <v>60</v>
      </c>
      <c r="V88" t="s">
        <v>138</v>
      </c>
      <c r="W88" t="s">
        <v>139</v>
      </c>
      <c r="X88">
        <v>1930373</v>
      </c>
      <c r="Y88" s="11">
        <v>44784</v>
      </c>
      <c r="Z88" t="s">
        <v>57</v>
      </c>
      <c r="AA88">
        <v>10</v>
      </c>
      <c r="AB88" t="s">
        <v>57</v>
      </c>
      <c r="AD88" t="s">
        <v>57</v>
      </c>
      <c r="AE88" t="s">
        <v>57</v>
      </c>
      <c r="AF88" t="s">
        <v>57</v>
      </c>
      <c r="AG88">
        <v>10</v>
      </c>
      <c r="AH88" t="s">
        <v>57</v>
      </c>
      <c r="AL88" t="s">
        <v>57</v>
      </c>
      <c r="AM88" s="11">
        <v>44783</v>
      </c>
      <c r="AN88" t="s">
        <v>183</v>
      </c>
      <c r="AO88" t="s">
        <v>65</v>
      </c>
      <c r="AP88">
        <v>1206</v>
      </c>
      <c r="AQ88" t="s">
        <v>66</v>
      </c>
      <c r="AR88">
        <v>89715</v>
      </c>
      <c r="AU88" t="s">
        <v>57</v>
      </c>
      <c r="AV88" t="s">
        <v>68</v>
      </c>
      <c r="AX88" t="s">
        <v>57</v>
      </c>
      <c r="AY88">
        <v>631110</v>
      </c>
      <c r="AZ88">
        <v>1206.63111</v>
      </c>
      <c r="BA88" s="23" t="s">
        <v>14</v>
      </c>
    </row>
    <row r="89" spans="1:53" x14ac:dyDescent="0.25">
      <c r="A89" t="s">
        <v>134</v>
      </c>
      <c r="B89" t="s">
        <v>135</v>
      </c>
      <c r="C89">
        <v>22002502</v>
      </c>
      <c r="D89">
        <v>1206</v>
      </c>
      <c r="E89" s="11">
        <v>44776</v>
      </c>
      <c r="F89" t="s">
        <v>174</v>
      </c>
      <c r="G89" s="25">
        <v>1.6</v>
      </c>
      <c r="H89">
        <v>1.6</v>
      </c>
      <c r="I89" t="s">
        <v>56</v>
      </c>
      <c r="O89" t="s">
        <v>57</v>
      </c>
      <c r="Q89" t="s">
        <v>57</v>
      </c>
      <c r="R89" t="s">
        <v>137</v>
      </c>
      <c r="T89" t="s">
        <v>59</v>
      </c>
      <c r="U89" t="s">
        <v>60</v>
      </c>
      <c r="V89" t="s">
        <v>138</v>
      </c>
      <c r="W89" t="s">
        <v>139</v>
      </c>
      <c r="X89">
        <v>1927037</v>
      </c>
      <c r="Y89" s="11">
        <v>44776</v>
      </c>
      <c r="Z89" t="s">
        <v>57</v>
      </c>
      <c r="AA89">
        <v>4</v>
      </c>
      <c r="AB89" t="s">
        <v>57</v>
      </c>
      <c r="AD89" t="s">
        <v>57</v>
      </c>
      <c r="AE89" t="s">
        <v>57</v>
      </c>
      <c r="AF89" t="s">
        <v>57</v>
      </c>
      <c r="AG89">
        <v>2</v>
      </c>
      <c r="AH89" t="s">
        <v>57</v>
      </c>
      <c r="AL89" t="s">
        <v>57</v>
      </c>
      <c r="AM89" s="11">
        <v>44776</v>
      </c>
      <c r="AN89" t="s">
        <v>184</v>
      </c>
      <c r="AO89" t="s">
        <v>65</v>
      </c>
      <c r="AP89">
        <v>1206</v>
      </c>
      <c r="AQ89" t="s">
        <v>66</v>
      </c>
      <c r="AR89">
        <v>275822</v>
      </c>
      <c r="AU89" t="s">
        <v>57</v>
      </c>
      <c r="AV89" t="s">
        <v>68</v>
      </c>
      <c r="AX89" t="s">
        <v>57</v>
      </c>
      <c r="AY89">
        <v>631110</v>
      </c>
      <c r="AZ89">
        <v>1206.63111</v>
      </c>
      <c r="BA89" s="23" t="s">
        <v>14</v>
      </c>
    </row>
    <row r="90" spans="1:53" x14ac:dyDescent="0.25">
      <c r="A90" t="s">
        <v>134</v>
      </c>
      <c r="B90" t="s">
        <v>135</v>
      </c>
      <c r="C90">
        <v>22002540</v>
      </c>
      <c r="D90">
        <v>1206</v>
      </c>
      <c r="E90" s="11">
        <v>44782</v>
      </c>
      <c r="F90" t="s">
        <v>174</v>
      </c>
      <c r="G90" s="25">
        <v>1.62</v>
      </c>
      <c r="H90">
        <v>1.62</v>
      </c>
      <c r="I90" t="s">
        <v>56</v>
      </c>
      <c r="O90" t="s">
        <v>57</v>
      </c>
      <c r="Q90" t="s">
        <v>57</v>
      </c>
      <c r="R90" t="s">
        <v>137</v>
      </c>
      <c r="T90" t="s">
        <v>59</v>
      </c>
      <c r="U90" t="s">
        <v>60</v>
      </c>
      <c r="V90" t="s">
        <v>138</v>
      </c>
      <c r="W90" t="s">
        <v>139</v>
      </c>
      <c r="X90">
        <v>1929247</v>
      </c>
      <c r="Y90" s="11">
        <v>44782</v>
      </c>
      <c r="Z90" t="s">
        <v>57</v>
      </c>
      <c r="AA90">
        <v>2</v>
      </c>
      <c r="AB90" t="s">
        <v>57</v>
      </c>
      <c r="AD90" t="s">
        <v>57</v>
      </c>
      <c r="AE90" t="s">
        <v>57</v>
      </c>
      <c r="AF90" t="s">
        <v>57</v>
      </c>
      <c r="AG90">
        <v>1</v>
      </c>
      <c r="AH90" t="s">
        <v>57</v>
      </c>
      <c r="AL90" t="s">
        <v>57</v>
      </c>
      <c r="AM90" s="11">
        <v>44782</v>
      </c>
      <c r="AN90" t="s">
        <v>184</v>
      </c>
      <c r="AO90" t="s">
        <v>65</v>
      </c>
      <c r="AP90">
        <v>1206</v>
      </c>
      <c r="AQ90" t="s">
        <v>66</v>
      </c>
      <c r="AR90">
        <v>284092</v>
      </c>
      <c r="AU90" t="s">
        <v>57</v>
      </c>
      <c r="AV90" t="s">
        <v>68</v>
      </c>
      <c r="AX90" t="s">
        <v>57</v>
      </c>
      <c r="AY90">
        <v>631110</v>
      </c>
      <c r="AZ90">
        <v>1206.63111</v>
      </c>
      <c r="BA90" s="23" t="s">
        <v>14</v>
      </c>
    </row>
    <row r="91" spans="1:53" x14ac:dyDescent="0.25">
      <c r="A91" t="s">
        <v>134</v>
      </c>
      <c r="B91" t="s">
        <v>135</v>
      </c>
      <c r="C91">
        <v>22002486</v>
      </c>
      <c r="D91">
        <v>1206</v>
      </c>
      <c r="E91" s="11">
        <v>44774</v>
      </c>
      <c r="F91" t="s">
        <v>174</v>
      </c>
      <c r="G91" s="25">
        <v>1.73</v>
      </c>
      <c r="H91">
        <v>1.73</v>
      </c>
      <c r="I91" t="s">
        <v>56</v>
      </c>
      <c r="O91" t="s">
        <v>57</v>
      </c>
      <c r="Q91" t="s">
        <v>57</v>
      </c>
      <c r="R91" t="s">
        <v>137</v>
      </c>
      <c r="T91" t="s">
        <v>59</v>
      </c>
      <c r="U91" t="s">
        <v>60</v>
      </c>
      <c r="V91" t="s">
        <v>138</v>
      </c>
      <c r="W91" t="s">
        <v>139</v>
      </c>
      <c r="X91">
        <v>1925600</v>
      </c>
      <c r="Y91" s="11">
        <v>44774</v>
      </c>
      <c r="Z91" t="s">
        <v>57</v>
      </c>
      <c r="AA91">
        <v>4</v>
      </c>
      <c r="AB91" t="s">
        <v>57</v>
      </c>
      <c r="AD91" t="s">
        <v>57</v>
      </c>
      <c r="AE91" t="s">
        <v>57</v>
      </c>
      <c r="AF91" t="s">
        <v>57</v>
      </c>
      <c r="AG91">
        <v>1</v>
      </c>
      <c r="AH91" t="s">
        <v>57</v>
      </c>
      <c r="AL91" t="s">
        <v>57</v>
      </c>
      <c r="AM91" s="11">
        <v>44774</v>
      </c>
      <c r="AN91" t="s">
        <v>184</v>
      </c>
      <c r="AO91" t="s">
        <v>65</v>
      </c>
      <c r="AP91">
        <v>1206</v>
      </c>
      <c r="AQ91" t="s">
        <v>66</v>
      </c>
      <c r="AR91">
        <v>174953</v>
      </c>
      <c r="AU91" t="s">
        <v>57</v>
      </c>
      <c r="AV91" t="s">
        <v>68</v>
      </c>
      <c r="AX91" t="s">
        <v>57</v>
      </c>
      <c r="AY91">
        <v>631110</v>
      </c>
      <c r="AZ91">
        <v>1206.63111</v>
      </c>
      <c r="BA91" s="23" t="s">
        <v>14</v>
      </c>
    </row>
    <row r="92" spans="1:53" x14ac:dyDescent="0.25">
      <c r="A92" t="s">
        <v>134</v>
      </c>
      <c r="B92" t="s">
        <v>135</v>
      </c>
      <c r="C92">
        <v>22002511</v>
      </c>
      <c r="D92">
        <v>1206</v>
      </c>
      <c r="E92" s="11">
        <v>44777</v>
      </c>
      <c r="F92" t="s">
        <v>174</v>
      </c>
      <c r="G92" s="25">
        <v>1.73</v>
      </c>
      <c r="H92">
        <v>1.73</v>
      </c>
      <c r="I92" t="s">
        <v>56</v>
      </c>
      <c r="O92" t="s">
        <v>57</v>
      </c>
      <c r="Q92" t="s">
        <v>57</v>
      </c>
      <c r="R92" t="s">
        <v>137</v>
      </c>
      <c r="T92" t="s">
        <v>59</v>
      </c>
      <c r="U92" t="s">
        <v>60</v>
      </c>
      <c r="V92" t="s">
        <v>138</v>
      </c>
      <c r="W92" t="s">
        <v>139</v>
      </c>
      <c r="X92">
        <v>1927633</v>
      </c>
      <c r="Y92" s="11">
        <v>44777</v>
      </c>
      <c r="Z92" t="s">
        <v>57</v>
      </c>
      <c r="AA92">
        <v>4</v>
      </c>
      <c r="AB92" t="s">
        <v>57</v>
      </c>
      <c r="AD92" t="s">
        <v>57</v>
      </c>
      <c r="AE92" t="s">
        <v>57</v>
      </c>
      <c r="AF92" t="s">
        <v>57</v>
      </c>
      <c r="AG92">
        <v>1</v>
      </c>
      <c r="AH92" t="s">
        <v>57</v>
      </c>
      <c r="AL92" t="s">
        <v>57</v>
      </c>
      <c r="AM92" s="11">
        <v>44777</v>
      </c>
      <c r="AN92" t="s">
        <v>184</v>
      </c>
      <c r="AO92" t="s">
        <v>65</v>
      </c>
      <c r="AP92">
        <v>1206</v>
      </c>
      <c r="AQ92" t="s">
        <v>66</v>
      </c>
      <c r="AR92">
        <v>174953</v>
      </c>
      <c r="AU92" t="s">
        <v>57</v>
      </c>
      <c r="AV92" t="s">
        <v>68</v>
      </c>
      <c r="AX92" t="s">
        <v>57</v>
      </c>
      <c r="AY92">
        <v>631110</v>
      </c>
      <c r="AZ92">
        <v>1206.63111</v>
      </c>
      <c r="BA92" s="23" t="s">
        <v>14</v>
      </c>
    </row>
    <row r="93" spans="1:53" x14ac:dyDescent="0.25">
      <c r="A93" t="s">
        <v>134</v>
      </c>
      <c r="B93" t="s">
        <v>135</v>
      </c>
      <c r="C93">
        <v>22002573</v>
      </c>
      <c r="D93">
        <v>1206</v>
      </c>
      <c r="E93" s="11">
        <v>44784</v>
      </c>
      <c r="F93" t="s">
        <v>174</v>
      </c>
      <c r="G93" s="25">
        <v>1.73</v>
      </c>
      <c r="H93">
        <v>1.73</v>
      </c>
      <c r="I93" t="s">
        <v>56</v>
      </c>
      <c r="O93" t="s">
        <v>57</v>
      </c>
      <c r="Q93" t="s">
        <v>57</v>
      </c>
      <c r="R93" t="s">
        <v>137</v>
      </c>
      <c r="T93" t="s">
        <v>59</v>
      </c>
      <c r="U93" t="s">
        <v>60</v>
      </c>
      <c r="V93" t="s">
        <v>138</v>
      </c>
      <c r="W93" t="s">
        <v>139</v>
      </c>
      <c r="X93">
        <v>1930627</v>
      </c>
      <c r="Y93" s="11">
        <v>44785</v>
      </c>
      <c r="Z93" t="s">
        <v>57</v>
      </c>
      <c r="AA93">
        <v>6</v>
      </c>
      <c r="AB93" t="s">
        <v>57</v>
      </c>
      <c r="AD93" t="s">
        <v>57</v>
      </c>
      <c r="AE93" t="s">
        <v>57</v>
      </c>
      <c r="AF93" t="s">
        <v>57</v>
      </c>
      <c r="AG93">
        <v>1</v>
      </c>
      <c r="AH93" t="s">
        <v>57</v>
      </c>
      <c r="AL93" t="s">
        <v>57</v>
      </c>
      <c r="AM93" s="11">
        <v>44784</v>
      </c>
      <c r="AN93" t="s">
        <v>184</v>
      </c>
      <c r="AO93" t="s">
        <v>65</v>
      </c>
      <c r="AP93">
        <v>1206</v>
      </c>
      <c r="AQ93" t="s">
        <v>66</v>
      </c>
      <c r="AR93">
        <v>174953</v>
      </c>
      <c r="AU93" t="s">
        <v>57</v>
      </c>
      <c r="AV93" t="s">
        <v>68</v>
      </c>
      <c r="AX93" t="s">
        <v>57</v>
      </c>
      <c r="AY93">
        <v>631110</v>
      </c>
      <c r="AZ93">
        <v>1206.63111</v>
      </c>
      <c r="BA93" s="23" t="s">
        <v>14</v>
      </c>
    </row>
    <row r="94" spans="1:53" x14ac:dyDescent="0.25">
      <c r="A94" t="s">
        <v>134</v>
      </c>
      <c r="B94" t="s">
        <v>135</v>
      </c>
      <c r="C94">
        <v>22002587</v>
      </c>
      <c r="D94">
        <v>1206</v>
      </c>
      <c r="E94" s="11">
        <v>44788</v>
      </c>
      <c r="F94" t="s">
        <v>174</v>
      </c>
      <c r="G94" s="25">
        <v>2.0499999999999998</v>
      </c>
      <c r="H94">
        <v>2.0499999999999998</v>
      </c>
      <c r="I94" t="s">
        <v>56</v>
      </c>
      <c r="O94" t="s">
        <v>57</v>
      </c>
      <c r="Q94" t="s">
        <v>57</v>
      </c>
      <c r="R94" t="s">
        <v>137</v>
      </c>
      <c r="T94" t="s">
        <v>59</v>
      </c>
      <c r="U94" t="s">
        <v>60</v>
      </c>
      <c r="V94" t="s">
        <v>138</v>
      </c>
      <c r="W94" t="s">
        <v>139</v>
      </c>
      <c r="X94">
        <v>1933170</v>
      </c>
      <c r="Y94" s="11">
        <v>44789</v>
      </c>
      <c r="Z94" t="s">
        <v>57</v>
      </c>
      <c r="AA94">
        <v>12</v>
      </c>
      <c r="AB94" t="s">
        <v>57</v>
      </c>
      <c r="AD94" t="s">
        <v>57</v>
      </c>
      <c r="AE94" t="s">
        <v>57</v>
      </c>
      <c r="AF94" t="s">
        <v>57</v>
      </c>
      <c r="AG94">
        <v>1</v>
      </c>
      <c r="AH94" t="s">
        <v>57</v>
      </c>
      <c r="AL94" t="s">
        <v>57</v>
      </c>
      <c r="AM94" s="11">
        <v>44788</v>
      </c>
      <c r="AN94" t="s">
        <v>184</v>
      </c>
      <c r="AO94" t="s">
        <v>65</v>
      </c>
      <c r="AP94">
        <v>1206</v>
      </c>
      <c r="AQ94" t="s">
        <v>66</v>
      </c>
      <c r="AR94">
        <v>142797</v>
      </c>
      <c r="AU94" t="s">
        <v>57</v>
      </c>
      <c r="AV94" t="s">
        <v>68</v>
      </c>
      <c r="AX94" t="s">
        <v>57</v>
      </c>
      <c r="AY94">
        <v>631110</v>
      </c>
      <c r="AZ94">
        <v>1206.63111</v>
      </c>
      <c r="BA94" s="23" t="s">
        <v>14</v>
      </c>
    </row>
    <row r="95" spans="1:53" x14ac:dyDescent="0.25">
      <c r="A95" t="s">
        <v>134</v>
      </c>
      <c r="B95" t="s">
        <v>135</v>
      </c>
      <c r="C95">
        <v>22002489</v>
      </c>
      <c r="D95">
        <v>1206</v>
      </c>
      <c r="E95" s="11">
        <v>44774</v>
      </c>
      <c r="F95" t="s">
        <v>174</v>
      </c>
      <c r="G95" s="25">
        <v>2.06</v>
      </c>
      <c r="H95">
        <v>2.06</v>
      </c>
      <c r="I95" t="s">
        <v>56</v>
      </c>
      <c r="O95" t="s">
        <v>57</v>
      </c>
      <c r="Q95" t="s">
        <v>57</v>
      </c>
      <c r="R95" t="s">
        <v>137</v>
      </c>
      <c r="T95" t="s">
        <v>59</v>
      </c>
      <c r="U95" t="s">
        <v>60</v>
      </c>
      <c r="V95" t="s">
        <v>138</v>
      </c>
      <c r="W95" t="s">
        <v>139</v>
      </c>
      <c r="X95">
        <v>1926655</v>
      </c>
      <c r="Y95" s="11">
        <v>44775</v>
      </c>
      <c r="Z95" t="s">
        <v>57</v>
      </c>
      <c r="AA95">
        <v>4</v>
      </c>
      <c r="AB95" t="s">
        <v>57</v>
      </c>
      <c r="AD95" t="s">
        <v>57</v>
      </c>
      <c r="AE95" t="s">
        <v>57</v>
      </c>
      <c r="AF95" t="s">
        <v>57</v>
      </c>
      <c r="AG95">
        <v>1</v>
      </c>
      <c r="AH95" t="s">
        <v>57</v>
      </c>
      <c r="AL95" t="s">
        <v>57</v>
      </c>
      <c r="AM95" s="11">
        <v>44774</v>
      </c>
      <c r="AN95" t="s">
        <v>184</v>
      </c>
      <c r="AO95" t="s">
        <v>65</v>
      </c>
      <c r="AP95">
        <v>1206</v>
      </c>
      <c r="AQ95" t="s">
        <v>66</v>
      </c>
      <c r="AR95">
        <v>142789</v>
      </c>
      <c r="AU95" t="s">
        <v>57</v>
      </c>
      <c r="AV95" t="s">
        <v>68</v>
      </c>
      <c r="AX95" t="s">
        <v>57</v>
      </c>
      <c r="AY95">
        <v>631110</v>
      </c>
      <c r="AZ95">
        <v>1206.63111</v>
      </c>
      <c r="BA95" s="23" t="s">
        <v>14</v>
      </c>
    </row>
    <row r="96" spans="1:53" x14ac:dyDescent="0.25">
      <c r="A96" t="s">
        <v>134</v>
      </c>
      <c r="B96" t="s">
        <v>135</v>
      </c>
      <c r="C96">
        <v>22002541</v>
      </c>
      <c r="D96">
        <v>1206</v>
      </c>
      <c r="E96" s="11">
        <v>44782</v>
      </c>
      <c r="F96" t="s">
        <v>174</v>
      </c>
      <c r="G96" s="25">
        <v>2.06</v>
      </c>
      <c r="H96">
        <v>2.06</v>
      </c>
      <c r="I96" t="s">
        <v>56</v>
      </c>
      <c r="O96" t="s">
        <v>57</v>
      </c>
      <c r="Q96" t="s">
        <v>57</v>
      </c>
      <c r="R96" t="s">
        <v>137</v>
      </c>
      <c r="T96" t="s">
        <v>59</v>
      </c>
      <c r="U96" t="s">
        <v>60</v>
      </c>
      <c r="V96" t="s">
        <v>138</v>
      </c>
      <c r="W96" t="s">
        <v>139</v>
      </c>
      <c r="X96">
        <v>1929848</v>
      </c>
      <c r="Y96" s="11">
        <v>44782</v>
      </c>
      <c r="Z96" t="s">
        <v>57</v>
      </c>
      <c r="AA96">
        <v>4</v>
      </c>
      <c r="AB96" t="s">
        <v>57</v>
      </c>
      <c r="AD96" t="s">
        <v>57</v>
      </c>
      <c r="AE96" t="s">
        <v>57</v>
      </c>
      <c r="AF96" t="s">
        <v>57</v>
      </c>
      <c r="AG96">
        <v>2</v>
      </c>
      <c r="AH96" t="s">
        <v>57</v>
      </c>
      <c r="AL96" t="s">
        <v>57</v>
      </c>
      <c r="AM96" s="11">
        <v>44782</v>
      </c>
      <c r="AN96" t="s">
        <v>184</v>
      </c>
      <c r="AO96" t="s">
        <v>65</v>
      </c>
      <c r="AP96">
        <v>1206</v>
      </c>
      <c r="AQ96" t="s">
        <v>66</v>
      </c>
      <c r="AR96">
        <v>187398</v>
      </c>
      <c r="AU96" t="s">
        <v>57</v>
      </c>
      <c r="AV96" t="s">
        <v>68</v>
      </c>
      <c r="AX96" t="s">
        <v>57</v>
      </c>
      <c r="AY96">
        <v>631110</v>
      </c>
      <c r="AZ96">
        <v>1206.63111</v>
      </c>
      <c r="BA96" s="23" t="s">
        <v>14</v>
      </c>
    </row>
    <row r="97" spans="1:53" x14ac:dyDescent="0.25">
      <c r="A97" t="s">
        <v>134</v>
      </c>
      <c r="B97" t="s">
        <v>135</v>
      </c>
      <c r="C97">
        <v>22002550</v>
      </c>
      <c r="D97">
        <v>1206</v>
      </c>
      <c r="E97" s="11">
        <v>44783</v>
      </c>
      <c r="F97" t="s">
        <v>174</v>
      </c>
      <c r="G97" s="25">
        <v>2.06</v>
      </c>
      <c r="H97">
        <v>2.06</v>
      </c>
      <c r="I97" t="s">
        <v>56</v>
      </c>
      <c r="O97" t="s">
        <v>57</v>
      </c>
      <c r="Q97" t="s">
        <v>57</v>
      </c>
      <c r="R97" t="s">
        <v>137</v>
      </c>
      <c r="T97" t="s">
        <v>59</v>
      </c>
      <c r="U97" t="s">
        <v>60</v>
      </c>
      <c r="V97" t="s">
        <v>138</v>
      </c>
      <c r="W97" t="s">
        <v>139</v>
      </c>
      <c r="X97">
        <v>1930353</v>
      </c>
      <c r="Y97" s="11">
        <v>44783</v>
      </c>
      <c r="Z97" t="s">
        <v>57</v>
      </c>
      <c r="AA97">
        <v>2</v>
      </c>
      <c r="AB97" t="s">
        <v>57</v>
      </c>
      <c r="AD97" t="s">
        <v>57</v>
      </c>
      <c r="AE97" t="s">
        <v>57</v>
      </c>
      <c r="AF97" t="s">
        <v>57</v>
      </c>
      <c r="AG97">
        <v>3</v>
      </c>
      <c r="AH97" t="s">
        <v>57</v>
      </c>
      <c r="AL97" t="s">
        <v>57</v>
      </c>
      <c r="AM97" s="11">
        <v>44783</v>
      </c>
      <c r="AN97" t="s">
        <v>184</v>
      </c>
      <c r="AO97" t="s">
        <v>65</v>
      </c>
      <c r="AP97">
        <v>1206</v>
      </c>
      <c r="AQ97" t="s">
        <v>66</v>
      </c>
      <c r="AR97">
        <v>90167</v>
      </c>
      <c r="AU97" t="s">
        <v>57</v>
      </c>
      <c r="AV97" t="s">
        <v>68</v>
      </c>
      <c r="AX97" t="s">
        <v>57</v>
      </c>
      <c r="AY97">
        <v>631110</v>
      </c>
      <c r="AZ97">
        <v>1206.63111</v>
      </c>
      <c r="BA97" s="23" t="s">
        <v>14</v>
      </c>
    </row>
    <row r="98" spans="1:53" x14ac:dyDescent="0.25">
      <c r="A98" t="s">
        <v>134</v>
      </c>
      <c r="B98" t="s">
        <v>135</v>
      </c>
      <c r="C98">
        <v>22002586</v>
      </c>
      <c r="D98">
        <v>1206</v>
      </c>
      <c r="E98" s="11">
        <v>44788</v>
      </c>
      <c r="F98" t="s">
        <v>174</v>
      </c>
      <c r="G98" s="25">
        <v>2.06</v>
      </c>
      <c r="H98">
        <v>2.06</v>
      </c>
      <c r="I98" t="s">
        <v>56</v>
      </c>
      <c r="O98" t="s">
        <v>57</v>
      </c>
      <c r="Q98" t="s">
        <v>57</v>
      </c>
      <c r="R98" t="s">
        <v>137</v>
      </c>
      <c r="T98" t="s">
        <v>59</v>
      </c>
      <c r="U98" t="s">
        <v>60</v>
      </c>
      <c r="V98" t="s">
        <v>138</v>
      </c>
      <c r="W98" t="s">
        <v>139</v>
      </c>
      <c r="X98">
        <v>1933170</v>
      </c>
      <c r="Y98" s="11">
        <v>44789</v>
      </c>
      <c r="Z98" t="s">
        <v>57</v>
      </c>
      <c r="AA98">
        <v>8</v>
      </c>
      <c r="AB98" t="s">
        <v>57</v>
      </c>
      <c r="AD98" t="s">
        <v>57</v>
      </c>
      <c r="AE98" t="s">
        <v>57</v>
      </c>
      <c r="AF98" t="s">
        <v>57</v>
      </c>
      <c r="AG98">
        <v>1</v>
      </c>
      <c r="AH98" t="s">
        <v>57</v>
      </c>
      <c r="AL98" t="s">
        <v>57</v>
      </c>
      <c r="AM98" s="11">
        <v>44788</v>
      </c>
      <c r="AN98" t="s">
        <v>184</v>
      </c>
      <c r="AO98" t="s">
        <v>65</v>
      </c>
      <c r="AP98">
        <v>1206</v>
      </c>
      <c r="AQ98" t="s">
        <v>66</v>
      </c>
      <c r="AR98">
        <v>250199</v>
      </c>
      <c r="AU98" t="s">
        <v>57</v>
      </c>
      <c r="AV98" t="s">
        <v>68</v>
      </c>
      <c r="AX98" t="s">
        <v>57</v>
      </c>
      <c r="AY98">
        <v>631110</v>
      </c>
      <c r="AZ98">
        <v>1206.63111</v>
      </c>
      <c r="BA98" s="23" t="s">
        <v>14</v>
      </c>
    </row>
    <row r="99" spans="1:53" x14ac:dyDescent="0.25">
      <c r="A99" t="s">
        <v>134</v>
      </c>
      <c r="B99" t="s">
        <v>135</v>
      </c>
      <c r="C99">
        <v>22002495</v>
      </c>
      <c r="D99">
        <v>1206</v>
      </c>
      <c r="E99" s="11">
        <v>44775</v>
      </c>
      <c r="F99" t="s">
        <v>174</v>
      </c>
      <c r="G99" s="25">
        <v>2.09</v>
      </c>
      <c r="H99">
        <v>2.09</v>
      </c>
      <c r="I99" t="s">
        <v>56</v>
      </c>
      <c r="O99" t="s">
        <v>57</v>
      </c>
      <c r="Q99" t="s">
        <v>57</v>
      </c>
      <c r="R99" t="s">
        <v>137</v>
      </c>
      <c r="T99" t="s">
        <v>59</v>
      </c>
      <c r="U99" t="s">
        <v>60</v>
      </c>
      <c r="V99" t="s">
        <v>138</v>
      </c>
      <c r="W99" t="s">
        <v>139</v>
      </c>
      <c r="X99">
        <v>1926655</v>
      </c>
      <c r="Y99" s="11">
        <v>44775</v>
      </c>
      <c r="Z99" t="s">
        <v>57</v>
      </c>
      <c r="AA99">
        <v>8</v>
      </c>
      <c r="AB99" t="s">
        <v>57</v>
      </c>
      <c r="AD99" t="s">
        <v>57</v>
      </c>
      <c r="AE99" t="s">
        <v>57</v>
      </c>
      <c r="AF99" t="s">
        <v>57</v>
      </c>
      <c r="AG99">
        <v>1</v>
      </c>
      <c r="AH99" t="s">
        <v>57</v>
      </c>
      <c r="AL99" t="s">
        <v>57</v>
      </c>
      <c r="AM99" s="11">
        <v>44775</v>
      </c>
      <c r="AN99" t="s">
        <v>184</v>
      </c>
      <c r="AO99" t="s">
        <v>65</v>
      </c>
      <c r="AP99">
        <v>1206</v>
      </c>
      <c r="AQ99" t="s">
        <v>66</v>
      </c>
      <c r="AR99">
        <v>88783</v>
      </c>
      <c r="AU99" t="s">
        <v>57</v>
      </c>
      <c r="AV99" t="s">
        <v>68</v>
      </c>
      <c r="AX99" t="s">
        <v>57</v>
      </c>
      <c r="AY99">
        <v>631110</v>
      </c>
      <c r="AZ99">
        <v>1206.63111</v>
      </c>
      <c r="BA99" s="23" t="s">
        <v>14</v>
      </c>
    </row>
    <row r="100" spans="1:53" x14ac:dyDescent="0.25">
      <c r="A100" t="s">
        <v>134</v>
      </c>
      <c r="B100" t="s">
        <v>135</v>
      </c>
      <c r="C100">
        <v>22002548</v>
      </c>
      <c r="D100">
        <v>1206</v>
      </c>
      <c r="E100" s="11">
        <v>44782</v>
      </c>
      <c r="F100" t="s">
        <v>174</v>
      </c>
      <c r="G100" s="25">
        <v>2.09</v>
      </c>
      <c r="H100">
        <v>2.09</v>
      </c>
      <c r="I100" t="s">
        <v>56</v>
      </c>
      <c r="O100" t="s">
        <v>57</v>
      </c>
      <c r="Q100" t="s">
        <v>57</v>
      </c>
      <c r="R100" t="s">
        <v>137</v>
      </c>
      <c r="T100" t="s">
        <v>59</v>
      </c>
      <c r="U100" t="s">
        <v>60</v>
      </c>
      <c r="V100" t="s">
        <v>138</v>
      </c>
      <c r="W100" t="s">
        <v>139</v>
      </c>
      <c r="X100">
        <v>1930246</v>
      </c>
      <c r="Y100" s="11">
        <v>44783</v>
      </c>
      <c r="Z100" t="s">
        <v>57</v>
      </c>
      <c r="AA100">
        <v>4</v>
      </c>
      <c r="AB100" t="s">
        <v>57</v>
      </c>
      <c r="AD100" t="s">
        <v>57</v>
      </c>
      <c r="AE100" t="s">
        <v>57</v>
      </c>
      <c r="AF100" t="s">
        <v>57</v>
      </c>
      <c r="AG100">
        <v>1</v>
      </c>
      <c r="AH100" t="s">
        <v>57</v>
      </c>
      <c r="AL100" t="s">
        <v>57</v>
      </c>
      <c r="AM100" s="11">
        <v>44782</v>
      </c>
      <c r="AN100" t="s">
        <v>184</v>
      </c>
      <c r="AO100" t="s">
        <v>65</v>
      </c>
      <c r="AP100">
        <v>1206</v>
      </c>
      <c r="AQ100" t="s">
        <v>66</v>
      </c>
      <c r="AR100">
        <v>88783</v>
      </c>
      <c r="AU100" t="s">
        <v>57</v>
      </c>
      <c r="AV100" t="s">
        <v>68</v>
      </c>
      <c r="AX100" t="s">
        <v>57</v>
      </c>
      <c r="AY100">
        <v>631110</v>
      </c>
      <c r="AZ100">
        <v>1206.63111</v>
      </c>
      <c r="BA100" s="23" t="s">
        <v>14</v>
      </c>
    </row>
    <row r="101" spans="1:53" x14ac:dyDescent="0.25">
      <c r="A101" t="s">
        <v>134</v>
      </c>
      <c r="B101" t="s">
        <v>135</v>
      </c>
      <c r="C101">
        <v>22002573</v>
      </c>
      <c r="D101">
        <v>1206</v>
      </c>
      <c r="E101" s="11">
        <v>44784</v>
      </c>
      <c r="F101" t="s">
        <v>174</v>
      </c>
      <c r="G101" s="25">
        <v>2.09</v>
      </c>
      <c r="H101">
        <v>2.09</v>
      </c>
      <c r="I101" t="s">
        <v>56</v>
      </c>
      <c r="O101" t="s">
        <v>57</v>
      </c>
      <c r="Q101" t="s">
        <v>57</v>
      </c>
      <c r="R101" t="s">
        <v>137</v>
      </c>
      <c r="T101" t="s">
        <v>59</v>
      </c>
      <c r="U101" t="s">
        <v>60</v>
      </c>
      <c r="V101" t="s">
        <v>138</v>
      </c>
      <c r="W101" t="s">
        <v>139</v>
      </c>
      <c r="X101">
        <v>1930627</v>
      </c>
      <c r="Y101" s="11">
        <v>44785</v>
      </c>
      <c r="Z101" t="s">
        <v>57</v>
      </c>
      <c r="AA101">
        <v>4</v>
      </c>
      <c r="AB101" t="s">
        <v>57</v>
      </c>
      <c r="AD101" t="s">
        <v>57</v>
      </c>
      <c r="AE101" t="s">
        <v>57</v>
      </c>
      <c r="AF101" t="s">
        <v>57</v>
      </c>
      <c r="AG101">
        <v>1</v>
      </c>
      <c r="AH101" t="s">
        <v>57</v>
      </c>
      <c r="AL101" t="s">
        <v>57</v>
      </c>
      <c r="AM101" s="11">
        <v>44784</v>
      </c>
      <c r="AN101" t="s">
        <v>184</v>
      </c>
      <c r="AO101" t="s">
        <v>65</v>
      </c>
      <c r="AP101">
        <v>1206</v>
      </c>
      <c r="AQ101" t="s">
        <v>66</v>
      </c>
      <c r="AR101">
        <v>88783</v>
      </c>
      <c r="AU101" t="s">
        <v>57</v>
      </c>
      <c r="AV101" t="s">
        <v>68</v>
      </c>
      <c r="AX101" t="s">
        <v>57</v>
      </c>
      <c r="AY101">
        <v>631110</v>
      </c>
      <c r="AZ101">
        <v>1206.63111</v>
      </c>
      <c r="BA101" s="23" t="s">
        <v>14</v>
      </c>
    </row>
    <row r="102" spans="1:53" x14ac:dyDescent="0.25">
      <c r="A102" t="s">
        <v>134</v>
      </c>
      <c r="B102" t="s">
        <v>135</v>
      </c>
      <c r="C102">
        <v>22002586</v>
      </c>
      <c r="D102">
        <v>1206</v>
      </c>
      <c r="E102" s="11">
        <v>44788</v>
      </c>
      <c r="F102" t="s">
        <v>174</v>
      </c>
      <c r="G102" s="25">
        <v>2.09</v>
      </c>
      <c r="H102">
        <v>2.09</v>
      </c>
      <c r="I102" t="s">
        <v>56</v>
      </c>
      <c r="O102" t="s">
        <v>57</v>
      </c>
      <c r="Q102" t="s">
        <v>57</v>
      </c>
      <c r="R102" t="s">
        <v>137</v>
      </c>
      <c r="T102" t="s">
        <v>59</v>
      </c>
      <c r="U102" t="s">
        <v>60</v>
      </c>
      <c r="V102" t="s">
        <v>138</v>
      </c>
      <c r="W102" t="s">
        <v>139</v>
      </c>
      <c r="X102">
        <v>1933170</v>
      </c>
      <c r="Y102" s="11">
        <v>44789</v>
      </c>
      <c r="Z102" t="s">
        <v>57</v>
      </c>
      <c r="AA102">
        <v>2</v>
      </c>
      <c r="AB102" t="s">
        <v>57</v>
      </c>
      <c r="AD102" t="s">
        <v>57</v>
      </c>
      <c r="AE102" t="s">
        <v>57</v>
      </c>
      <c r="AF102" t="s">
        <v>57</v>
      </c>
      <c r="AG102">
        <v>1</v>
      </c>
      <c r="AH102" t="s">
        <v>57</v>
      </c>
      <c r="AL102" t="s">
        <v>57</v>
      </c>
      <c r="AM102" s="11">
        <v>44788</v>
      </c>
      <c r="AN102" t="s">
        <v>184</v>
      </c>
      <c r="AO102" t="s">
        <v>65</v>
      </c>
      <c r="AP102">
        <v>1206</v>
      </c>
      <c r="AQ102" t="s">
        <v>66</v>
      </c>
      <c r="AR102">
        <v>88783</v>
      </c>
      <c r="AU102" t="s">
        <v>57</v>
      </c>
      <c r="AV102" t="s">
        <v>68</v>
      </c>
      <c r="AX102" t="s">
        <v>57</v>
      </c>
      <c r="AY102">
        <v>631110</v>
      </c>
      <c r="AZ102">
        <v>1206.63111</v>
      </c>
      <c r="BA102" s="23" t="s">
        <v>14</v>
      </c>
    </row>
    <row r="103" spans="1:53" x14ac:dyDescent="0.25">
      <c r="A103" t="s">
        <v>134</v>
      </c>
      <c r="B103" t="s">
        <v>135</v>
      </c>
      <c r="C103">
        <v>22002499</v>
      </c>
      <c r="D103">
        <v>1206</v>
      </c>
      <c r="E103" s="11">
        <v>44774</v>
      </c>
      <c r="F103" t="s">
        <v>185</v>
      </c>
      <c r="G103" s="25">
        <v>2.23</v>
      </c>
      <c r="H103">
        <v>2.23</v>
      </c>
      <c r="I103" t="s">
        <v>56</v>
      </c>
      <c r="O103" t="s">
        <v>57</v>
      </c>
      <c r="Q103" t="s">
        <v>57</v>
      </c>
      <c r="R103" t="s">
        <v>137</v>
      </c>
      <c r="T103" t="s">
        <v>59</v>
      </c>
      <c r="U103" t="s">
        <v>60</v>
      </c>
      <c r="V103" t="s">
        <v>138</v>
      </c>
      <c r="W103" t="s">
        <v>139</v>
      </c>
      <c r="X103">
        <v>1926722</v>
      </c>
      <c r="Y103" s="11">
        <v>44776</v>
      </c>
      <c r="Z103" t="s">
        <v>57</v>
      </c>
      <c r="AA103">
        <v>10</v>
      </c>
      <c r="AB103" t="s">
        <v>57</v>
      </c>
      <c r="AD103" t="s">
        <v>57</v>
      </c>
      <c r="AE103" t="s">
        <v>57</v>
      </c>
      <c r="AF103" t="s">
        <v>57</v>
      </c>
      <c r="AG103">
        <v>20</v>
      </c>
      <c r="AH103" t="s">
        <v>57</v>
      </c>
      <c r="AL103" t="s">
        <v>57</v>
      </c>
      <c r="AM103" s="11">
        <v>44774</v>
      </c>
      <c r="AN103" t="s">
        <v>183</v>
      </c>
      <c r="AO103" t="s">
        <v>65</v>
      </c>
      <c r="AP103">
        <v>1206</v>
      </c>
      <c r="AQ103" t="s">
        <v>66</v>
      </c>
      <c r="AR103">
        <v>265267</v>
      </c>
      <c r="AU103" t="s">
        <v>57</v>
      </c>
      <c r="AV103" t="s">
        <v>68</v>
      </c>
      <c r="AX103" t="s">
        <v>57</v>
      </c>
      <c r="AY103">
        <v>631110</v>
      </c>
      <c r="AZ103">
        <v>1206.63111</v>
      </c>
      <c r="BA103" s="23" t="s">
        <v>14</v>
      </c>
    </row>
    <row r="104" spans="1:53" x14ac:dyDescent="0.25">
      <c r="A104" t="s">
        <v>134</v>
      </c>
      <c r="B104" t="s">
        <v>135</v>
      </c>
      <c r="C104">
        <v>22002575</v>
      </c>
      <c r="D104">
        <v>1206</v>
      </c>
      <c r="E104" s="11">
        <v>44785</v>
      </c>
      <c r="F104" t="s">
        <v>174</v>
      </c>
      <c r="G104" s="25">
        <v>2.29</v>
      </c>
      <c r="H104">
        <v>2.29</v>
      </c>
      <c r="I104" t="s">
        <v>56</v>
      </c>
      <c r="O104" t="s">
        <v>57</v>
      </c>
      <c r="Q104" t="s">
        <v>57</v>
      </c>
      <c r="R104" t="s">
        <v>137</v>
      </c>
      <c r="T104" t="s">
        <v>59</v>
      </c>
      <c r="U104" t="s">
        <v>60</v>
      </c>
      <c r="V104" t="s">
        <v>138</v>
      </c>
      <c r="W104" t="s">
        <v>139</v>
      </c>
      <c r="X104">
        <v>1930627</v>
      </c>
      <c r="Y104" s="11">
        <v>44785</v>
      </c>
      <c r="Z104" t="s">
        <v>57</v>
      </c>
      <c r="AA104">
        <v>6</v>
      </c>
      <c r="AB104" t="s">
        <v>57</v>
      </c>
      <c r="AD104" t="s">
        <v>57</v>
      </c>
      <c r="AE104" t="s">
        <v>57</v>
      </c>
      <c r="AF104" t="s">
        <v>57</v>
      </c>
      <c r="AG104">
        <v>1</v>
      </c>
      <c r="AH104" t="s">
        <v>57</v>
      </c>
      <c r="AL104" t="s">
        <v>57</v>
      </c>
      <c r="AM104" s="11">
        <v>44785</v>
      </c>
      <c r="AN104" t="s">
        <v>184</v>
      </c>
      <c r="AO104" t="s">
        <v>65</v>
      </c>
      <c r="AP104">
        <v>1206</v>
      </c>
      <c r="AQ104" t="s">
        <v>66</v>
      </c>
      <c r="AR104">
        <v>192520</v>
      </c>
      <c r="AU104" t="s">
        <v>57</v>
      </c>
      <c r="AV104" t="s">
        <v>68</v>
      </c>
      <c r="AX104" t="s">
        <v>57</v>
      </c>
      <c r="AY104">
        <v>631110</v>
      </c>
      <c r="AZ104">
        <v>1206.63111</v>
      </c>
      <c r="BA104" s="23" t="s">
        <v>14</v>
      </c>
    </row>
    <row r="105" spans="1:53" x14ac:dyDescent="0.25">
      <c r="A105" t="s">
        <v>134</v>
      </c>
      <c r="B105" t="s">
        <v>135</v>
      </c>
      <c r="C105">
        <v>22002539</v>
      </c>
      <c r="D105">
        <v>1206</v>
      </c>
      <c r="E105" s="11">
        <v>44781</v>
      </c>
      <c r="F105" t="s">
        <v>174</v>
      </c>
      <c r="G105" s="25">
        <v>2.34</v>
      </c>
      <c r="H105">
        <v>2.34</v>
      </c>
      <c r="I105" t="s">
        <v>56</v>
      </c>
      <c r="O105" t="s">
        <v>57</v>
      </c>
      <c r="Q105" t="s">
        <v>57</v>
      </c>
      <c r="R105" t="s">
        <v>137</v>
      </c>
      <c r="T105" t="s">
        <v>59</v>
      </c>
      <c r="U105" t="s">
        <v>60</v>
      </c>
      <c r="V105" t="s">
        <v>138</v>
      </c>
      <c r="W105" t="s">
        <v>139</v>
      </c>
      <c r="X105">
        <v>1929247</v>
      </c>
      <c r="Y105" s="11">
        <v>44782</v>
      </c>
      <c r="Z105" t="s">
        <v>57</v>
      </c>
      <c r="AA105">
        <v>4</v>
      </c>
      <c r="AB105" t="s">
        <v>57</v>
      </c>
      <c r="AD105" t="s">
        <v>57</v>
      </c>
      <c r="AE105" t="s">
        <v>57</v>
      </c>
      <c r="AF105" t="s">
        <v>57</v>
      </c>
      <c r="AG105">
        <v>2</v>
      </c>
      <c r="AH105" t="s">
        <v>57</v>
      </c>
      <c r="AL105" t="s">
        <v>57</v>
      </c>
      <c r="AM105" s="11">
        <v>44781</v>
      </c>
      <c r="AN105" t="s">
        <v>184</v>
      </c>
      <c r="AO105" t="s">
        <v>65</v>
      </c>
      <c r="AP105">
        <v>1206</v>
      </c>
      <c r="AQ105" t="s">
        <v>66</v>
      </c>
      <c r="AR105">
        <v>267571</v>
      </c>
      <c r="AU105" t="s">
        <v>57</v>
      </c>
      <c r="AV105" t="s">
        <v>68</v>
      </c>
      <c r="AX105" t="s">
        <v>57</v>
      </c>
      <c r="AY105">
        <v>631110</v>
      </c>
      <c r="AZ105">
        <v>1206.63111</v>
      </c>
      <c r="BA105" s="23" t="s">
        <v>14</v>
      </c>
    </row>
    <row r="106" spans="1:53" x14ac:dyDescent="0.25">
      <c r="A106" t="s">
        <v>134</v>
      </c>
      <c r="B106" t="s">
        <v>135</v>
      </c>
      <c r="C106">
        <v>22002499</v>
      </c>
      <c r="D106">
        <v>1206</v>
      </c>
      <c r="E106" s="11">
        <v>44774</v>
      </c>
      <c r="F106" t="s">
        <v>185</v>
      </c>
      <c r="G106" s="25">
        <v>2.4</v>
      </c>
      <c r="H106">
        <v>2.4</v>
      </c>
      <c r="I106" t="s">
        <v>56</v>
      </c>
      <c r="O106" t="s">
        <v>57</v>
      </c>
      <c r="Q106" t="s">
        <v>57</v>
      </c>
      <c r="R106" t="s">
        <v>137</v>
      </c>
      <c r="T106" t="s">
        <v>59</v>
      </c>
      <c r="U106" t="s">
        <v>60</v>
      </c>
      <c r="V106" t="s">
        <v>138</v>
      </c>
      <c r="W106" t="s">
        <v>139</v>
      </c>
      <c r="X106">
        <v>1926722</v>
      </c>
      <c r="Y106" s="11">
        <v>44776</v>
      </c>
      <c r="Z106" t="s">
        <v>57</v>
      </c>
      <c r="AA106">
        <v>8</v>
      </c>
      <c r="AB106" t="s">
        <v>57</v>
      </c>
      <c r="AD106" t="s">
        <v>57</v>
      </c>
      <c r="AE106" t="s">
        <v>57</v>
      </c>
      <c r="AF106" t="s">
        <v>57</v>
      </c>
      <c r="AG106">
        <v>20</v>
      </c>
      <c r="AH106" t="s">
        <v>57</v>
      </c>
      <c r="AL106" t="s">
        <v>57</v>
      </c>
      <c r="AM106" s="11">
        <v>44774</v>
      </c>
      <c r="AN106" t="s">
        <v>183</v>
      </c>
      <c r="AO106" t="s">
        <v>65</v>
      </c>
      <c r="AP106">
        <v>1206</v>
      </c>
      <c r="AQ106" t="s">
        <v>66</v>
      </c>
      <c r="AR106">
        <v>264575</v>
      </c>
      <c r="AU106" t="s">
        <v>57</v>
      </c>
      <c r="AV106" t="s">
        <v>68</v>
      </c>
      <c r="AX106" t="s">
        <v>57</v>
      </c>
      <c r="AY106">
        <v>631110</v>
      </c>
      <c r="AZ106">
        <v>1206.63111</v>
      </c>
      <c r="BA106" s="23" t="s">
        <v>14</v>
      </c>
    </row>
    <row r="107" spans="1:53" x14ac:dyDescent="0.25">
      <c r="A107" t="s">
        <v>134</v>
      </c>
      <c r="B107" t="s">
        <v>135</v>
      </c>
      <c r="C107">
        <v>22002587</v>
      </c>
      <c r="D107">
        <v>1206</v>
      </c>
      <c r="E107" s="11">
        <v>44788</v>
      </c>
      <c r="F107" t="s">
        <v>174</v>
      </c>
      <c r="G107" s="25">
        <v>2.44</v>
      </c>
      <c r="H107">
        <v>2.44</v>
      </c>
      <c r="I107" t="s">
        <v>56</v>
      </c>
      <c r="O107" t="s">
        <v>57</v>
      </c>
      <c r="Q107" t="s">
        <v>57</v>
      </c>
      <c r="R107" t="s">
        <v>137</v>
      </c>
      <c r="T107" t="s">
        <v>59</v>
      </c>
      <c r="U107" t="s">
        <v>60</v>
      </c>
      <c r="V107" t="s">
        <v>138</v>
      </c>
      <c r="W107" t="s">
        <v>139</v>
      </c>
      <c r="X107">
        <v>1933170</v>
      </c>
      <c r="Y107" s="11">
        <v>44789</v>
      </c>
      <c r="Z107" t="s">
        <v>57</v>
      </c>
      <c r="AA107">
        <v>10</v>
      </c>
      <c r="AB107" t="s">
        <v>57</v>
      </c>
      <c r="AD107" t="s">
        <v>57</v>
      </c>
      <c r="AE107" t="s">
        <v>57</v>
      </c>
      <c r="AF107" t="s">
        <v>57</v>
      </c>
      <c r="AG107">
        <v>1</v>
      </c>
      <c r="AH107" t="s">
        <v>57</v>
      </c>
      <c r="AL107" t="s">
        <v>57</v>
      </c>
      <c r="AM107" s="11">
        <v>44788</v>
      </c>
      <c r="AN107" t="s">
        <v>184</v>
      </c>
      <c r="AO107" t="s">
        <v>65</v>
      </c>
      <c r="AP107">
        <v>1206</v>
      </c>
      <c r="AQ107" t="s">
        <v>66</v>
      </c>
      <c r="AR107">
        <v>142798</v>
      </c>
      <c r="AU107" t="s">
        <v>57</v>
      </c>
      <c r="AV107" t="s">
        <v>68</v>
      </c>
      <c r="AX107" t="s">
        <v>57</v>
      </c>
      <c r="AY107">
        <v>631110</v>
      </c>
      <c r="AZ107">
        <v>1206.63111</v>
      </c>
      <c r="BA107" s="23" t="s">
        <v>14</v>
      </c>
    </row>
    <row r="108" spans="1:53" x14ac:dyDescent="0.25">
      <c r="A108" t="s">
        <v>134</v>
      </c>
      <c r="B108" t="s">
        <v>135</v>
      </c>
      <c r="C108">
        <v>22002553</v>
      </c>
      <c r="D108">
        <v>1206</v>
      </c>
      <c r="E108" s="11">
        <v>44783</v>
      </c>
      <c r="F108" t="s">
        <v>290</v>
      </c>
      <c r="G108" s="25">
        <v>2.52</v>
      </c>
      <c r="H108">
        <v>2.52</v>
      </c>
      <c r="I108" t="s">
        <v>56</v>
      </c>
      <c r="O108" t="s">
        <v>57</v>
      </c>
      <c r="Q108" t="s">
        <v>57</v>
      </c>
      <c r="R108" t="s">
        <v>137</v>
      </c>
      <c r="T108" t="s">
        <v>59</v>
      </c>
      <c r="U108" t="s">
        <v>60</v>
      </c>
      <c r="V108" t="s">
        <v>138</v>
      </c>
      <c r="W108" t="s">
        <v>139</v>
      </c>
      <c r="X108">
        <v>1930373</v>
      </c>
      <c r="Y108" s="11">
        <v>44784</v>
      </c>
      <c r="Z108" t="s">
        <v>57</v>
      </c>
      <c r="AA108">
        <v>8</v>
      </c>
      <c r="AB108" t="s">
        <v>57</v>
      </c>
      <c r="AD108" t="s">
        <v>57</v>
      </c>
      <c r="AE108" t="s">
        <v>57</v>
      </c>
      <c r="AF108" t="s">
        <v>57</v>
      </c>
      <c r="AG108">
        <v>10</v>
      </c>
      <c r="AH108" t="s">
        <v>57</v>
      </c>
      <c r="AL108" t="s">
        <v>57</v>
      </c>
      <c r="AM108" s="11">
        <v>44783</v>
      </c>
      <c r="AN108" t="s">
        <v>183</v>
      </c>
      <c r="AO108" t="s">
        <v>65</v>
      </c>
      <c r="AP108">
        <v>1206</v>
      </c>
      <c r="AQ108" t="s">
        <v>66</v>
      </c>
      <c r="AR108">
        <v>265894</v>
      </c>
      <c r="AU108" t="s">
        <v>57</v>
      </c>
      <c r="AV108" t="s">
        <v>68</v>
      </c>
      <c r="AX108" t="s">
        <v>57</v>
      </c>
      <c r="AY108">
        <v>631110</v>
      </c>
      <c r="AZ108">
        <v>1206.63111</v>
      </c>
      <c r="BA108" s="23" t="s">
        <v>14</v>
      </c>
    </row>
    <row r="109" spans="1:53" x14ac:dyDescent="0.25">
      <c r="A109" t="s">
        <v>134</v>
      </c>
      <c r="B109" t="s">
        <v>135</v>
      </c>
      <c r="C109">
        <v>22002566</v>
      </c>
      <c r="D109">
        <v>1206</v>
      </c>
      <c r="E109" s="11">
        <v>44784</v>
      </c>
      <c r="F109" t="s">
        <v>185</v>
      </c>
      <c r="G109" s="25">
        <v>2.52</v>
      </c>
      <c r="H109">
        <v>2.52</v>
      </c>
      <c r="I109" t="s">
        <v>56</v>
      </c>
      <c r="O109" t="s">
        <v>57</v>
      </c>
      <c r="Q109" t="s">
        <v>57</v>
      </c>
      <c r="R109" t="s">
        <v>137</v>
      </c>
      <c r="T109" t="s">
        <v>59</v>
      </c>
      <c r="U109" t="s">
        <v>60</v>
      </c>
      <c r="V109" t="s">
        <v>138</v>
      </c>
      <c r="W109" t="s">
        <v>139</v>
      </c>
      <c r="X109">
        <v>1930539</v>
      </c>
      <c r="Y109" s="11">
        <v>44785</v>
      </c>
      <c r="Z109" t="s">
        <v>57</v>
      </c>
      <c r="AA109">
        <v>12</v>
      </c>
      <c r="AB109" t="s">
        <v>57</v>
      </c>
      <c r="AD109" t="s">
        <v>57</v>
      </c>
      <c r="AE109" t="s">
        <v>57</v>
      </c>
      <c r="AF109" t="s">
        <v>57</v>
      </c>
      <c r="AG109">
        <v>10</v>
      </c>
      <c r="AH109" t="s">
        <v>57</v>
      </c>
      <c r="AL109" t="s">
        <v>57</v>
      </c>
      <c r="AM109" s="11">
        <v>44784</v>
      </c>
      <c r="AN109" t="s">
        <v>183</v>
      </c>
      <c r="AO109" t="s">
        <v>65</v>
      </c>
      <c r="AP109">
        <v>1206</v>
      </c>
      <c r="AQ109" t="s">
        <v>66</v>
      </c>
      <c r="AR109">
        <v>265894</v>
      </c>
      <c r="AU109" t="s">
        <v>57</v>
      </c>
      <c r="AV109" t="s">
        <v>68</v>
      </c>
      <c r="AX109" t="s">
        <v>57</v>
      </c>
      <c r="AY109">
        <v>631110</v>
      </c>
      <c r="AZ109">
        <v>1206.63111</v>
      </c>
      <c r="BA109" s="23" t="s">
        <v>14</v>
      </c>
    </row>
    <row r="110" spans="1:53" x14ac:dyDescent="0.25">
      <c r="A110" t="s">
        <v>134</v>
      </c>
      <c r="B110" t="s">
        <v>135</v>
      </c>
      <c r="C110">
        <v>22002566</v>
      </c>
      <c r="D110">
        <v>1206</v>
      </c>
      <c r="E110" s="11">
        <v>44784</v>
      </c>
      <c r="F110" t="s">
        <v>185</v>
      </c>
      <c r="G110" s="25">
        <v>2.52</v>
      </c>
      <c r="H110">
        <v>2.52</v>
      </c>
      <c r="I110" t="s">
        <v>56</v>
      </c>
      <c r="O110" t="s">
        <v>57</v>
      </c>
      <c r="Q110" t="s">
        <v>57</v>
      </c>
      <c r="R110" t="s">
        <v>137</v>
      </c>
      <c r="T110" t="s">
        <v>59</v>
      </c>
      <c r="U110" t="s">
        <v>60</v>
      </c>
      <c r="V110" t="s">
        <v>138</v>
      </c>
      <c r="W110" t="s">
        <v>139</v>
      </c>
      <c r="X110">
        <v>1930539</v>
      </c>
      <c r="Y110" s="11">
        <v>44785</v>
      </c>
      <c r="Z110" t="s">
        <v>57</v>
      </c>
      <c r="AA110">
        <v>14</v>
      </c>
      <c r="AB110" t="s">
        <v>57</v>
      </c>
      <c r="AD110" t="s">
        <v>57</v>
      </c>
      <c r="AE110" t="s">
        <v>57</v>
      </c>
      <c r="AF110" t="s">
        <v>57</v>
      </c>
      <c r="AG110">
        <v>10</v>
      </c>
      <c r="AH110" t="s">
        <v>57</v>
      </c>
      <c r="AL110" t="s">
        <v>57</v>
      </c>
      <c r="AM110" s="11">
        <v>44784</v>
      </c>
      <c r="AN110" t="s">
        <v>183</v>
      </c>
      <c r="AO110" t="s">
        <v>65</v>
      </c>
      <c r="AP110">
        <v>1206</v>
      </c>
      <c r="AQ110" t="s">
        <v>66</v>
      </c>
      <c r="AR110">
        <v>265891</v>
      </c>
      <c r="AU110" t="s">
        <v>57</v>
      </c>
      <c r="AV110" t="s">
        <v>68</v>
      </c>
      <c r="AX110" t="s">
        <v>57</v>
      </c>
      <c r="AY110">
        <v>631110</v>
      </c>
      <c r="AZ110">
        <v>1206.63111</v>
      </c>
      <c r="BA110" s="23" t="s">
        <v>14</v>
      </c>
    </row>
    <row r="111" spans="1:53" x14ac:dyDescent="0.25">
      <c r="A111" t="s">
        <v>134</v>
      </c>
      <c r="B111" t="s">
        <v>135</v>
      </c>
      <c r="C111">
        <v>22002593</v>
      </c>
      <c r="D111">
        <v>1206</v>
      </c>
      <c r="E111" s="11">
        <v>44789</v>
      </c>
      <c r="F111" t="s">
        <v>174</v>
      </c>
      <c r="G111" s="25">
        <v>2.57</v>
      </c>
      <c r="H111">
        <v>2.57</v>
      </c>
      <c r="I111" t="s">
        <v>56</v>
      </c>
      <c r="O111" t="s">
        <v>57</v>
      </c>
      <c r="Q111" t="s">
        <v>57</v>
      </c>
      <c r="R111" t="s">
        <v>137</v>
      </c>
      <c r="T111" t="s">
        <v>59</v>
      </c>
      <c r="U111" t="s">
        <v>60</v>
      </c>
      <c r="V111" t="s">
        <v>138</v>
      </c>
      <c r="W111" t="s">
        <v>139</v>
      </c>
      <c r="X111">
        <v>1933529</v>
      </c>
      <c r="Y111" s="11">
        <v>44791</v>
      </c>
      <c r="Z111" t="s">
        <v>57</v>
      </c>
      <c r="AA111">
        <v>4</v>
      </c>
      <c r="AB111" t="s">
        <v>57</v>
      </c>
      <c r="AD111" t="s">
        <v>57</v>
      </c>
      <c r="AE111" t="s">
        <v>57</v>
      </c>
      <c r="AF111" t="s">
        <v>57</v>
      </c>
      <c r="AG111">
        <v>1</v>
      </c>
      <c r="AH111" t="s">
        <v>57</v>
      </c>
      <c r="AL111" t="s">
        <v>57</v>
      </c>
      <c r="AM111" s="11">
        <v>44789</v>
      </c>
      <c r="AN111" t="s">
        <v>184</v>
      </c>
      <c r="AO111" t="s">
        <v>65</v>
      </c>
      <c r="AP111">
        <v>1206</v>
      </c>
      <c r="AQ111" t="s">
        <v>66</v>
      </c>
      <c r="AR111">
        <v>142791</v>
      </c>
      <c r="AU111" t="s">
        <v>57</v>
      </c>
      <c r="AV111" t="s">
        <v>68</v>
      </c>
      <c r="AX111" t="s">
        <v>57</v>
      </c>
      <c r="AY111">
        <v>631110</v>
      </c>
      <c r="AZ111">
        <v>1206.63111</v>
      </c>
      <c r="BA111" s="23" t="s">
        <v>14</v>
      </c>
    </row>
    <row r="112" spans="1:53" x14ac:dyDescent="0.25">
      <c r="A112" t="s">
        <v>134</v>
      </c>
      <c r="B112" t="s">
        <v>135</v>
      </c>
      <c r="C112">
        <v>22002550</v>
      </c>
      <c r="D112">
        <v>1206</v>
      </c>
      <c r="E112" s="11">
        <v>44783</v>
      </c>
      <c r="F112" t="s">
        <v>174</v>
      </c>
      <c r="G112" s="25">
        <v>2.76</v>
      </c>
      <c r="H112">
        <v>2.76</v>
      </c>
      <c r="I112" t="s">
        <v>56</v>
      </c>
      <c r="O112" t="s">
        <v>57</v>
      </c>
      <c r="Q112" t="s">
        <v>57</v>
      </c>
      <c r="R112" t="s">
        <v>137</v>
      </c>
      <c r="T112" t="s">
        <v>59</v>
      </c>
      <c r="U112" t="s">
        <v>60</v>
      </c>
      <c r="V112" t="s">
        <v>138</v>
      </c>
      <c r="W112" t="s">
        <v>139</v>
      </c>
      <c r="X112">
        <v>1930353</v>
      </c>
      <c r="Y112" s="11">
        <v>44783</v>
      </c>
      <c r="Z112" t="s">
        <v>57</v>
      </c>
      <c r="AA112">
        <v>6</v>
      </c>
      <c r="AB112" t="s">
        <v>57</v>
      </c>
      <c r="AD112" t="s">
        <v>57</v>
      </c>
      <c r="AE112" t="s">
        <v>57</v>
      </c>
      <c r="AF112" t="s">
        <v>57</v>
      </c>
      <c r="AG112">
        <v>2</v>
      </c>
      <c r="AH112" t="s">
        <v>57</v>
      </c>
      <c r="AL112" t="s">
        <v>57</v>
      </c>
      <c r="AM112" s="11">
        <v>44783</v>
      </c>
      <c r="AN112" t="s">
        <v>184</v>
      </c>
      <c r="AO112" t="s">
        <v>65</v>
      </c>
      <c r="AP112">
        <v>1206</v>
      </c>
      <c r="AQ112" t="s">
        <v>66</v>
      </c>
      <c r="AR112">
        <v>221862</v>
      </c>
      <c r="AU112" t="s">
        <v>57</v>
      </c>
      <c r="AV112" t="s">
        <v>68</v>
      </c>
      <c r="AX112" t="s">
        <v>57</v>
      </c>
      <c r="AY112">
        <v>631110</v>
      </c>
      <c r="AZ112">
        <v>1206.63111</v>
      </c>
      <c r="BA112" s="23" t="s">
        <v>14</v>
      </c>
    </row>
    <row r="113" spans="1:53" x14ac:dyDescent="0.25">
      <c r="A113" t="s">
        <v>134</v>
      </c>
      <c r="B113" t="s">
        <v>135</v>
      </c>
      <c r="C113">
        <v>22002593</v>
      </c>
      <c r="D113">
        <v>1206</v>
      </c>
      <c r="E113" s="11">
        <v>44789</v>
      </c>
      <c r="F113" t="s">
        <v>174</v>
      </c>
      <c r="G113" s="25">
        <v>2.83</v>
      </c>
      <c r="H113">
        <v>2.83</v>
      </c>
      <c r="I113" t="s">
        <v>56</v>
      </c>
      <c r="O113" t="s">
        <v>57</v>
      </c>
      <c r="Q113" t="s">
        <v>57</v>
      </c>
      <c r="R113" t="s">
        <v>137</v>
      </c>
      <c r="T113" t="s">
        <v>59</v>
      </c>
      <c r="U113" t="s">
        <v>60</v>
      </c>
      <c r="V113" t="s">
        <v>138</v>
      </c>
      <c r="W113" t="s">
        <v>139</v>
      </c>
      <c r="X113">
        <v>1933529</v>
      </c>
      <c r="Y113" s="11">
        <v>44791</v>
      </c>
      <c r="Z113" t="s">
        <v>57</v>
      </c>
      <c r="AA113">
        <v>2</v>
      </c>
      <c r="AB113" t="s">
        <v>57</v>
      </c>
      <c r="AD113" t="s">
        <v>57</v>
      </c>
      <c r="AE113" t="s">
        <v>57</v>
      </c>
      <c r="AF113" t="s">
        <v>57</v>
      </c>
      <c r="AG113">
        <v>1</v>
      </c>
      <c r="AH113" t="s">
        <v>57</v>
      </c>
      <c r="AL113" t="s">
        <v>57</v>
      </c>
      <c r="AM113" s="11">
        <v>44789</v>
      </c>
      <c r="AN113" t="s">
        <v>184</v>
      </c>
      <c r="AO113" t="s">
        <v>65</v>
      </c>
      <c r="AP113">
        <v>1206</v>
      </c>
      <c r="AQ113" t="s">
        <v>66</v>
      </c>
      <c r="AR113">
        <v>142790</v>
      </c>
      <c r="AU113" t="s">
        <v>57</v>
      </c>
      <c r="AV113" t="s">
        <v>68</v>
      </c>
      <c r="AX113" t="s">
        <v>57</v>
      </c>
      <c r="AY113">
        <v>631110</v>
      </c>
      <c r="AZ113">
        <v>1206.63111</v>
      </c>
      <c r="BA113" s="23" t="s">
        <v>14</v>
      </c>
    </row>
    <row r="114" spans="1:53" x14ac:dyDescent="0.25">
      <c r="A114" t="s">
        <v>134</v>
      </c>
      <c r="B114" t="s">
        <v>135</v>
      </c>
      <c r="C114">
        <v>22002583</v>
      </c>
      <c r="D114">
        <v>1206</v>
      </c>
      <c r="E114" s="11">
        <v>44788</v>
      </c>
      <c r="F114" t="s">
        <v>185</v>
      </c>
      <c r="G114" s="25">
        <v>3</v>
      </c>
      <c r="H114">
        <v>3</v>
      </c>
      <c r="I114" t="s">
        <v>56</v>
      </c>
      <c r="O114" t="s">
        <v>57</v>
      </c>
      <c r="Q114" t="s">
        <v>57</v>
      </c>
      <c r="R114" t="s">
        <v>137</v>
      </c>
      <c r="T114" t="s">
        <v>59</v>
      </c>
      <c r="U114" t="s">
        <v>60</v>
      </c>
      <c r="V114" t="s">
        <v>138</v>
      </c>
      <c r="W114" t="s">
        <v>139</v>
      </c>
      <c r="X114">
        <v>1933004</v>
      </c>
      <c r="Y114" s="11">
        <v>44789</v>
      </c>
      <c r="Z114" t="s">
        <v>57</v>
      </c>
      <c r="AA114">
        <v>4</v>
      </c>
      <c r="AB114" t="s">
        <v>57</v>
      </c>
      <c r="AD114" t="s">
        <v>57</v>
      </c>
      <c r="AE114" t="s">
        <v>57</v>
      </c>
      <c r="AF114" t="s">
        <v>57</v>
      </c>
      <c r="AG114">
        <v>20</v>
      </c>
      <c r="AH114" t="s">
        <v>57</v>
      </c>
      <c r="AL114" t="s">
        <v>57</v>
      </c>
      <c r="AM114" s="11">
        <v>44788</v>
      </c>
      <c r="AN114" t="s">
        <v>183</v>
      </c>
      <c r="AO114" t="s">
        <v>65</v>
      </c>
      <c r="AP114">
        <v>1206</v>
      </c>
      <c r="AQ114" t="s">
        <v>66</v>
      </c>
      <c r="AR114">
        <v>144854</v>
      </c>
      <c r="AU114" t="s">
        <v>57</v>
      </c>
      <c r="AV114" t="s">
        <v>68</v>
      </c>
      <c r="AX114" t="s">
        <v>57</v>
      </c>
      <c r="AY114">
        <v>631110</v>
      </c>
      <c r="AZ114">
        <v>1206.63111</v>
      </c>
      <c r="BA114" s="23" t="s">
        <v>14</v>
      </c>
    </row>
    <row r="115" spans="1:53" x14ac:dyDescent="0.25">
      <c r="A115" t="s">
        <v>134</v>
      </c>
      <c r="B115" t="s">
        <v>135</v>
      </c>
      <c r="C115">
        <v>22002610</v>
      </c>
      <c r="D115">
        <v>1206</v>
      </c>
      <c r="E115" s="11">
        <v>44792</v>
      </c>
      <c r="F115" t="s">
        <v>185</v>
      </c>
      <c r="G115" s="25">
        <v>3</v>
      </c>
      <c r="H115">
        <v>3</v>
      </c>
      <c r="I115" t="s">
        <v>56</v>
      </c>
      <c r="O115" t="s">
        <v>57</v>
      </c>
      <c r="Q115" t="s">
        <v>57</v>
      </c>
      <c r="R115" t="s">
        <v>137</v>
      </c>
      <c r="T115" t="s">
        <v>59</v>
      </c>
      <c r="U115" t="s">
        <v>60</v>
      </c>
      <c r="V115" t="s">
        <v>138</v>
      </c>
      <c r="W115" t="s">
        <v>139</v>
      </c>
      <c r="X115">
        <v>1934133</v>
      </c>
      <c r="Y115" s="11">
        <v>44795</v>
      </c>
      <c r="Z115" t="s">
        <v>57</v>
      </c>
      <c r="AA115">
        <v>4</v>
      </c>
      <c r="AB115" t="s">
        <v>57</v>
      </c>
      <c r="AD115" t="s">
        <v>57</v>
      </c>
      <c r="AE115" t="s">
        <v>57</v>
      </c>
      <c r="AF115" t="s">
        <v>57</v>
      </c>
      <c r="AG115">
        <v>20</v>
      </c>
      <c r="AH115" t="s">
        <v>57</v>
      </c>
      <c r="AL115" t="s">
        <v>57</v>
      </c>
      <c r="AM115" s="11">
        <v>44792</v>
      </c>
      <c r="AN115" t="s">
        <v>183</v>
      </c>
      <c r="AO115" t="s">
        <v>65</v>
      </c>
      <c r="AP115">
        <v>1206</v>
      </c>
      <c r="AQ115" t="s">
        <v>66</v>
      </c>
      <c r="AR115">
        <v>144854</v>
      </c>
      <c r="AU115" t="s">
        <v>57</v>
      </c>
      <c r="AV115" t="s">
        <v>68</v>
      </c>
      <c r="AX115" t="s">
        <v>57</v>
      </c>
      <c r="AY115">
        <v>631110</v>
      </c>
      <c r="AZ115">
        <v>1206.63111</v>
      </c>
      <c r="BA115" s="23" t="s">
        <v>14</v>
      </c>
    </row>
    <row r="116" spans="1:53" x14ac:dyDescent="0.25">
      <c r="A116" t="s">
        <v>134</v>
      </c>
      <c r="B116" t="s">
        <v>135</v>
      </c>
      <c r="C116">
        <v>22002484</v>
      </c>
      <c r="D116">
        <v>1206</v>
      </c>
      <c r="E116" s="11">
        <v>44774</v>
      </c>
      <c r="F116" t="s">
        <v>182</v>
      </c>
      <c r="G116" s="25">
        <v>3.06</v>
      </c>
      <c r="H116">
        <v>3.06</v>
      </c>
      <c r="I116" t="s">
        <v>56</v>
      </c>
      <c r="O116" t="s">
        <v>57</v>
      </c>
      <c r="Q116" t="s">
        <v>57</v>
      </c>
      <c r="R116" t="s">
        <v>137</v>
      </c>
      <c r="T116" t="s">
        <v>59</v>
      </c>
      <c r="U116" t="s">
        <v>60</v>
      </c>
      <c r="V116" t="s">
        <v>138</v>
      </c>
      <c r="W116" t="s">
        <v>139</v>
      </c>
      <c r="X116">
        <v>1925387</v>
      </c>
      <c r="Y116" s="11">
        <v>44774</v>
      </c>
      <c r="Z116" t="s">
        <v>57</v>
      </c>
      <c r="AA116">
        <v>4</v>
      </c>
      <c r="AB116" t="s">
        <v>57</v>
      </c>
      <c r="AD116" t="s">
        <v>57</v>
      </c>
      <c r="AE116" t="s">
        <v>57</v>
      </c>
      <c r="AF116" t="s">
        <v>57</v>
      </c>
      <c r="AG116">
        <v>20</v>
      </c>
      <c r="AH116" t="s">
        <v>57</v>
      </c>
      <c r="AL116" t="s">
        <v>57</v>
      </c>
      <c r="AM116" s="11">
        <v>44774</v>
      </c>
      <c r="AN116" t="s">
        <v>183</v>
      </c>
      <c r="AO116" t="s">
        <v>65</v>
      </c>
      <c r="AP116">
        <v>1206</v>
      </c>
      <c r="AQ116" t="s">
        <v>66</v>
      </c>
      <c r="AR116">
        <v>144854</v>
      </c>
      <c r="AU116" t="s">
        <v>57</v>
      </c>
      <c r="AV116" t="s">
        <v>68</v>
      </c>
      <c r="AX116" t="s">
        <v>57</v>
      </c>
      <c r="AY116">
        <v>631110</v>
      </c>
      <c r="AZ116">
        <v>1206.63111</v>
      </c>
      <c r="BA116" s="23" t="s">
        <v>14</v>
      </c>
    </row>
    <row r="117" spans="1:53" x14ac:dyDescent="0.25">
      <c r="A117" t="s">
        <v>134</v>
      </c>
      <c r="B117" t="s">
        <v>135</v>
      </c>
      <c r="C117">
        <v>22002500</v>
      </c>
      <c r="D117">
        <v>1206</v>
      </c>
      <c r="E117" s="11">
        <v>44775</v>
      </c>
      <c r="F117" t="s">
        <v>185</v>
      </c>
      <c r="G117" s="25">
        <v>3.06</v>
      </c>
      <c r="H117">
        <v>3.06</v>
      </c>
      <c r="I117" t="s">
        <v>56</v>
      </c>
      <c r="O117" t="s">
        <v>57</v>
      </c>
      <c r="Q117" t="s">
        <v>57</v>
      </c>
      <c r="R117" t="s">
        <v>137</v>
      </c>
      <c r="T117" t="s">
        <v>59</v>
      </c>
      <c r="U117" t="s">
        <v>60</v>
      </c>
      <c r="V117" t="s">
        <v>138</v>
      </c>
      <c r="W117" t="s">
        <v>139</v>
      </c>
      <c r="X117">
        <v>1926722</v>
      </c>
      <c r="Y117" s="11">
        <v>44776</v>
      </c>
      <c r="Z117" t="s">
        <v>57</v>
      </c>
      <c r="AA117">
        <v>4</v>
      </c>
      <c r="AB117" t="s">
        <v>57</v>
      </c>
      <c r="AD117" t="s">
        <v>57</v>
      </c>
      <c r="AE117" t="s">
        <v>57</v>
      </c>
      <c r="AF117" t="s">
        <v>57</v>
      </c>
      <c r="AG117">
        <v>20</v>
      </c>
      <c r="AH117" t="s">
        <v>57</v>
      </c>
      <c r="AL117" t="s">
        <v>57</v>
      </c>
      <c r="AM117" s="11">
        <v>44775</v>
      </c>
      <c r="AN117" t="s">
        <v>183</v>
      </c>
      <c r="AO117" t="s">
        <v>65</v>
      </c>
      <c r="AP117">
        <v>1206</v>
      </c>
      <c r="AQ117" t="s">
        <v>66</v>
      </c>
      <c r="AR117">
        <v>144854</v>
      </c>
      <c r="AU117" t="s">
        <v>57</v>
      </c>
      <c r="AV117" t="s">
        <v>68</v>
      </c>
      <c r="AX117" t="s">
        <v>57</v>
      </c>
      <c r="AY117">
        <v>631110</v>
      </c>
      <c r="AZ117">
        <v>1206.63111</v>
      </c>
      <c r="BA117" s="23" t="s">
        <v>14</v>
      </c>
    </row>
    <row r="118" spans="1:53" x14ac:dyDescent="0.25">
      <c r="A118" t="s">
        <v>134</v>
      </c>
      <c r="B118" t="s">
        <v>135</v>
      </c>
      <c r="C118">
        <v>22002505</v>
      </c>
      <c r="D118">
        <v>1206</v>
      </c>
      <c r="E118" s="11">
        <v>44776</v>
      </c>
      <c r="F118" t="s">
        <v>185</v>
      </c>
      <c r="G118" s="25">
        <v>3.06</v>
      </c>
      <c r="H118">
        <v>3.06</v>
      </c>
      <c r="I118" t="s">
        <v>56</v>
      </c>
      <c r="O118" t="s">
        <v>57</v>
      </c>
      <c r="Q118" t="s">
        <v>57</v>
      </c>
      <c r="R118" t="s">
        <v>137</v>
      </c>
      <c r="T118" t="s">
        <v>59</v>
      </c>
      <c r="U118" t="s">
        <v>60</v>
      </c>
      <c r="V118" t="s">
        <v>138</v>
      </c>
      <c r="W118" t="s">
        <v>139</v>
      </c>
      <c r="X118">
        <v>1927077</v>
      </c>
      <c r="Y118" s="11">
        <v>44777</v>
      </c>
      <c r="Z118" t="s">
        <v>57</v>
      </c>
      <c r="AA118">
        <v>4</v>
      </c>
      <c r="AB118" t="s">
        <v>57</v>
      </c>
      <c r="AD118" t="s">
        <v>57</v>
      </c>
      <c r="AE118" t="s">
        <v>57</v>
      </c>
      <c r="AF118" t="s">
        <v>57</v>
      </c>
      <c r="AG118">
        <v>20</v>
      </c>
      <c r="AH118" t="s">
        <v>57</v>
      </c>
      <c r="AL118" t="s">
        <v>57</v>
      </c>
      <c r="AM118" s="11">
        <v>44776</v>
      </c>
      <c r="AN118" t="s">
        <v>183</v>
      </c>
      <c r="AO118" t="s">
        <v>65</v>
      </c>
      <c r="AP118">
        <v>1206</v>
      </c>
      <c r="AQ118" t="s">
        <v>66</v>
      </c>
      <c r="AR118">
        <v>144854</v>
      </c>
      <c r="AU118" t="s">
        <v>57</v>
      </c>
      <c r="AV118" t="s">
        <v>68</v>
      </c>
      <c r="AX118" t="s">
        <v>57</v>
      </c>
      <c r="AY118">
        <v>631110</v>
      </c>
      <c r="AZ118">
        <v>1206.63111</v>
      </c>
      <c r="BA118" s="23" t="s">
        <v>14</v>
      </c>
    </row>
    <row r="119" spans="1:53" x14ac:dyDescent="0.25">
      <c r="A119" t="s">
        <v>134</v>
      </c>
      <c r="B119" t="s">
        <v>135</v>
      </c>
      <c r="C119">
        <v>22002579</v>
      </c>
      <c r="D119">
        <v>1206</v>
      </c>
      <c r="E119" s="11">
        <v>44785</v>
      </c>
      <c r="F119" t="s">
        <v>185</v>
      </c>
      <c r="G119" s="25">
        <v>3.06</v>
      </c>
      <c r="H119">
        <v>3.06</v>
      </c>
      <c r="I119" t="s">
        <v>56</v>
      </c>
      <c r="O119" t="s">
        <v>57</v>
      </c>
      <c r="Q119" t="s">
        <v>57</v>
      </c>
      <c r="R119" t="s">
        <v>137</v>
      </c>
      <c r="T119" t="s">
        <v>59</v>
      </c>
      <c r="U119" t="s">
        <v>60</v>
      </c>
      <c r="V119" t="s">
        <v>138</v>
      </c>
      <c r="W119" t="s">
        <v>139</v>
      </c>
      <c r="X119">
        <v>1930821</v>
      </c>
      <c r="Y119" s="11">
        <v>44788</v>
      </c>
      <c r="Z119" t="s">
        <v>57</v>
      </c>
      <c r="AA119">
        <v>4</v>
      </c>
      <c r="AB119" t="s">
        <v>57</v>
      </c>
      <c r="AD119" t="s">
        <v>57</v>
      </c>
      <c r="AE119" t="s">
        <v>57</v>
      </c>
      <c r="AF119" t="s">
        <v>57</v>
      </c>
      <c r="AG119">
        <v>20</v>
      </c>
      <c r="AH119" t="s">
        <v>57</v>
      </c>
      <c r="AL119" t="s">
        <v>57</v>
      </c>
      <c r="AM119" s="11">
        <v>44785</v>
      </c>
      <c r="AN119" t="s">
        <v>183</v>
      </c>
      <c r="AO119" t="s">
        <v>65</v>
      </c>
      <c r="AP119">
        <v>1206</v>
      </c>
      <c r="AQ119" t="s">
        <v>66</v>
      </c>
      <c r="AR119">
        <v>144854</v>
      </c>
      <c r="AU119" t="s">
        <v>57</v>
      </c>
      <c r="AV119" t="s">
        <v>68</v>
      </c>
      <c r="AX119" t="s">
        <v>57</v>
      </c>
      <c r="AY119">
        <v>631110</v>
      </c>
      <c r="AZ119">
        <v>1206.63111</v>
      </c>
      <c r="BA119" s="23" t="s">
        <v>14</v>
      </c>
    </row>
    <row r="120" spans="1:53" x14ac:dyDescent="0.25">
      <c r="A120" t="s">
        <v>134</v>
      </c>
      <c r="B120" t="s">
        <v>135</v>
      </c>
      <c r="C120">
        <v>22002602</v>
      </c>
      <c r="D120">
        <v>1206</v>
      </c>
      <c r="E120" s="11">
        <v>44791</v>
      </c>
      <c r="F120" t="s">
        <v>174</v>
      </c>
      <c r="G120" s="25">
        <v>3.06</v>
      </c>
      <c r="H120">
        <v>3.06</v>
      </c>
      <c r="I120" t="s">
        <v>56</v>
      </c>
      <c r="O120" t="s">
        <v>57</v>
      </c>
      <c r="Q120" t="s">
        <v>57</v>
      </c>
      <c r="R120" t="s">
        <v>137</v>
      </c>
      <c r="T120" t="s">
        <v>59</v>
      </c>
      <c r="U120" t="s">
        <v>60</v>
      </c>
      <c r="V120" t="s">
        <v>138</v>
      </c>
      <c r="W120" t="s">
        <v>139</v>
      </c>
      <c r="X120">
        <v>1934071</v>
      </c>
      <c r="Y120" s="11">
        <v>44792</v>
      </c>
      <c r="Z120" t="s">
        <v>57</v>
      </c>
      <c r="AA120">
        <v>10</v>
      </c>
      <c r="AB120" t="s">
        <v>57</v>
      </c>
      <c r="AD120" t="s">
        <v>57</v>
      </c>
      <c r="AE120" t="s">
        <v>57</v>
      </c>
      <c r="AF120" t="s">
        <v>57</v>
      </c>
      <c r="AG120">
        <v>1</v>
      </c>
      <c r="AH120" t="s">
        <v>57</v>
      </c>
      <c r="AL120" t="s">
        <v>57</v>
      </c>
      <c r="AM120" s="11">
        <v>44791</v>
      </c>
      <c r="AN120" t="s">
        <v>184</v>
      </c>
      <c r="AO120" t="s">
        <v>65</v>
      </c>
      <c r="AP120">
        <v>1206</v>
      </c>
      <c r="AQ120" t="s">
        <v>66</v>
      </c>
      <c r="AR120">
        <v>156040</v>
      </c>
      <c r="AU120" t="s">
        <v>57</v>
      </c>
      <c r="AV120" t="s">
        <v>68</v>
      </c>
      <c r="AX120" t="s">
        <v>57</v>
      </c>
      <c r="AY120">
        <v>631110</v>
      </c>
      <c r="AZ120">
        <v>1206.63111</v>
      </c>
      <c r="BA120" s="23" t="s">
        <v>14</v>
      </c>
    </row>
    <row r="121" spans="1:53" x14ac:dyDescent="0.25">
      <c r="A121" t="s">
        <v>134</v>
      </c>
      <c r="B121" t="s">
        <v>135</v>
      </c>
      <c r="C121">
        <v>22002605</v>
      </c>
      <c r="D121">
        <v>1206</v>
      </c>
      <c r="E121" s="11">
        <v>44792</v>
      </c>
      <c r="F121" t="s">
        <v>174</v>
      </c>
      <c r="G121" s="25">
        <v>3.06</v>
      </c>
      <c r="H121">
        <v>3.06</v>
      </c>
      <c r="I121" t="s">
        <v>56</v>
      </c>
      <c r="O121" t="s">
        <v>57</v>
      </c>
      <c r="Q121" t="s">
        <v>57</v>
      </c>
      <c r="R121" t="s">
        <v>137</v>
      </c>
      <c r="T121" t="s">
        <v>59</v>
      </c>
      <c r="U121" t="s">
        <v>60</v>
      </c>
      <c r="V121" t="s">
        <v>138</v>
      </c>
      <c r="W121" t="s">
        <v>139</v>
      </c>
      <c r="X121">
        <v>1934080</v>
      </c>
      <c r="Y121" s="11">
        <v>44792</v>
      </c>
      <c r="Z121" t="s">
        <v>57</v>
      </c>
      <c r="AA121">
        <v>12</v>
      </c>
      <c r="AB121" t="s">
        <v>57</v>
      </c>
      <c r="AD121" t="s">
        <v>57</v>
      </c>
      <c r="AE121" t="s">
        <v>57</v>
      </c>
      <c r="AF121" t="s">
        <v>57</v>
      </c>
      <c r="AG121">
        <v>1</v>
      </c>
      <c r="AH121" t="s">
        <v>57</v>
      </c>
      <c r="AL121" t="s">
        <v>57</v>
      </c>
      <c r="AM121" s="11">
        <v>44792</v>
      </c>
      <c r="AN121" t="s">
        <v>184</v>
      </c>
      <c r="AO121" t="s">
        <v>65</v>
      </c>
      <c r="AP121">
        <v>1206</v>
      </c>
      <c r="AQ121" t="s">
        <v>66</v>
      </c>
      <c r="AR121">
        <v>156040</v>
      </c>
      <c r="AU121" t="s">
        <v>57</v>
      </c>
      <c r="AV121" t="s">
        <v>68</v>
      </c>
      <c r="AX121" t="s">
        <v>57</v>
      </c>
      <c r="AY121">
        <v>631110</v>
      </c>
      <c r="AZ121">
        <v>1206.63111</v>
      </c>
      <c r="BA121" s="23" t="s">
        <v>14</v>
      </c>
    </row>
    <row r="122" spans="1:53" x14ac:dyDescent="0.25">
      <c r="A122" t="s">
        <v>134</v>
      </c>
      <c r="B122" t="s">
        <v>135</v>
      </c>
      <c r="C122">
        <v>22002605</v>
      </c>
      <c r="D122">
        <v>1206</v>
      </c>
      <c r="E122" s="11">
        <v>44792</v>
      </c>
      <c r="F122" t="s">
        <v>174</v>
      </c>
      <c r="G122" s="25">
        <v>3.06</v>
      </c>
      <c r="H122">
        <v>3.06</v>
      </c>
      <c r="I122" t="s">
        <v>56</v>
      </c>
      <c r="O122" t="s">
        <v>57</v>
      </c>
      <c r="Q122" t="s">
        <v>57</v>
      </c>
      <c r="R122" t="s">
        <v>137</v>
      </c>
      <c r="T122" t="s">
        <v>59</v>
      </c>
      <c r="U122" t="s">
        <v>60</v>
      </c>
      <c r="V122" t="s">
        <v>138</v>
      </c>
      <c r="W122" t="s">
        <v>139</v>
      </c>
      <c r="X122">
        <v>1934080</v>
      </c>
      <c r="Y122" s="11">
        <v>44792</v>
      </c>
      <c r="Z122" t="s">
        <v>57</v>
      </c>
      <c r="AA122">
        <v>2</v>
      </c>
      <c r="AB122" t="s">
        <v>57</v>
      </c>
      <c r="AD122" t="s">
        <v>57</v>
      </c>
      <c r="AE122" t="s">
        <v>57</v>
      </c>
      <c r="AF122" t="s">
        <v>57</v>
      </c>
      <c r="AG122">
        <v>1</v>
      </c>
      <c r="AH122" t="s">
        <v>57</v>
      </c>
      <c r="AL122" t="s">
        <v>57</v>
      </c>
      <c r="AM122" s="11">
        <v>44792</v>
      </c>
      <c r="AN122" t="s">
        <v>184</v>
      </c>
      <c r="AO122" t="s">
        <v>65</v>
      </c>
      <c r="AP122">
        <v>1206</v>
      </c>
      <c r="AQ122" t="s">
        <v>66</v>
      </c>
      <c r="AR122">
        <v>156040</v>
      </c>
      <c r="AU122" t="s">
        <v>57</v>
      </c>
      <c r="AV122" t="s">
        <v>68</v>
      </c>
      <c r="AX122" t="s">
        <v>57</v>
      </c>
      <c r="AY122">
        <v>631110</v>
      </c>
      <c r="AZ122">
        <v>1206.63111</v>
      </c>
      <c r="BA122" s="23" t="s">
        <v>14</v>
      </c>
    </row>
    <row r="123" spans="1:53" x14ac:dyDescent="0.25">
      <c r="A123" t="s">
        <v>134</v>
      </c>
      <c r="B123" t="s">
        <v>135</v>
      </c>
      <c r="C123">
        <v>22002546</v>
      </c>
      <c r="D123">
        <v>1206</v>
      </c>
      <c r="E123" s="11">
        <v>44782</v>
      </c>
      <c r="F123" t="s">
        <v>185</v>
      </c>
      <c r="G123" s="25">
        <v>3.07</v>
      </c>
      <c r="H123">
        <v>3.07</v>
      </c>
      <c r="I123" t="s">
        <v>56</v>
      </c>
      <c r="O123" t="s">
        <v>57</v>
      </c>
      <c r="Q123" t="s">
        <v>57</v>
      </c>
      <c r="R123" t="s">
        <v>137</v>
      </c>
      <c r="T123" t="s">
        <v>59</v>
      </c>
      <c r="U123" t="s">
        <v>60</v>
      </c>
      <c r="V123" t="s">
        <v>138</v>
      </c>
      <c r="W123" t="s">
        <v>139</v>
      </c>
      <c r="X123">
        <v>1930065</v>
      </c>
      <c r="Y123" s="11">
        <v>44783</v>
      </c>
      <c r="Z123" t="s">
        <v>57</v>
      </c>
      <c r="AA123">
        <v>6</v>
      </c>
      <c r="AB123" t="s">
        <v>57</v>
      </c>
      <c r="AD123" t="s">
        <v>57</v>
      </c>
      <c r="AE123" t="s">
        <v>57</v>
      </c>
      <c r="AF123" t="s">
        <v>57</v>
      </c>
      <c r="AG123">
        <v>20</v>
      </c>
      <c r="AH123" t="s">
        <v>57</v>
      </c>
      <c r="AL123" t="s">
        <v>57</v>
      </c>
      <c r="AM123" s="11">
        <v>44782</v>
      </c>
      <c r="AN123" t="s">
        <v>183</v>
      </c>
      <c r="AO123" t="s">
        <v>65</v>
      </c>
      <c r="AP123">
        <v>1206</v>
      </c>
      <c r="AQ123" t="s">
        <v>66</v>
      </c>
      <c r="AR123">
        <v>89712</v>
      </c>
      <c r="AU123" t="s">
        <v>57</v>
      </c>
      <c r="AV123" t="s">
        <v>68</v>
      </c>
      <c r="AX123" t="s">
        <v>57</v>
      </c>
      <c r="AY123">
        <v>631110</v>
      </c>
      <c r="AZ123">
        <v>1206.63111</v>
      </c>
      <c r="BA123" s="23" t="s">
        <v>14</v>
      </c>
    </row>
    <row r="124" spans="1:53" x14ac:dyDescent="0.25">
      <c r="A124" t="s">
        <v>134</v>
      </c>
      <c r="B124" t="s">
        <v>135</v>
      </c>
      <c r="C124">
        <v>22002553</v>
      </c>
      <c r="D124">
        <v>1206</v>
      </c>
      <c r="E124" s="11">
        <v>44783</v>
      </c>
      <c r="F124" t="s">
        <v>290</v>
      </c>
      <c r="G124" s="25">
        <v>3.07</v>
      </c>
      <c r="H124">
        <v>3.07</v>
      </c>
      <c r="I124" t="s">
        <v>56</v>
      </c>
      <c r="O124" t="s">
        <v>57</v>
      </c>
      <c r="Q124" t="s">
        <v>57</v>
      </c>
      <c r="R124" t="s">
        <v>137</v>
      </c>
      <c r="T124" t="s">
        <v>59</v>
      </c>
      <c r="U124" t="s">
        <v>60</v>
      </c>
      <c r="V124" t="s">
        <v>138</v>
      </c>
      <c r="W124" t="s">
        <v>139</v>
      </c>
      <c r="X124">
        <v>1930373</v>
      </c>
      <c r="Y124" s="11">
        <v>44784</v>
      </c>
      <c r="Z124" t="s">
        <v>57</v>
      </c>
      <c r="AA124">
        <v>6</v>
      </c>
      <c r="AB124" t="s">
        <v>57</v>
      </c>
      <c r="AD124" t="s">
        <v>57</v>
      </c>
      <c r="AE124" t="s">
        <v>57</v>
      </c>
      <c r="AF124" t="s">
        <v>57</v>
      </c>
      <c r="AG124">
        <v>20</v>
      </c>
      <c r="AH124" t="s">
        <v>57</v>
      </c>
      <c r="AL124" t="s">
        <v>57</v>
      </c>
      <c r="AM124" s="11">
        <v>44783</v>
      </c>
      <c r="AN124" t="s">
        <v>183</v>
      </c>
      <c r="AO124" t="s">
        <v>65</v>
      </c>
      <c r="AP124">
        <v>1206</v>
      </c>
      <c r="AQ124" t="s">
        <v>66</v>
      </c>
      <c r="AR124">
        <v>89712</v>
      </c>
      <c r="AU124" t="s">
        <v>57</v>
      </c>
      <c r="AV124" t="s">
        <v>68</v>
      </c>
      <c r="AX124" t="s">
        <v>57</v>
      </c>
      <c r="AY124">
        <v>631110</v>
      </c>
      <c r="AZ124">
        <v>1206.63111</v>
      </c>
      <c r="BA124" s="23" t="s">
        <v>14</v>
      </c>
    </row>
    <row r="125" spans="1:53" x14ac:dyDescent="0.25">
      <c r="A125" t="s">
        <v>134</v>
      </c>
      <c r="B125" t="s">
        <v>135</v>
      </c>
      <c r="C125">
        <v>22002579</v>
      </c>
      <c r="D125">
        <v>1206</v>
      </c>
      <c r="E125" s="11">
        <v>44785</v>
      </c>
      <c r="F125" t="s">
        <v>185</v>
      </c>
      <c r="G125" s="25">
        <v>3.07</v>
      </c>
      <c r="H125">
        <v>3.07</v>
      </c>
      <c r="I125" t="s">
        <v>56</v>
      </c>
      <c r="O125" t="s">
        <v>57</v>
      </c>
      <c r="Q125" t="s">
        <v>57</v>
      </c>
      <c r="R125" t="s">
        <v>137</v>
      </c>
      <c r="T125" t="s">
        <v>59</v>
      </c>
      <c r="U125" t="s">
        <v>60</v>
      </c>
      <c r="V125" t="s">
        <v>138</v>
      </c>
      <c r="W125" t="s">
        <v>139</v>
      </c>
      <c r="X125">
        <v>1930821</v>
      </c>
      <c r="Y125" s="11">
        <v>44788</v>
      </c>
      <c r="Z125" t="s">
        <v>57</v>
      </c>
      <c r="AA125">
        <v>6</v>
      </c>
      <c r="AB125" t="s">
        <v>57</v>
      </c>
      <c r="AD125" t="s">
        <v>57</v>
      </c>
      <c r="AE125" t="s">
        <v>57</v>
      </c>
      <c r="AF125" t="s">
        <v>57</v>
      </c>
      <c r="AG125">
        <v>20</v>
      </c>
      <c r="AH125" t="s">
        <v>57</v>
      </c>
      <c r="AL125" t="s">
        <v>57</v>
      </c>
      <c r="AM125" s="11">
        <v>44785</v>
      </c>
      <c r="AN125" t="s">
        <v>183</v>
      </c>
      <c r="AO125" t="s">
        <v>65</v>
      </c>
      <c r="AP125">
        <v>1206</v>
      </c>
      <c r="AQ125" t="s">
        <v>66</v>
      </c>
      <c r="AR125">
        <v>89712</v>
      </c>
      <c r="AU125" t="s">
        <v>57</v>
      </c>
      <c r="AV125" t="s">
        <v>68</v>
      </c>
      <c r="AX125" t="s">
        <v>57</v>
      </c>
      <c r="AY125">
        <v>631110</v>
      </c>
      <c r="AZ125">
        <v>1206.63111</v>
      </c>
      <c r="BA125" s="23" t="s">
        <v>14</v>
      </c>
    </row>
    <row r="126" spans="1:53" x14ac:dyDescent="0.25">
      <c r="A126" t="s">
        <v>134</v>
      </c>
      <c r="B126" t="s">
        <v>135</v>
      </c>
      <c r="C126">
        <v>22002583</v>
      </c>
      <c r="D126">
        <v>1206</v>
      </c>
      <c r="E126" s="11">
        <v>44788</v>
      </c>
      <c r="F126" t="s">
        <v>185</v>
      </c>
      <c r="G126" s="25">
        <v>3.07</v>
      </c>
      <c r="H126">
        <v>3.07</v>
      </c>
      <c r="I126" t="s">
        <v>56</v>
      </c>
      <c r="O126" t="s">
        <v>57</v>
      </c>
      <c r="Q126" t="s">
        <v>57</v>
      </c>
      <c r="R126" t="s">
        <v>137</v>
      </c>
      <c r="T126" t="s">
        <v>59</v>
      </c>
      <c r="U126" t="s">
        <v>60</v>
      </c>
      <c r="V126" t="s">
        <v>138</v>
      </c>
      <c r="W126" t="s">
        <v>139</v>
      </c>
      <c r="X126">
        <v>1933004</v>
      </c>
      <c r="Y126" s="11">
        <v>44789</v>
      </c>
      <c r="Z126" t="s">
        <v>57</v>
      </c>
      <c r="AA126">
        <v>6</v>
      </c>
      <c r="AB126" t="s">
        <v>57</v>
      </c>
      <c r="AD126" t="s">
        <v>57</v>
      </c>
      <c r="AE126" t="s">
        <v>57</v>
      </c>
      <c r="AF126" t="s">
        <v>57</v>
      </c>
      <c r="AG126">
        <v>20</v>
      </c>
      <c r="AH126" t="s">
        <v>57</v>
      </c>
      <c r="AL126" t="s">
        <v>57</v>
      </c>
      <c r="AM126" s="11">
        <v>44788</v>
      </c>
      <c r="AN126" t="s">
        <v>183</v>
      </c>
      <c r="AO126" t="s">
        <v>65</v>
      </c>
      <c r="AP126">
        <v>1206</v>
      </c>
      <c r="AQ126" t="s">
        <v>66</v>
      </c>
      <c r="AR126">
        <v>89712</v>
      </c>
      <c r="AU126" t="s">
        <v>57</v>
      </c>
      <c r="AV126" t="s">
        <v>68</v>
      </c>
      <c r="AX126" t="s">
        <v>57</v>
      </c>
      <c r="AY126">
        <v>631110</v>
      </c>
      <c r="AZ126">
        <v>1206.63111</v>
      </c>
      <c r="BA126" s="23" t="s">
        <v>14</v>
      </c>
    </row>
    <row r="127" spans="1:53" x14ac:dyDescent="0.25">
      <c r="A127" t="s">
        <v>134</v>
      </c>
      <c r="B127" t="s">
        <v>135</v>
      </c>
      <c r="C127">
        <v>22002597</v>
      </c>
      <c r="D127">
        <v>1206</v>
      </c>
      <c r="E127" s="11">
        <v>44789</v>
      </c>
      <c r="F127" t="s">
        <v>185</v>
      </c>
      <c r="G127" s="25">
        <v>3.08</v>
      </c>
      <c r="H127">
        <v>3.08</v>
      </c>
      <c r="I127" t="s">
        <v>56</v>
      </c>
      <c r="O127" t="s">
        <v>57</v>
      </c>
      <c r="Q127" t="s">
        <v>57</v>
      </c>
      <c r="R127" t="s">
        <v>137</v>
      </c>
      <c r="T127" t="s">
        <v>59</v>
      </c>
      <c r="U127" t="s">
        <v>60</v>
      </c>
      <c r="V127" t="s">
        <v>138</v>
      </c>
      <c r="W127" t="s">
        <v>139</v>
      </c>
      <c r="X127">
        <v>1933574</v>
      </c>
      <c r="Y127" s="11">
        <v>44792</v>
      </c>
      <c r="Z127" t="s">
        <v>57</v>
      </c>
      <c r="AA127">
        <v>6</v>
      </c>
      <c r="AB127" t="s">
        <v>57</v>
      </c>
      <c r="AD127" t="s">
        <v>57</v>
      </c>
      <c r="AE127" t="s">
        <v>57</v>
      </c>
      <c r="AF127" t="s">
        <v>57</v>
      </c>
      <c r="AG127">
        <v>20</v>
      </c>
      <c r="AH127" t="s">
        <v>57</v>
      </c>
      <c r="AL127" t="s">
        <v>57</v>
      </c>
      <c r="AM127" s="11">
        <v>44789</v>
      </c>
      <c r="AN127" t="s">
        <v>183</v>
      </c>
      <c r="AO127" t="s">
        <v>65</v>
      </c>
      <c r="AP127">
        <v>1206</v>
      </c>
      <c r="AQ127" t="s">
        <v>66</v>
      </c>
      <c r="AR127">
        <v>89712</v>
      </c>
      <c r="AU127" t="s">
        <v>57</v>
      </c>
      <c r="AV127" t="s">
        <v>68</v>
      </c>
      <c r="AX127" t="s">
        <v>57</v>
      </c>
      <c r="AY127">
        <v>631110</v>
      </c>
      <c r="AZ127">
        <v>1206.63111</v>
      </c>
      <c r="BA127" s="23" t="s">
        <v>14</v>
      </c>
    </row>
    <row r="128" spans="1:53" x14ac:dyDescent="0.25">
      <c r="A128" t="s">
        <v>134</v>
      </c>
      <c r="B128" t="s">
        <v>135</v>
      </c>
      <c r="C128">
        <v>22002491</v>
      </c>
      <c r="D128">
        <v>1206</v>
      </c>
      <c r="E128" s="11">
        <v>44774</v>
      </c>
      <c r="F128" t="s">
        <v>174</v>
      </c>
      <c r="G128" s="25">
        <v>3.09</v>
      </c>
      <c r="H128">
        <v>3.09</v>
      </c>
      <c r="I128" t="s">
        <v>56</v>
      </c>
      <c r="O128" t="s">
        <v>57</v>
      </c>
      <c r="Q128" t="s">
        <v>57</v>
      </c>
      <c r="R128" t="s">
        <v>137</v>
      </c>
      <c r="T128" t="s">
        <v>59</v>
      </c>
      <c r="U128" t="s">
        <v>60</v>
      </c>
      <c r="V128" t="s">
        <v>138</v>
      </c>
      <c r="W128" t="s">
        <v>139</v>
      </c>
      <c r="X128">
        <v>1926655</v>
      </c>
      <c r="Y128" s="11">
        <v>44775</v>
      </c>
      <c r="Z128" t="s">
        <v>57</v>
      </c>
      <c r="AA128">
        <v>8</v>
      </c>
      <c r="AB128" t="s">
        <v>57</v>
      </c>
      <c r="AD128" t="s">
        <v>57</v>
      </c>
      <c r="AE128" t="s">
        <v>57</v>
      </c>
      <c r="AF128" t="s">
        <v>57</v>
      </c>
      <c r="AG128">
        <v>1</v>
      </c>
      <c r="AH128" t="s">
        <v>57</v>
      </c>
      <c r="AL128" t="s">
        <v>57</v>
      </c>
      <c r="AM128" s="11">
        <v>44774</v>
      </c>
      <c r="AN128" t="s">
        <v>184</v>
      </c>
      <c r="AO128" t="s">
        <v>65</v>
      </c>
      <c r="AP128">
        <v>1206</v>
      </c>
      <c r="AQ128" t="s">
        <v>66</v>
      </c>
      <c r="AR128">
        <v>156040</v>
      </c>
      <c r="AU128" t="s">
        <v>57</v>
      </c>
      <c r="AV128" t="s">
        <v>68</v>
      </c>
      <c r="AX128" t="s">
        <v>57</v>
      </c>
      <c r="AY128">
        <v>631110</v>
      </c>
      <c r="AZ128">
        <v>1206.63111</v>
      </c>
      <c r="BA128" s="23" t="s">
        <v>14</v>
      </c>
    </row>
    <row r="129" spans="1:53" x14ac:dyDescent="0.25">
      <c r="A129" t="s">
        <v>134</v>
      </c>
      <c r="B129" t="s">
        <v>135</v>
      </c>
      <c r="C129">
        <v>22002506</v>
      </c>
      <c r="D129">
        <v>1206</v>
      </c>
      <c r="E129" s="11">
        <v>44776</v>
      </c>
      <c r="F129" t="s">
        <v>174</v>
      </c>
      <c r="G129" s="25">
        <v>3.09</v>
      </c>
      <c r="H129">
        <v>3.09</v>
      </c>
      <c r="I129" t="s">
        <v>56</v>
      </c>
      <c r="O129" t="s">
        <v>57</v>
      </c>
      <c r="Q129" t="s">
        <v>57</v>
      </c>
      <c r="R129" t="s">
        <v>137</v>
      </c>
      <c r="T129" t="s">
        <v>59</v>
      </c>
      <c r="U129" t="s">
        <v>60</v>
      </c>
      <c r="V129" t="s">
        <v>138</v>
      </c>
      <c r="W129" t="s">
        <v>139</v>
      </c>
      <c r="X129">
        <v>1927633</v>
      </c>
      <c r="Y129" s="11">
        <v>44777</v>
      </c>
      <c r="Z129" t="s">
        <v>57</v>
      </c>
      <c r="AA129">
        <v>2</v>
      </c>
      <c r="AB129" t="s">
        <v>57</v>
      </c>
      <c r="AD129" t="s">
        <v>57</v>
      </c>
      <c r="AE129" t="s">
        <v>57</v>
      </c>
      <c r="AF129" t="s">
        <v>57</v>
      </c>
      <c r="AG129">
        <v>1</v>
      </c>
      <c r="AH129" t="s">
        <v>57</v>
      </c>
      <c r="AL129" t="s">
        <v>57</v>
      </c>
      <c r="AM129" s="11">
        <v>44776</v>
      </c>
      <c r="AN129" t="s">
        <v>184</v>
      </c>
      <c r="AO129" t="s">
        <v>65</v>
      </c>
      <c r="AP129">
        <v>1206</v>
      </c>
      <c r="AQ129" t="s">
        <v>66</v>
      </c>
      <c r="AR129">
        <v>156040</v>
      </c>
      <c r="AU129" t="s">
        <v>57</v>
      </c>
      <c r="AV129" t="s">
        <v>68</v>
      </c>
      <c r="AX129" t="s">
        <v>57</v>
      </c>
      <c r="AY129">
        <v>631110</v>
      </c>
      <c r="AZ129">
        <v>1206.63111</v>
      </c>
      <c r="BA129" s="23" t="s">
        <v>14</v>
      </c>
    </row>
    <row r="130" spans="1:53" x14ac:dyDescent="0.25">
      <c r="A130" t="s">
        <v>134</v>
      </c>
      <c r="B130" t="s">
        <v>135</v>
      </c>
      <c r="C130">
        <v>22002484</v>
      </c>
      <c r="D130">
        <v>1206</v>
      </c>
      <c r="E130" s="11">
        <v>44774</v>
      </c>
      <c r="F130" t="s">
        <v>182</v>
      </c>
      <c r="G130" s="25">
        <v>3.13</v>
      </c>
      <c r="H130">
        <v>3.13</v>
      </c>
      <c r="I130" t="s">
        <v>56</v>
      </c>
      <c r="O130" t="s">
        <v>57</v>
      </c>
      <c r="Q130" t="s">
        <v>57</v>
      </c>
      <c r="R130" t="s">
        <v>137</v>
      </c>
      <c r="T130" t="s">
        <v>59</v>
      </c>
      <c r="U130" t="s">
        <v>60</v>
      </c>
      <c r="V130" t="s">
        <v>138</v>
      </c>
      <c r="W130" t="s">
        <v>139</v>
      </c>
      <c r="X130">
        <v>1925387</v>
      </c>
      <c r="Y130" s="11">
        <v>44774</v>
      </c>
      <c r="Z130" t="s">
        <v>57</v>
      </c>
      <c r="AA130">
        <v>6</v>
      </c>
      <c r="AB130" t="s">
        <v>57</v>
      </c>
      <c r="AD130" t="s">
        <v>57</v>
      </c>
      <c r="AE130" t="s">
        <v>57</v>
      </c>
      <c r="AF130" t="s">
        <v>57</v>
      </c>
      <c r="AG130">
        <v>20</v>
      </c>
      <c r="AH130" t="s">
        <v>57</v>
      </c>
      <c r="AL130" t="s">
        <v>57</v>
      </c>
      <c r="AM130" s="11">
        <v>44774</v>
      </c>
      <c r="AN130" t="s">
        <v>183</v>
      </c>
      <c r="AO130" t="s">
        <v>65</v>
      </c>
      <c r="AP130">
        <v>1206</v>
      </c>
      <c r="AQ130" t="s">
        <v>66</v>
      </c>
      <c r="AR130">
        <v>89712</v>
      </c>
      <c r="AU130" t="s">
        <v>57</v>
      </c>
      <c r="AV130" t="s">
        <v>68</v>
      </c>
      <c r="AX130" t="s">
        <v>57</v>
      </c>
      <c r="AY130">
        <v>631110</v>
      </c>
      <c r="AZ130">
        <v>1206.63111</v>
      </c>
      <c r="BA130" s="23" t="s">
        <v>14</v>
      </c>
    </row>
    <row r="131" spans="1:53" x14ac:dyDescent="0.25">
      <c r="A131" t="s">
        <v>134</v>
      </c>
      <c r="B131" t="s">
        <v>135</v>
      </c>
      <c r="C131">
        <v>22002502</v>
      </c>
      <c r="D131">
        <v>1206</v>
      </c>
      <c r="E131" s="11">
        <v>44776</v>
      </c>
      <c r="F131" t="s">
        <v>174</v>
      </c>
      <c r="G131" s="25">
        <v>3.43</v>
      </c>
      <c r="H131">
        <v>3.43</v>
      </c>
      <c r="I131" t="s">
        <v>56</v>
      </c>
      <c r="O131" t="s">
        <v>57</v>
      </c>
      <c r="Q131" t="s">
        <v>57</v>
      </c>
      <c r="R131" t="s">
        <v>137</v>
      </c>
      <c r="T131" t="s">
        <v>59</v>
      </c>
      <c r="U131" t="s">
        <v>60</v>
      </c>
      <c r="V131" t="s">
        <v>138</v>
      </c>
      <c r="W131" t="s">
        <v>139</v>
      </c>
      <c r="X131">
        <v>1927037</v>
      </c>
      <c r="Y131" s="11">
        <v>44776</v>
      </c>
      <c r="Z131" t="s">
        <v>57</v>
      </c>
      <c r="AA131">
        <v>6</v>
      </c>
      <c r="AB131" t="s">
        <v>57</v>
      </c>
      <c r="AD131" t="s">
        <v>57</v>
      </c>
      <c r="AE131" t="s">
        <v>57</v>
      </c>
      <c r="AF131" t="s">
        <v>57</v>
      </c>
      <c r="AG131">
        <v>1</v>
      </c>
      <c r="AH131" t="s">
        <v>57</v>
      </c>
      <c r="AL131" t="s">
        <v>57</v>
      </c>
      <c r="AM131" s="11">
        <v>44776</v>
      </c>
      <c r="AN131" t="s">
        <v>184</v>
      </c>
      <c r="AO131" t="s">
        <v>65</v>
      </c>
      <c r="AP131">
        <v>1206</v>
      </c>
      <c r="AQ131" t="s">
        <v>66</v>
      </c>
      <c r="AR131">
        <v>206793</v>
      </c>
      <c r="AU131" t="s">
        <v>57</v>
      </c>
      <c r="AV131" t="s">
        <v>68</v>
      </c>
      <c r="AX131" t="s">
        <v>57</v>
      </c>
      <c r="AY131">
        <v>631110</v>
      </c>
      <c r="AZ131">
        <v>1206.63111</v>
      </c>
      <c r="BA131" s="23" t="s">
        <v>14</v>
      </c>
    </row>
    <row r="132" spans="1:53" x14ac:dyDescent="0.25">
      <c r="A132" t="s">
        <v>134</v>
      </c>
      <c r="B132" t="s">
        <v>135</v>
      </c>
      <c r="C132">
        <v>22002527</v>
      </c>
      <c r="D132">
        <v>1206</v>
      </c>
      <c r="E132" s="11">
        <v>44778</v>
      </c>
      <c r="F132" t="s">
        <v>174</v>
      </c>
      <c r="G132" s="25">
        <v>3.43</v>
      </c>
      <c r="H132">
        <v>3.43</v>
      </c>
      <c r="I132" t="s">
        <v>56</v>
      </c>
      <c r="O132" t="s">
        <v>57</v>
      </c>
      <c r="Q132" t="s">
        <v>57</v>
      </c>
      <c r="R132" t="s">
        <v>137</v>
      </c>
      <c r="T132" t="s">
        <v>59</v>
      </c>
      <c r="U132" t="s">
        <v>60</v>
      </c>
      <c r="V132" t="s">
        <v>138</v>
      </c>
      <c r="W132" t="s">
        <v>139</v>
      </c>
      <c r="X132">
        <v>1928766</v>
      </c>
      <c r="Y132" s="11">
        <v>44778</v>
      </c>
      <c r="Z132" t="s">
        <v>57</v>
      </c>
      <c r="AA132">
        <v>4</v>
      </c>
      <c r="AB132" t="s">
        <v>57</v>
      </c>
      <c r="AD132" t="s">
        <v>57</v>
      </c>
      <c r="AE132" t="s">
        <v>57</v>
      </c>
      <c r="AF132" t="s">
        <v>57</v>
      </c>
      <c r="AG132">
        <v>1</v>
      </c>
      <c r="AH132" t="s">
        <v>57</v>
      </c>
      <c r="AL132" t="s">
        <v>57</v>
      </c>
      <c r="AM132" s="11">
        <v>44778</v>
      </c>
      <c r="AN132" t="s">
        <v>184</v>
      </c>
      <c r="AO132" t="s">
        <v>65</v>
      </c>
      <c r="AP132">
        <v>1206</v>
      </c>
      <c r="AQ132" t="s">
        <v>66</v>
      </c>
      <c r="AR132">
        <v>206793</v>
      </c>
      <c r="AU132" t="s">
        <v>57</v>
      </c>
      <c r="AV132" t="s">
        <v>68</v>
      </c>
      <c r="AX132" t="s">
        <v>57</v>
      </c>
      <c r="AY132">
        <v>631110</v>
      </c>
      <c r="AZ132">
        <v>1206.63111</v>
      </c>
      <c r="BA132" s="23" t="s">
        <v>14</v>
      </c>
    </row>
    <row r="133" spans="1:53" x14ac:dyDescent="0.25">
      <c r="A133" t="s">
        <v>134</v>
      </c>
      <c r="B133" t="s">
        <v>135</v>
      </c>
      <c r="C133">
        <v>22002539</v>
      </c>
      <c r="D133">
        <v>1206</v>
      </c>
      <c r="E133" s="11">
        <v>44781</v>
      </c>
      <c r="F133" t="s">
        <v>174</v>
      </c>
      <c r="G133" s="25">
        <v>3.43</v>
      </c>
      <c r="H133">
        <v>3.43</v>
      </c>
      <c r="I133" t="s">
        <v>56</v>
      </c>
      <c r="O133" t="s">
        <v>57</v>
      </c>
      <c r="Q133" t="s">
        <v>57</v>
      </c>
      <c r="R133" t="s">
        <v>137</v>
      </c>
      <c r="T133" t="s">
        <v>59</v>
      </c>
      <c r="U133" t="s">
        <v>60</v>
      </c>
      <c r="V133" t="s">
        <v>138</v>
      </c>
      <c r="W133" t="s">
        <v>139</v>
      </c>
      <c r="X133">
        <v>1929247</v>
      </c>
      <c r="Y133" s="11">
        <v>44782</v>
      </c>
      <c r="Z133" t="s">
        <v>57</v>
      </c>
      <c r="AA133">
        <v>6</v>
      </c>
      <c r="AB133" t="s">
        <v>57</v>
      </c>
      <c r="AD133" t="s">
        <v>57</v>
      </c>
      <c r="AE133" t="s">
        <v>57</v>
      </c>
      <c r="AF133" t="s">
        <v>57</v>
      </c>
      <c r="AG133">
        <v>1</v>
      </c>
      <c r="AH133" t="s">
        <v>57</v>
      </c>
      <c r="AL133" t="s">
        <v>57</v>
      </c>
      <c r="AM133" s="11">
        <v>44781</v>
      </c>
      <c r="AN133" t="s">
        <v>184</v>
      </c>
      <c r="AO133" t="s">
        <v>65</v>
      </c>
      <c r="AP133">
        <v>1206</v>
      </c>
      <c r="AQ133" t="s">
        <v>66</v>
      </c>
      <c r="AR133">
        <v>206793</v>
      </c>
      <c r="AU133" t="s">
        <v>57</v>
      </c>
      <c r="AV133" t="s">
        <v>68</v>
      </c>
      <c r="AX133" t="s">
        <v>57</v>
      </c>
      <c r="AY133">
        <v>631110</v>
      </c>
      <c r="AZ133">
        <v>1206.63111</v>
      </c>
      <c r="BA133" s="23" t="s">
        <v>14</v>
      </c>
    </row>
    <row r="134" spans="1:53" x14ac:dyDescent="0.25">
      <c r="A134" t="s">
        <v>134</v>
      </c>
      <c r="B134" t="s">
        <v>135</v>
      </c>
      <c r="C134">
        <v>22002486</v>
      </c>
      <c r="D134">
        <v>1206</v>
      </c>
      <c r="E134" s="11">
        <v>44774</v>
      </c>
      <c r="F134" t="s">
        <v>174</v>
      </c>
      <c r="G134" s="25">
        <v>3.64</v>
      </c>
      <c r="H134">
        <v>3.64</v>
      </c>
      <c r="I134" t="s">
        <v>56</v>
      </c>
      <c r="O134" t="s">
        <v>57</v>
      </c>
      <c r="Q134" t="s">
        <v>57</v>
      </c>
      <c r="R134" t="s">
        <v>137</v>
      </c>
      <c r="T134" t="s">
        <v>59</v>
      </c>
      <c r="U134" t="s">
        <v>60</v>
      </c>
      <c r="V134" t="s">
        <v>138</v>
      </c>
      <c r="W134" t="s">
        <v>139</v>
      </c>
      <c r="X134">
        <v>1925600</v>
      </c>
      <c r="Y134" s="11">
        <v>44774</v>
      </c>
      <c r="Z134" t="s">
        <v>57</v>
      </c>
      <c r="AA134">
        <v>6</v>
      </c>
      <c r="AB134" t="s">
        <v>57</v>
      </c>
      <c r="AD134" t="s">
        <v>57</v>
      </c>
      <c r="AE134" t="s">
        <v>57</v>
      </c>
      <c r="AF134" t="s">
        <v>57</v>
      </c>
      <c r="AG134">
        <v>1</v>
      </c>
      <c r="AH134" t="s">
        <v>57</v>
      </c>
      <c r="AL134" t="s">
        <v>57</v>
      </c>
      <c r="AM134" s="11">
        <v>44774</v>
      </c>
      <c r="AN134" t="s">
        <v>184</v>
      </c>
      <c r="AO134" t="s">
        <v>65</v>
      </c>
      <c r="AP134">
        <v>1206</v>
      </c>
      <c r="AQ134" t="s">
        <v>66</v>
      </c>
      <c r="AR134">
        <v>230640</v>
      </c>
      <c r="AU134" t="s">
        <v>57</v>
      </c>
      <c r="AV134" t="s">
        <v>68</v>
      </c>
      <c r="AX134" t="s">
        <v>57</v>
      </c>
      <c r="AY134">
        <v>631110</v>
      </c>
      <c r="AZ134">
        <v>1206.63111</v>
      </c>
      <c r="BA134" s="23" t="s">
        <v>14</v>
      </c>
    </row>
    <row r="135" spans="1:53" x14ac:dyDescent="0.25">
      <c r="A135" t="s">
        <v>134</v>
      </c>
      <c r="B135" t="s">
        <v>135</v>
      </c>
      <c r="C135">
        <v>22002593</v>
      </c>
      <c r="D135">
        <v>1206</v>
      </c>
      <c r="E135" s="11">
        <v>44789</v>
      </c>
      <c r="F135" t="s">
        <v>174</v>
      </c>
      <c r="G135" s="25">
        <v>3.67</v>
      </c>
      <c r="H135">
        <v>3.67</v>
      </c>
      <c r="I135" t="s">
        <v>56</v>
      </c>
      <c r="O135" t="s">
        <v>57</v>
      </c>
      <c r="Q135" t="s">
        <v>57</v>
      </c>
      <c r="R135" t="s">
        <v>137</v>
      </c>
      <c r="T135" t="s">
        <v>59</v>
      </c>
      <c r="U135" t="s">
        <v>60</v>
      </c>
      <c r="V135" t="s">
        <v>138</v>
      </c>
      <c r="W135" t="s">
        <v>139</v>
      </c>
      <c r="X135">
        <v>1933529</v>
      </c>
      <c r="Y135" s="11">
        <v>44791</v>
      </c>
      <c r="Z135" t="s">
        <v>57</v>
      </c>
      <c r="AA135">
        <v>6</v>
      </c>
      <c r="AB135" t="s">
        <v>57</v>
      </c>
      <c r="AD135" t="s">
        <v>57</v>
      </c>
      <c r="AE135" t="s">
        <v>57</v>
      </c>
      <c r="AF135" t="s">
        <v>57</v>
      </c>
      <c r="AG135">
        <v>1</v>
      </c>
      <c r="AH135" t="s">
        <v>57</v>
      </c>
      <c r="AL135" t="s">
        <v>57</v>
      </c>
      <c r="AM135" s="11">
        <v>44789</v>
      </c>
      <c r="AN135" t="s">
        <v>184</v>
      </c>
      <c r="AO135" t="s">
        <v>65</v>
      </c>
      <c r="AP135">
        <v>1206</v>
      </c>
      <c r="AQ135" t="s">
        <v>66</v>
      </c>
      <c r="AR135">
        <v>142788</v>
      </c>
      <c r="AU135" t="s">
        <v>57</v>
      </c>
      <c r="AV135" t="s">
        <v>68</v>
      </c>
      <c r="AX135" t="s">
        <v>57</v>
      </c>
      <c r="AY135">
        <v>631110</v>
      </c>
      <c r="AZ135">
        <v>1206.63111</v>
      </c>
      <c r="BA135" s="23" t="s">
        <v>14</v>
      </c>
    </row>
    <row r="136" spans="1:53" x14ac:dyDescent="0.25">
      <c r="A136" t="s">
        <v>134</v>
      </c>
      <c r="B136" t="s">
        <v>135</v>
      </c>
      <c r="C136">
        <v>22002491</v>
      </c>
      <c r="D136">
        <v>1206</v>
      </c>
      <c r="E136" s="11">
        <v>44774</v>
      </c>
      <c r="F136" t="s">
        <v>174</v>
      </c>
      <c r="G136" s="25">
        <v>3.68</v>
      </c>
      <c r="H136">
        <v>3.68</v>
      </c>
      <c r="I136" t="s">
        <v>56</v>
      </c>
      <c r="O136" t="s">
        <v>57</v>
      </c>
      <c r="Q136" t="s">
        <v>57</v>
      </c>
      <c r="R136" t="s">
        <v>137</v>
      </c>
      <c r="T136" t="s">
        <v>59</v>
      </c>
      <c r="U136" t="s">
        <v>60</v>
      </c>
      <c r="V136" t="s">
        <v>138</v>
      </c>
      <c r="W136" t="s">
        <v>139</v>
      </c>
      <c r="X136">
        <v>1926655</v>
      </c>
      <c r="Y136" s="11">
        <v>44775</v>
      </c>
      <c r="Z136" t="s">
        <v>57</v>
      </c>
      <c r="AA136">
        <v>6</v>
      </c>
      <c r="AB136" t="s">
        <v>57</v>
      </c>
      <c r="AD136" t="s">
        <v>57</v>
      </c>
      <c r="AE136" t="s">
        <v>57</v>
      </c>
      <c r="AF136" t="s">
        <v>57</v>
      </c>
      <c r="AG136">
        <v>1</v>
      </c>
      <c r="AH136" t="s">
        <v>57</v>
      </c>
      <c r="AL136" t="s">
        <v>57</v>
      </c>
      <c r="AM136" s="11">
        <v>44774</v>
      </c>
      <c r="AN136" t="s">
        <v>184</v>
      </c>
      <c r="AO136" t="s">
        <v>65</v>
      </c>
      <c r="AP136">
        <v>1206</v>
      </c>
      <c r="AQ136" t="s">
        <v>66</v>
      </c>
      <c r="AR136">
        <v>166051</v>
      </c>
      <c r="AU136" t="s">
        <v>57</v>
      </c>
      <c r="AV136" t="s">
        <v>68</v>
      </c>
      <c r="AX136" t="s">
        <v>57</v>
      </c>
      <c r="AY136">
        <v>631110</v>
      </c>
      <c r="AZ136">
        <v>1206.63111</v>
      </c>
      <c r="BA136" s="23" t="s">
        <v>14</v>
      </c>
    </row>
    <row r="137" spans="1:53" x14ac:dyDescent="0.25">
      <c r="A137" t="s">
        <v>134</v>
      </c>
      <c r="B137" t="s">
        <v>135</v>
      </c>
      <c r="C137">
        <v>22002539</v>
      </c>
      <c r="D137">
        <v>1206</v>
      </c>
      <c r="E137" s="11">
        <v>44781</v>
      </c>
      <c r="F137" t="s">
        <v>174</v>
      </c>
      <c r="G137" s="25">
        <v>3.74</v>
      </c>
      <c r="H137">
        <v>3.74</v>
      </c>
      <c r="I137" t="s">
        <v>56</v>
      </c>
      <c r="O137" t="s">
        <v>57</v>
      </c>
      <c r="Q137" t="s">
        <v>57</v>
      </c>
      <c r="R137" t="s">
        <v>137</v>
      </c>
      <c r="T137" t="s">
        <v>59</v>
      </c>
      <c r="U137" t="s">
        <v>60</v>
      </c>
      <c r="V137" t="s">
        <v>138</v>
      </c>
      <c r="W137" t="s">
        <v>139</v>
      </c>
      <c r="X137">
        <v>1929247</v>
      </c>
      <c r="Y137" s="11">
        <v>44782</v>
      </c>
      <c r="Z137" t="s">
        <v>57</v>
      </c>
      <c r="AA137">
        <v>8</v>
      </c>
      <c r="AB137" t="s">
        <v>57</v>
      </c>
      <c r="AD137" t="s">
        <v>57</v>
      </c>
      <c r="AE137" t="s">
        <v>57</v>
      </c>
      <c r="AF137" t="s">
        <v>57</v>
      </c>
      <c r="AG137">
        <v>1</v>
      </c>
      <c r="AH137" t="s">
        <v>57</v>
      </c>
      <c r="AL137" t="s">
        <v>57</v>
      </c>
      <c r="AM137" s="11">
        <v>44781</v>
      </c>
      <c r="AN137" t="s">
        <v>184</v>
      </c>
      <c r="AO137" t="s">
        <v>65</v>
      </c>
      <c r="AP137">
        <v>1206</v>
      </c>
      <c r="AQ137" t="s">
        <v>66</v>
      </c>
      <c r="AR137">
        <v>209528</v>
      </c>
      <c r="AU137" t="s">
        <v>57</v>
      </c>
      <c r="AV137" t="s">
        <v>68</v>
      </c>
      <c r="AX137" t="s">
        <v>57</v>
      </c>
      <c r="AY137">
        <v>631110</v>
      </c>
      <c r="AZ137">
        <v>1206.63111</v>
      </c>
      <c r="BA137" s="23" t="s">
        <v>14</v>
      </c>
    </row>
    <row r="138" spans="1:53" x14ac:dyDescent="0.25">
      <c r="A138" t="s">
        <v>134</v>
      </c>
      <c r="B138" t="s">
        <v>135</v>
      </c>
      <c r="C138">
        <v>22002486</v>
      </c>
      <c r="D138">
        <v>1206</v>
      </c>
      <c r="E138" s="11">
        <v>44774</v>
      </c>
      <c r="F138" t="s">
        <v>174</v>
      </c>
      <c r="G138" s="25">
        <v>3.77</v>
      </c>
      <c r="H138">
        <v>3.77</v>
      </c>
      <c r="I138" t="s">
        <v>56</v>
      </c>
      <c r="O138" t="s">
        <v>57</v>
      </c>
      <c r="Q138" t="s">
        <v>57</v>
      </c>
      <c r="R138" t="s">
        <v>137</v>
      </c>
      <c r="T138" t="s">
        <v>59</v>
      </c>
      <c r="U138" t="s">
        <v>60</v>
      </c>
      <c r="V138" t="s">
        <v>138</v>
      </c>
      <c r="W138" t="s">
        <v>139</v>
      </c>
      <c r="X138">
        <v>1925600</v>
      </c>
      <c r="Y138" s="11">
        <v>44774</v>
      </c>
      <c r="Z138" t="s">
        <v>57</v>
      </c>
      <c r="AA138">
        <v>8</v>
      </c>
      <c r="AB138" t="s">
        <v>57</v>
      </c>
      <c r="AD138" t="s">
        <v>57</v>
      </c>
      <c r="AE138" t="s">
        <v>57</v>
      </c>
      <c r="AF138" t="s">
        <v>57</v>
      </c>
      <c r="AG138">
        <v>1</v>
      </c>
      <c r="AH138" t="s">
        <v>57</v>
      </c>
      <c r="AL138" t="s">
        <v>57</v>
      </c>
      <c r="AM138" s="11">
        <v>44774</v>
      </c>
      <c r="AN138" t="s">
        <v>184</v>
      </c>
      <c r="AO138" t="s">
        <v>65</v>
      </c>
      <c r="AP138">
        <v>1206</v>
      </c>
      <c r="AQ138" t="s">
        <v>66</v>
      </c>
      <c r="AR138">
        <v>271731</v>
      </c>
      <c r="AU138" t="s">
        <v>57</v>
      </c>
      <c r="AV138" t="s">
        <v>68</v>
      </c>
      <c r="AX138" t="s">
        <v>57</v>
      </c>
      <c r="AY138">
        <v>631110</v>
      </c>
      <c r="AZ138">
        <v>1206.63111</v>
      </c>
      <c r="BA138" s="23" t="s">
        <v>14</v>
      </c>
    </row>
    <row r="139" spans="1:53" x14ac:dyDescent="0.25">
      <c r="A139" t="s">
        <v>134</v>
      </c>
      <c r="B139" t="s">
        <v>135</v>
      </c>
      <c r="C139">
        <v>22002491</v>
      </c>
      <c r="D139">
        <v>1206</v>
      </c>
      <c r="E139" s="11">
        <v>44774</v>
      </c>
      <c r="F139" t="s">
        <v>174</v>
      </c>
      <c r="G139" s="25">
        <v>3.77</v>
      </c>
      <c r="H139">
        <v>3.77</v>
      </c>
      <c r="I139" t="s">
        <v>56</v>
      </c>
      <c r="O139" t="s">
        <v>57</v>
      </c>
      <c r="Q139" t="s">
        <v>57</v>
      </c>
      <c r="R139" t="s">
        <v>137</v>
      </c>
      <c r="T139" t="s">
        <v>59</v>
      </c>
      <c r="U139" t="s">
        <v>60</v>
      </c>
      <c r="V139" t="s">
        <v>138</v>
      </c>
      <c r="W139" t="s">
        <v>139</v>
      </c>
      <c r="X139">
        <v>1926655</v>
      </c>
      <c r="Y139" s="11">
        <v>44775</v>
      </c>
      <c r="Z139" t="s">
        <v>57</v>
      </c>
      <c r="AA139">
        <v>2</v>
      </c>
      <c r="AB139" t="s">
        <v>57</v>
      </c>
      <c r="AD139" t="s">
        <v>57</v>
      </c>
      <c r="AE139" t="s">
        <v>57</v>
      </c>
      <c r="AF139" t="s">
        <v>57</v>
      </c>
      <c r="AG139">
        <v>1</v>
      </c>
      <c r="AH139" t="s">
        <v>57</v>
      </c>
      <c r="AL139" t="s">
        <v>57</v>
      </c>
      <c r="AM139" s="11">
        <v>44774</v>
      </c>
      <c r="AN139" t="s">
        <v>184</v>
      </c>
      <c r="AO139" t="s">
        <v>65</v>
      </c>
      <c r="AP139">
        <v>1206</v>
      </c>
      <c r="AQ139" t="s">
        <v>66</v>
      </c>
      <c r="AR139">
        <v>156041</v>
      </c>
      <c r="AU139" t="s">
        <v>57</v>
      </c>
      <c r="AV139" t="s">
        <v>68</v>
      </c>
      <c r="AX139" t="s">
        <v>57</v>
      </c>
      <c r="AY139">
        <v>631110</v>
      </c>
      <c r="AZ139">
        <v>1206.63111</v>
      </c>
      <c r="BA139" s="23" t="s">
        <v>14</v>
      </c>
    </row>
    <row r="140" spans="1:53" x14ac:dyDescent="0.25">
      <c r="A140" t="s">
        <v>134</v>
      </c>
      <c r="B140" t="s">
        <v>135</v>
      </c>
      <c r="C140">
        <v>22002539</v>
      </c>
      <c r="D140">
        <v>1206</v>
      </c>
      <c r="E140" s="11">
        <v>44781</v>
      </c>
      <c r="F140" t="s">
        <v>174</v>
      </c>
      <c r="G140" s="25">
        <v>3.77</v>
      </c>
      <c r="H140">
        <v>3.77</v>
      </c>
      <c r="I140" t="s">
        <v>56</v>
      </c>
      <c r="O140" t="s">
        <v>57</v>
      </c>
      <c r="Q140" t="s">
        <v>57</v>
      </c>
      <c r="R140" t="s">
        <v>137</v>
      </c>
      <c r="T140" t="s">
        <v>59</v>
      </c>
      <c r="U140" t="s">
        <v>60</v>
      </c>
      <c r="V140" t="s">
        <v>138</v>
      </c>
      <c r="W140" t="s">
        <v>139</v>
      </c>
      <c r="X140">
        <v>1929247</v>
      </c>
      <c r="Y140" s="11">
        <v>44782</v>
      </c>
      <c r="Z140" t="s">
        <v>57</v>
      </c>
      <c r="AA140">
        <v>2</v>
      </c>
      <c r="AB140" t="s">
        <v>57</v>
      </c>
      <c r="AD140" t="s">
        <v>57</v>
      </c>
      <c r="AE140" t="s">
        <v>57</v>
      </c>
      <c r="AF140" t="s">
        <v>57</v>
      </c>
      <c r="AG140">
        <v>1</v>
      </c>
      <c r="AH140" t="s">
        <v>57</v>
      </c>
      <c r="AL140" t="s">
        <v>57</v>
      </c>
      <c r="AM140" s="11">
        <v>44781</v>
      </c>
      <c r="AN140" t="s">
        <v>184</v>
      </c>
      <c r="AO140" t="s">
        <v>65</v>
      </c>
      <c r="AP140">
        <v>1206</v>
      </c>
      <c r="AQ140" t="s">
        <v>66</v>
      </c>
      <c r="AR140">
        <v>271731</v>
      </c>
      <c r="AU140" t="s">
        <v>57</v>
      </c>
      <c r="AV140" t="s">
        <v>68</v>
      </c>
      <c r="AX140" t="s">
        <v>57</v>
      </c>
      <c r="AY140">
        <v>631110</v>
      </c>
      <c r="AZ140">
        <v>1206.63111</v>
      </c>
      <c r="BA140" s="23" t="s">
        <v>14</v>
      </c>
    </row>
    <row r="141" spans="1:53" x14ac:dyDescent="0.25">
      <c r="A141" t="s">
        <v>134</v>
      </c>
      <c r="B141" t="s">
        <v>135</v>
      </c>
      <c r="C141">
        <v>22002555</v>
      </c>
      <c r="D141">
        <v>1206</v>
      </c>
      <c r="E141" s="11">
        <v>44783</v>
      </c>
      <c r="F141" t="s">
        <v>174</v>
      </c>
      <c r="G141" s="25">
        <v>3.77</v>
      </c>
      <c r="H141">
        <v>3.77</v>
      </c>
      <c r="I141" t="s">
        <v>56</v>
      </c>
      <c r="O141" t="s">
        <v>57</v>
      </c>
      <c r="Q141" t="s">
        <v>57</v>
      </c>
      <c r="R141" t="s">
        <v>137</v>
      </c>
      <c r="T141" t="s">
        <v>59</v>
      </c>
      <c r="U141" t="s">
        <v>60</v>
      </c>
      <c r="V141" t="s">
        <v>138</v>
      </c>
      <c r="W141" t="s">
        <v>139</v>
      </c>
      <c r="X141">
        <v>1930431</v>
      </c>
      <c r="Y141" s="11">
        <v>44784</v>
      </c>
      <c r="Z141" t="s">
        <v>57</v>
      </c>
      <c r="AA141">
        <v>2</v>
      </c>
      <c r="AB141" t="s">
        <v>57</v>
      </c>
      <c r="AD141" t="s">
        <v>57</v>
      </c>
      <c r="AE141" t="s">
        <v>57</v>
      </c>
      <c r="AF141" t="s">
        <v>57</v>
      </c>
      <c r="AG141">
        <v>1</v>
      </c>
      <c r="AH141" t="s">
        <v>57</v>
      </c>
      <c r="AL141" t="s">
        <v>57</v>
      </c>
      <c r="AM141" s="11">
        <v>44783</v>
      </c>
      <c r="AN141" t="s">
        <v>184</v>
      </c>
      <c r="AO141" t="s">
        <v>65</v>
      </c>
      <c r="AP141">
        <v>1206</v>
      </c>
      <c r="AQ141" t="s">
        <v>66</v>
      </c>
      <c r="AR141">
        <v>271731</v>
      </c>
      <c r="AU141" t="s">
        <v>57</v>
      </c>
      <c r="AV141" t="s">
        <v>68</v>
      </c>
      <c r="AX141" t="s">
        <v>57</v>
      </c>
      <c r="AY141">
        <v>631110</v>
      </c>
      <c r="AZ141">
        <v>1206.63111</v>
      </c>
      <c r="BA141" s="23" t="s">
        <v>14</v>
      </c>
    </row>
    <row r="142" spans="1:53" x14ac:dyDescent="0.25">
      <c r="A142" t="s">
        <v>134</v>
      </c>
      <c r="B142" t="s">
        <v>135</v>
      </c>
      <c r="C142">
        <v>22002586</v>
      </c>
      <c r="D142">
        <v>1206</v>
      </c>
      <c r="E142" s="11">
        <v>44788</v>
      </c>
      <c r="F142" t="s">
        <v>174</v>
      </c>
      <c r="G142" s="25">
        <v>3.77</v>
      </c>
      <c r="H142">
        <v>3.77</v>
      </c>
      <c r="I142" t="s">
        <v>56</v>
      </c>
      <c r="O142" t="s">
        <v>57</v>
      </c>
      <c r="Q142" t="s">
        <v>57</v>
      </c>
      <c r="R142" t="s">
        <v>137</v>
      </c>
      <c r="T142" t="s">
        <v>59</v>
      </c>
      <c r="U142" t="s">
        <v>60</v>
      </c>
      <c r="V142" t="s">
        <v>138</v>
      </c>
      <c r="W142" t="s">
        <v>139</v>
      </c>
      <c r="X142">
        <v>1933170</v>
      </c>
      <c r="Y142" s="11">
        <v>44789</v>
      </c>
      <c r="Z142" t="s">
        <v>57</v>
      </c>
      <c r="AA142">
        <v>4</v>
      </c>
      <c r="AB142" t="s">
        <v>57</v>
      </c>
      <c r="AD142" t="s">
        <v>57</v>
      </c>
      <c r="AE142" t="s">
        <v>57</v>
      </c>
      <c r="AF142" t="s">
        <v>57</v>
      </c>
      <c r="AG142">
        <v>1</v>
      </c>
      <c r="AH142" t="s">
        <v>57</v>
      </c>
      <c r="AL142" t="s">
        <v>57</v>
      </c>
      <c r="AM142" s="11">
        <v>44788</v>
      </c>
      <c r="AN142" t="s">
        <v>184</v>
      </c>
      <c r="AO142" t="s">
        <v>65</v>
      </c>
      <c r="AP142">
        <v>1206</v>
      </c>
      <c r="AQ142" t="s">
        <v>66</v>
      </c>
      <c r="AR142">
        <v>271731</v>
      </c>
      <c r="AU142" t="s">
        <v>57</v>
      </c>
      <c r="AV142" t="s">
        <v>68</v>
      </c>
      <c r="AX142" t="s">
        <v>57</v>
      </c>
      <c r="AY142">
        <v>631110</v>
      </c>
      <c r="AZ142">
        <v>1206.63111</v>
      </c>
      <c r="BA142" s="23" t="s">
        <v>14</v>
      </c>
    </row>
    <row r="143" spans="1:53" x14ac:dyDescent="0.25">
      <c r="A143" t="s">
        <v>134</v>
      </c>
      <c r="B143" t="s">
        <v>135</v>
      </c>
      <c r="C143">
        <v>22002591</v>
      </c>
      <c r="D143">
        <v>1206</v>
      </c>
      <c r="E143" s="11">
        <v>44789</v>
      </c>
      <c r="F143" t="s">
        <v>174</v>
      </c>
      <c r="G143" s="25">
        <v>3.77</v>
      </c>
      <c r="H143">
        <v>3.77</v>
      </c>
      <c r="I143" t="s">
        <v>56</v>
      </c>
      <c r="O143" t="s">
        <v>57</v>
      </c>
      <c r="Q143" t="s">
        <v>57</v>
      </c>
      <c r="R143" t="s">
        <v>137</v>
      </c>
      <c r="T143" t="s">
        <v>59</v>
      </c>
      <c r="U143" t="s">
        <v>60</v>
      </c>
      <c r="V143" t="s">
        <v>138</v>
      </c>
      <c r="W143" t="s">
        <v>139</v>
      </c>
      <c r="X143">
        <v>1933529</v>
      </c>
      <c r="Y143" s="11">
        <v>44791</v>
      </c>
      <c r="Z143" t="s">
        <v>57</v>
      </c>
      <c r="AA143">
        <v>2</v>
      </c>
      <c r="AB143" t="s">
        <v>57</v>
      </c>
      <c r="AD143" t="s">
        <v>57</v>
      </c>
      <c r="AE143" t="s">
        <v>57</v>
      </c>
      <c r="AF143" t="s">
        <v>57</v>
      </c>
      <c r="AG143">
        <v>1</v>
      </c>
      <c r="AH143" t="s">
        <v>57</v>
      </c>
      <c r="AL143" t="s">
        <v>57</v>
      </c>
      <c r="AM143" s="11">
        <v>44789</v>
      </c>
      <c r="AN143" t="s">
        <v>184</v>
      </c>
      <c r="AO143" t="s">
        <v>65</v>
      </c>
      <c r="AP143">
        <v>1206</v>
      </c>
      <c r="AQ143" t="s">
        <v>66</v>
      </c>
      <c r="AR143">
        <v>271731</v>
      </c>
      <c r="AU143" t="s">
        <v>57</v>
      </c>
      <c r="AV143" t="s">
        <v>68</v>
      </c>
      <c r="AX143" t="s">
        <v>57</v>
      </c>
      <c r="AY143">
        <v>631110</v>
      </c>
      <c r="AZ143">
        <v>1206.63111</v>
      </c>
      <c r="BA143" s="23" t="s">
        <v>14</v>
      </c>
    </row>
    <row r="144" spans="1:53" x14ac:dyDescent="0.25">
      <c r="A144" t="s">
        <v>134</v>
      </c>
      <c r="B144" t="s">
        <v>135</v>
      </c>
      <c r="C144">
        <v>22002492</v>
      </c>
      <c r="D144">
        <v>1206</v>
      </c>
      <c r="E144" s="11">
        <v>44775</v>
      </c>
      <c r="F144" t="s">
        <v>174</v>
      </c>
      <c r="G144" s="25">
        <v>3.79</v>
      </c>
      <c r="H144">
        <v>3.79</v>
      </c>
      <c r="I144" t="s">
        <v>56</v>
      </c>
      <c r="O144" t="s">
        <v>57</v>
      </c>
      <c r="Q144" t="s">
        <v>57</v>
      </c>
      <c r="R144" t="s">
        <v>137</v>
      </c>
      <c r="T144" t="s">
        <v>59</v>
      </c>
      <c r="U144" t="s">
        <v>60</v>
      </c>
      <c r="V144" t="s">
        <v>138</v>
      </c>
      <c r="W144" t="s">
        <v>139</v>
      </c>
      <c r="X144">
        <v>1926655</v>
      </c>
      <c r="Y144" s="11">
        <v>44775</v>
      </c>
      <c r="Z144" t="s">
        <v>57</v>
      </c>
      <c r="AA144">
        <v>6</v>
      </c>
      <c r="AB144" t="s">
        <v>57</v>
      </c>
      <c r="AD144" t="s">
        <v>57</v>
      </c>
      <c r="AE144" t="s">
        <v>57</v>
      </c>
      <c r="AF144" t="s">
        <v>57</v>
      </c>
      <c r="AG144">
        <v>1</v>
      </c>
      <c r="AH144" t="s">
        <v>57</v>
      </c>
      <c r="AL144" t="s">
        <v>57</v>
      </c>
      <c r="AM144" s="11">
        <v>44775</v>
      </c>
      <c r="AN144" t="s">
        <v>184</v>
      </c>
      <c r="AO144" t="s">
        <v>65</v>
      </c>
      <c r="AP144">
        <v>1206</v>
      </c>
      <c r="AQ144" t="s">
        <v>66</v>
      </c>
      <c r="AR144">
        <v>182375</v>
      </c>
      <c r="AU144" t="s">
        <v>57</v>
      </c>
      <c r="AV144" t="s">
        <v>68</v>
      </c>
      <c r="AX144" t="s">
        <v>57</v>
      </c>
      <c r="AY144">
        <v>631110</v>
      </c>
      <c r="AZ144">
        <v>1206.63111</v>
      </c>
      <c r="BA144" s="23" t="s">
        <v>14</v>
      </c>
    </row>
    <row r="145" spans="1:53" x14ac:dyDescent="0.25">
      <c r="A145" t="s">
        <v>134</v>
      </c>
      <c r="B145" t="s">
        <v>135</v>
      </c>
      <c r="C145">
        <v>22002601</v>
      </c>
      <c r="D145">
        <v>1206</v>
      </c>
      <c r="E145" s="11">
        <v>44791</v>
      </c>
      <c r="F145" t="s">
        <v>174</v>
      </c>
      <c r="G145" s="25">
        <v>3.79</v>
      </c>
      <c r="H145">
        <v>3.79</v>
      </c>
      <c r="I145" t="s">
        <v>56</v>
      </c>
      <c r="O145" t="s">
        <v>57</v>
      </c>
      <c r="Q145" t="s">
        <v>57</v>
      </c>
      <c r="R145" t="s">
        <v>137</v>
      </c>
      <c r="T145" t="s">
        <v>59</v>
      </c>
      <c r="U145" t="s">
        <v>60</v>
      </c>
      <c r="V145" t="s">
        <v>138</v>
      </c>
      <c r="W145" t="s">
        <v>139</v>
      </c>
      <c r="X145">
        <v>1934071</v>
      </c>
      <c r="Y145" s="11">
        <v>44792</v>
      </c>
      <c r="Z145" t="s">
        <v>57</v>
      </c>
      <c r="AA145">
        <v>8</v>
      </c>
      <c r="AB145" t="s">
        <v>57</v>
      </c>
      <c r="AD145" t="s">
        <v>57</v>
      </c>
      <c r="AE145" t="s">
        <v>57</v>
      </c>
      <c r="AF145" t="s">
        <v>57</v>
      </c>
      <c r="AG145">
        <v>1</v>
      </c>
      <c r="AH145" t="s">
        <v>57</v>
      </c>
      <c r="AL145" t="s">
        <v>57</v>
      </c>
      <c r="AM145" s="11">
        <v>44791</v>
      </c>
      <c r="AN145" t="s">
        <v>184</v>
      </c>
      <c r="AO145" t="s">
        <v>65</v>
      </c>
      <c r="AP145">
        <v>1206</v>
      </c>
      <c r="AQ145" t="s">
        <v>66</v>
      </c>
      <c r="AR145">
        <v>182375</v>
      </c>
      <c r="AU145" t="s">
        <v>57</v>
      </c>
      <c r="AV145" t="s">
        <v>68</v>
      </c>
      <c r="AX145" t="s">
        <v>57</v>
      </c>
      <c r="AY145">
        <v>631110</v>
      </c>
      <c r="AZ145">
        <v>1206.63111</v>
      </c>
      <c r="BA145" s="23" t="s">
        <v>14</v>
      </c>
    </row>
    <row r="146" spans="1:53" x14ac:dyDescent="0.25">
      <c r="A146" t="s">
        <v>134</v>
      </c>
      <c r="B146" t="s">
        <v>135</v>
      </c>
      <c r="C146">
        <v>22002527</v>
      </c>
      <c r="D146">
        <v>1206</v>
      </c>
      <c r="E146" s="11">
        <v>44778</v>
      </c>
      <c r="F146" t="s">
        <v>174</v>
      </c>
      <c r="G146" s="25">
        <v>3.8</v>
      </c>
      <c r="H146">
        <v>3.8</v>
      </c>
      <c r="I146" t="s">
        <v>56</v>
      </c>
      <c r="O146" t="s">
        <v>57</v>
      </c>
      <c r="Q146" t="s">
        <v>57</v>
      </c>
      <c r="R146" t="s">
        <v>137</v>
      </c>
      <c r="T146" t="s">
        <v>59</v>
      </c>
      <c r="U146" t="s">
        <v>60</v>
      </c>
      <c r="V146" t="s">
        <v>138</v>
      </c>
      <c r="W146" t="s">
        <v>139</v>
      </c>
      <c r="X146">
        <v>1928766</v>
      </c>
      <c r="Y146" s="11">
        <v>44778</v>
      </c>
      <c r="Z146" t="s">
        <v>57</v>
      </c>
      <c r="AA146">
        <v>10</v>
      </c>
      <c r="AB146" t="s">
        <v>57</v>
      </c>
      <c r="AD146" t="s">
        <v>57</v>
      </c>
      <c r="AE146" t="s">
        <v>57</v>
      </c>
      <c r="AF146" t="s">
        <v>57</v>
      </c>
      <c r="AG146">
        <v>1</v>
      </c>
      <c r="AH146" t="s">
        <v>57</v>
      </c>
      <c r="AL146" t="s">
        <v>57</v>
      </c>
      <c r="AM146" s="11">
        <v>44778</v>
      </c>
      <c r="AN146" t="s">
        <v>184</v>
      </c>
      <c r="AO146" t="s">
        <v>65</v>
      </c>
      <c r="AP146">
        <v>1206</v>
      </c>
      <c r="AQ146" t="s">
        <v>66</v>
      </c>
      <c r="AR146">
        <v>220122</v>
      </c>
      <c r="AU146" t="s">
        <v>57</v>
      </c>
      <c r="AV146" t="s">
        <v>68</v>
      </c>
      <c r="AX146" t="s">
        <v>57</v>
      </c>
      <c r="AY146">
        <v>631110</v>
      </c>
      <c r="AZ146">
        <v>1206.63111</v>
      </c>
      <c r="BA146" s="23" t="s">
        <v>14</v>
      </c>
    </row>
    <row r="147" spans="1:53" x14ac:dyDescent="0.25">
      <c r="A147" t="s">
        <v>134</v>
      </c>
      <c r="B147" t="s">
        <v>135</v>
      </c>
      <c r="C147">
        <v>22002496</v>
      </c>
      <c r="D147">
        <v>1206</v>
      </c>
      <c r="E147" s="11">
        <v>44775</v>
      </c>
      <c r="F147" t="s">
        <v>174</v>
      </c>
      <c r="G147" s="25">
        <v>3.94</v>
      </c>
      <c r="H147">
        <v>3.94</v>
      </c>
      <c r="I147" t="s">
        <v>56</v>
      </c>
      <c r="O147" t="s">
        <v>57</v>
      </c>
      <c r="Q147" t="s">
        <v>57</v>
      </c>
      <c r="R147" t="s">
        <v>137</v>
      </c>
      <c r="T147" t="s">
        <v>59</v>
      </c>
      <c r="U147" t="s">
        <v>60</v>
      </c>
      <c r="V147" t="s">
        <v>138</v>
      </c>
      <c r="W147" t="s">
        <v>139</v>
      </c>
      <c r="X147">
        <v>1926655</v>
      </c>
      <c r="Y147" s="11">
        <v>44775</v>
      </c>
      <c r="Z147" t="s">
        <v>57</v>
      </c>
      <c r="AA147">
        <v>2</v>
      </c>
      <c r="AB147" t="s">
        <v>57</v>
      </c>
      <c r="AD147" t="s">
        <v>57</v>
      </c>
      <c r="AE147" t="s">
        <v>57</v>
      </c>
      <c r="AF147" t="s">
        <v>57</v>
      </c>
      <c r="AG147">
        <v>1</v>
      </c>
      <c r="AH147" t="s">
        <v>57</v>
      </c>
      <c r="AL147" t="s">
        <v>57</v>
      </c>
      <c r="AM147" s="11">
        <v>44775</v>
      </c>
      <c r="AN147" t="s">
        <v>184</v>
      </c>
      <c r="AO147" t="s">
        <v>65</v>
      </c>
      <c r="AP147">
        <v>1206</v>
      </c>
      <c r="AQ147" t="s">
        <v>66</v>
      </c>
      <c r="AR147">
        <v>140248</v>
      </c>
      <c r="AU147" t="s">
        <v>57</v>
      </c>
      <c r="AV147" t="s">
        <v>68</v>
      </c>
      <c r="AX147" t="s">
        <v>57</v>
      </c>
      <c r="AY147">
        <v>631110</v>
      </c>
      <c r="AZ147">
        <v>1206.63111</v>
      </c>
      <c r="BA147" s="23" t="s">
        <v>14</v>
      </c>
    </row>
    <row r="148" spans="1:53" x14ac:dyDescent="0.25">
      <c r="A148" t="s">
        <v>134</v>
      </c>
      <c r="B148" t="s">
        <v>135</v>
      </c>
      <c r="C148">
        <v>22002578</v>
      </c>
      <c r="D148">
        <v>1206</v>
      </c>
      <c r="E148" s="11">
        <v>44785</v>
      </c>
      <c r="F148" t="s">
        <v>174</v>
      </c>
      <c r="G148" s="25">
        <v>3.99</v>
      </c>
      <c r="H148">
        <v>3.99</v>
      </c>
      <c r="I148" t="s">
        <v>56</v>
      </c>
      <c r="O148" t="s">
        <v>57</v>
      </c>
      <c r="Q148" t="s">
        <v>57</v>
      </c>
      <c r="R148" t="s">
        <v>137</v>
      </c>
      <c r="T148" t="s">
        <v>59</v>
      </c>
      <c r="U148" t="s">
        <v>60</v>
      </c>
      <c r="V148" t="s">
        <v>138</v>
      </c>
      <c r="W148" t="s">
        <v>139</v>
      </c>
      <c r="X148">
        <v>1930743</v>
      </c>
      <c r="Y148" s="11">
        <v>44785</v>
      </c>
      <c r="Z148" t="s">
        <v>57</v>
      </c>
      <c r="AA148">
        <v>6</v>
      </c>
      <c r="AB148" t="s">
        <v>57</v>
      </c>
      <c r="AD148" t="s">
        <v>57</v>
      </c>
      <c r="AE148" t="s">
        <v>57</v>
      </c>
      <c r="AF148" t="s">
        <v>57</v>
      </c>
      <c r="AG148">
        <v>1</v>
      </c>
      <c r="AH148" t="s">
        <v>57</v>
      </c>
      <c r="AL148" t="s">
        <v>57</v>
      </c>
      <c r="AM148" s="11">
        <v>44785</v>
      </c>
      <c r="AN148" t="s">
        <v>184</v>
      </c>
      <c r="AO148" t="s">
        <v>65</v>
      </c>
      <c r="AP148">
        <v>1206</v>
      </c>
      <c r="AQ148" t="s">
        <v>66</v>
      </c>
      <c r="AR148">
        <v>126941</v>
      </c>
      <c r="AU148" t="s">
        <v>57</v>
      </c>
      <c r="AV148" t="s">
        <v>68</v>
      </c>
      <c r="AX148" t="s">
        <v>57</v>
      </c>
      <c r="AY148">
        <v>631110</v>
      </c>
      <c r="AZ148">
        <v>1206.63111</v>
      </c>
      <c r="BA148" s="23" t="s">
        <v>14</v>
      </c>
    </row>
    <row r="149" spans="1:53" x14ac:dyDescent="0.25">
      <c r="A149" t="s">
        <v>134</v>
      </c>
      <c r="B149" t="s">
        <v>135</v>
      </c>
      <c r="C149">
        <v>22002592</v>
      </c>
      <c r="D149">
        <v>1206</v>
      </c>
      <c r="E149" s="11">
        <v>44789</v>
      </c>
      <c r="F149" t="s">
        <v>174</v>
      </c>
      <c r="G149" s="25">
        <v>4.03</v>
      </c>
      <c r="H149">
        <v>4.03</v>
      </c>
      <c r="I149" t="s">
        <v>56</v>
      </c>
      <c r="O149" t="s">
        <v>57</v>
      </c>
      <c r="Q149" t="s">
        <v>57</v>
      </c>
      <c r="R149" t="s">
        <v>137</v>
      </c>
      <c r="T149" t="s">
        <v>59</v>
      </c>
      <c r="U149" t="s">
        <v>60</v>
      </c>
      <c r="V149" t="s">
        <v>138</v>
      </c>
      <c r="W149" t="s">
        <v>139</v>
      </c>
      <c r="X149">
        <v>1933529</v>
      </c>
      <c r="Y149" s="11">
        <v>44791</v>
      </c>
      <c r="Z149" t="s">
        <v>57</v>
      </c>
      <c r="AA149">
        <v>6</v>
      </c>
      <c r="AB149" t="s">
        <v>57</v>
      </c>
      <c r="AD149" t="s">
        <v>57</v>
      </c>
      <c r="AE149" t="s">
        <v>57</v>
      </c>
      <c r="AF149" t="s">
        <v>57</v>
      </c>
      <c r="AG149">
        <v>1</v>
      </c>
      <c r="AH149" t="s">
        <v>57</v>
      </c>
      <c r="AL149" t="s">
        <v>57</v>
      </c>
      <c r="AM149" s="11">
        <v>44789</v>
      </c>
      <c r="AN149" t="s">
        <v>184</v>
      </c>
      <c r="AO149" t="s">
        <v>65</v>
      </c>
      <c r="AP149">
        <v>1206</v>
      </c>
      <c r="AQ149" t="s">
        <v>66</v>
      </c>
      <c r="AR149">
        <v>205691</v>
      </c>
      <c r="AU149" t="s">
        <v>57</v>
      </c>
      <c r="AV149" t="s">
        <v>68</v>
      </c>
      <c r="AX149" t="s">
        <v>57</v>
      </c>
      <c r="AY149">
        <v>631110</v>
      </c>
      <c r="AZ149">
        <v>1206.63111</v>
      </c>
      <c r="BA149" s="23" t="s">
        <v>14</v>
      </c>
    </row>
    <row r="150" spans="1:53" x14ac:dyDescent="0.25">
      <c r="A150" t="s">
        <v>134</v>
      </c>
      <c r="B150" t="s">
        <v>135</v>
      </c>
      <c r="C150">
        <v>22002593</v>
      </c>
      <c r="D150">
        <v>1206</v>
      </c>
      <c r="E150" s="11">
        <v>44789</v>
      </c>
      <c r="F150" t="s">
        <v>174</v>
      </c>
      <c r="G150" s="25">
        <v>4.03</v>
      </c>
      <c r="H150">
        <v>4.03</v>
      </c>
      <c r="I150" t="s">
        <v>56</v>
      </c>
      <c r="O150" t="s">
        <v>57</v>
      </c>
      <c r="Q150" t="s">
        <v>57</v>
      </c>
      <c r="R150" t="s">
        <v>137</v>
      </c>
      <c r="T150" t="s">
        <v>59</v>
      </c>
      <c r="U150" t="s">
        <v>60</v>
      </c>
      <c r="V150" t="s">
        <v>138</v>
      </c>
      <c r="W150" t="s">
        <v>139</v>
      </c>
      <c r="X150">
        <v>1933529</v>
      </c>
      <c r="Y150" s="11">
        <v>44791</v>
      </c>
      <c r="Z150" t="s">
        <v>57</v>
      </c>
      <c r="AA150">
        <v>12</v>
      </c>
      <c r="AB150" t="s">
        <v>57</v>
      </c>
      <c r="AD150" t="s">
        <v>57</v>
      </c>
      <c r="AE150" t="s">
        <v>57</v>
      </c>
      <c r="AF150" t="s">
        <v>57</v>
      </c>
      <c r="AG150">
        <v>1</v>
      </c>
      <c r="AH150" t="s">
        <v>57</v>
      </c>
      <c r="AL150" t="s">
        <v>57</v>
      </c>
      <c r="AM150" s="11">
        <v>44789</v>
      </c>
      <c r="AN150" t="s">
        <v>184</v>
      </c>
      <c r="AO150" t="s">
        <v>65</v>
      </c>
      <c r="AP150">
        <v>1206</v>
      </c>
      <c r="AQ150" t="s">
        <v>66</v>
      </c>
      <c r="AR150">
        <v>205691</v>
      </c>
      <c r="AU150" t="s">
        <v>57</v>
      </c>
      <c r="AV150" t="s">
        <v>68</v>
      </c>
      <c r="AX150" t="s">
        <v>57</v>
      </c>
      <c r="AY150">
        <v>631110</v>
      </c>
      <c r="AZ150">
        <v>1206.63111</v>
      </c>
      <c r="BA150" s="23" t="s">
        <v>14</v>
      </c>
    </row>
    <row r="151" spans="1:53" x14ac:dyDescent="0.25">
      <c r="A151" t="s">
        <v>134</v>
      </c>
      <c r="B151" t="s">
        <v>135</v>
      </c>
      <c r="C151">
        <v>22002603</v>
      </c>
      <c r="D151">
        <v>1206</v>
      </c>
      <c r="E151" s="11">
        <v>44791</v>
      </c>
      <c r="F151" t="s">
        <v>159</v>
      </c>
      <c r="G151" s="25">
        <v>4.08</v>
      </c>
      <c r="H151">
        <v>4.08</v>
      </c>
      <c r="I151" t="s">
        <v>56</v>
      </c>
      <c r="O151" t="s">
        <v>57</v>
      </c>
      <c r="Q151" t="s">
        <v>57</v>
      </c>
      <c r="R151" t="s">
        <v>137</v>
      </c>
      <c r="T151" t="s">
        <v>59</v>
      </c>
      <c r="U151" t="s">
        <v>60</v>
      </c>
      <c r="V151" t="s">
        <v>138</v>
      </c>
      <c r="W151" t="s">
        <v>139</v>
      </c>
      <c r="X151">
        <v>1934071</v>
      </c>
      <c r="Y151" s="11">
        <v>44792</v>
      </c>
      <c r="Z151" t="s">
        <v>57</v>
      </c>
      <c r="AA151">
        <v>2</v>
      </c>
      <c r="AB151" t="s">
        <v>57</v>
      </c>
      <c r="AD151" t="s">
        <v>57</v>
      </c>
      <c r="AE151" t="s">
        <v>57</v>
      </c>
      <c r="AF151" t="s">
        <v>57</v>
      </c>
      <c r="AG151">
        <v>3</v>
      </c>
      <c r="AH151" t="s">
        <v>57</v>
      </c>
      <c r="AL151" t="s">
        <v>57</v>
      </c>
      <c r="AM151" s="11">
        <v>44791</v>
      </c>
      <c r="AN151" t="s">
        <v>184</v>
      </c>
      <c r="AO151" t="s">
        <v>65</v>
      </c>
      <c r="AP151">
        <v>1206</v>
      </c>
      <c r="AQ151" t="s">
        <v>66</v>
      </c>
      <c r="AR151">
        <v>163503</v>
      </c>
      <c r="AU151" t="s">
        <v>57</v>
      </c>
      <c r="AV151" t="s">
        <v>68</v>
      </c>
      <c r="AX151" t="s">
        <v>57</v>
      </c>
      <c r="AY151">
        <v>631110</v>
      </c>
      <c r="AZ151">
        <v>1206.63111</v>
      </c>
      <c r="BA151" s="23" t="s">
        <v>14</v>
      </c>
    </row>
    <row r="152" spans="1:53" x14ac:dyDescent="0.25">
      <c r="A152" t="s">
        <v>134</v>
      </c>
      <c r="B152" t="s">
        <v>135</v>
      </c>
      <c r="C152">
        <v>22002591</v>
      </c>
      <c r="D152">
        <v>1206</v>
      </c>
      <c r="E152" s="11">
        <v>44789</v>
      </c>
      <c r="F152" t="s">
        <v>174</v>
      </c>
      <c r="G152" s="25">
        <v>4.18</v>
      </c>
      <c r="H152">
        <v>4.18</v>
      </c>
      <c r="I152" t="s">
        <v>56</v>
      </c>
      <c r="O152" t="s">
        <v>57</v>
      </c>
      <c r="Q152" t="s">
        <v>57</v>
      </c>
      <c r="R152" t="s">
        <v>137</v>
      </c>
      <c r="T152" t="s">
        <v>59</v>
      </c>
      <c r="U152" t="s">
        <v>60</v>
      </c>
      <c r="V152" t="s">
        <v>138</v>
      </c>
      <c r="W152" t="s">
        <v>139</v>
      </c>
      <c r="X152">
        <v>1933529</v>
      </c>
      <c r="Y152" s="11">
        <v>44791</v>
      </c>
      <c r="Z152" t="s">
        <v>57</v>
      </c>
      <c r="AA152">
        <v>4</v>
      </c>
      <c r="AB152" t="s">
        <v>57</v>
      </c>
      <c r="AD152" t="s">
        <v>57</v>
      </c>
      <c r="AE152" t="s">
        <v>57</v>
      </c>
      <c r="AF152" t="s">
        <v>57</v>
      </c>
      <c r="AG152">
        <v>2</v>
      </c>
      <c r="AH152" t="s">
        <v>57</v>
      </c>
      <c r="AL152" t="s">
        <v>57</v>
      </c>
      <c r="AM152" s="11">
        <v>44789</v>
      </c>
      <c r="AN152" t="s">
        <v>184</v>
      </c>
      <c r="AO152" t="s">
        <v>65</v>
      </c>
      <c r="AP152">
        <v>1206</v>
      </c>
      <c r="AQ152" t="s">
        <v>66</v>
      </c>
      <c r="AR152">
        <v>88783</v>
      </c>
      <c r="AU152" t="s">
        <v>57</v>
      </c>
      <c r="AV152" t="s">
        <v>68</v>
      </c>
      <c r="AX152" t="s">
        <v>57</v>
      </c>
      <c r="AY152">
        <v>631110</v>
      </c>
      <c r="AZ152">
        <v>1206.63111</v>
      </c>
      <c r="BA152" s="23" t="s">
        <v>14</v>
      </c>
    </row>
    <row r="153" spans="1:53" x14ac:dyDescent="0.25">
      <c r="A153" t="s">
        <v>134</v>
      </c>
      <c r="B153" t="s">
        <v>135</v>
      </c>
      <c r="C153">
        <v>22002562</v>
      </c>
      <c r="D153">
        <v>1206</v>
      </c>
      <c r="E153" s="11">
        <v>44784</v>
      </c>
      <c r="F153" t="s">
        <v>174</v>
      </c>
      <c r="G153" s="25">
        <v>4.2</v>
      </c>
      <c r="H153">
        <v>4.2</v>
      </c>
      <c r="I153" t="s">
        <v>56</v>
      </c>
      <c r="O153" t="s">
        <v>57</v>
      </c>
      <c r="Q153" t="s">
        <v>57</v>
      </c>
      <c r="R153" t="s">
        <v>137</v>
      </c>
      <c r="T153" t="s">
        <v>59</v>
      </c>
      <c r="U153" t="s">
        <v>60</v>
      </c>
      <c r="V153" t="s">
        <v>138</v>
      </c>
      <c r="W153" t="s">
        <v>139</v>
      </c>
      <c r="X153">
        <v>1930520</v>
      </c>
      <c r="Y153" s="11">
        <v>44784</v>
      </c>
      <c r="Z153" t="s">
        <v>57</v>
      </c>
      <c r="AA153">
        <v>6</v>
      </c>
      <c r="AB153" t="s">
        <v>57</v>
      </c>
      <c r="AD153" t="s">
        <v>57</v>
      </c>
      <c r="AE153" t="s">
        <v>57</v>
      </c>
      <c r="AF153" t="s">
        <v>57</v>
      </c>
      <c r="AG153">
        <v>1</v>
      </c>
      <c r="AH153" t="s">
        <v>57</v>
      </c>
      <c r="AL153" t="s">
        <v>57</v>
      </c>
      <c r="AM153" s="11">
        <v>44784</v>
      </c>
      <c r="AN153" t="s">
        <v>184</v>
      </c>
      <c r="AO153" t="s">
        <v>65</v>
      </c>
      <c r="AP153">
        <v>1206</v>
      </c>
      <c r="AQ153" t="s">
        <v>66</v>
      </c>
      <c r="AR153">
        <v>126941</v>
      </c>
      <c r="AU153" t="s">
        <v>57</v>
      </c>
      <c r="AV153" t="s">
        <v>68</v>
      </c>
      <c r="AX153" t="s">
        <v>57</v>
      </c>
      <c r="AY153">
        <v>631110</v>
      </c>
      <c r="AZ153">
        <v>1206.63111</v>
      </c>
      <c r="BA153" s="23" t="s">
        <v>14</v>
      </c>
    </row>
    <row r="154" spans="1:53" x14ac:dyDescent="0.25">
      <c r="A154" t="s">
        <v>134</v>
      </c>
      <c r="B154" t="s">
        <v>135</v>
      </c>
      <c r="C154">
        <v>22002553</v>
      </c>
      <c r="D154">
        <v>1206</v>
      </c>
      <c r="E154" s="11">
        <v>44783</v>
      </c>
      <c r="F154" t="s">
        <v>290</v>
      </c>
      <c r="G154" s="25">
        <v>4.49</v>
      </c>
      <c r="H154">
        <v>4.49</v>
      </c>
      <c r="I154" t="s">
        <v>56</v>
      </c>
      <c r="O154" t="s">
        <v>57</v>
      </c>
      <c r="Q154" t="s">
        <v>57</v>
      </c>
      <c r="R154" t="s">
        <v>137</v>
      </c>
      <c r="T154" t="s">
        <v>59</v>
      </c>
      <c r="U154" t="s">
        <v>60</v>
      </c>
      <c r="V154" t="s">
        <v>138</v>
      </c>
      <c r="W154" t="s">
        <v>139</v>
      </c>
      <c r="X154">
        <v>1930373</v>
      </c>
      <c r="Y154" s="11">
        <v>44784</v>
      </c>
      <c r="Z154" t="s">
        <v>57</v>
      </c>
      <c r="AA154">
        <v>4</v>
      </c>
      <c r="AB154" t="s">
        <v>57</v>
      </c>
      <c r="AD154" t="s">
        <v>57</v>
      </c>
      <c r="AE154" t="s">
        <v>57</v>
      </c>
      <c r="AF154" t="s">
        <v>57</v>
      </c>
      <c r="AG154">
        <v>30</v>
      </c>
      <c r="AH154" t="s">
        <v>57</v>
      </c>
      <c r="AL154" t="s">
        <v>57</v>
      </c>
      <c r="AM154" s="11">
        <v>44783</v>
      </c>
      <c r="AN154" t="s">
        <v>183</v>
      </c>
      <c r="AO154" t="s">
        <v>65</v>
      </c>
      <c r="AP154">
        <v>1206</v>
      </c>
      <c r="AQ154" t="s">
        <v>66</v>
      </c>
      <c r="AR154">
        <v>144854</v>
      </c>
      <c r="AU154" t="s">
        <v>57</v>
      </c>
      <c r="AV154" t="s">
        <v>68</v>
      </c>
      <c r="AX154" t="s">
        <v>57</v>
      </c>
      <c r="AY154">
        <v>631110</v>
      </c>
      <c r="AZ154">
        <v>1206.63111</v>
      </c>
      <c r="BA154" s="23" t="s">
        <v>14</v>
      </c>
    </row>
    <row r="155" spans="1:53" x14ac:dyDescent="0.25">
      <c r="A155" t="s">
        <v>134</v>
      </c>
      <c r="B155" t="s">
        <v>135</v>
      </c>
      <c r="C155">
        <v>22002598</v>
      </c>
      <c r="D155">
        <v>1206</v>
      </c>
      <c r="E155" s="11">
        <v>44791</v>
      </c>
      <c r="F155" t="s">
        <v>185</v>
      </c>
      <c r="G155" s="25">
        <v>4.5</v>
      </c>
      <c r="H155">
        <v>4.5</v>
      </c>
      <c r="I155" t="s">
        <v>56</v>
      </c>
      <c r="O155" t="s">
        <v>57</v>
      </c>
      <c r="Q155" t="s">
        <v>57</v>
      </c>
      <c r="R155" t="s">
        <v>137</v>
      </c>
      <c r="T155" t="s">
        <v>59</v>
      </c>
      <c r="U155" t="s">
        <v>60</v>
      </c>
      <c r="V155" t="s">
        <v>138</v>
      </c>
      <c r="W155" t="s">
        <v>139</v>
      </c>
      <c r="X155">
        <v>1933578</v>
      </c>
      <c r="Y155" s="11">
        <v>44792</v>
      </c>
      <c r="Z155" t="s">
        <v>57</v>
      </c>
      <c r="AA155">
        <v>4</v>
      </c>
      <c r="AB155" t="s">
        <v>57</v>
      </c>
      <c r="AD155" t="s">
        <v>57</v>
      </c>
      <c r="AE155" t="s">
        <v>57</v>
      </c>
      <c r="AF155" t="s">
        <v>57</v>
      </c>
      <c r="AG155">
        <v>30</v>
      </c>
      <c r="AH155" t="s">
        <v>57</v>
      </c>
      <c r="AL155" t="s">
        <v>57</v>
      </c>
      <c r="AM155" s="11">
        <v>44791</v>
      </c>
      <c r="AN155" t="s">
        <v>183</v>
      </c>
      <c r="AO155" t="s">
        <v>65</v>
      </c>
      <c r="AP155">
        <v>1206</v>
      </c>
      <c r="AQ155" t="s">
        <v>66</v>
      </c>
      <c r="AR155">
        <v>144854</v>
      </c>
      <c r="AU155" t="s">
        <v>57</v>
      </c>
      <c r="AV155" t="s">
        <v>68</v>
      </c>
      <c r="AX155" t="s">
        <v>57</v>
      </c>
      <c r="AY155">
        <v>631110</v>
      </c>
      <c r="AZ155">
        <v>1206.63111</v>
      </c>
      <c r="BA155" s="23" t="s">
        <v>14</v>
      </c>
    </row>
    <row r="156" spans="1:53" x14ac:dyDescent="0.25">
      <c r="A156" t="s">
        <v>134</v>
      </c>
      <c r="B156" t="s">
        <v>135</v>
      </c>
      <c r="C156">
        <v>22002493</v>
      </c>
      <c r="D156">
        <v>1206</v>
      </c>
      <c r="E156" s="11">
        <v>44775</v>
      </c>
      <c r="F156" t="s">
        <v>174</v>
      </c>
      <c r="G156" s="25">
        <v>4.55</v>
      </c>
      <c r="H156">
        <v>4.55</v>
      </c>
      <c r="I156" t="s">
        <v>56</v>
      </c>
      <c r="O156" t="s">
        <v>57</v>
      </c>
      <c r="Q156" t="s">
        <v>57</v>
      </c>
      <c r="R156" t="s">
        <v>137</v>
      </c>
      <c r="T156" t="s">
        <v>59</v>
      </c>
      <c r="U156" t="s">
        <v>60</v>
      </c>
      <c r="V156" t="s">
        <v>138</v>
      </c>
      <c r="W156" t="s">
        <v>139</v>
      </c>
      <c r="X156">
        <v>1926655</v>
      </c>
      <c r="Y156" s="11">
        <v>44775</v>
      </c>
      <c r="Z156" t="s">
        <v>57</v>
      </c>
      <c r="AA156">
        <v>4</v>
      </c>
      <c r="AB156" t="s">
        <v>57</v>
      </c>
      <c r="AD156" t="s">
        <v>57</v>
      </c>
      <c r="AE156" t="s">
        <v>57</v>
      </c>
      <c r="AF156" t="s">
        <v>57</v>
      </c>
      <c r="AG156">
        <v>1</v>
      </c>
      <c r="AH156" t="s">
        <v>57</v>
      </c>
      <c r="AL156" t="s">
        <v>57</v>
      </c>
      <c r="AM156" s="11">
        <v>44775</v>
      </c>
      <c r="AN156" t="s">
        <v>184</v>
      </c>
      <c r="AO156" t="s">
        <v>65</v>
      </c>
      <c r="AP156">
        <v>1206</v>
      </c>
      <c r="AQ156" t="s">
        <v>66</v>
      </c>
      <c r="AR156">
        <v>142795</v>
      </c>
      <c r="AU156" t="s">
        <v>57</v>
      </c>
      <c r="AV156" t="s">
        <v>68</v>
      </c>
      <c r="AX156" t="s">
        <v>57</v>
      </c>
      <c r="AY156">
        <v>631110</v>
      </c>
      <c r="AZ156">
        <v>1206.63111</v>
      </c>
      <c r="BA156" s="23" t="s">
        <v>14</v>
      </c>
    </row>
    <row r="157" spans="1:53" x14ac:dyDescent="0.25">
      <c r="A157" t="s">
        <v>134</v>
      </c>
      <c r="B157" t="s">
        <v>135</v>
      </c>
      <c r="C157">
        <v>22002508</v>
      </c>
      <c r="D157">
        <v>1206</v>
      </c>
      <c r="E157" s="11">
        <v>44777</v>
      </c>
      <c r="F157" t="s">
        <v>174</v>
      </c>
      <c r="G157" s="25">
        <v>4.55</v>
      </c>
      <c r="H157">
        <v>4.55</v>
      </c>
      <c r="I157" t="s">
        <v>56</v>
      </c>
      <c r="O157" t="s">
        <v>57</v>
      </c>
      <c r="Q157" t="s">
        <v>57</v>
      </c>
      <c r="R157" t="s">
        <v>137</v>
      </c>
      <c r="T157" t="s">
        <v>59</v>
      </c>
      <c r="U157" t="s">
        <v>60</v>
      </c>
      <c r="V157" t="s">
        <v>138</v>
      </c>
      <c r="W157" t="s">
        <v>139</v>
      </c>
      <c r="X157">
        <v>1927633</v>
      </c>
      <c r="Y157" s="11">
        <v>44777</v>
      </c>
      <c r="Z157" t="s">
        <v>57</v>
      </c>
      <c r="AA157">
        <v>4</v>
      </c>
      <c r="AB157" t="s">
        <v>57</v>
      </c>
      <c r="AD157" t="s">
        <v>57</v>
      </c>
      <c r="AE157" t="s">
        <v>57</v>
      </c>
      <c r="AF157" t="s">
        <v>57</v>
      </c>
      <c r="AG157">
        <v>1</v>
      </c>
      <c r="AH157" t="s">
        <v>57</v>
      </c>
      <c r="AL157" t="s">
        <v>57</v>
      </c>
      <c r="AM157" s="11">
        <v>44777</v>
      </c>
      <c r="AN157" t="s">
        <v>184</v>
      </c>
      <c r="AO157" t="s">
        <v>65</v>
      </c>
      <c r="AP157">
        <v>1206</v>
      </c>
      <c r="AQ157" t="s">
        <v>66</v>
      </c>
      <c r="AR157">
        <v>142795</v>
      </c>
      <c r="AU157" t="s">
        <v>57</v>
      </c>
      <c r="AV157" t="s">
        <v>68</v>
      </c>
      <c r="AX157" t="s">
        <v>57</v>
      </c>
      <c r="AY157">
        <v>631110</v>
      </c>
      <c r="AZ157">
        <v>1206.63111</v>
      </c>
      <c r="BA157" s="23" t="s">
        <v>14</v>
      </c>
    </row>
    <row r="158" spans="1:53" x14ac:dyDescent="0.25">
      <c r="A158" t="s">
        <v>134</v>
      </c>
      <c r="B158" t="s">
        <v>135</v>
      </c>
      <c r="C158">
        <v>22002532</v>
      </c>
      <c r="D158">
        <v>1206</v>
      </c>
      <c r="E158" s="11">
        <v>44781</v>
      </c>
      <c r="F158" t="s">
        <v>174</v>
      </c>
      <c r="G158" s="25">
        <v>4.55</v>
      </c>
      <c r="H158">
        <v>4.55</v>
      </c>
      <c r="I158" t="s">
        <v>56</v>
      </c>
      <c r="O158" t="s">
        <v>57</v>
      </c>
      <c r="Q158" t="s">
        <v>57</v>
      </c>
      <c r="R158" t="s">
        <v>137</v>
      </c>
      <c r="T158" t="s">
        <v>59</v>
      </c>
      <c r="U158" t="s">
        <v>60</v>
      </c>
      <c r="V158" t="s">
        <v>138</v>
      </c>
      <c r="W158" t="s">
        <v>139</v>
      </c>
      <c r="X158">
        <v>1928975</v>
      </c>
      <c r="Y158" s="11">
        <v>44781</v>
      </c>
      <c r="Z158" t="s">
        <v>57</v>
      </c>
      <c r="AA158">
        <v>8</v>
      </c>
      <c r="AB158" t="s">
        <v>57</v>
      </c>
      <c r="AD158" t="s">
        <v>57</v>
      </c>
      <c r="AE158" t="s">
        <v>57</v>
      </c>
      <c r="AF158" t="s">
        <v>57</v>
      </c>
      <c r="AG158">
        <v>1</v>
      </c>
      <c r="AH158" t="s">
        <v>57</v>
      </c>
      <c r="AL158" t="s">
        <v>57</v>
      </c>
      <c r="AM158" s="11">
        <v>44781</v>
      </c>
      <c r="AN158" t="s">
        <v>184</v>
      </c>
      <c r="AO158" t="s">
        <v>65</v>
      </c>
      <c r="AP158">
        <v>1206</v>
      </c>
      <c r="AQ158" t="s">
        <v>66</v>
      </c>
      <c r="AR158">
        <v>142795</v>
      </c>
      <c r="AU158" t="s">
        <v>57</v>
      </c>
      <c r="AV158" t="s">
        <v>68</v>
      </c>
      <c r="AX158" t="s">
        <v>57</v>
      </c>
      <c r="AY158">
        <v>631110</v>
      </c>
      <c r="AZ158">
        <v>1206.63111</v>
      </c>
      <c r="BA158" s="23" t="s">
        <v>14</v>
      </c>
    </row>
    <row r="159" spans="1:53" x14ac:dyDescent="0.25">
      <c r="A159" t="s">
        <v>134</v>
      </c>
      <c r="B159" t="s">
        <v>135</v>
      </c>
      <c r="C159">
        <v>22002607</v>
      </c>
      <c r="D159">
        <v>1206</v>
      </c>
      <c r="E159" s="11">
        <v>44792</v>
      </c>
      <c r="F159" t="s">
        <v>174</v>
      </c>
      <c r="G159" s="25">
        <v>4.55</v>
      </c>
      <c r="H159">
        <v>4.55</v>
      </c>
      <c r="I159" t="s">
        <v>56</v>
      </c>
      <c r="O159" t="s">
        <v>57</v>
      </c>
      <c r="Q159" t="s">
        <v>57</v>
      </c>
      <c r="R159" t="s">
        <v>137</v>
      </c>
      <c r="T159" t="s">
        <v>59</v>
      </c>
      <c r="U159" t="s">
        <v>60</v>
      </c>
      <c r="V159" t="s">
        <v>138</v>
      </c>
      <c r="W159" t="s">
        <v>139</v>
      </c>
      <c r="X159">
        <v>1934080</v>
      </c>
      <c r="Y159" s="11">
        <v>44792</v>
      </c>
      <c r="Z159" t="s">
        <v>57</v>
      </c>
      <c r="AA159">
        <v>8</v>
      </c>
      <c r="AB159" t="s">
        <v>57</v>
      </c>
      <c r="AD159" t="s">
        <v>57</v>
      </c>
      <c r="AE159" t="s">
        <v>57</v>
      </c>
      <c r="AF159" t="s">
        <v>57</v>
      </c>
      <c r="AG159">
        <v>1</v>
      </c>
      <c r="AH159" t="s">
        <v>57</v>
      </c>
      <c r="AL159" t="s">
        <v>57</v>
      </c>
      <c r="AM159" s="11">
        <v>44792</v>
      </c>
      <c r="AN159" t="s">
        <v>184</v>
      </c>
      <c r="AO159" t="s">
        <v>65</v>
      </c>
      <c r="AP159">
        <v>1206</v>
      </c>
      <c r="AQ159" t="s">
        <v>66</v>
      </c>
      <c r="AR159">
        <v>142795</v>
      </c>
      <c r="AU159" t="s">
        <v>57</v>
      </c>
      <c r="AV159" t="s">
        <v>68</v>
      </c>
      <c r="AX159" t="s">
        <v>57</v>
      </c>
      <c r="AY159">
        <v>631110</v>
      </c>
      <c r="AZ159">
        <v>1206.63111</v>
      </c>
      <c r="BA159" s="23" t="s">
        <v>14</v>
      </c>
    </row>
    <row r="160" spans="1:53" x14ac:dyDescent="0.25">
      <c r="A160" t="s">
        <v>134</v>
      </c>
      <c r="B160" t="s">
        <v>135</v>
      </c>
      <c r="C160">
        <v>22002489</v>
      </c>
      <c r="D160">
        <v>1206</v>
      </c>
      <c r="E160" s="11">
        <v>44774</v>
      </c>
      <c r="F160" t="s">
        <v>174</v>
      </c>
      <c r="G160" s="25">
        <v>4.57</v>
      </c>
      <c r="H160">
        <v>4.57</v>
      </c>
      <c r="I160" t="s">
        <v>56</v>
      </c>
      <c r="O160" t="s">
        <v>57</v>
      </c>
      <c r="Q160" t="s">
        <v>57</v>
      </c>
      <c r="R160" t="s">
        <v>137</v>
      </c>
      <c r="T160" t="s">
        <v>59</v>
      </c>
      <c r="U160" t="s">
        <v>60</v>
      </c>
      <c r="V160" t="s">
        <v>138</v>
      </c>
      <c r="W160" t="s">
        <v>139</v>
      </c>
      <c r="X160">
        <v>1926655</v>
      </c>
      <c r="Y160" s="11">
        <v>44775</v>
      </c>
      <c r="Z160" t="s">
        <v>57</v>
      </c>
      <c r="AA160">
        <v>2</v>
      </c>
      <c r="AB160" t="s">
        <v>57</v>
      </c>
      <c r="AD160" t="s">
        <v>57</v>
      </c>
      <c r="AE160" t="s">
        <v>57</v>
      </c>
      <c r="AF160" t="s">
        <v>57</v>
      </c>
      <c r="AG160">
        <v>1</v>
      </c>
      <c r="AH160" t="s">
        <v>57</v>
      </c>
      <c r="AL160" t="s">
        <v>57</v>
      </c>
      <c r="AM160" s="11">
        <v>44774</v>
      </c>
      <c r="AN160" t="s">
        <v>184</v>
      </c>
      <c r="AO160" t="s">
        <v>65</v>
      </c>
      <c r="AP160">
        <v>1206</v>
      </c>
      <c r="AQ160" t="s">
        <v>66</v>
      </c>
      <c r="AR160">
        <v>206435</v>
      </c>
      <c r="AU160" t="s">
        <v>57</v>
      </c>
      <c r="AV160" t="s">
        <v>68</v>
      </c>
      <c r="AX160" t="s">
        <v>57</v>
      </c>
      <c r="AY160">
        <v>631110</v>
      </c>
      <c r="AZ160">
        <v>1206.63111</v>
      </c>
      <c r="BA160" s="23" t="s">
        <v>14</v>
      </c>
    </row>
    <row r="161" spans="1:53" x14ac:dyDescent="0.25">
      <c r="A161" t="s">
        <v>134</v>
      </c>
      <c r="B161" t="s">
        <v>135</v>
      </c>
      <c r="C161">
        <v>22002496</v>
      </c>
      <c r="D161">
        <v>1206</v>
      </c>
      <c r="E161" s="11">
        <v>44775</v>
      </c>
      <c r="F161" t="s">
        <v>174</v>
      </c>
      <c r="G161" s="25">
        <v>4.57</v>
      </c>
      <c r="H161">
        <v>4.57</v>
      </c>
      <c r="I161" t="s">
        <v>56</v>
      </c>
      <c r="O161" t="s">
        <v>57</v>
      </c>
      <c r="Q161" t="s">
        <v>57</v>
      </c>
      <c r="R161" t="s">
        <v>137</v>
      </c>
      <c r="T161" t="s">
        <v>59</v>
      </c>
      <c r="U161" t="s">
        <v>60</v>
      </c>
      <c r="V161" t="s">
        <v>138</v>
      </c>
      <c r="W161" t="s">
        <v>139</v>
      </c>
      <c r="X161">
        <v>1926655</v>
      </c>
      <c r="Y161" s="11">
        <v>44775</v>
      </c>
      <c r="Z161" t="s">
        <v>57</v>
      </c>
      <c r="AA161">
        <v>4</v>
      </c>
      <c r="AB161" t="s">
        <v>57</v>
      </c>
      <c r="AD161" t="s">
        <v>57</v>
      </c>
      <c r="AE161" t="s">
        <v>57</v>
      </c>
      <c r="AF161" t="s">
        <v>57</v>
      </c>
      <c r="AG161">
        <v>1</v>
      </c>
      <c r="AH161" t="s">
        <v>57</v>
      </c>
      <c r="AL161" t="s">
        <v>57</v>
      </c>
      <c r="AM161" s="11">
        <v>44775</v>
      </c>
      <c r="AN161" t="s">
        <v>184</v>
      </c>
      <c r="AO161" t="s">
        <v>65</v>
      </c>
      <c r="AP161">
        <v>1206</v>
      </c>
      <c r="AQ161" t="s">
        <v>66</v>
      </c>
      <c r="AR161">
        <v>206435</v>
      </c>
      <c r="AU161" t="s">
        <v>57</v>
      </c>
      <c r="AV161" t="s">
        <v>68</v>
      </c>
      <c r="AX161" t="s">
        <v>57</v>
      </c>
      <c r="AY161">
        <v>631110</v>
      </c>
      <c r="AZ161">
        <v>1206.63111</v>
      </c>
      <c r="BA161" s="23" t="s">
        <v>14</v>
      </c>
    </row>
    <row r="162" spans="1:53" x14ac:dyDescent="0.25">
      <c r="A162" t="s">
        <v>134</v>
      </c>
      <c r="B162" t="s">
        <v>135</v>
      </c>
      <c r="C162">
        <v>22002524</v>
      </c>
      <c r="D162">
        <v>1206</v>
      </c>
      <c r="E162" s="11">
        <v>44778</v>
      </c>
      <c r="F162" t="s">
        <v>174</v>
      </c>
      <c r="G162" s="25">
        <v>4.57</v>
      </c>
      <c r="H162">
        <v>4.57</v>
      </c>
      <c r="I162" t="s">
        <v>56</v>
      </c>
      <c r="O162" t="s">
        <v>57</v>
      </c>
      <c r="Q162" t="s">
        <v>57</v>
      </c>
      <c r="R162" t="s">
        <v>137</v>
      </c>
      <c r="T162" t="s">
        <v>59</v>
      </c>
      <c r="U162" t="s">
        <v>60</v>
      </c>
      <c r="V162" t="s">
        <v>138</v>
      </c>
      <c r="W162" t="s">
        <v>139</v>
      </c>
      <c r="X162">
        <v>1928766</v>
      </c>
      <c r="Y162" s="11">
        <v>44778</v>
      </c>
      <c r="Z162" t="s">
        <v>57</v>
      </c>
      <c r="AA162">
        <v>8</v>
      </c>
      <c r="AB162" t="s">
        <v>57</v>
      </c>
      <c r="AD162" t="s">
        <v>57</v>
      </c>
      <c r="AE162" t="s">
        <v>57</v>
      </c>
      <c r="AF162" t="s">
        <v>57</v>
      </c>
      <c r="AG162">
        <v>1</v>
      </c>
      <c r="AH162" t="s">
        <v>57</v>
      </c>
      <c r="AL162" t="s">
        <v>57</v>
      </c>
      <c r="AM162" s="11">
        <v>44778</v>
      </c>
      <c r="AN162" t="s">
        <v>184</v>
      </c>
      <c r="AO162" t="s">
        <v>65</v>
      </c>
      <c r="AP162">
        <v>1206</v>
      </c>
      <c r="AQ162" t="s">
        <v>66</v>
      </c>
      <c r="AR162">
        <v>206435</v>
      </c>
      <c r="AU162" t="s">
        <v>57</v>
      </c>
      <c r="AV162" t="s">
        <v>68</v>
      </c>
      <c r="AX162" t="s">
        <v>57</v>
      </c>
      <c r="AY162">
        <v>631110</v>
      </c>
      <c r="AZ162">
        <v>1206.63111</v>
      </c>
      <c r="BA162" s="23" t="s">
        <v>14</v>
      </c>
    </row>
    <row r="163" spans="1:53" x14ac:dyDescent="0.25">
      <c r="A163" t="s">
        <v>134</v>
      </c>
      <c r="B163" t="s">
        <v>135</v>
      </c>
      <c r="C163">
        <v>22002533</v>
      </c>
      <c r="D163">
        <v>1206</v>
      </c>
      <c r="E163" s="11">
        <v>44781</v>
      </c>
      <c r="F163" t="s">
        <v>174</v>
      </c>
      <c r="G163" s="25">
        <v>4.57</v>
      </c>
      <c r="H163">
        <v>4.57</v>
      </c>
      <c r="I163" t="s">
        <v>56</v>
      </c>
      <c r="O163" t="s">
        <v>57</v>
      </c>
      <c r="Q163" t="s">
        <v>57</v>
      </c>
      <c r="R163" t="s">
        <v>137</v>
      </c>
      <c r="T163" t="s">
        <v>59</v>
      </c>
      <c r="U163" t="s">
        <v>60</v>
      </c>
      <c r="V163" t="s">
        <v>138</v>
      </c>
      <c r="W163" t="s">
        <v>139</v>
      </c>
      <c r="X163">
        <v>1928975</v>
      </c>
      <c r="Y163" s="11">
        <v>44781</v>
      </c>
      <c r="Z163" t="s">
        <v>57</v>
      </c>
      <c r="AA163">
        <v>2</v>
      </c>
      <c r="AB163" t="s">
        <v>57</v>
      </c>
      <c r="AD163" t="s">
        <v>57</v>
      </c>
      <c r="AE163" t="s">
        <v>57</v>
      </c>
      <c r="AF163" t="s">
        <v>57</v>
      </c>
      <c r="AG163">
        <v>1</v>
      </c>
      <c r="AH163" t="s">
        <v>57</v>
      </c>
      <c r="AL163" t="s">
        <v>57</v>
      </c>
      <c r="AM163" s="11">
        <v>44781</v>
      </c>
      <c r="AN163" t="s">
        <v>184</v>
      </c>
      <c r="AO163" t="s">
        <v>65</v>
      </c>
      <c r="AP163">
        <v>1206</v>
      </c>
      <c r="AQ163" t="s">
        <v>66</v>
      </c>
      <c r="AR163">
        <v>206435</v>
      </c>
      <c r="AU163" t="s">
        <v>57</v>
      </c>
      <c r="AV163" t="s">
        <v>68</v>
      </c>
      <c r="AX163" t="s">
        <v>57</v>
      </c>
      <c r="AY163">
        <v>631110</v>
      </c>
      <c r="AZ163">
        <v>1206.63111</v>
      </c>
      <c r="BA163" s="23" t="s">
        <v>14</v>
      </c>
    </row>
    <row r="164" spans="1:53" x14ac:dyDescent="0.25">
      <c r="A164" t="s">
        <v>134</v>
      </c>
      <c r="B164" t="s">
        <v>135</v>
      </c>
      <c r="C164">
        <v>22002562</v>
      </c>
      <c r="D164">
        <v>1206</v>
      </c>
      <c r="E164" s="11">
        <v>44784</v>
      </c>
      <c r="F164" t="s">
        <v>174</v>
      </c>
      <c r="G164" s="25">
        <v>4.57</v>
      </c>
      <c r="H164">
        <v>4.57</v>
      </c>
      <c r="I164" t="s">
        <v>56</v>
      </c>
      <c r="O164" t="s">
        <v>57</v>
      </c>
      <c r="Q164" t="s">
        <v>57</v>
      </c>
      <c r="R164" t="s">
        <v>137</v>
      </c>
      <c r="T164" t="s">
        <v>59</v>
      </c>
      <c r="U164" t="s">
        <v>60</v>
      </c>
      <c r="V164" t="s">
        <v>138</v>
      </c>
      <c r="W164" t="s">
        <v>139</v>
      </c>
      <c r="X164">
        <v>1930520</v>
      </c>
      <c r="Y164" s="11">
        <v>44784</v>
      </c>
      <c r="Z164" t="s">
        <v>57</v>
      </c>
      <c r="AA164">
        <v>2</v>
      </c>
      <c r="AB164" t="s">
        <v>57</v>
      </c>
      <c r="AD164" t="s">
        <v>57</v>
      </c>
      <c r="AE164" t="s">
        <v>57</v>
      </c>
      <c r="AF164" t="s">
        <v>57</v>
      </c>
      <c r="AG164">
        <v>1</v>
      </c>
      <c r="AH164" t="s">
        <v>57</v>
      </c>
      <c r="AL164" t="s">
        <v>57</v>
      </c>
      <c r="AM164" s="11">
        <v>44784</v>
      </c>
      <c r="AN164" t="s">
        <v>184</v>
      </c>
      <c r="AO164" t="s">
        <v>65</v>
      </c>
      <c r="AP164">
        <v>1206</v>
      </c>
      <c r="AQ164" t="s">
        <v>66</v>
      </c>
      <c r="AR164">
        <v>206435</v>
      </c>
      <c r="AU164" t="s">
        <v>57</v>
      </c>
      <c r="AV164" t="s">
        <v>68</v>
      </c>
      <c r="AX164" t="s">
        <v>57</v>
      </c>
      <c r="AY164">
        <v>631110</v>
      </c>
      <c r="AZ164">
        <v>1206.63111</v>
      </c>
      <c r="BA164" s="23" t="s">
        <v>14</v>
      </c>
    </row>
    <row r="165" spans="1:53" x14ac:dyDescent="0.25">
      <c r="A165" t="s">
        <v>134</v>
      </c>
      <c r="B165" t="s">
        <v>135</v>
      </c>
      <c r="C165">
        <v>22002530</v>
      </c>
      <c r="D165">
        <v>1206</v>
      </c>
      <c r="E165" s="11">
        <v>44778</v>
      </c>
      <c r="F165" t="s">
        <v>185</v>
      </c>
      <c r="G165" s="25">
        <v>4.58</v>
      </c>
      <c r="H165">
        <v>4.58</v>
      </c>
      <c r="I165" t="s">
        <v>56</v>
      </c>
      <c r="O165" t="s">
        <v>57</v>
      </c>
      <c r="Q165" t="s">
        <v>57</v>
      </c>
      <c r="R165" t="s">
        <v>137</v>
      </c>
      <c r="T165" t="s">
        <v>59</v>
      </c>
      <c r="U165" t="s">
        <v>60</v>
      </c>
      <c r="V165" t="s">
        <v>138</v>
      </c>
      <c r="W165" t="s">
        <v>139</v>
      </c>
      <c r="X165">
        <v>1928799</v>
      </c>
      <c r="Y165" s="11">
        <v>44781</v>
      </c>
      <c r="Z165" t="s">
        <v>57</v>
      </c>
      <c r="AA165">
        <v>4</v>
      </c>
      <c r="AB165" t="s">
        <v>57</v>
      </c>
      <c r="AD165" t="s">
        <v>57</v>
      </c>
      <c r="AE165" t="s">
        <v>57</v>
      </c>
      <c r="AF165" t="s">
        <v>57</v>
      </c>
      <c r="AG165">
        <v>30</v>
      </c>
      <c r="AH165" t="s">
        <v>57</v>
      </c>
      <c r="AL165" t="s">
        <v>57</v>
      </c>
      <c r="AM165" s="11">
        <v>44778</v>
      </c>
      <c r="AN165" t="s">
        <v>183</v>
      </c>
      <c r="AO165" t="s">
        <v>65</v>
      </c>
      <c r="AP165">
        <v>1206</v>
      </c>
      <c r="AQ165" t="s">
        <v>66</v>
      </c>
      <c r="AR165">
        <v>144854</v>
      </c>
      <c r="AU165" t="s">
        <v>57</v>
      </c>
      <c r="AV165" t="s">
        <v>68</v>
      </c>
      <c r="AX165" t="s">
        <v>57</v>
      </c>
      <c r="AY165">
        <v>631110</v>
      </c>
      <c r="AZ165">
        <v>1206.63111</v>
      </c>
      <c r="BA165" s="23" t="s">
        <v>14</v>
      </c>
    </row>
    <row r="166" spans="1:53" x14ac:dyDescent="0.25">
      <c r="A166" t="s">
        <v>134</v>
      </c>
      <c r="B166" t="s">
        <v>135</v>
      </c>
      <c r="C166">
        <v>22002545</v>
      </c>
      <c r="D166">
        <v>1206</v>
      </c>
      <c r="E166" s="11">
        <v>44781</v>
      </c>
      <c r="F166" t="s">
        <v>185</v>
      </c>
      <c r="G166" s="25">
        <v>4.58</v>
      </c>
      <c r="H166">
        <v>4.58</v>
      </c>
      <c r="I166" t="s">
        <v>56</v>
      </c>
      <c r="O166" t="s">
        <v>57</v>
      </c>
      <c r="Q166" t="s">
        <v>57</v>
      </c>
      <c r="R166" t="s">
        <v>137</v>
      </c>
      <c r="T166" t="s">
        <v>59</v>
      </c>
      <c r="U166" t="s">
        <v>60</v>
      </c>
      <c r="V166" t="s">
        <v>138</v>
      </c>
      <c r="W166" t="s">
        <v>139</v>
      </c>
      <c r="X166">
        <v>1929986</v>
      </c>
      <c r="Y166" s="11">
        <v>44783</v>
      </c>
      <c r="Z166" t="s">
        <v>57</v>
      </c>
      <c r="AA166">
        <v>4</v>
      </c>
      <c r="AB166" t="s">
        <v>57</v>
      </c>
      <c r="AD166" t="s">
        <v>57</v>
      </c>
      <c r="AE166" t="s">
        <v>57</v>
      </c>
      <c r="AF166" t="s">
        <v>57</v>
      </c>
      <c r="AG166">
        <v>30</v>
      </c>
      <c r="AH166" t="s">
        <v>57</v>
      </c>
      <c r="AL166" t="s">
        <v>57</v>
      </c>
      <c r="AM166" s="11">
        <v>44781</v>
      </c>
      <c r="AN166" t="s">
        <v>183</v>
      </c>
      <c r="AO166" t="s">
        <v>65</v>
      </c>
      <c r="AP166">
        <v>1206</v>
      </c>
      <c r="AQ166" t="s">
        <v>66</v>
      </c>
      <c r="AR166">
        <v>144854</v>
      </c>
      <c r="AU166" t="s">
        <v>57</v>
      </c>
      <c r="AV166" t="s">
        <v>68</v>
      </c>
      <c r="AX166" t="s">
        <v>57</v>
      </c>
      <c r="AY166">
        <v>631110</v>
      </c>
      <c r="AZ166">
        <v>1206.63111</v>
      </c>
      <c r="BA166" s="23" t="s">
        <v>14</v>
      </c>
    </row>
    <row r="167" spans="1:53" x14ac:dyDescent="0.25">
      <c r="A167" t="s">
        <v>134</v>
      </c>
      <c r="B167" t="s">
        <v>135</v>
      </c>
      <c r="C167">
        <v>22002598</v>
      </c>
      <c r="D167">
        <v>1206</v>
      </c>
      <c r="E167" s="11">
        <v>44791</v>
      </c>
      <c r="F167" t="s">
        <v>185</v>
      </c>
      <c r="G167" s="25">
        <v>4.62</v>
      </c>
      <c r="H167">
        <v>4.62</v>
      </c>
      <c r="I167" t="s">
        <v>56</v>
      </c>
      <c r="O167" t="s">
        <v>57</v>
      </c>
      <c r="Q167" t="s">
        <v>57</v>
      </c>
      <c r="R167" t="s">
        <v>137</v>
      </c>
      <c r="T167" t="s">
        <v>59</v>
      </c>
      <c r="U167" t="s">
        <v>60</v>
      </c>
      <c r="V167" t="s">
        <v>138</v>
      </c>
      <c r="W167" t="s">
        <v>139</v>
      </c>
      <c r="X167">
        <v>1933578</v>
      </c>
      <c r="Y167" s="11">
        <v>44792</v>
      </c>
      <c r="Z167" t="s">
        <v>57</v>
      </c>
      <c r="AA167">
        <v>6</v>
      </c>
      <c r="AB167" t="s">
        <v>57</v>
      </c>
      <c r="AD167" t="s">
        <v>57</v>
      </c>
      <c r="AE167" t="s">
        <v>57</v>
      </c>
      <c r="AF167" t="s">
        <v>57</v>
      </c>
      <c r="AG167">
        <v>30</v>
      </c>
      <c r="AH167" t="s">
        <v>57</v>
      </c>
      <c r="AL167" t="s">
        <v>57</v>
      </c>
      <c r="AM167" s="11">
        <v>44791</v>
      </c>
      <c r="AN167" t="s">
        <v>183</v>
      </c>
      <c r="AO167" t="s">
        <v>65</v>
      </c>
      <c r="AP167">
        <v>1206</v>
      </c>
      <c r="AQ167" t="s">
        <v>66</v>
      </c>
      <c r="AR167">
        <v>89712</v>
      </c>
      <c r="AU167" t="s">
        <v>57</v>
      </c>
      <c r="AV167" t="s">
        <v>68</v>
      </c>
      <c r="AX167" t="s">
        <v>57</v>
      </c>
      <c r="AY167">
        <v>631110</v>
      </c>
      <c r="AZ167">
        <v>1206.63111</v>
      </c>
      <c r="BA167" s="23" t="s">
        <v>14</v>
      </c>
    </row>
    <row r="168" spans="1:53" x14ac:dyDescent="0.25">
      <c r="A168" t="s">
        <v>134</v>
      </c>
      <c r="B168" t="s">
        <v>135</v>
      </c>
      <c r="C168">
        <v>22002610</v>
      </c>
      <c r="D168">
        <v>1206</v>
      </c>
      <c r="E168" s="11">
        <v>44792</v>
      </c>
      <c r="F168" t="s">
        <v>185</v>
      </c>
      <c r="G168" s="25">
        <v>4.62</v>
      </c>
      <c r="H168">
        <v>4.62</v>
      </c>
      <c r="I168" t="s">
        <v>56</v>
      </c>
      <c r="O168" t="s">
        <v>57</v>
      </c>
      <c r="Q168" t="s">
        <v>57</v>
      </c>
      <c r="R168" t="s">
        <v>137</v>
      </c>
      <c r="T168" t="s">
        <v>59</v>
      </c>
      <c r="U168" t="s">
        <v>60</v>
      </c>
      <c r="V168" t="s">
        <v>138</v>
      </c>
      <c r="W168" t="s">
        <v>139</v>
      </c>
      <c r="X168">
        <v>1934133</v>
      </c>
      <c r="Y168" s="11">
        <v>44795</v>
      </c>
      <c r="Z168" t="s">
        <v>57</v>
      </c>
      <c r="AA168">
        <v>6</v>
      </c>
      <c r="AB168" t="s">
        <v>57</v>
      </c>
      <c r="AD168" t="s">
        <v>57</v>
      </c>
      <c r="AE168" t="s">
        <v>57</v>
      </c>
      <c r="AF168" t="s">
        <v>57</v>
      </c>
      <c r="AG168">
        <v>30</v>
      </c>
      <c r="AH168" t="s">
        <v>57</v>
      </c>
      <c r="AL168" t="s">
        <v>57</v>
      </c>
      <c r="AM168" s="11">
        <v>44792</v>
      </c>
      <c r="AN168" t="s">
        <v>183</v>
      </c>
      <c r="AO168" t="s">
        <v>65</v>
      </c>
      <c r="AP168">
        <v>1206</v>
      </c>
      <c r="AQ168" t="s">
        <v>66</v>
      </c>
      <c r="AR168">
        <v>89712</v>
      </c>
      <c r="AU168" t="s">
        <v>57</v>
      </c>
      <c r="AV168" t="s">
        <v>68</v>
      </c>
      <c r="AX168" t="s">
        <v>57</v>
      </c>
      <c r="AY168">
        <v>631110</v>
      </c>
      <c r="AZ168">
        <v>1206.63111</v>
      </c>
      <c r="BA168" s="23" t="s">
        <v>14</v>
      </c>
    </row>
    <row r="169" spans="1:53" x14ac:dyDescent="0.25">
      <c r="A169" t="s">
        <v>134</v>
      </c>
      <c r="B169" t="s">
        <v>135</v>
      </c>
      <c r="C169">
        <v>22002500</v>
      </c>
      <c r="D169">
        <v>1206</v>
      </c>
      <c r="E169" s="11">
        <v>44775</v>
      </c>
      <c r="F169" t="s">
        <v>185</v>
      </c>
      <c r="G169" s="25">
        <v>4.7</v>
      </c>
      <c r="H169">
        <v>4.7</v>
      </c>
      <c r="I169" t="s">
        <v>56</v>
      </c>
      <c r="O169" t="s">
        <v>57</v>
      </c>
      <c r="Q169" t="s">
        <v>57</v>
      </c>
      <c r="R169" t="s">
        <v>137</v>
      </c>
      <c r="T169" t="s">
        <v>59</v>
      </c>
      <c r="U169" t="s">
        <v>60</v>
      </c>
      <c r="V169" t="s">
        <v>138</v>
      </c>
      <c r="W169" t="s">
        <v>139</v>
      </c>
      <c r="X169">
        <v>1926722</v>
      </c>
      <c r="Y169" s="11">
        <v>44776</v>
      </c>
      <c r="Z169" t="s">
        <v>57</v>
      </c>
      <c r="AA169">
        <v>6</v>
      </c>
      <c r="AB169" t="s">
        <v>57</v>
      </c>
      <c r="AD169" t="s">
        <v>57</v>
      </c>
      <c r="AE169" t="s">
        <v>57</v>
      </c>
      <c r="AF169" t="s">
        <v>57</v>
      </c>
      <c r="AG169">
        <v>30</v>
      </c>
      <c r="AH169" t="s">
        <v>57</v>
      </c>
      <c r="AL169" t="s">
        <v>57</v>
      </c>
      <c r="AM169" s="11">
        <v>44775</v>
      </c>
      <c r="AN169" t="s">
        <v>183</v>
      </c>
      <c r="AO169" t="s">
        <v>65</v>
      </c>
      <c r="AP169">
        <v>1206</v>
      </c>
      <c r="AQ169" t="s">
        <v>66</v>
      </c>
      <c r="AR169">
        <v>89712</v>
      </c>
      <c r="AU169" t="s">
        <v>57</v>
      </c>
      <c r="AV169" t="s">
        <v>68</v>
      </c>
      <c r="AX169" t="s">
        <v>57</v>
      </c>
      <c r="AY169">
        <v>631110</v>
      </c>
      <c r="AZ169">
        <v>1206.63111</v>
      </c>
      <c r="BA169" s="23" t="s">
        <v>14</v>
      </c>
    </row>
    <row r="170" spans="1:53" x14ac:dyDescent="0.25">
      <c r="A170" t="s">
        <v>134</v>
      </c>
      <c r="B170" t="s">
        <v>135</v>
      </c>
      <c r="C170">
        <v>22002545</v>
      </c>
      <c r="D170">
        <v>1206</v>
      </c>
      <c r="E170" s="11">
        <v>44781</v>
      </c>
      <c r="F170" t="s">
        <v>185</v>
      </c>
      <c r="G170" s="25">
        <v>4.7</v>
      </c>
      <c r="H170">
        <v>4.7</v>
      </c>
      <c r="I170" t="s">
        <v>56</v>
      </c>
      <c r="O170" t="s">
        <v>57</v>
      </c>
      <c r="Q170" t="s">
        <v>57</v>
      </c>
      <c r="R170" t="s">
        <v>137</v>
      </c>
      <c r="T170" t="s">
        <v>59</v>
      </c>
      <c r="U170" t="s">
        <v>60</v>
      </c>
      <c r="V170" t="s">
        <v>138</v>
      </c>
      <c r="W170" t="s">
        <v>139</v>
      </c>
      <c r="X170">
        <v>1929986</v>
      </c>
      <c r="Y170" s="11">
        <v>44783</v>
      </c>
      <c r="Z170" t="s">
        <v>57</v>
      </c>
      <c r="AA170">
        <v>6</v>
      </c>
      <c r="AB170" t="s">
        <v>57</v>
      </c>
      <c r="AD170" t="s">
        <v>57</v>
      </c>
      <c r="AE170" t="s">
        <v>57</v>
      </c>
      <c r="AF170" t="s">
        <v>57</v>
      </c>
      <c r="AG170">
        <v>30</v>
      </c>
      <c r="AH170" t="s">
        <v>57</v>
      </c>
      <c r="AL170" t="s">
        <v>57</v>
      </c>
      <c r="AM170" s="11">
        <v>44781</v>
      </c>
      <c r="AN170" t="s">
        <v>183</v>
      </c>
      <c r="AO170" t="s">
        <v>65</v>
      </c>
      <c r="AP170">
        <v>1206</v>
      </c>
      <c r="AQ170" t="s">
        <v>66</v>
      </c>
      <c r="AR170">
        <v>89712</v>
      </c>
      <c r="AU170" t="s">
        <v>57</v>
      </c>
      <c r="AV170" t="s">
        <v>68</v>
      </c>
      <c r="AX170" t="s">
        <v>57</v>
      </c>
      <c r="AY170">
        <v>631110</v>
      </c>
      <c r="AZ170">
        <v>1206.63111</v>
      </c>
      <c r="BA170" s="23" t="s">
        <v>14</v>
      </c>
    </row>
    <row r="171" spans="1:53" x14ac:dyDescent="0.25">
      <c r="A171" t="s">
        <v>134</v>
      </c>
      <c r="B171" t="s">
        <v>135</v>
      </c>
      <c r="C171">
        <v>22002508</v>
      </c>
      <c r="D171">
        <v>1206</v>
      </c>
      <c r="E171" s="11">
        <v>44777</v>
      </c>
      <c r="F171" t="s">
        <v>174</v>
      </c>
      <c r="G171" s="25">
        <v>5.35</v>
      </c>
      <c r="H171">
        <v>5.35</v>
      </c>
      <c r="I171" t="s">
        <v>56</v>
      </c>
      <c r="O171" t="s">
        <v>57</v>
      </c>
      <c r="Q171" t="s">
        <v>57</v>
      </c>
      <c r="R171" t="s">
        <v>137</v>
      </c>
      <c r="T171" t="s">
        <v>59</v>
      </c>
      <c r="U171" t="s">
        <v>60</v>
      </c>
      <c r="V171" t="s">
        <v>138</v>
      </c>
      <c r="W171" t="s">
        <v>139</v>
      </c>
      <c r="X171">
        <v>1927633</v>
      </c>
      <c r="Y171" s="11">
        <v>44777</v>
      </c>
      <c r="Z171" t="s">
        <v>57</v>
      </c>
      <c r="AA171">
        <v>2</v>
      </c>
      <c r="AB171" t="s">
        <v>57</v>
      </c>
      <c r="AD171" t="s">
        <v>57</v>
      </c>
      <c r="AE171" t="s">
        <v>57</v>
      </c>
      <c r="AF171" t="s">
        <v>57</v>
      </c>
      <c r="AG171">
        <v>1</v>
      </c>
      <c r="AH171" t="s">
        <v>57</v>
      </c>
      <c r="AL171" t="s">
        <v>57</v>
      </c>
      <c r="AM171" s="11">
        <v>44777</v>
      </c>
      <c r="AN171" t="s">
        <v>184</v>
      </c>
      <c r="AO171" t="s">
        <v>65</v>
      </c>
      <c r="AP171">
        <v>1206</v>
      </c>
      <c r="AQ171" t="s">
        <v>66</v>
      </c>
      <c r="AR171">
        <v>217171</v>
      </c>
      <c r="AU171" t="s">
        <v>57</v>
      </c>
      <c r="AV171" t="s">
        <v>68</v>
      </c>
      <c r="AX171" t="s">
        <v>57</v>
      </c>
      <c r="AY171">
        <v>631110</v>
      </c>
      <c r="AZ171">
        <v>1206.63111</v>
      </c>
      <c r="BA171" s="23" t="s">
        <v>14</v>
      </c>
    </row>
    <row r="172" spans="1:53" x14ac:dyDescent="0.25">
      <c r="A172" t="s">
        <v>134</v>
      </c>
      <c r="B172" t="s">
        <v>135</v>
      </c>
      <c r="C172">
        <v>22002592</v>
      </c>
      <c r="D172">
        <v>1206</v>
      </c>
      <c r="E172" s="11">
        <v>44789</v>
      </c>
      <c r="F172" t="s">
        <v>174</v>
      </c>
      <c r="G172" s="25">
        <v>5.76</v>
      </c>
      <c r="H172">
        <v>5.76</v>
      </c>
      <c r="I172" t="s">
        <v>56</v>
      </c>
      <c r="O172" t="s">
        <v>57</v>
      </c>
      <c r="Q172" t="s">
        <v>57</v>
      </c>
      <c r="R172" t="s">
        <v>137</v>
      </c>
      <c r="T172" t="s">
        <v>59</v>
      </c>
      <c r="U172" t="s">
        <v>60</v>
      </c>
      <c r="V172" t="s">
        <v>138</v>
      </c>
      <c r="W172" t="s">
        <v>139</v>
      </c>
      <c r="X172">
        <v>1933529</v>
      </c>
      <c r="Y172" s="11">
        <v>44791</v>
      </c>
      <c r="Z172" t="s">
        <v>57</v>
      </c>
      <c r="AA172">
        <v>4</v>
      </c>
      <c r="AB172" t="s">
        <v>57</v>
      </c>
      <c r="AD172" t="s">
        <v>57</v>
      </c>
      <c r="AE172" t="s">
        <v>57</v>
      </c>
      <c r="AF172" t="s">
        <v>57</v>
      </c>
      <c r="AG172">
        <v>1</v>
      </c>
      <c r="AH172" t="s">
        <v>57</v>
      </c>
      <c r="AL172" t="s">
        <v>57</v>
      </c>
      <c r="AM172" s="11">
        <v>44789</v>
      </c>
      <c r="AN172" t="s">
        <v>184</v>
      </c>
      <c r="AO172" t="s">
        <v>65</v>
      </c>
      <c r="AP172">
        <v>1206</v>
      </c>
      <c r="AQ172" t="s">
        <v>66</v>
      </c>
      <c r="AR172">
        <v>88625</v>
      </c>
      <c r="AU172" t="s">
        <v>57</v>
      </c>
      <c r="AV172" t="s">
        <v>68</v>
      </c>
      <c r="AX172" t="s">
        <v>57</v>
      </c>
      <c r="AY172">
        <v>631110</v>
      </c>
      <c r="AZ172">
        <v>1206.63111</v>
      </c>
      <c r="BA172" s="23" t="s">
        <v>14</v>
      </c>
    </row>
    <row r="173" spans="1:53" x14ac:dyDescent="0.25">
      <c r="A173" t="s">
        <v>134</v>
      </c>
      <c r="B173" t="s">
        <v>135</v>
      </c>
      <c r="C173">
        <v>22002527</v>
      </c>
      <c r="D173">
        <v>1206</v>
      </c>
      <c r="E173" s="11">
        <v>44778</v>
      </c>
      <c r="F173" t="s">
        <v>174</v>
      </c>
      <c r="G173" s="25">
        <v>5.84</v>
      </c>
      <c r="H173">
        <v>5.84</v>
      </c>
      <c r="I173" t="s">
        <v>56</v>
      </c>
      <c r="O173" t="s">
        <v>57</v>
      </c>
      <c r="Q173" t="s">
        <v>57</v>
      </c>
      <c r="R173" t="s">
        <v>137</v>
      </c>
      <c r="T173" t="s">
        <v>59</v>
      </c>
      <c r="U173" t="s">
        <v>60</v>
      </c>
      <c r="V173" t="s">
        <v>138</v>
      </c>
      <c r="W173" t="s">
        <v>139</v>
      </c>
      <c r="X173">
        <v>1928766</v>
      </c>
      <c r="Y173" s="11">
        <v>44778</v>
      </c>
      <c r="Z173" t="s">
        <v>57</v>
      </c>
      <c r="AA173">
        <v>6</v>
      </c>
      <c r="AB173" t="s">
        <v>57</v>
      </c>
      <c r="AD173" t="s">
        <v>57</v>
      </c>
      <c r="AE173" t="s">
        <v>57</v>
      </c>
      <c r="AF173" t="s">
        <v>57</v>
      </c>
      <c r="AG173">
        <v>5</v>
      </c>
      <c r="AH173" t="s">
        <v>57</v>
      </c>
      <c r="AL173" t="s">
        <v>57</v>
      </c>
      <c r="AM173" s="11">
        <v>44778</v>
      </c>
      <c r="AN173" t="s">
        <v>184</v>
      </c>
      <c r="AO173" t="s">
        <v>65</v>
      </c>
      <c r="AP173">
        <v>1206</v>
      </c>
      <c r="AQ173" t="s">
        <v>66</v>
      </c>
      <c r="AR173">
        <v>267571</v>
      </c>
      <c r="AU173" t="s">
        <v>57</v>
      </c>
      <c r="AV173" t="s">
        <v>68</v>
      </c>
      <c r="AX173" t="s">
        <v>57</v>
      </c>
      <c r="AY173">
        <v>631110</v>
      </c>
      <c r="AZ173">
        <v>1206.63111</v>
      </c>
      <c r="BA173" s="23" t="s">
        <v>14</v>
      </c>
    </row>
    <row r="174" spans="1:53" x14ac:dyDescent="0.25">
      <c r="A174" t="s">
        <v>134</v>
      </c>
      <c r="B174" t="s">
        <v>135</v>
      </c>
      <c r="C174">
        <v>22002518</v>
      </c>
      <c r="D174">
        <v>1206</v>
      </c>
      <c r="E174" s="11">
        <v>44777</v>
      </c>
      <c r="F174" t="s">
        <v>185</v>
      </c>
      <c r="G174" s="25">
        <v>6.14</v>
      </c>
      <c r="H174">
        <v>6.14</v>
      </c>
      <c r="I174" t="s">
        <v>56</v>
      </c>
      <c r="O174" t="s">
        <v>57</v>
      </c>
      <c r="Q174" t="s">
        <v>57</v>
      </c>
      <c r="R174" t="s">
        <v>137</v>
      </c>
      <c r="T174" t="s">
        <v>59</v>
      </c>
      <c r="U174" t="s">
        <v>60</v>
      </c>
      <c r="V174" t="s">
        <v>138</v>
      </c>
      <c r="W174" t="s">
        <v>139</v>
      </c>
      <c r="X174">
        <v>1927715</v>
      </c>
      <c r="Y174" s="11">
        <v>44778</v>
      </c>
      <c r="Z174" t="s">
        <v>57</v>
      </c>
      <c r="AA174">
        <v>6</v>
      </c>
      <c r="AB174" t="s">
        <v>57</v>
      </c>
      <c r="AD174" t="s">
        <v>57</v>
      </c>
      <c r="AE174" t="s">
        <v>57</v>
      </c>
      <c r="AF174" t="s">
        <v>57</v>
      </c>
      <c r="AG174">
        <v>40</v>
      </c>
      <c r="AH174" t="s">
        <v>57</v>
      </c>
      <c r="AL174" t="s">
        <v>57</v>
      </c>
      <c r="AM174" s="11">
        <v>44777</v>
      </c>
      <c r="AN174" t="s">
        <v>183</v>
      </c>
      <c r="AO174" t="s">
        <v>65</v>
      </c>
      <c r="AP174">
        <v>1206</v>
      </c>
      <c r="AQ174" t="s">
        <v>66</v>
      </c>
      <c r="AR174">
        <v>89712</v>
      </c>
      <c r="AU174" t="s">
        <v>57</v>
      </c>
      <c r="AV174" t="s">
        <v>68</v>
      </c>
      <c r="AX174" t="s">
        <v>57</v>
      </c>
      <c r="AY174">
        <v>631110</v>
      </c>
      <c r="AZ174">
        <v>1206.63111</v>
      </c>
      <c r="BA174" s="23" t="s">
        <v>14</v>
      </c>
    </row>
    <row r="175" spans="1:53" x14ac:dyDescent="0.25">
      <c r="A175" t="s">
        <v>134</v>
      </c>
      <c r="B175" t="s">
        <v>135</v>
      </c>
      <c r="C175">
        <v>22002530</v>
      </c>
      <c r="D175">
        <v>1206</v>
      </c>
      <c r="E175" s="11">
        <v>44778</v>
      </c>
      <c r="F175" t="s">
        <v>185</v>
      </c>
      <c r="G175" s="25">
        <v>6.14</v>
      </c>
      <c r="H175">
        <v>6.14</v>
      </c>
      <c r="I175" t="s">
        <v>56</v>
      </c>
      <c r="O175" t="s">
        <v>57</v>
      </c>
      <c r="Q175" t="s">
        <v>57</v>
      </c>
      <c r="R175" t="s">
        <v>137</v>
      </c>
      <c r="T175" t="s">
        <v>59</v>
      </c>
      <c r="U175" t="s">
        <v>60</v>
      </c>
      <c r="V175" t="s">
        <v>138</v>
      </c>
      <c r="W175" t="s">
        <v>139</v>
      </c>
      <c r="X175">
        <v>1928799</v>
      </c>
      <c r="Y175" s="11">
        <v>44781</v>
      </c>
      <c r="Z175" t="s">
        <v>57</v>
      </c>
      <c r="AA175">
        <v>6</v>
      </c>
      <c r="AB175" t="s">
        <v>57</v>
      </c>
      <c r="AD175" t="s">
        <v>57</v>
      </c>
      <c r="AE175" t="s">
        <v>57</v>
      </c>
      <c r="AF175" t="s">
        <v>57</v>
      </c>
      <c r="AG175">
        <v>40</v>
      </c>
      <c r="AH175" t="s">
        <v>57</v>
      </c>
      <c r="AL175" t="s">
        <v>57</v>
      </c>
      <c r="AM175" s="11">
        <v>44778</v>
      </c>
      <c r="AN175" t="s">
        <v>183</v>
      </c>
      <c r="AO175" t="s">
        <v>65</v>
      </c>
      <c r="AP175">
        <v>1206</v>
      </c>
      <c r="AQ175" t="s">
        <v>66</v>
      </c>
      <c r="AR175">
        <v>89712</v>
      </c>
      <c r="AU175" t="s">
        <v>57</v>
      </c>
      <c r="AV175" t="s">
        <v>68</v>
      </c>
      <c r="AX175" t="s">
        <v>57</v>
      </c>
      <c r="AY175">
        <v>631110</v>
      </c>
      <c r="AZ175">
        <v>1206.63111</v>
      </c>
      <c r="BA175" s="23" t="s">
        <v>14</v>
      </c>
    </row>
    <row r="176" spans="1:53" x14ac:dyDescent="0.25">
      <c r="A176" t="s">
        <v>134</v>
      </c>
      <c r="B176" t="s">
        <v>135</v>
      </c>
      <c r="C176">
        <v>22002566</v>
      </c>
      <c r="D176">
        <v>1206</v>
      </c>
      <c r="E176" s="11">
        <v>44784</v>
      </c>
      <c r="F176" t="s">
        <v>185</v>
      </c>
      <c r="G176" s="25">
        <v>6.14</v>
      </c>
      <c r="H176">
        <v>6.14</v>
      </c>
      <c r="I176" t="s">
        <v>56</v>
      </c>
      <c r="O176" t="s">
        <v>57</v>
      </c>
      <c r="Q176" t="s">
        <v>57</v>
      </c>
      <c r="R176" t="s">
        <v>137</v>
      </c>
      <c r="T176" t="s">
        <v>59</v>
      </c>
      <c r="U176" t="s">
        <v>60</v>
      </c>
      <c r="V176" t="s">
        <v>138</v>
      </c>
      <c r="W176" t="s">
        <v>139</v>
      </c>
      <c r="X176">
        <v>1930539</v>
      </c>
      <c r="Y176" s="11">
        <v>44785</v>
      </c>
      <c r="Z176" t="s">
        <v>57</v>
      </c>
      <c r="AA176">
        <v>6</v>
      </c>
      <c r="AB176" t="s">
        <v>57</v>
      </c>
      <c r="AD176" t="s">
        <v>57</v>
      </c>
      <c r="AE176" t="s">
        <v>57</v>
      </c>
      <c r="AF176" t="s">
        <v>57</v>
      </c>
      <c r="AG176">
        <v>40</v>
      </c>
      <c r="AH176" t="s">
        <v>57</v>
      </c>
      <c r="AL176" t="s">
        <v>57</v>
      </c>
      <c r="AM176" s="11">
        <v>44784</v>
      </c>
      <c r="AN176" t="s">
        <v>183</v>
      </c>
      <c r="AO176" t="s">
        <v>65</v>
      </c>
      <c r="AP176">
        <v>1206</v>
      </c>
      <c r="AQ176" t="s">
        <v>66</v>
      </c>
      <c r="AR176">
        <v>89712</v>
      </c>
      <c r="AU176" t="s">
        <v>57</v>
      </c>
      <c r="AV176" t="s">
        <v>68</v>
      </c>
      <c r="AX176" t="s">
        <v>57</v>
      </c>
      <c r="AY176">
        <v>631110</v>
      </c>
      <c r="AZ176">
        <v>1206.63111</v>
      </c>
      <c r="BA176" s="23" t="s">
        <v>14</v>
      </c>
    </row>
    <row r="177" spans="1:53" x14ac:dyDescent="0.25">
      <c r="A177" t="s">
        <v>134</v>
      </c>
      <c r="B177" t="s">
        <v>135</v>
      </c>
      <c r="C177">
        <v>22002499</v>
      </c>
      <c r="D177">
        <v>1206</v>
      </c>
      <c r="E177" s="11">
        <v>44774</v>
      </c>
      <c r="F177" t="s">
        <v>185</v>
      </c>
      <c r="G177" s="25">
        <v>6.27</v>
      </c>
      <c r="H177">
        <v>6.27</v>
      </c>
      <c r="I177" t="s">
        <v>56</v>
      </c>
      <c r="O177" t="s">
        <v>57</v>
      </c>
      <c r="Q177" t="s">
        <v>57</v>
      </c>
      <c r="R177" t="s">
        <v>137</v>
      </c>
      <c r="T177" t="s">
        <v>59</v>
      </c>
      <c r="U177" t="s">
        <v>60</v>
      </c>
      <c r="V177" t="s">
        <v>138</v>
      </c>
      <c r="W177" t="s">
        <v>139</v>
      </c>
      <c r="X177">
        <v>1926722</v>
      </c>
      <c r="Y177" s="11">
        <v>44776</v>
      </c>
      <c r="Z177" t="s">
        <v>57</v>
      </c>
      <c r="AA177">
        <v>6</v>
      </c>
      <c r="AB177" t="s">
        <v>57</v>
      </c>
      <c r="AD177" t="s">
        <v>57</v>
      </c>
      <c r="AE177" t="s">
        <v>57</v>
      </c>
      <c r="AF177" t="s">
        <v>57</v>
      </c>
      <c r="AG177">
        <v>40</v>
      </c>
      <c r="AH177" t="s">
        <v>57</v>
      </c>
      <c r="AL177" t="s">
        <v>57</v>
      </c>
      <c r="AM177" s="11">
        <v>44774</v>
      </c>
      <c r="AN177" t="s">
        <v>183</v>
      </c>
      <c r="AO177" t="s">
        <v>65</v>
      </c>
      <c r="AP177">
        <v>1206</v>
      </c>
      <c r="AQ177" t="s">
        <v>66</v>
      </c>
      <c r="AR177">
        <v>89712</v>
      </c>
      <c r="AU177" t="s">
        <v>57</v>
      </c>
      <c r="AV177" t="s">
        <v>68</v>
      </c>
      <c r="AX177" t="s">
        <v>57</v>
      </c>
      <c r="AY177">
        <v>631110</v>
      </c>
      <c r="AZ177">
        <v>1206.63111</v>
      </c>
      <c r="BA177" s="23" t="s">
        <v>14</v>
      </c>
    </row>
    <row r="178" spans="1:53" x14ac:dyDescent="0.25">
      <c r="A178" t="s">
        <v>134</v>
      </c>
      <c r="B178" t="s">
        <v>135</v>
      </c>
      <c r="C178">
        <v>22002505</v>
      </c>
      <c r="D178">
        <v>1206</v>
      </c>
      <c r="E178" s="11">
        <v>44776</v>
      </c>
      <c r="F178" t="s">
        <v>185</v>
      </c>
      <c r="G178" s="25">
        <v>6.27</v>
      </c>
      <c r="H178">
        <v>6.27</v>
      </c>
      <c r="I178" t="s">
        <v>56</v>
      </c>
      <c r="O178" t="s">
        <v>57</v>
      </c>
      <c r="Q178" t="s">
        <v>57</v>
      </c>
      <c r="R178" t="s">
        <v>137</v>
      </c>
      <c r="T178" t="s">
        <v>59</v>
      </c>
      <c r="U178" t="s">
        <v>60</v>
      </c>
      <c r="V178" t="s">
        <v>138</v>
      </c>
      <c r="W178" t="s">
        <v>139</v>
      </c>
      <c r="X178">
        <v>1927077</v>
      </c>
      <c r="Y178" s="11">
        <v>44777</v>
      </c>
      <c r="Z178" t="s">
        <v>57</v>
      </c>
      <c r="AA178">
        <v>6</v>
      </c>
      <c r="AB178" t="s">
        <v>57</v>
      </c>
      <c r="AD178" t="s">
        <v>57</v>
      </c>
      <c r="AE178" t="s">
        <v>57</v>
      </c>
      <c r="AF178" t="s">
        <v>57</v>
      </c>
      <c r="AG178">
        <v>40</v>
      </c>
      <c r="AH178" t="s">
        <v>57</v>
      </c>
      <c r="AL178" t="s">
        <v>57</v>
      </c>
      <c r="AM178" s="11">
        <v>44776</v>
      </c>
      <c r="AN178" t="s">
        <v>183</v>
      </c>
      <c r="AO178" t="s">
        <v>65</v>
      </c>
      <c r="AP178">
        <v>1206</v>
      </c>
      <c r="AQ178" t="s">
        <v>66</v>
      </c>
      <c r="AR178">
        <v>89712</v>
      </c>
      <c r="AU178" t="s">
        <v>57</v>
      </c>
      <c r="AV178" t="s">
        <v>68</v>
      </c>
      <c r="AX178" t="s">
        <v>57</v>
      </c>
      <c r="AY178">
        <v>631110</v>
      </c>
      <c r="AZ178">
        <v>1206.63111</v>
      </c>
      <c r="BA178" s="23" t="s">
        <v>14</v>
      </c>
    </row>
    <row r="179" spans="1:53" x14ac:dyDescent="0.25">
      <c r="A179" t="s">
        <v>134</v>
      </c>
      <c r="B179" t="s">
        <v>135</v>
      </c>
      <c r="C179">
        <v>22002575</v>
      </c>
      <c r="D179">
        <v>1206</v>
      </c>
      <c r="E179" s="11">
        <v>44785</v>
      </c>
      <c r="F179" t="s">
        <v>174</v>
      </c>
      <c r="G179" s="25">
        <v>6.29</v>
      </c>
      <c r="H179">
        <v>6.29</v>
      </c>
      <c r="I179" t="s">
        <v>56</v>
      </c>
      <c r="O179" t="s">
        <v>57</v>
      </c>
      <c r="Q179" t="s">
        <v>57</v>
      </c>
      <c r="R179" t="s">
        <v>137</v>
      </c>
      <c r="T179" t="s">
        <v>59</v>
      </c>
      <c r="U179" t="s">
        <v>60</v>
      </c>
      <c r="V179" t="s">
        <v>138</v>
      </c>
      <c r="W179" t="s">
        <v>139</v>
      </c>
      <c r="X179">
        <v>1930627</v>
      </c>
      <c r="Y179" s="11">
        <v>44785</v>
      </c>
      <c r="Z179" t="s">
        <v>57</v>
      </c>
      <c r="AA179">
        <v>4</v>
      </c>
      <c r="AB179" t="s">
        <v>57</v>
      </c>
      <c r="AD179" t="s">
        <v>57</v>
      </c>
      <c r="AE179" t="s">
        <v>57</v>
      </c>
      <c r="AF179" t="s">
        <v>57</v>
      </c>
      <c r="AG179">
        <v>1</v>
      </c>
      <c r="AH179" t="s">
        <v>57</v>
      </c>
      <c r="AL179" t="s">
        <v>57</v>
      </c>
      <c r="AM179" s="11">
        <v>44785</v>
      </c>
      <c r="AN179" t="s">
        <v>184</v>
      </c>
      <c r="AO179" t="s">
        <v>65</v>
      </c>
      <c r="AP179">
        <v>1206</v>
      </c>
      <c r="AQ179" t="s">
        <v>66</v>
      </c>
      <c r="AR179">
        <v>207987</v>
      </c>
      <c r="AU179" t="s">
        <v>57</v>
      </c>
      <c r="AV179" t="s">
        <v>68</v>
      </c>
      <c r="AX179" t="s">
        <v>57</v>
      </c>
      <c r="AY179">
        <v>631110</v>
      </c>
      <c r="AZ179">
        <v>1206.63111</v>
      </c>
      <c r="BA179" s="23" t="s">
        <v>14</v>
      </c>
    </row>
    <row r="180" spans="1:53" x14ac:dyDescent="0.25">
      <c r="A180" t="s">
        <v>134</v>
      </c>
      <c r="B180" t="s">
        <v>135</v>
      </c>
      <c r="C180">
        <v>22002602</v>
      </c>
      <c r="D180">
        <v>1206</v>
      </c>
      <c r="E180" s="11">
        <v>44791</v>
      </c>
      <c r="F180" t="s">
        <v>174</v>
      </c>
      <c r="G180" s="25">
        <v>6.55</v>
      </c>
      <c r="H180">
        <v>6.55</v>
      </c>
      <c r="I180" t="s">
        <v>56</v>
      </c>
      <c r="O180" t="s">
        <v>57</v>
      </c>
      <c r="Q180" t="s">
        <v>57</v>
      </c>
      <c r="R180" t="s">
        <v>137</v>
      </c>
      <c r="T180" t="s">
        <v>59</v>
      </c>
      <c r="U180" t="s">
        <v>60</v>
      </c>
      <c r="V180" t="s">
        <v>138</v>
      </c>
      <c r="W180" t="s">
        <v>139</v>
      </c>
      <c r="X180">
        <v>1934071</v>
      </c>
      <c r="Y180" s="11">
        <v>44792</v>
      </c>
      <c r="Z180" t="s">
        <v>57</v>
      </c>
      <c r="AA180">
        <v>6</v>
      </c>
      <c r="AB180" t="s">
        <v>57</v>
      </c>
      <c r="AD180" t="s">
        <v>57</v>
      </c>
      <c r="AE180" t="s">
        <v>57</v>
      </c>
      <c r="AF180" t="s">
        <v>57</v>
      </c>
      <c r="AG180">
        <v>1</v>
      </c>
      <c r="AH180" t="s">
        <v>57</v>
      </c>
      <c r="AL180" t="s">
        <v>57</v>
      </c>
      <c r="AM180" s="11">
        <v>44791</v>
      </c>
      <c r="AN180" t="s">
        <v>184</v>
      </c>
      <c r="AO180" t="s">
        <v>65</v>
      </c>
      <c r="AP180">
        <v>1206</v>
      </c>
      <c r="AQ180" t="s">
        <v>66</v>
      </c>
      <c r="AR180">
        <v>215141</v>
      </c>
      <c r="AU180" t="s">
        <v>57</v>
      </c>
      <c r="AV180" t="s">
        <v>68</v>
      </c>
      <c r="AX180" t="s">
        <v>57</v>
      </c>
      <c r="AY180">
        <v>631110</v>
      </c>
      <c r="AZ180">
        <v>1206.63111</v>
      </c>
      <c r="BA180" s="23" t="s">
        <v>14</v>
      </c>
    </row>
    <row r="181" spans="1:53" x14ac:dyDescent="0.25">
      <c r="A181" t="s">
        <v>134</v>
      </c>
      <c r="B181" t="s">
        <v>135</v>
      </c>
      <c r="C181">
        <v>22002609</v>
      </c>
      <c r="D181">
        <v>1206</v>
      </c>
      <c r="E181" s="11">
        <v>44792</v>
      </c>
      <c r="F181" t="s">
        <v>174</v>
      </c>
      <c r="G181" s="25">
        <v>6.73</v>
      </c>
      <c r="H181">
        <v>6.73</v>
      </c>
      <c r="I181" t="s">
        <v>56</v>
      </c>
      <c r="O181" t="s">
        <v>57</v>
      </c>
      <c r="Q181" t="s">
        <v>57</v>
      </c>
      <c r="R181" t="s">
        <v>137</v>
      </c>
      <c r="T181" t="s">
        <v>59</v>
      </c>
      <c r="U181" t="s">
        <v>60</v>
      </c>
      <c r="V181" t="s">
        <v>138</v>
      </c>
      <c r="W181" t="s">
        <v>139</v>
      </c>
      <c r="X181">
        <v>1934080</v>
      </c>
      <c r="Y181" s="11">
        <v>44792</v>
      </c>
      <c r="Z181" t="s">
        <v>57</v>
      </c>
      <c r="AA181">
        <v>2</v>
      </c>
      <c r="AB181" t="s">
        <v>57</v>
      </c>
      <c r="AD181" t="s">
        <v>57</v>
      </c>
      <c r="AE181" t="s">
        <v>57</v>
      </c>
      <c r="AF181" t="s">
        <v>57</v>
      </c>
      <c r="AG181">
        <v>2</v>
      </c>
      <c r="AH181" t="s">
        <v>57</v>
      </c>
      <c r="AL181" t="s">
        <v>57</v>
      </c>
      <c r="AM181" s="11">
        <v>44792</v>
      </c>
      <c r="AN181" t="s">
        <v>184</v>
      </c>
      <c r="AO181" t="s">
        <v>65</v>
      </c>
      <c r="AP181">
        <v>1206</v>
      </c>
      <c r="AQ181" t="s">
        <v>66</v>
      </c>
      <c r="AR181">
        <v>206793</v>
      </c>
      <c r="AU181" t="s">
        <v>57</v>
      </c>
      <c r="AV181" t="s">
        <v>68</v>
      </c>
      <c r="AX181" t="s">
        <v>57</v>
      </c>
      <c r="AY181">
        <v>631110</v>
      </c>
      <c r="AZ181">
        <v>1206.63111</v>
      </c>
      <c r="BA181" s="23" t="s">
        <v>14</v>
      </c>
    </row>
    <row r="182" spans="1:53" x14ac:dyDescent="0.25">
      <c r="A182" t="s">
        <v>134</v>
      </c>
      <c r="B182" t="s">
        <v>135</v>
      </c>
      <c r="C182">
        <v>22002511</v>
      </c>
      <c r="D182">
        <v>1206</v>
      </c>
      <c r="E182" s="11">
        <v>44777</v>
      </c>
      <c r="F182" t="s">
        <v>174</v>
      </c>
      <c r="G182" s="25">
        <v>6.86</v>
      </c>
      <c r="H182">
        <v>6.86</v>
      </c>
      <c r="I182" t="s">
        <v>56</v>
      </c>
      <c r="O182" t="s">
        <v>57</v>
      </c>
      <c r="Q182" t="s">
        <v>57</v>
      </c>
      <c r="R182" t="s">
        <v>137</v>
      </c>
      <c r="T182" t="s">
        <v>59</v>
      </c>
      <c r="U182" t="s">
        <v>60</v>
      </c>
      <c r="V182" t="s">
        <v>138</v>
      </c>
      <c r="W182" t="s">
        <v>139</v>
      </c>
      <c r="X182">
        <v>1927633</v>
      </c>
      <c r="Y182" s="11">
        <v>44777</v>
      </c>
      <c r="Z182" t="s">
        <v>57</v>
      </c>
      <c r="AA182">
        <v>6</v>
      </c>
      <c r="AB182" t="s">
        <v>57</v>
      </c>
      <c r="AD182" t="s">
        <v>57</v>
      </c>
      <c r="AE182" t="s">
        <v>57</v>
      </c>
      <c r="AF182" t="s">
        <v>57</v>
      </c>
      <c r="AG182">
        <v>2</v>
      </c>
      <c r="AH182" t="s">
        <v>57</v>
      </c>
      <c r="AL182" t="s">
        <v>57</v>
      </c>
      <c r="AM182" s="11">
        <v>44777</v>
      </c>
      <c r="AN182" t="s">
        <v>184</v>
      </c>
      <c r="AO182" t="s">
        <v>65</v>
      </c>
      <c r="AP182">
        <v>1206</v>
      </c>
      <c r="AQ182" t="s">
        <v>66</v>
      </c>
      <c r="AR182">
        <v>206793</v>
      </c>
      <c r="AU182" t="s">
        <v>57</v>
      </c>
      <c r="AV182" t="s">
        <v>68</v>
      </c>
      <c r="AX182" t="s">
        <v>57</v>
      </c>
      <c r="AY182">
        <v>631110</v>
      </c>
      <c r="AZ182">
        <v>1206.63111</v>
      </c>
      <c r="BA182" s="23" t="s">
        <v>14</v>
      </c>
    </row>
    <row r="183" spans="1:53" x14ac:dyDescent="0.25">
      <c r="A183" t="s">
        <v>134</v>
      </c>
      <c r="B183" t="s">
        <v>135</v>
      </c>
      <c r="C183">
        <v>22002548</v>
      </c>
      <c r="D183">
        <v>1206</v>
      </c>
      <c r="E183" s="11">
        <v>44782</v>
      </c>
      <c r="F183" t="s">
        <v>174</v>
      </c>
      <c r="G183" s="25">
        <v>6.86</v>
      </c>
      <c r="H183">
        <v>6.86</v>
      </c>
      <c r="I183" t="s">
        <v>56</v>
      </c>
      <c r="O183" t="s">
        <v>57</v>
      </c>
      <c r="Q183" t="s">
        <v>57</v>
      </c>
      <c r="R183" t="s">
        <v>137</v>
      </c>
      <c r="T183" t="s">
        <v>59</v>
      </c>
      <c r="U183" t="s">
        <v>60</v>
      </c>
      <c r="V183" t="s">
        <v>138</v>
      </c>
      <c r="W183" t="s">
        <v>139</v>
      </c>
      <c r="X183">
        <v>1930246</v>
      </c>
      <c r="Y183" s="11">
        <v>44783</v>
      </c>
      <c r="Z183" t="s">
        <v>57</v>
      </c>
      <c r="AA183">
        <v>6</v>
      </c>
      <c r="AB183" t="s">
        <v>57</v>
      </c>
      <c r="AD183" t="s">
        <v>57</v>
      </c>
      <c r="AE183" t="s">
        <v>57</v>
      </c>
      <c r="AF183" t="s">
        <v>57</v>
      </c>
      <c r="AG183">
        <v>2</v>
      </c>
      <c r="AH183" t="s">
        <v>57</v>
      </c>
      <c r="AL183" t="s">
        <v>57</v>
      </c>
      <c r="AM183" s="11">
        <v>44782</v>
      </c>
      <c r="AN183" t="s">
        <v>184</v>
      </c>
      <c r="AO183" t="s">
        <v>65</v>
      </c>
      <c r="AP183">
        <v>1206</v>
      </c>
      <c r="AQ183" t="s">
        <v>66</v>
      </c>
      <c r="AR183">
        <v>206793</v>
      </c>
      <c r="AU183" t="s">
        <v>57</v>
      </c>
      <c r="AV183" t="s">
        <v>68</v>
      </c>
      <c r="AX183" t="s">
        <v>57</v>
      </c>
      <c r="AY183">
        <v>631110</v>
      </c>
      <c r="AZ183">
        <v>1206.63111</v>
      </c>
      <c r="BA183" s="23" t="s">
        <v>14</v>
      </c>
    </row>
    <row r="184" spans="1:53" x14ac:dyDescent="0.25">
      <c r="A184" t="s">
        <v>134</v>
      </c>
      <c r="B184" t="s">
        <v>135</v>
      </c>
      <c r="C184">
        <v>22002548</v>
      </c>
      <c r="D184">
        <v>1206</v>
      </c>
      <c r="E184" s="11">
        <v>44782</v>
      </c>
      <c r="F184" t="s">
        <v>174</v>
      </c>
      <c r="G184" s="25">
        <v>7.29</v>
      </c>
      <c r="H184">
        <v>7.29</v>
      </c>
      <c r="I184" t="s">
        <v>56</v>
      </c>
      <c r="O184" t="s">
        <v>57</v>
      </c>
      <c r="Q184" t="s">
        <v>57</v>
      </c>
      <c r="R184" t="s">
        <v>137</v>
      </c>
      <c r="T184" t="s">
        <v>59</v>
      </c>
      <c r="U184" t="s">
        <v>60</v>
      </c>
      <c r="V184" t="s">
        <v>138</v>
      </c>
      <c r="W184" t="s">
        <v>139</v>
      </c>
      <c r="X184">
        <v>1930246</v>
      </c>
      <c r="Y184" s="11">
        <v>44783</v>
      </c>
      <c r="Z184" t="s">
        <v>57</v>
      </c>
      <c r="AA184">
        <v>2</v>
      </c>
      <c r="AB184" t="s">
        <v>57</v>
      </c>
      <c r="AD184" t="s">
        <v>57</v>
      </c>
      <c r="AE184" t="s">
        <v>57</v>
      </c>
      <c r="AF184" t="s">
        <v>57</v>
      </c>
      <c r="AG184">
        <v>2</v>
      </c>
      <c r="AH184" t="s">
        <v>57</v>
      </c>
      <c r="AL184" t="s">
        <v>57</v>
      </c>
      <c r="AM184" s="11">
        <v>44782</v>
      </c>
      <c r="AN184" t="s">
        <v>184</v>
      </c>
      <c r="AO184" t="s">
        <v>65</v>
      </c>
      <c r="AP184">
        <v>1206</v>
      </c>
      <c r="AQ184" t="s">
        <v>66</v>
      </c>
      <c r="AR184">
        <v>230640</v>
      </c>
      <c r="AU184" t="s">
        <v>57</v>
      </c>
      <c r="AV184" t="s">
        <v>68</v>
      </c>
      <c r="AX184" t="s">
        <v>57</v>
      </c>
      <c r="AY184">
        <v>631110</v>
      </c>
      <c r="AZ184">
        <v>1206.63111</v>
      </c>
      <c r="BA184" s="23" t="s">
        <v>14</v>
      </c>
    </row>
    <row r="185" spans="1:53" x14ac:dyDescent="0.25">
      <c r="A185" t="s">
        <v>134</v>
      </c>
      <c r="B185" t="s">
        <v>135</v>
      </c>
      <c r="C185">
        <v>22002510</v>
      </c>
      <c r="D185">
        <v>1206</v>
      </c>
      <c r="E185" s="11">
        <v>44777</v>
      </c>
      <c r="F185" t="s">
        <v>172</v>
      </c>
      <c r="G185" s="25">
        <v>7.42</v>
      </c>
      <c r="H185">
        <v>7.42</v>
      </c>
      <c r="I185" t="s">
        <v>56</v>
      </c>
      <c r="O185" t="s">
        <v>57</v>
      </c>
      <c r="Q185" t="s">
        <v>57</v>
      </c>
      <c r="R185" t="s">
        <v>137</v>
      </c>
      <c r="T185" t="s">
        <v>59</v>
      </c>
      <c r="U185" t="s">
        <v>60</v>
      </c>
      <c r="V185" t="s">
        <v>138</v>
      </c>
      <c r="W185" t="s">
        <v>139</v>
      </c>
      <c r="X185">
        <v>1927633</v>
      </c>
      <c r="Y185" s="11">
        <v>44777</v>
      </c>
      <c r="Z185" t="s">
        <v>57</v>
      </c>
      <c r="AA185">
        <v>2</v>
      </c>
      <c r="AB185" t="s">
        <v>57</v>
      </c>
      <c r="AD185" t="s">
        <v>57</v>
      </c>
      <c r="AE185" t="s">
        <v>57</v>
      </c>
      <c r="AF185" t="s">
        <v>57</v>
      </c>
      <c r="AG185">
        <v>1</v>
      </c>
      <c r="AH185" t="s">
        <v>57</v>
      </c>
      <c r="AL185" t="s">
        <v>57</v>
      </c>
      <c r="AM185" s="11">
        <v>44777</v>
      </c>
      <c r="AN185" t="s">
        <v>184</v>
      </c>
      <c r="AO185" t="s">
        <v>65</v>
      </c>
      <c r="AP185">
        <v>1206</v>
      </c>
      <c r="AQ185" t="s">
        <v>66</v>
      </c>
      <c r="AR185">
        <v>225948</v>
      </c>
      <c r="AU185" t="s">
        <v>57</v>
      </c>
      <c r="AV185" t="s">
        <v>68</v>
      </c>
      <c r="AX185" t="s">
        <v>57</v>
      </c>
      <c r="AY185">
        <v>631110</v>
      </c>
      <c r="AZ185">
        <v>1206.63111</v>
      </c>
      <c r="BA185" s="23" t="s">
        <v>14</v>
      </c>
    </row>
    <row r="186" spans="1:53" x14ac:dyDescent="0.25">
      <c r="A186" t="s">
        <v>134</v>
      </c>
      <c r="B186" t="s">
        <v>135</v>
      </c>
      <c r="C186">
        <v>22002554</v>
      </c>
      <c r="D186">
        <v>1206</v>
      </c>
      <c r="E186" s="11">
        <v>44783</v>
      </c>
      <c r="F186" t="s">
        <v>172</v>
      </c>
      <c r="G186" s="25">
        <v>7.42</v>
      </c>
      <c r="H186">
        <v>7.42</v>
      </c>
      <c r="I186" t="s">
        <v>56</v>
      </c>
      <c r="O186" t="s">
        <v>57</v>
      </c>
      <c r="Q186" t="s">
        <v>57</v>
      </c>
      <c r="R186" t="s">
        <v>137</v>
      </c>
      <c r="T186" t="s">
        <v>59</v>
      </c>
      <c r="U186" t="s">
        <v>60</v>
      </c>
      <c r="V186" t="s">
        <v>138</v>
      </c>
      <c r="W186" t="s">
        <v>139</v>
      </c>
      <c r="X186">
        <v>1930431</v>
      </c>
      <c r="Y186" s="11">
        <v>44784</v>
      </c>
      <c r="Z186" t="s">
        <v>57</v>
      </c>
      <c r="AA186">
        <v>4</v>
      </c>
      <c r="AB186" t="s">
        <v>57</v>
      </c>
      <c r="AD186" t="s">
        <v>57</v>
      </c>
      <c r="AE186" t="s">
        <v>57</v>
      </c>
      <c r="AF186" t="s">
        <v>57</v>
      </c>
      <c r="AG186">
        <v>1</v>
      </c>
      <c r="AH186" t="s">
        <v>57</v>
      </c>
      <c r="AL186" t="s">
        <v>57</v>
      </c>
      <c r="AM186" s="11">
        <v>44783</v>
      </c>
      <c r="AN186" t="s">
        <v>184</v>
      </c>
      <c r="AO186" t="s">
        <v>65</v>
      </c>
      <c r="AP186">
        <v>1206</v>
      </c>
      <c r="AQ186" t="s">
        <v>66</v>
      </c>
      <c r="AR186">
        <v>225948</v>
      </c>
      <c r="AU186" t="s">
        <v>57</v>
      </c>
      <c r="AV186" t="s">
        <v>68</v>
      </c>
      <c r="AX186" t="s">
        <v>57</v>
      </c>
      <c r="AY186">
        <v>631110</v>
      </c>
      <c r="AZ186">
        <v>1206.63111</v>
      </c>
      <c r="BA186" s="23" t="s">
        <v>14</v>
      </c>
    </row>
    <row r="187" spans="1:53" x14ac:dyDescent="0.25">
      <c r="A187" t="s">
        <v>134</v>
      </c>
      <c r="B187" t="s">
        <v>135</v>
      </c>
      <c r="C187">
        <v>22002585</v>
      </c>
      <c r="D187">
        <v>1206</v>
      </c>
      <c r="E187" s="11">
        <v>44788</v>
      </c>
      <c r="F187" t="s">
        <v>172</v>
      </c>
      <c r="G187" s="25">
        <v>7.42</v>
      </c>
      <c r="H187">
        <v>7.42</v>
      </c>
      <c r="I187" t="s">
        <v>56</v>
      </c>
      <c r="O187" t="s">
        <v>57</v>
      </c>
      <c r="Q187" t="s">
        <v>57</v>
      </c>
      <c r="R187" t="s">
        <v>137</v>
      </c>
      <c r="T187" t="s">
        <v>59</v>
      </c>
      <c r="U187" t="s">
        <v>60</v>
      </c>
      <c r="V187" t="s">
        <v>138</v>
      </c>
      <c r="W187" t="s">
        <v>139</v>
      </c>
      <c r="X187">
        <v>1933170</v>
      </c>
      <c r="Y187" s="11">
        <v>44789</v>
      </c>
      <c r="Z187" t="s">
        <v>57</v>
      </c>
      <c r="AA187">
        <v>4</v>
      </c>
      <c r="AB187" t="s">
        <v>57</v>
      </c>
      <c r="AD187" t="s">
        <v>57</v>
      </c>
      <c r="AE187" t="s">
        <v>57</v>
      </c>
      <c r="AF187" t="s">
        <v>57</v>
      </c>
      <c r="AG187">
        <v>1</v>
      </c>
      <c r="AH187" t="s">
        <v>57</v>
      </c>
      <c r="AL187" t="s">
        <v>57</v>
      </c>
      <c r="AM187" s="11">
        <v>44788</v>
      </c>
      <c r="AN187" t="s">
        <v>184</v>
      </c>
      <c r="AO187" t="s">
        <v>65</v>
      </c>
      <c r="AP187">
        <v>1206</v>
      </c>
      <c r="AQ187" t="s">
        <v>66</v>
      </c>
      <c r="AR187">
        <v>225948</v>
      </c>
      <c r="AU187" t="s">
        <v>57</v>
      </c>
      <c r="AV187" t="s">
        <v>68</v>
      </c>
      <c r="AX187" t="s">
        <v>57</v>
      </c>
      <c r="AY187">
        <v>631110</v>
      </c>
      <c r="AZ187">
        <v>1206.63111</v>
      </c>
      <c r="BA187" s="23" t="s">
        <v>14</v>
      </c>
    </row>
    <row r="188" spans="1:53" x14ac:dyDescent="0.25">
      <c r="A188" t="s">
        <v>134</v>
      </c>
      <c r="B188" t="s">
        <v>135</v>
      </c>
      <c r="C188">
        <v>22002485</v>
      </c>
      <c r="D188">
        <v>1206</v>
      </c>
      <c r="E188" s="11">
        <v>44774</v>
      </c>
      <c r="F188" t="s">
        <v>172</v>
      </c>
      <c r="G188" s="25">
        <v>8.06</v>
      </c>
      <c r="H188">
        <v>8.06</v>
      </c>
      <c r="I188" t="s">
        <v>56</v>
      </c>
      <c r="O188" t="s">
        <v>57</v>
      </c>
      <c r="Q188" t="s">
        <v>57</v>
      </c>
      <c r="R188" t="s">
        <v>137</v>
      </c>
      <c r="T188" t="s">
        <v>59</v>
      </c>
      <c r="U188" t="s">
        <v>60</v>
      </c>
      <c r="V188" t="s">
        <v>138</v>
      </c>
      <c r="W188" t="s">
        <v>139</v>
      </c>
      <c r="X188">
        <v>1925600</v>
      </c>
      <c r="Y188" s="11">
        <v>44774</v>
      </c>
      <c r="Z188" t="s">
        <v>57</v>
      </c>
      <c r="AA188">
        <v>2</v>
      </c>
      <c r="AB188" t="s">
        <v>57</v>
      </c>
      <c r="AD188" t="s">
        <v>57</v>
      </c>
      <c r="AE188" t="s">
        <v>57</v>
      </c>
      <c r="AF188" t="s">
        <v>57</v>
      </c>
      <c r="AG188">
        <v>1</v>
      </c>
      <c r="AH188" t="s">
        <v>57</v>
      </c>
      <c r="AL188" t="s">
        <v>57</v>
      </c>
      <c r="AM188" s="11">
        <v>44774</v>
      </c>
      <c r="AN188" t="s">
        <v>184</v>
      </c>
      <c r="AO188" t="s">
        <v>65</v>
      </c>
      <c r="AP188">
        <v>1206</v>
      </c>
      <c r="AQ188" t="s">
        <v>66</v>
      </c>
      <c r="AR188">
        <v>279991</v>
      </c>
      <c r="AU188" t="s">
        <v>57</v>
      </c>
      <c r="AV188" t="s">
        <v>68</v>
      </c>
      <c r="AX188" t="s">
        <v>57</v>
      </c>
      <c r="AY188">
        <v>631110</v>
      </c>
      <c r="AZ188">
        <v>1206.63111</v>
      </c>
      <c r="BA188" s="23" t="s">
        <v>14</v>
      </c>
    </row>
    <row r="189" spans="1:53" x14ac:dyDescent="0.25">
      <c r="A189" t="s">
        <v>134</v>
      </c>
      <c r="B189" t="s">
        <v>135</v>
      </c>
      <c r="C189">
        <v>22002510</v>
      </c>
      <c r="D189">
        <v>1206</v>
      </c>
      <c r="E189" s="11">
        <v>44777</v>
      </c>
      <c r="F189" t="s">
        <v>172</v>
      </c>
      <c r="G189" s="25">
        <v>8.06</v>
      </c>
      <c r="H189">
        <v>8.06</v>
      </c>
      <c r="I189" t="s">
        <v>56</v>
      </c>
      <c r="O189" t="s">
        <v>57</v>
      </c>
      <c r="Q189" t="s">
        <v>57</v>
      </c>
      <c r="R189" t="s">
        <v>137</v>
      </c>
      <c r="T189" t="s">
        <v>59</v>
      </c>
      <c r="U189" t="s">
        <v>60</v>
      </c>
      <c r="V189" t="s">
        <v>138</v>
      </c>
      <c r="W189" t="s">
        <v>139</v>
      </c>
      <c r="X189">
        <v>1927633</v>
      </c>
      <c r="Y189" s="11">
        <v>44777</v>
      </c>
      <c r="Z189" t="s">
        <v>57</v>
      </c>
      <c r="AA189">
        <v>4</v>
      </c>
      <c r="AB189" t="s">
        <v>57</v>
      </c>
      <c r="AD189" t="s">
        <v>57</v>
      </c>
      <c r="AE189" t="s">
        <v>57</v>
      </c>
      <c r="AF189" t="s">
        <v>57</v>
      </c>
      <c r="AG189">
        <v>1</v>
      </c>
      <c r="AH189" t="s">
        <v>57</v>
      </c>
      <c r="AL189" t="s">
        <v>57</v>
      </c>
      <c r="AM189" s="11">
        <v>44777</v>
      </c>
      <c r="AN189" t="s">
        <v>184</v>
      </c>
      <c r="AO189" t="s">
        <v>65</v>
      </c>
      <c r="AP189">
        <v>1206</v>
      </c>
      <c r="AQ189" t="s">
        <v>66</v>
      </c>
      <c r="AR189">
        <v>279991</v>
      </c>
      <c r="AU189" t="s">
        <v>57</v>
      </c>
      <c r="AV189" t="s">
        <v>68</v>
      </c>
      <c r="AX189" t="s">
        <v>57</v>
      </c>
      <c r="AY189">
        <v>631110</v>
      </c>
      <c r="AZ189">
        <v>1206.63111</v>
      </c>
      <c r="BA189" s="23" t="s">
        <v>14</v>
      </c>
    </row>
    <row r="190" spans="1:53" x14ac:dyDescent="0.25">
      <c r="A190" t="s">
        <v>134</v>
      </c>
      <c r="B190" t="s">
        <v>135</v>
      </c>
      <c r="C190">
        <v>22002538</v>
      </c>
      <c r="D190">
        <v>1206</v>
      </c>
      <c r="E190" s="11">
        <v>44781</v>
      </c>
      <c r="F190" t="s">
        <v>172</v>
      </c>
      <c r="G190" s="25">
        <v>8.06</v>
      </c>
      <c r="H190">
        <v>8.06</v>
      </c>
      <c r="I190" t="s">
        <v>56</v>
      </c>
      <c r="O190" t="s">
        <v>57</v>
      </c>
      <c r="Q190" t="s">
        <v>57</v>
      </c>
      <c r="R190" t="s">
        <v>137</v>
      </c>
      <c r="T190" t="s">
        <v>59</v>
      </c>
      <c r="U190" t="s">
        <v>60</v>
      </c>
      <c r="V190" t="s">
        <v>138</v>
      </c>
      <c r="W190" t="s">
        <v>139</v>
      </c>
      <c r="X190">
        <v>1929247</v>
      </c>
      <c r="Y190" s="11">
        <v>44782</v>
      </c>
      <c r="Z190" t="s">
        <v>57</v>
      </c>
      <c r="AA190">
        <v>2</v>
      </c>
      <c r="AB190" t="s">
        <v>57</v>
      </c>
      <c r="AD190" t="s">
        <v>57</v>
      </c>
      <c r="AE190" t="s">
        <v>57</v>
      </c>
      <c r="AF190" t="s">
        <v>57</v>
      </c>
      <c r="AG190">
        <v>1</v>
      </c>
      <c r="AH190" t="s">
        <v>57</v>
      </c>
      <c r="AL190" t="s">
        <v>57</v>
      </c>
      <c r="AM190" s="11">
        <v>44781</v>
      </c>
      <c r="AN190" t="s">
        <v>184</v>
      </c>
      <c r="AO190" t="s">
        <v>65</v>
      </c>
      <c r="AP190">
        <v>1206</v>
      </c>
      <c r="AQ190" t="s">
        <v>66</v>
      </c>
      <c r="AR190">
        <v>279991</v>
      </c>
      <c r="AU190" t="s">
        <v>57</v>
      </c>
      <c r="AV190" t="s">
        <v>68</v>
      </c>
      <c r="AX190" t="s">
        <v>57</v>
      </c>
      <c r="AY190">
        <v>631110</v>
      </c>
      <c r="AZ190">
        <v>1206.63111</v>
      </c>
      <c r="BA190" s="23" t="s">
        <v>14</v>
      </c>
    </row>
    <row r="191" spans="1:53" x14ac:dyDescent="0.25">
      <c r="A191" t="s">
        <v>134</v>
      </c>
      <c r="B191" t="s">
        <v>135</v>
      </c>
      <c r="C191">
        <v>22002485</v>
      </c>
      <c r="D191">
        <v>1206</v>
      </c>
      <c r="E191" s="11">
        <v>44774</v>
      </c>
      <c r="F191" t="s">
        <v>172</v>
      </c>
      <c r="G191" s="25">
        <v>8.3699999999999992</v>
      </c>
      <c r="H191">
        <v>8.3699999999999992</v>
      </c>
      <c r="I191" t="s">
        <v>56</v>
      </c>
      <c r="O191" t="s">
        <v>57</v>
      </c>
      <c r="Q191" t="s">
        <v>57</v>
      </c>
      <c r="R191" t="s">
        <v>137</v>
      </c>
      <c r="T191" t="s">
        <v>59</v>
      </c>
      <c r="U191" t="s">
        <v>60</v>
      </c>
      <c r="V191" t="s">
        <v>138</v>
      </c>
      <c r="W191" t="s">
        <v>139</v>
      </c>
      <c r="X191">
        <v>1925600</v>
      </c>
      <c r="Y191" s="11">
        <v>44774</v>
      </c>
      <c r="Z191" t="s">
        <v>57</v>
      </c>
      <c r="AA191">
        <v>4</v>
      </c>
      <c r="AB191" t="s">
        <v>57</v>
      </c>
      <c r="AD191" t="s">
        <v>57</v>
      </c>
      <c r="AE191" t="s">
        <v>57</v>
      </c>
      <c r="AF191" t="s">
        <v>57</v>
      </c>
      <c r="AG191">
        <v>1</v>
      </c>
      <c r="AH191" t="s">
        <v>57</v>
      </c>
      <c r="AL191" t="s">
        <v>57</v>
      </c>
      <c r="AM191" s="11">
        <v>44774</v>
      </c>
      <c r="AN191" t="s">
        <v>184</v>
      </c>
      <c r="AO191" t="s">
        <v>65</v>
      </c>
      <c r="AP191">
        <v>1206</v>
      </c>
      <c r="AQ191" t="s">
        <v>66</v>
      </c>
      <c r="AR191">
        <v>239927</v>
      </c>
      <c r="AU191" t="s">
        <v>57</v>
      </c>
      <c r="AV191" t="s">
        <v>68</v>
      </c>
      <c r="AX191" t="s">
        <v>57</v>
      </c>
      <c r="AY191">
        <v>631110</v>
      </c>
      <c r="AZ191">
        <v>1206.63111</v>
      </c>
      <c r="BA191" s="23" t="s">
        <v>14</v>
      </c>
    </row>
    <row r="192" spans="1:53" x14ac:dyDescent="0.25">
      <c r="A192" t="s">
        <v>134</v>
      </c>
      <c r="B192" t="s">
        <v>135</v>
      </c>
      <c r="C192">
        <v>22002538</v>
      </c>
      <c r="D192">
        <v>1206</v>
      </c>
      <c r="E192" s="11">
        <v>44781</v>
      </c>
      <c r="F192" t="s">
        <v>172</v>
      </c>
      <c r="G192" s="25">
        <v>8.3699999999999992</v>
      </c>
      <c r="H192">
        <v>8.3699999999999992</v>
      </c>
      <c r="I192" t="s">
        <v>56</v>
      </c>
      <c r="O192" t="s">
        <v>57</v>
      </c>
      <c r="Q192" t="s">
        <v>57</v>
      </c>
      <c r="R192" t="s">
        <v>137</v>
      </c>
      <c r="T192" t="s">
        <v>59</v>
      </c>
      <c r="U192" t="s">
        <v>60</v>
      </c>
      <c r="V192" t="s">
        <v>138</v>
      </c>
      <c r="W192" t="s">
        <v>139</v>
      </c>
      <c r="X192">
        <v>1929247</v>
      </c>
      <c r="Y192" s="11">
        <v>44782</v>
      </c>
      <c r="Z192" t="s">
        <v>57</v>
      </c>
      <c r="AA192">
        <v>4</v>
      </c>
      <c r="AB192" t="s">
        <v>57</v>
      </c>
      <c r="AD192" t="s">
        <v>57</v>
      </c>
      <c r="AE192" t="s">
        <v>57</v>
      </c>
      <c r="AF192" t="s">
        <v>57</v>
      </c>
      <c r="AG192">
        <v>1</v>
      </c>
      <c r="AH192" t="s">
        <v>57</v>
      </c>
      <c r="AL192" t="s">
        <v>57</v>
      </c>
      <c r="AM192" s="11">
        <v>44781</v>
      </c>
      <c r="AN192" t="s">
        <v>184</v>
      </c>
      <c r="AO192" t="s">
        <v>65</v>
      </c>
      <c r="AP192">
        <v>1206</v>
      </c>
      <c r="AQ192" t="s">
        <v>66</v>
      </c>
      <c r="AR192">
        <v>239927</v>
      </c>
      <c r="AU192" t="s">
        <v>57</v>
      </c>
      <c r="AV192" t="s">
        <v>68</v>
      </c>
      <c r="AX192" t="s">
        <v>57</v>
      </c>
      <c r="AY192">
        <v>631110</v>
      </c>
      <c r="AZ192">
        <v>1206.63111</v>
      </c>
      <c r="BA192" s="23" t="s">
        <v>14</v>
      </c>
    </row>
    <row r="193" spans="1:53" x14ac:dyDescent="0.25">
      <c r="A193" t="s">
        <v>134</v>
      </c>
      <c r="B193" t="s">
        <v>135</v>
      </c>
      <c r="C193">
        <v>22002606</v>
      </c>
      <c r="D193">
        <v>1206</v>
      </c>
      <c r="E193" s="11">
        <v>44792</v>
      </c>
      <c r="F193" t="s">
        <v>159</v>
      </c>
      <c r="G193" s="25">
        <v>9.51</v>
      </c>
      <c r="H193">
        <v>9.51</v>
      </c>
      <c r="I193" t="s">
        <v>56</v>
      </c>
      <c r="O193" t="s">
        <v>57</v>
      </c>
      <c r="Q193" t="s">
        <v>57</v>
      </c>
      <c r="R193" t="s">
        <v>137</v>
      </c>
      <c r="T193" t="s">
        <v>59</v>
      </c>
      <c r="U193" t="s">
        <v>60</v>
      </c>
      <c r="V193" t="s">
        <v>138</v>
      </c>
      <c r="W193" t="s">
        <v>139</v>
      </c>
      <c r="X193">
        <v>1934080</v>
      </c>
      <c r="Y193" s="11">
        <v>44792</v>
      </c>
      <c r="Z193" t="s">
        <v>57</v>
      </c>
      <c r="AA193">
        <v>2</v>
      </c>
      <c r="AB193" t="s">
        <v>57</v>
      </c>
      <c r="AD193" t="s">
        <v>57</v>
      </c>
      <c r="AE193" t="s">
        <v>57</v>
      </c>
      <c r="AF193" t="s">
        <v>57</v>
      </c>
      <c r="AG193">
        <v>7</v>
      </c>
      <c r="AH193" t="s">
        <v>57</v>
      </c>
      <c r="AL193" t="s">
        <v>57</v>
      </c>
      <c r="AM193" s="11">
        <v>44792</v>
      </c>
      <c r="AN193" t="s">
        <v>184</v>
      </c>
      <c r="AO193" t="s">
        <v>65</v>
      </c>
      <c r="AP193">
        <v>1206</v>
      </c>
      <c r="AQ193" t="s">
        <v>66</v>
      </c>
      <c r="AR193">
        <v>163503</v>
      </c>
      <c r="AU193" t="s">
        <v>57</v>
      </c>
      <c r="AV193" t="s">
        <v>68</v>
      </c>
      <c r="AX193" t="s">
        <v>57</v>
      </c>
      <c r="AY193">
        <v>631110</v>
      </c>
      <c r="AZ193">
        <v>1206.63111</v>
      </c>
      <c r="BA193" s="23" t="s">
        <v>14</v>
      </c>
    </row>
    <row r="194" spans="1:53" x14ac:dyDescent="0.25">
      <c r="A194" t="s">
        <v>134</v>
      </c>
      <c r="B194" t="s">
        <v>135</v>
      </c>
      <c r="C194">
        <v>22002600</v>
      </c>
      <c r="D194">
        <v>1206</v>
      </c>
      <c r="E194" s="11">
        <v>44791</v>
      </c>
      <c r="F194" t="s">
        <v>174</v>
      </c>
      <c r="G194" s="25">
        <v>10.09</v>
      </c>
      <c r="H194">
        <v>10.09</v>
      </c>
      <c r="I194" t="s">
        <v>56</v>
      </c>
      <c r="O194" t="s">
        <v>57</v>
      </c>
      <c r="Q194" t="s">
        <v>57</v>
      </c>
      <c r="R194" t="s">
        <v>137</v>
      </c>
      <c r="T194" t="s">
        <v>59</v>
      </c>
      <c r="U194" t="s">
        <v>60</v>
      </c>
      <c r="V194" t="s">
        <v>138</v>
      </c>
      <c r="W194" t="s">
        <v>139</v>
      </c>
      <c r="X194">
        <v>1934071</v>
      </c>
      <c r="Y194" s="11">
        <v>44792</v>
      </c>
      <c r="Z194" t="s">
        <v>57</v>
      </c>
      <c r="AA194">
        <v>2</v>
      </c>
      <c r="AB194" t="s">
        <v>57</v>
      </c>
      <c r="AD194" t="s">
        <v>57</v>
      </c>
      <c r="AE194" t="s">
        <v>57</v>
      </c>
      <c r="AF194" t="s">
        <v>57</v>
      </c>
      <c r="AG194">
        <v>3</v>
      </c>
      <c r="AH194" t="s">
        <v>57</v>
      </c>
      <c r="AL194" t="s">
        <v>57</v>
      </c>
      <c r="AM194" s="11">
        <v>44791</v>
      </c>
      <c r="AN194" t="s">
        <v>184</v>
      </c>
      <c r="AO194" t="s">
        <v>65</v>
      </c>
      <c r="AP194">
        <v>1206</v>
      </c>
      <c r="AQ194" t="s">
        <v>66</v>
      </c>
      <c r="AR194">
        <v>206793</v>
      </c>
      <c r="AU194" t="s">
        <v>57</v>
      </c>
      <c r="AV194" t="s">
        <v>68</v>
      </c>
      <c r="AX194" t="s">
        <v>57</v>
      </c>
      <c r="AY194">
        <v>631110</v>
      </c>
      <c r="AZ194">
        <v>1206.63111</v>
      </c>
      <c r="BA194" s="23" t="s">
        <v>14</v>
      </c>
    </row>
    <row r="195" spans="1:53" x14ac:dyDescent="0.25">
      <c r="A195" t="s">
        <v>134</v>
      </c>
      <c r="B195" t="s">
        <v>135</v>
      </c>
      <c r="C195">
        <v>22002542</v>
      </c>
      <c r="D195">
        <v>1206</v>
      </c>
      <c r="E195" s="11">
        <v>44782</v>
      </c>
      <c r="F195" t="s">
        <v>174</v>
      </c>
      <c r="G195" s="25">
        <v>10.210000000000001</v>
      </c>
      <c r="H195">
        <v>10.210000000000001</v>
      </c>
      <c r="I195" t="s">
        <v>56</v>
      </c>
      <c r="O195" t="s">
        <v>57</v>
      </c>
      <c r="Q195" t="s">
        <v>57</v>
      </c>
      <c r="R195" t="s">
        <v>137</v>
      </c>
      <c r="T195" t="s">
        <v>59</v>
      </c>
      <c r="U195" t="s">
        <v>60</v>
      </c>
      <c r="V195" t="s">
        <v>138</v>
      </c>
      <c r="W195" t="s">
        <v>139</v>
      </c>
      <c r="X195">
        <v>1929848</v>
      </c>
      <c r="Y195" s="11">
        <v>44782</v>
      </c>
      <c r="Z195" t="s">
        <v>57</v>
      </c>
      <c r="AA195">
        <v>4</v>
      </c>
      <c r="AB195" t="s">
        <v>57</v>
      </c>
      <c r="AD195" t="s">
        <v>57</v>
      </c>
      <c r="AE195" t="s">
        <v>57</v>
      </c>
      <c r="AF195" t="s">
        <v>57</v>
      </c>
      <c r="AG195">
        <v>1</v>
      </c>
      <c r="AH195" t="s">
        <v>57</v>
      </c>
      <c r="AL195" t="s">
        <v>57</v>
      </c>
      <c r="AM195" s="11">
        <v>44782</v>
      </c>
      <c r="AN195" t="s">
        <v>184</v>
      </c>
      <c r="AO195" t="s">
        <v>65</v>
      </c>
      <c r="AP195">
        <v>1206</v>
      </c>
      <c r="AQ195" t="s">
        <v>66</v>
      </c>
      <c r="AR195">
        <v>106095</v>
      </c>
      <c r="AU195" t="s">
        <v>57</v>
      </c>
      <c r="AV195" t="s">
        <v>68</v>
      </c>
      <c r="AX195" t="s">
        <v>57</v>
      </c>
      <c r="AY195">
        <v>631110</v>
      </c>
      <c r="AZ195">
        <v>1206.63111</v>
      </c>
      <c r="BA195" s="23" t="s">
        <v>14</v>
      </c>
    </row>
    <row r="196" spans="1:53" x14ac:dyDescent="0.25">
      <c r="A196" t="s">
        <v>134</v>
      </c>
      <c r="B196" t="s">
        <v>135</v>
      </c>
      <c r="C196">
        <v>22002587</v>
      </c>
      <c r="D196">
        <v>1206</v>
      </c>
      <c r="E196" s="11">
        <v>44788</v>
      </c>
      <c r="F196" t="s">
        <v>174</v>
      </c>
      <c r="G196" s="25">
        <v>10.210000000000001</v>
      </c>
      <c r="H196">
        <v>10.210000000000001</v>
      </c>
      <c r="I196" t="s">
        <v>56</v>
      </c>
      <c r="O196" t="s">
        <v>57</v>
      </c>
      <c r="Q196" t="s">
        <v>57</v>
      </c>
      <c r="R196" t="s">
        <v>137</v>
      </c>
      <c r="T196" t="s">
        <v>59</v>
      </c>
      <c r="U196" t="s">
        <v>60</v>
      </c>
      <c r="V196" t="s">
        <v>138</v>
      </c>
      <c r="W196" t="s">
        <v>139</v>
      </c>
      <c r="X196">
        <v>1933170</v>
      </c>
      <c r="Y196" s="11">
        <v>44789</v>
      </c>
      <c r="Z196" t="s">
        <v>57</v>
      </c>
      <c r="AA196">
        <v>2</v>
      </c>
      <c r="AB196" t="s">
        <v>57</v>
      </c>
      <c r="AD196" t="s">
        <v>57</v>
      </c>
      <c r="AE196" t="s">
        <v>57</v>
      </c>
      <c r="AF196" t="s">
        <v>57</v>
      </c>
      <c r="AG196">
        <v>1</v>
      </c>
      <c r="AH196" t="s">
        <v>57</v>
      </c>
      <c r="AL196" t="s">
        <v>57</v>
      </c>
      <c r="AM196" s="11">
        <v>44788</v>
      </c>
      <c r="AN196" t="s">
        <v>184</v>
      </c>
      <c r="AO196" t="s">
        <v>65</v>
      </c>
      <c r="AP196">
        <v>1206</v>
      </c>
      <c r="AQ196" t="s">
        <v>66</v>
      </c>
      <c r="AR196">
        <v>106095</v>
      </c>
      <c r="AU196" t="s">
        <v>57</v>
      </c>
      <c r="AV196" t="s">
        <v>68</v>
      </c>
      <c r="AX196" t="s">
        <v>57</v>
      </c>
      <c r="AY196">
        <v>631110</v>
      </c>
      <c r="AZ196">
        <v>1206.63111</v>
      </c>
      <c r="BA196" s="23" t="s">
        <v>14</v>
      </c>
    </row>
    <row r="197" spans="1:53" x14ac:dyDescent="0.25">
      <c r="A197" t="s">
        <v>134</v>
      </c>
      <c r="B197" t="s">
        <v>135</v>
      </c>
      <c r="C197">
        <v>22002591</v>
      </c>
      <c r="D197">
        <v>1206</v>
      </c>
      <c r="E197" s="11">
        <v>44789</v>
      </c>
      <c r="F197" t="s">
        <v>174</v>
      </c>
      <c r="G197" s="25">
        <v>10.28</v>
      </c>
      <c r="H197">
        <v>10.28</v>
      </c>
      <c r="I197" t="s">
        <v>56</v>
      </c>
      <c r="O197" t="s">
        <v>57</v>
      </c>
      <c r="Q197" t="s">
        <v>57</v>
      </c>
      <c r="R197" t="s">
        <v>137</v>
      </c>
      <c r="T197" t="s">
        <v>59</v>
      </c>
      <c r="U197" t="s">
        <v>60</v>
      </c>
      <c r="V197" t="s">
        <v>138</v>
      </c>
      <c r="W197" t="s">
        <v>139</v>
      </c>
      <c r="X197">
        <v>1933529</v>
      </c>
      <c r="Y197" s="11">
        <v>44791</v>
      </c>
      <c r="Z197" t="s">
        <v>57</v>
      </c>
      <c r="AA197">
        <v>6</v>
      </c>
      <c r="AB197" t="s">
        <v>57</v>
      </c>
      <c r="AD197" t="s">
        <v>57</v>
      </c>
      <c r="AE197" t="s">
        <v>57</v>
      </c>
      <c r="AF197" t="s">
        <v>57</v>
      </c>
      <c r="AG197">
        <v>1</v>
      </c>
      <c r="AH197" t="s">
        <v>57</v>
      </c>
      <c r="AL197" t="s">
        <v>57</v>
      </c>
      <c r="AM197" s="11">
        <v>44789</v>
      </c>
      <c r="AN197" t="s">
        <v>184</v>
      </c>
      <c r="AO197" t="s">
        <v>65</v>
      </c>
      <c r="AP197">
        <v>1206</v>
      </c>
      <c r="AQ197" t="s">
        <v>66</v>
      </c>
      <c r="AR197">
        <v>89976</v>
      </c>
      <c r="AU197" t="s">
        <v>57</v>
      </c>
      <c r="AV197" t="s">
        <v>68</v>
      </c>
      <c r="AX197" t="s">
        <v>57</v>
      </c>
      <c r="AY197">
        <v>631110</v>
      </c>
      <c r="AZ197">
        <v>1206.63111</v>
      </c>
      <c r="BA197" s="23" t="s">
        <v>14</v>
      </c>
    </row>
    <row r="198" spans="1:53" x14ac:dyDescent="0.25">
      <c r="A198" t="s">
        <v>134</v>
      </c>
      <c r="B198" t="s">
        <v>135</v>
      </c>
      <c r="C198">
        <v>22002609</v>
      </c>
      <c r="D198">
        <v>1206</v>
      </c>
      <c r="E198" s="11">
        <v>44792</v>
      </c>
      <c r="F198" t="s">
        <v>174</v>
      </c>
      <c r="G198" s="25">
        <v>10.28</v>
      </c>
      <c r="H198">
        <v>10.28</v>
      </c>
      <c r="I198" t="s">
        <v>56</v>
      </c>
      <c r="O198" t="s">
        <v>57</v>
      </c>
      <c r="Q198" t="s">
        <v>57</v>
      </c>
      <c r="R198" t="s">
        <v>137</v>
      </c>
      <c r="T198" t="s">
        <v>59</v>
      </c>
      <c r="U198" t="s">
        <v>60</v>
      </c>
      <c r="V198" t="s">
        <v>138</v>
      </c>
      <c r="W198" t="s">
        <v>139</v>
      </c>
      <c r="X198">
        <v>1934080</v>
      </c>
      <c r="Y198" s="11">
        <v>44792</v>
      </c>
      <c r="Z198" t="s">
        <v>57</v>
      </c>
      <c r="AA198">
        <v>4</v>
      </c>
      <c r="AB198" t="s">
        <v>57</v>
      </c>
      <c r="AD198" t="s">
        <v>57</v>
      </c>
      <c r="AE198" t="s">
        <v>57</v>
      </c>
      <c r="AF198" t="s">
        <v>57</v>
      </c>
      <c r="AG198">
        <v>1</v>
      </c>
      <c r="AH198" t="s">
        <v>57</v>
      </c>
      <c r="AL198" t="s">
        <v>57</v>
      </c>
      <c r="AM198" s="11">
        <v>44792</v>
      </c>
      <c r="AN198" t="s">
        <v>184</v>
      </c>
      <c r="AO198" t="s">
        <v>65</v>
      </c>
      <c r="AP198">
        <v>1206</v>
      </c>
      <c r="AQ198" t="s">
        <v>66</v>
      </c>
      <c r="AR198">
        <v>89976</v>
      </c>
      <c r="AU198" t="s">
        <v>57</v>
      </c>
      <c r="AV198" t="s">
        <v>68</v>
      </c>
      <c r="AX198" t="s">
        <v>57</v>
      </c>
      <c r="AY198">
        <v>631110</v>
      </c>
      <c r="AZ198">
        <v>1206.63111</v>
      </c>
      <c r="BA198" s="23" t="s">
        <v>14</v>
      </c>
    </row>
    <row r="199" spans="1:53" x14ac:dyDescent="0.25">
      <c r="A199" t="s">
        <v>134</v>
      </c>
      <c r="B199" t="s">
        <v>135</v>
      </c>
      <c r="C199">
        <v>22002491</v>
      </c>
      <c r="D199">
        <v>1206</v>
      </c>
      <c r="E199" s="11">
        <v>44774</v>
      </c>
      <c r="F199" t="s">
        <v>174</v>
      </c>
      <c r="G199" s="25">
        <v>11.06</v>
      </c>
      <c r="H199">
        <v>11.06</v>
      </c>
      <c r="I199" t="s">
        <v>56</v>
      </c>
      <c r="O199" t="s">
        <v>57</v>
      </c>
      <c r="Q199" t="s">
        <v>57</v>
      </c>
      <c r="R199" t="s">
        <v>137</v>
      </c>
      <c r="T199" t="s">
        <v>59</v>
      </c>
      <c r="U199" t="s">
        <v>60</v>
      </c>
      <c r="V199" t="s">
        <v>138</v>
      </c>
      <c r="W199" t="s">
        <v>139</v>
      </c>
      <c r="X199">
        <v>1926655</v>
      </c>
      <c r="Y199" s="11">
        <v>44775</v>
      </c>
      <c r="Z199" t="s">
        <v>57</v>
      </c>
      <c r="AA199">
        <v>4</v>
      </c>
      <c r="AB199" t="s">
        <v>57</v>
      </c>
      <c r="AD199" t="s">
        <v>57</v>
      </c>
      <c r="AE199" t="s">
        <v>57</v>
      </c>
      <c r="AF199" t="s">
        <v>57</v>
      </c>
      <c r="AG199">
        <v>1</v>
      </c>
      <c r="AH199" t="s">
        <v>57</v>
      </c>
      <c r="AL199" t="s">
        <v>57</v>
      </c>
      <c r="AM199" s="11">
        <v>44774</v>
      </c>
      <c r="AN199" t="s">
        <v>184</v>
      </c>
      <c r="AO199" t="s">
        <v>65</v>
      </c>
      <c r="AP199">
        <v>1206</v>
      </c>
      <c r="AQ199" t="s">
        <v>66</v>
      </c>
      <c r="AR199">
        <v>247541</v>
      </c>
      <c r="AU199" t="s">
        <v>57</v>
      </c>
      <c r="AV199" t="s">
        <v>68</v>
      </c>
      <c r="AX199" t="s">
        <v>57</v>
      </c>
      <c r="AY199">
        <v>631110</v>
      </c>
      <c r="AZ199">
        <v>1206.63111</v>
      </c>
      <c r="BA199" s="23" t="s">
        <v>14</v>
      </c>
    </row>
    <row r="200" spans="1:53" x14ac:dyDescent="0.25">
      <c r="A200" t="s">
        <v>134</v>
      </c>
      <c r="B200" t="s">
        <v>135</v>
      </c>
      <c r="C200">
        <v>22002602</v>
      </c>
      <c r="D200">
        <v>1206</v>
      </c>
      <c r="E200" s="11">
        <v>44791</v>
      </c>
      <c r="F200" t="s">
        <v>174</v>
      </c>
      <c r="G200" s="25">
        <v>11.06</v>
      </c>
      <c r="H200">
        <v>11.06</v>
      </c>
      <c r="I200" t="s">
        <v>56</v>
      </c>
      <c r="O200" t="s">
        <v>57</v>
      </c>
      <c r="Q200" t="s">
        <v>57</v>
      </c>
      <c r="R200" t="s">
        <v>137</v>
      </c>
      <c r="T200" t="s">
        <v>59</v>
      </c>
      <c r="U200" t="s">
        <v>60</v>
      </c>
      <c r="V200" t="s">
        <v>138</v>
      </c>
      <c r="W200" t="s">
        <v>139</v>
      </c>
      <c r="X200">
        <v>1934071</v>
      </c>
      <c r="Y200" s="11">
        <v>44792</v>
      </c>
      <c r="Z200" t="s">
        <v>57</v>
      </c>
      <c r="AA200">
        <v>8</v>
      </c>
      <c r="AB200" t="s">
        <v>57</v>
      </c>
      <c r="AD200" t="s">
        <v>57</v>
      </c>
      <c r="AE200" t="s">
        <v>57</v>
      </c>
      <c r="AF200" t="s">
        <v>57</v>
      </c>
      <c r="AG200">
        <v>1</v>
      </c>
      <c r="AH200" t="s">
        <v>57</v>
      </c>
      <c r="AL200" t="s">
        <v>57</v>
      </c>
      <c r="AM200" s="11">
        <v>44791</v>
      </c>
      <c r="AN200" t="s">
        <v>184</v>
      </c>
      <c r="AO200" t="s">
        <v>65</v>
      </c>
      <c r="AP200">
        <v>1206</v>
      </c>
      <c r="AQ200" t="s">
        <v>66</v>
      </c>
      <c r="AR200">
        <v>247541</v>
      </c>
      <c r="AU200" t="s">
        <v>57</v>
      </c>
      <c r="AV200" t="s">
        <v>68</v>
      </c>
      <c r="AX200" t="s">
        <v>57</v>
      </c>
      <c r="AY200">
        <v>631110</v>
      </c>
      <c r="AZ200">
        <v>1206.63111</v>
      </c>
      <c r="BA200" s="23" t="s">
        <v>14</v>
      </c>
    </row>
    <row r="201" spans="1:53" x14ac:dyDescent="0.25">
      <c r="A201" t="s">
        <v>134</v>
      </c>
      <c r="B201" t="s">
        <v>135</v>
      </c>
      <c r="C201">
        <v>22002532</v>
      </c>
      <c r="D201">
        <v>1206</v>
      </c>
      <c r="E201" s="11">
        <v>44781</v>
      </c>
      <c r="F201" t="s">
        <v>174</v>
      </c>
      <c r="G201" s="25">
        <v>11.25</v>
      </c>
      <c r="H201">
        <v>11.25</v>
      </c>
      <c r="I201" t="s">
        <v>56</v>
      </c>
      <c r="O201" t="s">
        <v>57</v>
      </c>
      <c r="Q201" t="s">
        <v>57</v>
      </c>
      <c r="R201" t="s">
        <v>137</v>
      </c>
      <c r="T201" t="s">
        <v>59</v>
      </c>
      <c r="U201" t="s">
        <v>60</v>
      </c>
      <c r="V201" t="s">
        <v>138</v>
      </c>
      <c r="W201" t="s">
        <v>139</v>
      </c>
      <c r="X201">
        <v>1928975</v>
      </c>
      <c r="Y201" s="11">
        <v>44781</v>
      </c>
      <c r="Z201" t="s">
        <v>57</v>
      </c>
      <c r="AA201">
        <v>2</v>
      </c>
      <c r="AB201" t="s">
        <v>57</v>
      </c>
      <c r="AD201" t="s">
        <v>57</v>
      </c>
      <c r="AE201" t="s">
        <v>57</v>
      </c>
      <c r="AF201" t="s">
        <v>57</v>
      </c>
      <c r="AG201">
        <v>1</v>
      </c>
      <c r="AH201" t="s">
        <v>57</v>
      </c>
      <c r="AL201" t="s">
        <v>57</v>
      </c>
      <c r="AM201" s="11">
        <v>44781</v>
      </c>
      <c r="AN201" t="s">
        <v>184</v>
      </c>
      <c r="AO201" t="s">
        <v>65</v>
      </c>
      <c r="AP201">
        <v>1206</v>
      </c>
      <c r="AQ201" t="s">
        <v>66</v>
      </c>
      <c r="AR201">
        <v>219277</v>
      </c>
      <c r="AU201" t="s">
        <v>57</v>
      </c>
      <c r="AV201" t="s">
        <v>68</v>
      </c>
      <c r="AX201" t="s">
        <v>57</v>
      </c>
      <c r="AY201">
        <v>631110</v>
      </c>
      <c r="AZ201">
        <v>1206.63111</v>
      </c>
      <c r="BA201" s="23" t="s">
        <v>14</v>
      </c>
    </row>
    <row r="202" spans="1:53" x14ac:dyDescent="0.25">
      <c r="A202" t="s">
        <v>134</v>
      </c>
      <c r="B202" t="s">
        <v>135</v>
      </c>
      <c r="C202">
        <v>22002488</v>
      </c>
      <c r="D202">
        <v>1206</v>
      </c>
      <c r="E202" s="11">
        <v>44774</v>
      </c>
      <c r="F202" t="s">
        <v>174</v>
      </c>
      <c r="G202" s="25">
        <v>13.41</v>
      </c>
      <c r="H202">
        <v>13.41</v>
      </c>
      <c r="I202" t="s">
        <v>56</v>
      </c>
      <c r="O202" t="s">
        <v>57</v>
      </c>
      <c r="Q202" t="s">
        <v>57</v>
      </c>
      <c r="R202" t="s">
        <v>137</v>
      </c>
      <c r="T202" t="s">
        <v>59</v>
      </c>
      <c r="U202" t="s">
        <v>60</v>
      </c>
      <c r="V202" t="s">
        <v>138</v>
      </c>
      <c r="W202" t="s">
        <v>139</v>
      </c>
      <c r="X202">
        <v>1926655</v>
      </c>
      <c r="Y202" s="11">
        <v>44775</v>
      </c>
      <c r="Z202" t="s">
        <v>57</v>
      </c>
      <c r="AA202">
        <v>4</v>
      </c>
      <c r="AB202" t="s">
        <v>57</v>
      </c>
      <c r="AD202" t="s">
        <v>57</v>
      </c>
      <c r="AE202" t="s">
        <v>57</v>
      </c>
      <c r="AF202" t="s">
        <v>57</v>
      </c>
      <c r="AG202">
        <v>1</v>
      </c>
      <c r="AH202" t="s">
        <v>57</v>
      </c>
      <c r="AL202" t="s">
        <v>57</v>
      </c>
      <c r="AM202" s="11">
        <v>44774</v>
      </c>
      <c r="AN202" t="s">
        <v>184</v>
      </c>
      <c r="AO202" t="s">
        <v>65</v>
      </c>
      <c r="AP202">
        <v>1206</v>
      </c>
      <c r="AQ202" t="s">
        <v>66</v>
      </c>
      <c r="AR202">
        <v>96020</v>
      </c>
      <c r="AU202" t="s">
        <v>57</v>
      </c>
      <c r="AV202" t="s">
        <v>68</v>
      </c>
      <c r="AX202" t="s">
        <v>57</v>
      </c>
      <c r="AY202">
        <v>631110</v>
      </c>
      <c r="AZ202">
        <v>1206.63111</v>
      </c>
      <c r="BA202" s="23" t="s">
        <v>14</v>
      </c>
    </row>
    <row r="203" spans="1:53" x14ac:dyDescent="0.25">
      <c r="A203" t="s">
        <v>134</v>
      </c>
      <c r="B203" t="s">
        <v>135</v>
      </c>
      <c r="C203">
        <v>22002533</v>
      </c>
      <c r="D203">
        <v>1206</v>
      </c>
      <c r="E203" s="11">
        <v>44781</v>
      </c>
      <c r="F203" t="s">
        <v>174</v>
      </c>
      <c r="G203" s="25">
        <v>13.41</v>
      </c>
      <c r="H203">
        <v>13.41</v>
      </c>
      <c r="I203" t="s">
        <v>56</v>
      </c>
      <c r="O203" t="s">
        <v>57</v>
      </c>
      <c r="Q203" t="s">
        <v>57</v>
      </c>
      <c r="R203" t="s">
        <v>137</v>
      </c>
      <c r="T203" t="s">
        <v>59</v>
      </c>
      <c r="U203" t="s">
        <v>60</v>
      </c>
      <c r="V203" t="s">
        <v>138</v>
      </c>
      <c r="W203" t="s">
        <v>139</v>
      </c>
      <c r="X203">
        <v>1928975</v>
      </c>
      <c r="Y203" s="11">
        <v>44781</v>
      </c>
      <c r="Z203" t="s">
        <v>57</v>
      </c>
      <c r="AA203">
        <v>4</v>
      </c>
      <c r="AB203" t="s">
        <v>57</v>
      </c>
      <c r="AD203" t="s">
        <v>57</v>
      </c>
      <c r="AE203" t="s">
        <v>57</v>
      </c>
      <c r="AF203" t="s">
        <v>57</v>
      </c>
      <c r="AG203">
        <v>1</v>
      </c>
      <c r="AH203" t="s">
        <v>57</v>
      </c>
      <c r="AL203" t="s">
        <v>57</v>
      </c>
      <c r="AM203" s="11">
        <v>44781</v>
      </c>
      <c r="AN203" t="s">
        <v>184</v>
      </c>
      <c r="AO203" t="s">
        <v>65</v>
      </c>
      <c r="AP203">
        <v>1206</v>
      </c>
      <c r="AQ203" t="s">
        <v>66</v>
      </c>
      <c r="AR203">
        <v>96020</v>
      </c>
      <c r="AU203" t="s">
        <v>57</v>
      </c>
      <c r="AV203" t="s">
        <v>68</v>
      </c>
      <c r="AX203" t="s">
        <v>57</v>
      </c>
      <c r="AY203">
        <v>631110</v>
      </c>
      <c r="AZ203">
        <v>1206.63111</v>
      </c>
      <c r="BA203" s="23" t="s">
        <v>14</v>
      </c>
    </row>
    <row r="204" spans="1:53" x14ac:dyDescent="0.25">
      <c r="A204" t="s">
        <v>134</v>
      </c>
      <c r="B204" t="s">
        <v>135</v>
      </c>
      <c r="C204">
        <v>22002549</v>
      </c>
      <c r="D204">
        <v>1206</v>
      </c>
      <c r="E204" s="11">
        <v>44783</v>
      </c>
      <c r="F204" t="s">
        <v>135</v>
      </c>
      <c r="G204" s="25">
        <v>13.41</v>
      </c>
      <c r="H204">
        <v>13.41</v>
      </c>
      <c r="I204" t="s">
        <v>56</v>
      </c>
      <c r="O204" t="s">
        <v>57</v>
      </c>
      <c r="Q204" t="s">
        <v>57</v>
      </c>
      <c r="R204" t="s">
        <v>137</v>
      </c>
      <c r="T204" t="s">
        <v>59</v>
      </c>
      <c r="U204" t="s">
        <v>60</v>
      </c>
      <c r="V204" t="s">
        <v>138</v>
      </c>
      <c r="W204" t="s">
        <v>139</v>
      </c>
      <c r="X204">
        <v>1930353</v>
      </c>
      <c r="Y204" s="11">
        <v>44783</v>
      </c>
      <c r="Z204" t="s">
        <v>57</v>
      </c>
      <c r="AA204">
        <v>2</v>
      </c>
      <c r="AB204" t="s">
        <v>57</v>
      </c>
      <c r="AD204" t="s">
        <v>57</v>
      </c>
      <c r="AE204" t="s">
        <v>57</v>
      </c>
      <c r="AF204" t="s">
        <v>57</v>
      </c>
      <c r="AG204">
        <v>1</v>
      </c>
      <c r="AH204" t="s">
        <v>57</v>
      </c>
      <c r="AL204" t="s">
        <v>57</v>
      </c>
      <c r="AM204" s="11">
        <v>44783</v>
      </c>
      <c r="AN204" t="s">
        <v>184</v>
      </c>
      <c r="AO204" t="s">
        <v>65</v>
      </c>
      <c r="AP204">
        <v>1206</v>
      </c>
      <c r="AQ204" t="s">
        <v>66</v>
      </c>
      <c r="AR204">
        <v>96020</v>
      </c>
      <c r="AU204" t="s">
        <v>57</v>
      </c>
      <c r="AV204" t="s">
        <v>68</v>
      </c>
      <c r="AX204" t="s">
        <v>57</v>
      </c>
      <c r="AY204">
        <v>631110</v>
      </c>
      <c r="AZ204">
        <v>1206.63111</v>
      </c>
      <c r="BA204" s="23" t="s">
        <v>14</v>
      </c>
    </row>
    <row r="205" spans="1:53" x14ac:dyDescent="0.25">
      <c r="A205" t="s">
        <v>134</v>
      </c>
      <c r="B205" t="s">
        <v>135</v>
      </c>
      <c r="C205">
        <v>22002577</v>
      </c>
      <c r="D205">
        <v>1206</v>
      </c>
      <c r="E205" s="11">
        <v>44785</v>
      </c>
      <c r="F205" t="s">
        <v>174</v>
      </c>
      <c r="G205" s="25">
        <v>13.41</v>
      </c>
      <c r="H205">
        <v>13.41</v>
      </c>
      <c r="I205" t="s">
        <v>56</v>
      </c>
      <c r="O205" t="s">
        <v>57</v>
      </c>
      <c r="Q205" t="s">
        <v>57</v>
      </c>
      <c r="R205" t="s">
        <v>137</v>
      </c>
      <c r="T205" t="s">
        <v>59</v>
      </c>
      <c r="U205" t="s">
        <v>60</v>
      </c>
      <c r="V205" t="s">
        <v>138</v>
      </c>
      <c r="W205" t="s">
        <v>139</v>
      </c>
      <c r="X205">
        <v>1930743</v>
      </c>
      <c r="Y205" s="11">
        <v>44785</v>
      </c>
      <c r="Z205" t="s">
        <v>57</v>
      </c>
      <c r="AA205">
        <v>4</v>
      </c>
      <c r="AB205" t="s">
        <v>57</v>
      </c>
      <c r="AD205" t="s">
        <v>57</v>
      </c>
      <c r="AE205" t="s">
        <v>57</v>
      </c>
      <c r="AF205" t="s">
        <v>57</v>
      </c>
      <c r="AG205">
        <v>1</v>
      </c>
      <c r="AH205" t="s">
        <v>57</v>
      </c>
      <c r="AL205" t="s">
        <v>57</v>
      </c>
      <c r="AM205" s="11">
        <v>44785</v>
      </c>
      <c r="AN205" t="s">
        <v>184</v>
      </c>
      <c r="AO205" t="s">
        <v>65</v>
      </c>
      <c r="AP205">
        <v>1206</v>
      </c>
      <c r="AQ205" t="s">
        <v>66</v>
      </c>
      <c r="AR205">
        <v>96020</v>
      </c>
      <c r="AU205" t="s">
        <v>57</v>
      </c>
      <c r="AV205" t="s">
        <v>68</v>
      </c>
      <c r="AX205" t="s">
        <v>57</v>
      </c>
      <c r="AY205">
        <v>631110</v>
      </c>
      <c r="AZ205">
        <v>1206.63111</v>
      </c>
      <c r="BA205" s="23" t="s">
        <v>14</v>
      </c>
    </row>
    <row r="206" spans="1:53" x14ac:dyDescent="0.25">
      <c r="A206" t="s">
        <v>134</v>
      </c>
      <c r="B206" t="s">
        <v>135</v>
      </c>
      <c r="C206">
        <v>22002490</v>
      </c>
      <c r="D206">
        <v>1206</v>
      </c>
      <c r="E206" s="11">
        <v>44774</v>
      </c>
      <c r="F206" t="s">
        <v>159</v>
      </c>
      <c r="G206" s="25">
        <v>13.59</v>
      </c>
      <c r="H206">
        <v>13.59</v>
      </c>
      <c r="I206" t="s">
        <v>56</v>
      </c>
      <c r="O206" t="s">
        <v>57</v>
      </c>
      <c r="Q206" t="s">
        <v>57</v>
      </c>
      <c r="R206" t="s">
        <v>137</v>
      </c>
      <c r="T206" t="s">
        <v>59</v>
      </c>
      <c r="U206" t="s">
        <v>60</v>
      </c>
      <c r="V206" t="s">
        <v>138</v>
      </c>
      <c r="W206" t="s">
        <v>139</v>
      </c>
      <c r="X206">
        <v>1926655</v>
      </c>
      <c r="Y206" s="11">
        <v>44775</v>
      </c>
      <c r="Z206" t="s">
        <v>57</v>
      </c>
      <c r="AA206">
        <v>4</v>
      </c>
      <c r="AB206" t="s">
        <v>57</v>
      </c>
      <c r="AD206" t="s">
        <v>57</v>
      </c>
      <c r="AE206" t="s">
        <v>57</v>
      </c>
      <c r="AF206" t="s">
        <v>57</v>
      </c>
      <c r="AG206">
        <v>10</v>
      </c>
      <c r="AH206" t="s">
        <v>57</v>
      </c>
      <c r="AL206" t="s">
        <v>57</v>
      </c>
      <c r="AM206" s="11">
        <v>44774</v>
      </c>
      <c r="AN206" t="s">
        <v>184</v>
      </c>
      <c r="AO206" t="s">
        <v>65</v>
      </c>
      <c r="AP206">
        <v>1206</v>
      </c>
      <c r="AQ206" t="s">
        <v>66</v>
      </c>
      <c r="AR206">
        <v>163503</v>
      </c>
      <c r="AU206" t="s">
        <v>57</v>
      </c>
      <c r="AV206" t="s">
        <v>68</v>
      </c>
      <c r="AX206" t="s">
        <v>57</v>
      </c>
      <c r="AY206">
        <v>631110</v>
      </c>
      <c r="AZ206">
        <v>1206.63111</v>
      </c>
      <c r="BA206" s="23" t="s">
        <v>14</v>
      </c>
    </row>
    <row r="207" spans="1:53" x14ac:dyDescent="0.25">
      <c r="A207" t="s">
        <v>134</v>
      </c>
      <c r="B207" t="s">
        <v>135</v>
      </c>
      <c r="C207">
        <v>22002503</v>
      </c>
      <c r="D207">
        <v>1206</v>
      </c>
      <c r="E207" s="11">
        <v>44776</v>
      </c>
      <c r="F207" t="s">
        <v>159</v>
      </c>
      <c r="G207" s="25">
        <v>13.59</v>
      </c>
      <c r="H207">
        <v>13.59</v>
      </c>
      <c r="I207" t="s">
        <v>56</v>
      </c>
      <c r="O207" t="s">
        <v>57</v>
      </c>
      <c r="Q207" t="s">
        <v>57</v>
      </c>
      <c r="R207" t="s">
        <v>137</v>
      </c>
      <c r="T207" t="s">
        <v>59</v>
      </c>
      <c r="U207" t="s">
        <v>60</v>
      </c>
      <c r="V207" t="s">
        <v>138</v>
      </c>
      <c r="W207" t="s">
        <v>139</v>
      </c>
      <c r="X207">
        <v>1927037</v>
      </c>
      <c r="Y207" s="11">
        <v>44776</v>
      </c>
      <c r="Z207" t="s">
        <v>57</v>
      </c>
      <c r="AA207">
        <v>4</v>
      </c>
      <c r="AB207" t="s">
        <v>57</v>
      </c>
      <c r="AD207" t="s">
        <v>57</v>
      </c>
      <c r="AE207" t="s">
        <v>57</v>
      </c>
      <c r="AF207" t="s">
        <v>57</v>
      </c>
      <c r="AG207">
        <v>10</v>
      </c>
      <c r="AH207" t="s">
        <v>57</v>
      </c>
      <c r="AL207" t="s">
        <v>57</v>
      </c>
      <c r="AM207" s="11">
        <v>44776</v>
      </c>
      <c r="AN207" t="s">
        <v>184</v>
      </c>
      <c r="AO207" t="s">
        <v>65</v>
      </c>
      <c r="AP207">
        <v>1206</v>
      </c>
      <c r="AQ207" t="s">
        <v>66</v>
      </c>
      <c r="AR207">
        <v>163503</v>
      </c>
      <c r="AU207" t="s">
        <v>57</v>
      </c>
      <c r="AV207" t="s">
        <v>68</v>
      </c>
      <c r="AX207" t="s">
        <v>57</v>
      </c>
      <c r="AY207">
        <v>631110</v>
      </c>
      <c r="AZ207">
        <v>1206.63111</v>
      </c>
      <c r="BA207" s="23" t="s">
        <v>14</v>
      </c>
    </row>
    <row r="208" spans="1:53" x14ac:dyDescent="0.25">
      <c r="A208" t="s">
        <v>134</v>
      </c>
      <c r="B208" t="s">
        <v>135</v>
      </c>
      <c r="C208">
        <v>22002543</v>
      </c>
      <c r="D208">
        <v>1206</v>
      </c>
      <c r="E208" s="11">
        <v>44782</v>
      </c>
      <c r="F208" t="s">
        <v>159</v>
      </c>
      <c r="G208" s="25">
        <v>13.59</v>
      </c>
      <c r="H208">
        <v>13.59</v>
      </c>
      <c r="I208" t="s">
        <v>56</v>
      </c>
      <c r="O208" t="s">
        <v>57</v>
      </c>
      <c r="Q208" t="s">
        <v>57</v>
      </c>
      <c r="R208" t="s">
        <v>137</v>
      </c>
      <c r="T208" t="s">
        <v>59</v>
      </c>
      <c r="U208" t="s">
        <v>60</v>
      </c>
      <c r="V208" t="s">
        <v>138</v>
      </c>
      <c r="W208" t="s">
        <v>139</v>
      </c>
      <c r="X208">
        <v>1929848</v>
      </c>
      <c r="Y208" s="11">
        <v>44782</v>
      </c>
      <c r="Z208" t="s">
        <v>57</v>
      </c>
      <c r="AA208">
        <v>4</v>
      </c>
      <c r="AB208" t="s">
        <v>57</v>
      </c>
      <c r="AD208" t="s">
        <v>57</v>
      </c>
      <c r="AE208" t="s">
        <v>57</v>
      </c>
      <c r="AF208" t="s">
        <v>57</v>
      </c>
      <c r="AG208">
        <v>10</v>
      </c>
      <c r="AH208" t="s">
        <v>57</v>
      </c>
      <c r="AL208" t="s">
        <v>57</v>
      </c>
      <c r="AM208" s="11">
        <v>44782</v>
      </c>
      <c r="AN208" t="s">
        <v>184</v>
      </c>
      <c r="AO208" t="s">
        <v>65</v>
      </c>
      <c r="AP208">
        <v>1206</v>
      </c>
      <c r="AQ208" t="s">
        <v>66</v>
      </c>
      <c r="AR208">
        <v>163503</v>
      </c>
      <c r="AU208" t="s">
        <v>57</v>
      </c>
      <c r="AV208" t="s">
        <v>68</v>
      </c>
      <c r="AX208" t="s">
        <v>57</v>
      </c>
      <c r="AY208">
        <v>631110</v>
      </c>
      <c r="AZ208">
        <v>1206.63111</v>
      </c>
      <c r="BA208" s="23" t="s">
        <v>14</v>
      </c>
    </row>
    <row r="209" spans="1:53" x14ac:dyDescent="0.25">
      <c r="A209" t="s">
        <v>134</v>
      </c>
      <c r="B209" t="s">
        <v>135</v>
      </c>
      <c r="C209">
        <v>22002489</v>
      </c>
      <c r="D209">
        <v>1206</v>
      </c>
      <c r="E209" s="11">
        <v>44774</v>
      </c>
      <c r="F209" t="s">
        <v>174</v>
      </c>
      <c r="G209" s="25">
        <v>13.78</v>
      </c>
      <c r="H209">
        <v>13.78</v>
      </c>
      <c r="I209" t="s">
        <v>56</v>
      </c>
      <c r="O209" t="s">
        <v>57</v>
      </c>
      <c r="Q209" t="s">
        <v>57</v>
      </c>
      <c r="R209" t="s">
        <v>137</v>
      </c>
      <c r="T209" t="s">
        <v>59</v>
      </c>
      <c r="U209" t="s">
        <v>60</v>
      </c>
      <c r="V209" t="s">
        <v>138</v>
      </c>
      <c r="W209" t="s">
        <v>139</v>
      </c>
      <c r="X209">
        <v>1926655</v>
      </c>
      <c r="Y209" s="11">
        <v>44775</v>
      </c>
      <c r="Z209" t="s">
        <v>57</v>
      </c>
      <c r="AA209">
        <v>8</v>
      </c>
      <c r="AB209" t="s">
        <v>57</v>
      </c>
      <c r="AD209" t="s">
        <v>57</v>
      </c>
      <c r="AE209" t="s">
        <v>57</v>
      </c>
      <c r="AF209" t="s">
        <v>57</v>
      </c>
      <c r="AG209">
        <v>1</v>
      </c>
      <c r="AH209" t="s">
        <v>57</v>
      </c>
      <c r="AL209" t="s">
        <v>57</v>
      </c>
      <c r="AM209" s="11">
        <v>44774</v>
      </c>
      <c r="AN209" t="s">
        <v>184</v>
      </c>
      <c r="AO209" t="s">
        <v>65</v>
      </c>
      <c r="AP209">
        <v>1206</v>
      </c>
      <c r="AQ209" t="s">
        <v>66</v>
      </c>
      <c r="AR209">
        <v>96021</v>
      </c>
      <c r="AU209" t="s">
        <v>57</v>
      </c>
      <c r="AV209" t="s">
        <v>68</v>
      </c>
      <c r="AX209" t="s">
        <v>57</v>
      </c>
      <c r="AY209">
        <v>631110</v>
      </c>
      <c r="AZ209">
        <v>1206.63111</v>
      </c>
      <c r="BA209" s="23" t="s">
        <v>14</v>
      </c>
    </row>
    <row r="210" spans="1:53" x14ac:dyDescent="0.25">
      <c r="A210" t="s">
        <v>134</v>
      </c>
      <c r="B210" t="s">
        <v>135</v>
      </c>
      <c r="C210">
        <v>22002506</v>
      </c>
      <c r="D210">
        <v>1206</v>
      </c>
      <c r="E210" s="11">
        <v>44776</v>
      </c>
      <c r="F210" t="s">
        <v>174</v>
      </c>
      <c r="G210" s="25">
        <v>13.78</v>
      </c>
      <c r="H210">
        <v>13.78</v>
      </c>
      <c r="I210" t="s">
        <v>56</v>
      </c>
      <c r="O210" t="s">
        <v>57</v>
      </c>
      <c r="Q210" t="s">
        <v>57</v>
      </c>
      <c r="R210" t="s">
        <v>137</v>
      </c>
      <c r="T210" t="s">
        <v>59</v>
      </c>
      <c r="U210" t="s">
        <v>60</v>
      </c>
      <c r="V210" t="s">
        <v>138</v>
      </c>
      <c r="W210" t="s">
        <v>139</v>
      </c>
      <c r="X210">
        <v>1927633</v>
      </c>
      <c r="Y210" s="11">
        <v>44777</v>
      </c>
      <c r="Z210" t="s">
        <v>57</v>
      </c>
      <c r="AA210">
        <v>14</v>
      </c>
      <c r="AB210" t="s">
        <v>57</v>
      </c>
      <c r="AD210" t="s">
        <v>57</v>
      </c>
      <c r="AE210" t="s">
        <v>57</v>
      </c>
      <c r="AF210" t="s">
        <v>57</v>
      </c>
      <c r="AG210">
        <v>1</v>
      </c>
      <c r="AH210" t="s">
        <v>57</v>
      </c>
      <c r="AL210" t="s">
        <v>57</v>
      </c>
      <c r="AM210" s="11">
        <v>44776</v>
      </c>
      <c r="AN210" t="s">
        <v>184</v>
      </c>
      <c r="AO210" t="s">
        <v>65</v>
      </c>
      <c r="AP210">
        <v>1206</v>
      </c>
      <c r="AQ210" t="s">
        <v>66</v>
      </c>
      <c r="AR210">
        <v>96021</v>
      </c>
      <c r="AU210" t="s">
        <v>57</v>
      </c>
      <c r="AV210" t="s">
        <v>68</v>
      </c>
      <c r="AX210" t="s">
        <v>57</v>
      </c>
      <c r="AY210">
        <v>631110</v>
      </c>
      <c r="AZ210">
        <v>1206.63111</v>
      </c>
      <c r="BA210" s="23" t="s">
        <v>14</v>
      </c>
    </row>
    <row r="211" spans="1:53" x14ac:dyDescent="0.25">
      <c r="A211" t="s">
        <v>134</v>
      </c>
      <c r="B211" t="s">
        <v>135</v>
      </c>
      <c r="C211">
        <v>22002524</v>
      </c>
      <c r="D211">
        <v>1206</v>
      </c>
      <c r="E211" s="11">
        <v>44778</v>
      </c>
      <c r="F211" t="s">
        <v>174</v>
      </c>
      <c r="G211" s="25">
        <v>13.78</v>
      </c>
      <c r="H211">
        <v>13.78</v>
      </c>
      <c r="I211" t="s">
        <v>56</v>
      </c>
      <c r="O211" t="s">
        <v>57</v>
      </c>
      <c r="Q211" t="s">
        <v>57</v>
      </c>
      <c r="R211" t="s">
        <v>137</v>
      </c>
      <c r="T211" t="s">
        <v>59</v>
      </c>
      <c r="U211" t="s">
        <v>60</v>
      </c>
      <c r="V211" t="s">
        <v>138</v>
      </c>
      <c r="W211" t="s">
        <v>139</v>
      </c>
      <c r="X211">
        <v>1928766</v>
      </c>
      <c r="Y211" s="11">
        <v>44778</v>
      </c>
      <c r="Z211" t="s">
        <v>57</v>
      </c>
      <c r="AA211">
        <v>14</v>
      </c>
      <c r="AB211" t="s">
        <v>57</v>
      </c>
      <c r="AD211" t="s">
        <v>57</v>
      </c>
      <c r="AE211" t="s">
        <v>57</v>
      </c>
      <c r="AF211" t="s">
        <v>57</v>
      </c>
      <c r="AG211">
        <v>1</v>
      </c>
      <c r="AH211" t="s">
        <v>57</v>
      </c>
      <c r="AL211" t="s">
        <v>57</v>
      </c>
      <c r="AM211" s="11">
        <v>44778</v>
      </c>
      <c r="AN211" t="s">
        <v>184</v>
      </c>
      <c r="AO211" t="s">
        <v>65</v>
      </c>
      <c r="AP211">
        <v>1206</v>
      </c>
      <c r="AQ211" t="s">
        <v>66</v>
      </c>
      <c r="AR211">
        <v>96021</v>
      </c>
      <c r="AU211" t="s">
        <v>57</v>
      </c>
      <c r="AV211" t="s">
        <v>68</v>
      </c>
      <c r="AX211" t="s">
        <v>57</v>
      </c>
      <c r="AY211">
        <v>631110</v>
      </c>
      <c r="AZ211">
        <v>1206.63111</v>
      </c>
      <c r="BA211" s="23" t="s">
        <v>14</v>
      </c>
    </row>
    <row r="212" spans="1:53" x14ac:dyDescent="0.25">
      <c r="A212" t="s">
        <v>134</v>
      </c>
      <c r="B212" t="s">
        <v>135</v>
      </c>
      <c r="C212">
        <v>22002531</v>
      </c>
      <c r="D212">
        <v>1206</v>
      </c>
      <c r="E212" s="11">
        <v>44781</v>
      </c>
      <c r="F212" t="s">
        <v>174</v>
      </c>
      <c r="G212" s="25">
        <v>13.78</v>
      </c>
      <c r="H212">
        <v>13.78</v>
      </c>
      <c r="I212" t="s">
        <v>56</v>
      </c>
      <c r="O212" t="s">
        <v>57</v>
      </c>
      <c r="Q212" t="s">
        <v>57</v>
      </c>
      <c r="R212" t="s">
        <v>137</v>
      </c>
      <c r="T212" t="s">
        <v>59</v>
      </c>
      <c r="U212" t="s">
        <v>60</v>
      </c>
      <c r="V212" t="s">
        <v>138</v>
      </c>
      <c r="W212" t="s">
        <v>139</v>
      </c>
      <c r="X212">
        <v>1928975</v>
      </c>
      <c r="Y212" s="11">
        <v>44781</v>
      </c>
      <c r="Z212" t="s">
        <v>57</v>
      </c>
      <c r="AA212">
        <v>4</v>
      </c>
      <c r="AB212" t="s">
        <v>57</v>
      </c>
      <c r="AD212" t="s">
        <v>57</v>
      </c>
      <c r="AE212" t="s">
        <v>57</v>
      </c>
      <c r="AF212" t="s">
        <v>57</v>
      </c>
      <c r="AG212">
        <v>1</v>
      </c>
      <c r="AH212" t="s">
        <v>57</v>
      </c>
      <c r="AL212" t="s">
        <v>57</v>
      </c>
      <c r="AM212" s="11">
        <v>44781</v>
      </c>
      <c r="AN212" t="s">
        <v>184</v>
      </c>
      <c r="AO212" t="s">
        <v>65</v>
      </c>
      <c r="AP212">
        <v>1206</v>
      </c>
      <c r="AQ212" t="s">
        <v>66</v>
      </c>
      <c r="AR212">
        <v>96021</v>
      </c>
      <c r="AU212" t="s">
        <v>57</v>
      </c>
      <c r="AV212" t="s">
        <v>68</v>
      </c>
      <c r="AX212" t="s">
        <v>57</v>
      </c>
      <c r="AY212">
        <v>631110</v>
      </c>
      <c r="AZ212">
        <v>1206.63111</v>
      </c>
      <c r="BA212" s="23" t="s">
        <v>14</v>
      </c>
    </row>
    <row r="213" spans="1:53" x14ac:dyDescent="0.25">
      <c r="A213" t="s">
        <v>134</v>
      </c>
      <c r="B213" t="s">
        <v>135</v>
      </c>
      <c r="C213">
        <v>22002587</v>
      </c>
      <c r="D213">
        <v>1206</v>
      </c>
      <c r="E213" s="11">
        <v>44788</v>
      </c>
      <c r="F213" t="s">
        <v>174</v>
      </c>
      <c r="G213" s="25">
        <v>13.78</v>
      </c>
      <c r="H213">
        <v>13.78</v>
      </c>
      <c r="I213" t="s">
        <v>56</v>
      </c>
      <c r="O213" t="s">
        <v>57</v>
      </c>
      <c r="Q213" t="s">
        <v>57</v>
      </c>
      <c r="R213" t="s">
        <v>137</v>
      </c>
      <c r="T213" t="s">
        <v>59</v>
      </c>
      <c r="U213" t="s">
        <v>60</v>
      </c>
      <c r="V213" t="s">
        <v>138</v>
      </c>
      <c r="W213" t="s">
        <v>139</v>
      </c>
      <c r="X213">
        <v>1933170</v>
      </c>
      <c r="Y213" s="11">
        <v>44789</v>
      </c>
      <c r="Z213" t="s">
        <v>57</v>
      </c>
      <c r="AA213">
        <v>14</v>
      </c>
      <c r="AB213" t="s">
        <v>57</v>
      </c>
      <c r="AD213" t="s">
        <v>57</v>
      </c>
      <c r="AE213" t="s">
        <v>57</v>
      </c>
      <c r="AF213" t="s">
        <v>57</v>
      </c>
      <c r="AG213">
        <v>1</v>
      </c>
      <c r="AH213" t="s">
        <v>57</v>
      </c>
      <c r="AL213" t="s">
        <v>57</v>
      </c>
      <c r="AM213" s="11">
        <v>44788</v>
      </c>
      <c r="AN213" t="s">
        <v>184</v>
      </c>
      <c r="AO213" t="s">
        <v>65</v>
      </c>
      <c r="AP213">
        <v>1206</v>
      </c>
      <c r="AQ213" t="s">
        <v>66</v>
      </c>
      <c r="AR213">
        <v>96021</v>
      </c>
      <c r="AU213" t="s">
        <v>57</v>
      </c>
      <c r="AV213" t="s">
        <v>68</v>
      </c>
      <c r="AX213" t="s">
        <v>57</v>
      </c>
      <c r="AY213">
        <v>631110</v>
      </c>
      <c r="AZ213">
        <v>1206.63111</v>
      </c>
      <c r="BA213" s="23" t="s">
        <v>14</v>
      </c>
    </row>
    <row r="214" spans="1:53" x14ac:dyDescent="0.25">
      <c r="A214" t="s">
        <v>134</v>
      </c>
      <c r="B214" t="s">
        <v>135</v>
      </c>
      <c r="C214">
        <v>22002587</v>
      </c>
      <c r="D214">
        <v>1206</v>
      </c>
      <c r="E214" s="11">
        <v>44788</v>
      </c>
      <c r="F214" t="s">
        <v>174</v>
      </c>
      <c r="G214" s="25">
        <v>13.78</v>
      </c>
      <c r="H214">
        <v>13.78</v>
      </c>
      <c r="I214" t="s">
        <v>56</v>
      </c>
      <c r="O214" t="s">
        <v>57</v>
      </c>
      <c r="Q214" t="s">
        <v>57</v>
      </c>
      <c r="R214" t="s">
        <v>137</v>
      </c>
      <c r="T214" t="s">
        <v>59</v>
      </c>
      <c r="U214" t="s">
        <v>60</v>
      </c>
      <c r="V214" t="s">
        <v>138</v>
      </c>
      <c r="W214" t="s">
        <v>139</v>
      </c>
      <c r="X214">
        <v>1933170</v>
      </c>
      <c r="Y214" s="11">
        <v>44789</v>
      </c>
      <c r="Z214" t="s">
        <v>57</v>
      </c>
      <c r="AA214">
        <v>18</v>
      </c>
      <c r="AB214" t="s">
        <v>57</v>
      </c>
      <c r="AD214" t="s">
        <v>57</v>
      </c>
      <c r="AE214" t="s">
        <v>57</v>
      </c>
      <c r="AF214" t="s">
        <v>57</v>
      </c>
      <c r="AG214">
        <v>1</v>
      </c>
      <c r="AH214" t="s">
        <v>57</v>
      </c>
      <c r="AL214" t="s">
        <v>57</v>
      </c>
      <c r="AM214" s="11">
        <v>44788</v>
      </c>
      <c r="AN214" t="s">
        <v>184</v>
      </c>
      <c r="AO214" t="s">
        <v>65</v>
      </c>
      <c r="AP214">
        <v>1206</v>
      </c>
      <c r="AQ214" t="s">
        <v>66</v>
      </c>
      <c r="AR214">
        <v>96021</v>
      </c>
      <c r="AU214" t="s">
        <v>57</v>
      </c>
      <c r="AV214" t="s">
        <v>68</v>
      </c>
      <c r="AX214" t="s">
        <v>57</v>
      </c>
      <c r="AY214">
        <v>631110</v>
      </c>
      <c r="AZ214">
        <v>1206.63111</v>
      </c>
      <c r="BA214" s="23" t="s">
        <v>14</v>
      </c>
    </row>
    <row r="215" spans="1:53" x14ac:dyDescent="0.25">
      <c r="A215" t="s">
        <v>134</v>
      </c>
      <c r="B215" t="s">
        <v>135</v>
      </c>
      <c r="C215">
        <v>22002605</v>
      </c>
      <c r="D215">
        <v>1206</v>
      </c>
      <c r="E215" s="11">
        <v>44792</v>
      </c>
      <c r="F215" t="s">
        <v>174</v>
      </c>
      <c r="G215" s="25">
        <v>13.78</v>
      </c>
      <c r="H215">
        <v>13.78</v>
      </c>
      <c r="I215" t="s">
        <v>56</v>
      </c>
      <c r="O215" t="s">
        <v>57</v>
      </c>
      <c r="Q215" t="s">
        <v>57</v>
      </c>
      <c r="R215" t="s">
        <v>137</v>
      </c>
      <c r="T215" t="s">
        <v>59</v>
      </c>
      <c r="U215" t="s">
        <v>60</v>
      </c>
      <c r="V215" t="s">
        <v>138</v>
      </c>
      <c r="W215" t="s">
        <v>139</v>
      </c>
      <c r="X215">
        <v>1934080</v>
      </c>
      <c r="Y215" s="11">
        <v>44792</v>
      </c>
      <c r="Z215" t="s">
        <v>57</v>
      </c>
      <c r="AA215">
        <v>4</v>
      </c>
      <c r="AB215" t="s">
        <v>57</v>
      </c>
      <c r="AD215" t="s">
        <v>57</v>
      </c>
      <c r="AE215" t="s">
        <v>57</v>
      </c>
      <c r="AF215" t="s">
        <v>57</v>
      </c>
      <c r="AG215">
        <v>1</v>
      </c>
      <c r="AH215" t="s">
        <v>57</v>
      </c>
      <c r="AL215" t="s">
        <v>57</v>
      </c>
      <c r="AM215" s="11">
        <v>44792</v>
      </c>
      <c r="AN215" t="s">
        <v>184</v>
      </c>
      <c r="AO215" t="s">
        <v>65</v>
      </c>
      <c r="AP215">
        <v>1206</v>
      </c>
      <c r="AQ215" t="s">
        <v>66</v>
      </c>
      <c r="AR215">
        <v>96021</v>
      </c>
      <c r="AU215" t="s">
        <v>57</v>
      </c>
      <c r="AV215" t="s">
        <v>68</v>
      </c>
      <c r="AX215" t="s">
        <v>57</v>
      </c>
      <c r="AY215">
        <v>631110</v>
      </c>
      <c r="AZ215">
        <v>1206.63111</v>
      </c>
      <c r="BA215" s="23" t="s">
        <v>14</v>
      </c>
    </row>
    <row r="216" spans="1:53" x14ac:dyDescent="0.25">
      <c r="A216" t="s">
        <v>134</v>
      </c>
      <c r="B216" t="s">
        <v>135</v>
      </c>
      <c r="C216">
        <v>22002575</v>
      </c>
      <c r="D216">
        <v>1206</v>
      </c>
      <c r="E216" s="11">
        <v>44785</v>
      </c>
      <c r="F216" t="s">
        <v>174</v>
      </c>
      <c r="G216" s="25">
        <v>14.57</v>
      </c>
      <c r="H216">
        <v>14.57</v>
      </c>
      <c r="I216" t="s">
        <v>56</v>
      </c>
      <c r="O216" t="s">
        <v>57</v>
      </c>
      <c r="Q216" t="s">
        <v>57</v>
      </c>
      <c r="R216" t="s">
        <v>137</v>
      </c>
      <c r="T216" t="s">
        <v>59</v>
      </c>
      <c r="U216" t="s">
        <v>60</v>
      </c>
      <c r="V216" t="s">
        <v>138</v>
      </c>
      <c r="W216" t="s">
        <v>139</v>
      </c>
      <c r="X216">
        <v>1930627</v>
      </c>
      <c r="Y216" s="11">
        <v>44785</v>
      </c>
      <c r="Z216" t="s">
        <v>57</v>
      </c>
      <c r="AA216">
        <v>2</v>
      </c>
      <c r="AB216" t="s">
        <v>57</v>
      </c>
      <c r="AD216" t="s">
        <v>57</v>
      </c>
      <c r="AE216" t="s">
        <v>57</v>
      </c>
      <c r="AF216" t="s">
        <v>57</v>
      </c>
      <c r="AG216">
        <v>4</v>
      </c>
      <c r="AH216" t="s">
        <v>57</v>
      </c>
      <c r="AL216" t="s">
        <v>57</v>
      </c>
      <c r="AM216" s="11">
        <v>44785</v>
      </c>
      <c r="AN216" t="s">
        <v>184</v>
      </c>
      <c r="AO216" t="s">
        <v>65</v>
      </c>
      <c r="AP216">
        <v>1206</v>
      </c>
      <c r="AQ216" t="s">
        <v>66</v>
      </c>
      <c r="AR216">
        <v>230640</v>
      </c>
      <c r="AU216" t="s">
        <v>57</v>
      </c>
      <c r="AV216" t="s">
        <v>68</v>
      </c>
      <c r="AX216" t="s">
        <v>57</v>
      </c>
      <c r="AY216">
        <v>631110</v>
      </c>
      <c r="AZ216">
        <v>1206.63111</v>
      </c>
      <c r="BA216" s="23" t="s">
        <v>14</v>
      </c>
    </row>
    <row r="217" spans="1:53" x14ac:dyDescent="0.25">
      <c r="A217" t="s">
        <v>134</v>
      </c>
      <c r="B217" t="s">
        <v>135</v>
      </c>
      <c r="C217">
        <v>22002587</v>
      </c>
      <c r="D217">
        <v>1206</v>
      </c>
      <c r="E217" s="11">
        <v>44788</v>
      </c>
      <c r="F217" t="s">
        <v>174</v>
      </c>
      <c r="G217" s="25">
        <v>15.41</v>
      </c>
      <c r="H217">
        <v>15.41</v>
      </c>
      <c r="I217" t="s">
        <v>56</v>
      </c>
      <c r="O217" t="s">
        <v>57</v>
      </c>
      <c r="Q217" t="s">
        <v>57</v>
      </c>
      <c r="R217" t="s">
        <v>137</v>
      </c>
      <c r="T217" t="s">
        <v>59</v>
      </c>
      <c r="U217" t="s">
        <v>60</v>
      </c>
      <c r="V217" t="s">
        <v>138</v>
      </c>
      <c r="W217" t="s">
        <v>139</v>
      </c>
      <c r="X217">
        <v>1933170</v>
      </c>
      <c r="Y217" s="11">
        <v>44789</v>
      </c>
      <c r="Z217" t="s">
        <v>57</v>
      </c>
      <c r="AA217">
        <v>16</v>
      </c>
      <c r="AB217" t="s">
        <v>57</v>
      </c>
      <c r="AD217" t="s">
        <v>57</v>
      </c>
      <c r="AE217" t="s">
        <v>57</v>
      </c>
      <c r="AF217" t="s">
        <v>57</v>
      </c>
      <c r="AG217">
        <v>1</v>
      </c>
      <c r="AH217" t="s">
        <v>57</v>
      </c>
      <c r="AL217" t="s">
        <v>57</v>
      </c>
      <c r="AM217" s="11">
        <v>44788</v>
      </c>
      <c r="AN217" t="s">
        <v>184</v>
      </c>
      <c r="AO217" t="s">
        <v>65</v>
      </c>
      <c r="AP217">
        <v>1206</v>
      </c>
      <c r="AQ217" t="s">
        <v>66</v>
      </c>
      <c r="AR217">
        <v>156036</v>
      </c>
      <c r="AU217" t="s">
        <v>57</v>
      </c>
      <c r="AV217" t="s">
        <v>68</v>
      </c>
      <c r="AX217" t="s">
        <v>57</v>
      </c>
      <c r="AY217">
        <v>631110</v>
      </c>
      <c r="AZ217">
        <v>1206.63111</v>
      </c>
      <c r="BA217" s="23" t="s">
        <v>14</v>
      </c>
    </row>
    <row r="218" spans="1:53" x14ac:dyDescent="0.25">
      <c r="A218" t="s">
        <v>134</v>
      </c>
      <c r="B218" t="s">
        <v>135</v>
      </c>
      <c r="C218">
        <v>22002490</v>
      </c>
      <c r="D218">
        <v>1206</v>
      </c>
      <c r="E218" s="11">
        <v>44774</v>
      </c>
      <c r="F218" t="s">
        <v>159</v>
      </c>
      <c r="G218" s="25">
        <v>15.5</v>
      </c>
      <c r="H218">
        <v>15.5</v>
      </c>
      <c r="I218" t="s">
        <v>56</v>
      </c>
      <c r="O218" t="s">
        <v>57</v>
      </c>
      <c r="Q218" t="s">
        <v>57</v>
      </c>
      <c r="R218" t="s">
        <v>137</v>
      </c>
      <c r="T218" t="s">
        <v>59</v>
      </c>
      <c r="U218" t="s">
        <v>60</v>
      </c>
      <c r="V218" t="s">
        <v>138</v>
      </c>
      <c r="W218" t="s">
        <v>139</v>
      </c>
      <c r="X218">
        <v>1926655</v>
      </c>
      <c r="Y218" s="11">
        <v>44775</v>
      </c>
      <c r="Z218" t="s">
        <v>57</v>
      </c>
      <c r="AA218">
        <v>2</v>
      </c>
      <c r="AB218" t="s">
        <v>57</v>
      </c>
      <c r="AD218" t="s">
        <v>57</v>
      </c>
      <c r="AE218" t="s">
        <v>57</v>
      </c>
      <c r="AF218" t="s">
        <v>57</v>
      </c>
      <c r="AG218">
        <v>1</v>
      </c>
      <c r="AH218" t="s">
        <v>57</v>
      </c>
      <c r="AL218" t="s">
        <v>57</v>
      </c>
      <c r="AM218" s="11">
        <v>44774</v>
      </c>
      <c r="AN218" t="s">
        <v>184</v>
      </c>
      <c r="AO218" t="s">
        <v>65</v>
      </c>
      <c r="AP218">
        <v>1206</v>
      </c>
      <c r="AQ218" t="s">
        <v>66</v>
      </c>
      <c r="AR218">
        <v>163472</v>
      </c>
      <c r="AU218" t="s">
        <v>57</v>
      </c>
      <c r="AV218" t="s">
        <v>68</v>
      </c>
      <c r="AX218" t="s">
        <v>57</v>
      </c>
      <c r="AY218">
        <v>631110</v>
      </c>
      <c r="AZ218">
        <v>1206.63111</v>
      </c>
      <c r="BA218" s="23" t="s">
        <v>14</v>
      </c>
    </row>
    <row r="219" spans="1:53" x14ac:dyDescent="0.25">
      <c r="A219" t="s">
        <v>134</v>
      </c>
      <c r="B219" t="s">
        <v>135</v>
      </c>
      <c r="C219">
        <v>22002503</v>
      </c>
      <c r="D219">
        <v>1206</v>
      </c>
      <c r="E219" s="11">
        <v>44776</v>
      </c>
      <c r="F219" t="s">
        <v>159</v>
      </c>
      <c r="G219" s="25">
        <v>15.5</v>
      </c>
      <c r="H219">
        <v>15.5</v>
      </c>
      <c r="I219" t="s">
        <v>56</v>
      </c>
      <c r="O219" t="s">
        <v>57</v>
      </c>
      <c r="Q219" t="s">
        <v>57</v>
      </c>
      <c r="R219" t="s">
        <v>137</v>
      </c>
      <c r="T219" t="s">
        <v>59</v>
      </c>
      <c r="U219" t="s">
        <v>60</v>
      </c>
      <c r="V219" t="s">
        <v>138</v>
      </c>
      <c r="W219" t="s">
        <v>139</v>
      </c>
      <c r="X219">
        <v>1927037</v>
      </c>
      <c r="Y219" s="11">
        <v>44776</v>
      </c>
      <c r="Z219" t="s">
        <v>57</v>
      </c>
      <c r="AA219">
        <v>2</v>
      </c>
      <c r="AB219" t="s">
        <v>57</v>
      </c>
      <c r="AD219" t="s">
        <v>57</v>
      </c>
      <c r="AE219" t="s">
        <v>57</v>
      </c>
      <c r="AF219" t="s">
        <v>57</v>
      </c>
      <c r="AG219">
        <v>1</v>
      </c>
      <c r="AH219" t="s">
        <v>57</v>
      </c>
      <c r="AL219" t="s">
        <v>57</v>
      </c>
      <c r="AM219" s="11">
        <v>44776</v>
      </c>
      <c r="AN219" t="s">
        <v>184</v>
      </c>
      <c r="AO219" t="s">
        <v>65</v>
      </c>
      <c r="AP219">
        <v>1206</v>
      </c>
      <c r="AQ219" t="s">
        <v>66</v>
      </c>
      <c r="AR219">
        <v>163472</v>
      </c>
      <c r="AU219" t="s">
        <v>57</v>
      </c>
      <c r="AV219" t="s">
        <v>68</v>
      </c>
      <c r="AX219" t="s">
        <v>57</v>
      </c>
      <c r="AY219">
        <v>631110</v>
      </c>
      <c r="AZ219">
        <v>1206.63111</v>
      </c>
      <c r="BA219" s="23" t="s">
        <v>14</v>
      </c>
    </row>
    <row r="220" spans="1:53" x14ac:dyDescent="0.25">
      <c r="A220" t="s">
        <v>134</v>
      </c>
      <c r="B220" t="s">
        <v>135</v>
      </c>
      <c r="C220">
        <v>22002507</v>
      </c>
      <c r="D220">
        <v>1206</v>
      </c>
      <c r="E220" s="11">
        <v>44777</v>
      </c>
      <c r="F220" t="s">
        <v>159</v>
      </c>
      <c r="G220" s="25">
        <v>15.5</v>
      </c>
      <c r="H220">
        <v>15.5</v>
      </c>
      <c r="I220" t="s">
        <v>56</v>
      </c>
      <c r="O220" t="s">
        <v>57</v>
      </c>
      <c r="Q220" t="s">
        <v>57</v>
      </c>
      <c r="R220" t="s">
        <v>137</v>
      </c>
      <c r="T220" t="s">
        <v>59</v>
      </c>
      <c r="U220" t="s">
        <v>60</v>
      </c>
      <c r="V220" t="s">
        <v>138</v>
      </c>
      <c r="W220" t="s">
        <v>139</v>
      </c>
      <c r="X220">
        <v>1927633</v>
      </c>
      <c r="Y220" s="11">
        <v>44777</v>
      </c>
      <c r="Z220" t="s">
        <v>57</v>
      </c>
      <c r="AA220">
        <v>4</v>
      </c>
      <c r="AB220" t="s">
        <v>57</v>
      </c>
      <c r="AD220" t="s">
        <v>57</v>
      </c>
      <c r="AE220" t="s">
        <v>57</v>
      </c>
      <c r="AF220" t="s">
        <v>57</v>
      </c>
      <c r="AG220">
        <v>1</v>
      </c>
      <c r="AH220" t="s">
        <v>57</v>
      </c>
      <c r="AL220" t="s">
        <v>57</v>
      </c>
      <c r="AM220" s="11">
        <v>44777</v>
      </c>
      <c r="AN220" t="s">
        <v>184</v>
      </c>
      <c r="AO220" t="s">
        <v>65</v>
      </c>
      <c r="AP220">
        <v>1206</v>
      </c>
      <c r="AQ220" t="s">
        <v>66</v>
      </c>
      <c r="AR220">
        <v>163472</v>
      </c>
      <c r="AU220" t="s">
        <v>57</v>
      </c>
      <c r="AV220" t="s">
        <v>68</v>
      </c>
      <c r="AX220" t="s">
        <v>57</v>
      </c>
      <c r="AY220">
        <v>631110</v>
      </c>
      <c r="AZ220">
        <v>1206.63111</v>
      </c>
      <c r="BA220" s="23" t="s">
        <v>14</v>
      </c>
    </row>
    <row r="221" spans="1:53" x14ac:dyDescent="0.25">
      <c r="A221" t="s">
        <v>134</v>
      </c>
      <c r="B221" t="s">
        <v>135</v>
      </c>
      <c r="C221">
        <v>22002543</v>
      </c>
      <c r="D221">
        <v>1206</v>
      </c>
      <c r="E221" s="11">
        <v>44782</v>
      </c>
      <c r="F221" t="s">
        <v>159</v>
      </c>
      <c r="G221" s="25">
        <v>15.5</v>
      </c>
      <c r="H221">
        <v>15.5</v>
      </c>
      <c r="I221" t="s">
        <v>56</v>
      </c>
      <c r="O221" t="s">
        <v>57</v>
      </c>
      <c r="Q221" t="s">
        <v>57</v>
      </c>
      <c r="R221" t="s">
        <v>137</v>
      </c>
      <c r="T221" t="s">
        <v>59</v>
      </c>
      <c r="U221" t="s">
        <v>60</v>
      </c>
      <c r="V221" t="s">
        <v>138</v>
      </c>
      <c r="W221" t="s">
        <v>139</v>
      </c>
      <c r="X221">
        <v>1929848</v>
      </c>
      <c r="Y221" s="11">
        <v>44782</v>
      </c>
      <c r="Z221" t="s">
        <v>57</v>
      </c>
      <c r="AA221">
        <v>2</v>
      </c>
      <c r="AB221" t="s">
        <v>57</v>
      </c>
      <c r="AD221" t="s">
        <v>57</v>
      </c>
      <c r="AE221" t="s">
        <v>57</v>
      </c>
      <c r="AF221" t="s">
        <v>57</v>
      </c>
      <c r="AG221">
        <v>1</v>
      </c>
      <c r="AH221" t="s">
        <v>57</v>
      </c>
      <c r="AL221" t="s">
        <v>57</v>
      </c>
      <c r="AM221" s="11">
        <v>44782</v>
      </c>
      <c r="AN221" t="s">
        <v>184</v>
      </c>
      <c r="AO221" t="s">
        <v>65</v>
      </c>
      <c r="AP221">
        <v>1206</v>
      </c>
      <c r="AQ221" t="s">
        <v>66</v>
      </c>
      <c r="AR221">
        <v>163472</v>
      </c>
      <c r="AU221" t="s">
        <v>57</v>
      </c>
      <c r="AV221" t="s">
        <v>68</v>
      </c>
      <c r="AX221" t="s">
        <v>57</v>
      </c>
      <c r="AY221">
        <v>631110</v>
      </c>
      <c r="AZ221">
        <v>1206.63111</v>
      </c>
      <c r="BA221" s="23" t="s">
        <v>14</v>
      </c>
    </row>
    <row r="222" spans="1:53" x14ac:dyDescent="0.25">
      <c r="A222" t="s">
        <v>134</v>
      </c>
      <c r="B222" t="s">
        <v>135</v>
      </c>
      <c r="C222">
        <v>22002563</v>
      </c>
      <c r="D222">
        <v>1206</v>
      </c>
      <c r="E222" s="11">
        <v>44784</v>
      </c>
      <c r="F222" t="s">
        <v>159</v>
      </c>
      <c r="G222" s="25">
        <v>15.5</v>
      </c>
      <c r="H222">
        <v>15.5</v>
      </c>
      <c r="I222" t="s">
        <v>56</v>
      </c>
      <c r="O222" t="s">
        <v>57</v>
      </c>
      <c r="Q222" t="s">
        <v>57</v>
      </c>
      <c r="R222" t="s">
        <v>137</v>
      </c>
      <c r="T222" t="s">
        <v>59</v>
      </c>
      <c r="U222" t="s">
        <v>60</v>
      </c>
      <c r="V222" t="s">
        <v>138</v>
      </c>
      <c r="W222" t="s">
        <v>139</v>
      </c>
      <c r="X222">
        <v>1930520</v>
      </c>
      <c r="Y222" s="11">
        <v>44784</v>
      </c>
      <c r="Z222" t="s">
        <v>57</v>
      </c>
      <c r="AA222">
        <v>2</v>
      </c>
      <c r="AB222" t="s">
        <v>57</v>
      </c>
      <c r="AD222" t="s">
        <v>57</v>
      </c>
      <c r="AE222" t="s">
        <v>57</v>
      </c>
      <c r="AF222" t="s">
        <v>57</v>
      </c>
      <c r="AG222">
        <v>1</v>
      </c>
      <c r="AH222" t="s">
        <v>57</v>
      </c>
      <c r="AL222" t="s">
        <v>57</v>
      </c>
      <c r="AM222" s="11">
        <v>44784</v>
      </c>
      <c r="AN222" t="s">
        <v>184</v>
      </c>
      <c r="AO222" t="s">
        <v>65</v>
      </c>
      <c r="AP222">
        <v>1206</v>
      </c>
      <c r="AQ222" t="s">
        <v>66</v>
      </c>
      <c r="AR222">
        <v>163472</v>
      </c>
      <c r="AU222" t="s">
        <v>57</v>
      </c>
      <c r="AV222" t="s">
        <v>68</v>
      </c>
      <c r="AX222" t="s">
        <v>57</v>
      </c>
      <c r="AY222">
        <v>631110</v>
      </c>
      <c r="AZ222">
        <v>1206.63111</v>
      </c>
      <c r="BA222" s="23" t="s">
        <v>14</v>
      </c>
    </row>
    <row r="223" spans="1:53" x14ac:dyDescent="0.25">
      <c r="A223" t="s">
        <v>134</v>
      </c>
      <c r="B223" t="s">
        <v>135</v>
      </c>
      <c r="C223">
        <v>22002603</v>
      </c>
      <c r="D223">
        <v>1206</v>
      </c>
      <c r="E223" s="11">
        <v>44791</v>
      </c>
      <c r="F223" t="s">
        <v>159</v>
      </c>
      <c r="G223" s="25">
        <v>15.5</v>
      </c>
      <c r="H223">
        <v>15.5</v>
      </c>
      <c r="I223" t="s">
        <v>56</v>
      </c>
      <c r="O223" t="s">
        <v>57</v>
      </c>
      <c r="Q223" t="s">
        <v>57</v>
      </c>
      <c r="R223" t="s">
        <v>137</v>
      </c>
      <c r="T223" t="s">
        <v>59</v>
      </c>
      <c r="U223" t="s">
        <v>60</v>
      </c>
      <c r="V223" t="s">
        <v>138</v>
      </c>
      <c r="W223" t="s">
        <v>139</v>
      </c>
      <c r="X223">
        <v>1934071</v>
      </c>
      <c r="Y223" s="11">
        <v>44792</v>
      </c>
      <c r="Z223" t="s">
        <v>57</v>
      </c>
      <c r="AA223">
        <v>4</v>
      </c>
      <c r="AB223" t="s">
        <v>57</v>
      </c>
      <c r="AD223" t="s">
        <v>57</v>
      </c>
      <c r="AE223" t="s">
        <v>57</v>
      </c>
      <c r="AF223" t="s">
        <v>57</v>
      </c>
      <c r="AG223">
        <v>1</v>
      </c>
      <c r="AH223" t="s">
        <v>57</v>
      </c>
      <c r="AL223" t="s">
        <v>57</v>
      </c>
      <c r="AM223" s="11">
        <v>44791</v>
      </c>
      <c r="AN223" t="s">
        <v>184</v>
      </c>
      <c r="AO223" t="s">
        <v>65</v>
      </c>
      <c r="AP223">
        <v>1206</v>
      </c>
      <c r="AQ223" t="s">
        <v>66</v>
      </c>
      <c r="AR223">
        <v>163472</v>
      </c>
      <c r="AU223" t="s">
        <v>57</v>
      </c>
      <c r="AV223" t="s">
        <v>68</v>
      </c>
      <c r="AX223" t="s">
        <v>57</v>
      </c>
      <c r="AY223">
        <v>631110</v>
      </c>
      <c r="AZ223">
        <v>1206.63111</v>
      </c>
      <c r="BA223" s="23" t="s">
        <v>14</v>
      </c>
    </row>
    <row r="224" spans="1:53" x14ac:dyDescent="0.25">
      <c r="A224" t="s">
        <v>134</v>
      </c>
      <c r="B224" t="s">
        <v>135</v>
      </c>
      <c r="C224">
        <v>22002494</v>
      </c>
      <c r="D224">
        <v>1206</v>
      </c>
      <c r="E224" s="11">
        <v>44775</v>
      </c>
      <c r="F224" t="s">
        <v>172</v>
      </c>
      <c r="G224" s="25">
        <v>16.13</v>
      </c>
      <c r="H224">
        <v>16.13</v>
      </c>
      <c r="I224" t="s">
        <v>56</v>
      </c>
      <c r="O224" t="s">
        <v>57</v>
      </c>
      <c r="Q224" t="s">
        <v>57</v>
      </c>
      <c r="R224" t="s">
        <v>137</v>
      </c>
      <c r="T224" t="s">
        <v>59</v>
      </c>
      <c r="U224" t="s">
        <v>60</v>
      </c>
      <c r="V224" t="s">
        <v>138</v>
      </c>
      <c r="W224" t="s">
        <v>139</v>
      </c>
      <c r="X224">
        <v>1926655</v>
      </c>
      <c r="Y224" s="11">
        <v>44775</v>
      </c>
      <c r="Z224" t="s">
        <v>57</v>
      </c>
      <c r="AA224">
        <v>2</v>
      </c>
      <c r="AB224" t="s">
        <v>57</v>
      </c>
      <c r="AD224" t="s">
        <v>57</v>
      </c>
      <c r="AE224" t="s">
        <v>57</v>
      </c>
      <c r="AF224" t="s">
        <v>57</v>
      </c>
      <c r="AG224">
        <v>2</v>
      </c>
      <c r="AH224" t="s">
        <v>57</v>
      </c>
      <c r="AL224" t="s">
        <v>57</v>
      </c>
      <c r="AM224" s="11">
        <v>44775</v>
      </c>
      <c r="AN224" t="s">
        <v>184</v>
      </c>
      <c r="AO224" t="s">
        <v>65</v>
      </c>
      <c r="AP224">
        <v>1206</v>
      </c>
      <c r="AQ224" t="s">
        <v>66</v>
      </c>
      <c r="AR224">
        <v>279991</v>
      </c>
      <c r="AU224" t="s">
        <v>57</v>
      </c>
      <c r="AV224" t="s">
        <v>68</v>
      </c>
      <c r="AX224" t="s">
        <v>57</v>
      </c>
      <c r="AY224">
        <v>631110</v>
      </c>
      <c r="AZ224">
        <v>1206.63111</v>
      </c>
      <c r="BA224" s="23" t="s">
        <v>14</v>
      </c>
    </row>
    <row r="225" spans="1:53" x14ac:dyDescent="0.25">
      <c r="A225" t="s">
        <v>134</v>
      </c>
      <c r="B225" t="s">
        <v>135</v>
      </c>
      <c r="C225">
        <v>22002501</v>
      </c>
      <c r="D225">
        <v>1206</v>
      </c>
      <c r="E225" s="11">
        <v>44776</v>
      </c>
      <c r="F225" t="s">
        <v>172</v>
      </c>
      <c r="G225" s="25">
        <v>16.13</v>
      </c>
      <c r="H225">
        <v>16.13</v>
      </c>
      <c r="I225" t="s">
        <v>56</v>
      </c>
      <c r="O225" t="s">
        <v>57</v>
      </c>
      <c r="Q225" t="s">
        <v>57</v>
      </c>
      <c r="R225" t="s">
        <v>137</v>
      </c>
      <c r="T225" t="s">
        <v>59</v>
      </c>
      <c r="U225" t="s">
        <v>60</v>
      </c>
      <c r="V225" t="s">
        <v>138</v>
      </c>
      <c r="W225" t="s">
        <v>139</v>
      </c>
      <c r="X225">
        <v>1927037</v>
      </c>
      <c r="Y225" s="11">
        <v>44776</v>
      </c>
      <c r="Z225" t="s">
        <v>57</v>
      </c>
      <c r="AA225">
        <v>2</v>
      </c>
      <c r="AB225" t="s">
        <v>57</v>
      </c>
      <c r="AD225" t="s">
        <v>57</v>
      </c>
      <c r="AE225" t="s">
        <v>57</v>
      </c>
      <c r="AF225" t="s">
        <v>57</v>
      </c>
      <c r="AG225">
        <v>2</v>
      </c>
      <c r="AH225" t="s">
        <v>57</v>
      </c>
      <c r="AL225" t="s">
        <v>57</v>
      </c>
      <c r="AM225" s="11">
        <v>44776</v>
      </c>
      <c r="AN225" t="s">
        <v>184</v>
      </c>
      <c r="AO225" t="s">
        <v>65</v>
      </c>
      <c r="AP225">
        <v>1206</v>
      </c>
      <c r="AQ225" t="s">
        <v>66</v>
      </c>
      <c r="AR225">
        <v>279991</v>
      </c>
      <c r="AU225" t="s">
        <v>57</v>
      </c>
      <c r="AV225" t="s">
        <v>68</v>
      </c>
      <c r="AX225" t="s">
        <v>57</v>
      </c>
      <c r="AY225">
        <v>631110</v>
      </c>
      <c r="AZ225">
        <v>1206.63111</v>
      </c>
      <c r="BA225" s="23" t="s">
        <v>14</v>
      </c>
    </row>
    <row r="226" spans="1:53" x14ac:dyDescent="0.25">
      <c r="A226" t="s">
        <v>134</v>
      </c>
      <c r="B226" t="s">
        <v>135</v>
      </c>
      <c r="C226">
        <v>22002526</v>
      </c>
      <c r="D226">
        <v>1206</v>
      </c>
      <c r="E226" s="11">
        <v>44778</v>
      </c>
      <c r="F226" t="s">
        <v>172</v>
      </c>
      <c r="G226" s="25">
        <v>16.13</v>
      </c>
      <c r="H226">
        <v>16.13</v>
      </c>
      <c r="I226" t="s">
        <v>56</v>
      </c>
      <c r="O226" t="s">
        <v>57</v>
      </c>
      <c r="Q226" t="s">
        <v>57</v>
      </c>
      <c r="R226" t="s">
        <v>137</v>
      </c>
      <c r="T226" t="s">
        <v>59</v>
      </c>
      <c r="U226" t="s">
        <v>60</v>
      </c>
      <c r="V226" t="s">
        <v>138</v>
      </c>
      <c r="W226" t="s">
        <v>139</v>
      </c>
      <c r="X226">
        <v>1928766</v>
      </c>
      <c r="Y226" s="11">
        <v>44778</v>
      </c>
      <c r="Z226" t="s">
        <v>57</v>
      </c>
      <c r="AA226">
        <v>2</v>
      </c>
      <c r="AB226" t="s">
        <v>57</v>
      </c>
      <c r="AD226" t="s">
        <v>57</v>
      </c>
      <c r="AE226" t="s">
        <v>57</v>
      </c>
      <c r="AF226" t="s">
        <v>57</v>
      </c>
      <c r="AG226">
        <v>2</v>
      </c>
      <c r="AH226" t="s">
        <v>57</v>
      </c>
      <c r="AL226" t="s">
        <v>57</v>
      </c>
      <c r="AM226" s="11">
        <v>44778</v>
      </c>
      <c r="AN226" t="s">
        <v>184</v>
      </c>
      <c r="AO226" t="s">
        <v>65</v>
      </c>
      <c r="AP226">
        <v>1206</v>
      </c>
      <c r="AQ226" t="s">
        <v>66</v>
      </c>
      <c r="AR226">
        <v>279991</v>
      </c>
      <c r="AU226" t="s">
        <v>57</v>
      </c>
      <c r="AV226" t="s">
        <v>68</v>
      </c>
      <c r="AX226" t="s">
        <v>57</v>
      </c>
      <c r="AY226">
        <v>631110</v>
      </c>
      <c r="AZ226">
        <v>1206.63111</v>
      </c>
      <c r="BA226" s="23" t="s">
        <v>14</v>
      </c>
    </row>
    <row r="227" spans="1:53" x14ac:dyDescent="0.25">
      <c r="A227" t="s">
        <v>134</v>
      </c>
      <c r="B227" t="s">
        <v>135</v>
      </c>
      <c r="C227">
        <v>22002547</v>
      </c>
      <c r="D227">
        <v>1206</v>
      </c>
      <c r="E227" s="11">
        <v>44782</v>
      </c>
      <c r="F227" t="s">
        <v>172</v>
      </c>
      <c r="G227" s="25">
        <v>16.13</v>
      </c>
      <c r="H227">
        <v>16.13</v>
      </c>
      <c r="I227" t="s">
        <v>56</v>
      </c>
      <c r="O227" t="s">
        <v>57</v>
      </c>
      <c r="Q227" t="s">
        <v>57</v>
      </c>
      <c r="R227" t="s">
        <v>137</v>
      </c>
      <c r="T227" t="s">
        <v>59</v>
      </c>
      <c r="U227" t="s">
        <v>60</v>
      </c>
      <c r="V227" t="s">
        <v>138</v>
      </c>
      <c r="W227" t="s">
        <v>139</v>
      </c>
      <c r="X227">
        <v>1930246</v>
      </c>
      <c r="Y227" s="11">
        <v>44783</v>
      </c>
      <c r="Z227" t="s">
        <v>57</v>
      </c>
      <c r="AA227">
        <v>2</v>
      </c>
      <c r="AB227" t="s">
        <v>57</v>
      </c>
      <c r="AD227" t="s">
        <v>57</v>
      </c>
      <c r="AE227" t="s">
        <v>57</v>
      </c>
      <c r="AF227" t="s">
        <v>57</v>
      </c>
      <c r="AG227">
        <v>2</v>
      </c>
      <c r="AH227" t="s">
        <v>57</v>
      </c>
      <c r="AL227" t="s">
        <v>57</v>
      </c>
      <c r="AM227" s="11">
        <v>44782</v>
      </c>
      <c r="AN227" t="s">
        <v>184</v>
      </c>
      <c r="AO227" t="s">
        <v>65</v>
      </c>
      <c r="AP227">
        <v>1206</v>
      </c>
      <c r="AQ227" t="s">
        <v>66</v>
      </c>
      <c r="AR227">
        <v>279991</v>
      </c>
      <c r="AU227" t="s">
        <v>57</v>
      </c>
      <c r="AV227" t="s">
        <v>68</v>
      </c>
      <c r="AX227" t="s">
        <v>57</v>
      </c>
      <c r="AY227">
        <v>631110</v>
      </c>
      <c r="AZ227">
        <v>1206.63111</v>
      </c>
      <c r="BA227" s="23" t="s">
        <v>14</v>
      </c>
    </row>
    <row r="228" spans="1:53" x14ac:dyDescent="0.25">
      <c r="A228" t="s">
        <v>134</v>
      </c>
      <c r="B228" t="s">
        <v>135</v>
      </c>
      <c r="C228">
        <v>22002554</v>
      </c>
      <c r="D228">
        <v>1206</v>
      </c>
      <c r="E228" s="11">
        <v>44783</v>
      </c>
      <c r="F228" t="s">
        <v>172</v>
      </c>
      <c r="G228" s="25">
        <v>16.13</v>
      </c>
      <c r="H228">
        <v>16.13</v>
      </c>
      <c r="I228" t="s">
        <v>56</v>
      </c>
      <c r="O228" t="s">
        <v>57</v>
      </c>
      <c r="Q228" t="s">
        <v>57</v>
      </c>
      <c r="R228" t="s">
        <v>137</v>
      </c>
      <c r="T228" t="s">
        <v>59</v>
      </c>
      <c r="U228" t="s">
        <v>60</v>
      </c>
      <c r="V228" t="s">
        <v>138</v>
      </c>
      <c r="W228" t="s">
        <v>139</v>
      </c>
      <c r="X228">
        <v>1930431</v>
      </c>
      <c r="Y228" s="11">
        <v>44784</v>
      </c>
      <c r="Z228" t="s">
        <v>57</v>
      </c>
      <c r="AA228">
        <v>2</v>
      </c>
      <c r="AB228" t="s">
        <v>57</v>
      </c>
      <c r="AD228" t="s">
        <v>57</v>
      </c>
      <c r="AE228" t="s">
        <v>57</v>
      </c>
      <c r="AF228" t="s">
        <v>57</v>
      </c>
      <c r="AG228">
        <v>2</v>
      </c>
      <c r="AH228" t="s">
        <v>57</v>
      </c>
      <c r="AL228" t="s">
        <v>57</v>
      </c>
      <c r="AM228" s="11">
        <v>44783</v>
      </c>
      <c r="AN228" t="s">
        <v>184</v>
      </c>
      <c r="AO228" t="s">
        <v>65</v>
      </c>
      <c r="AP228">
        <v>1206</v>
      </c>
      <c r="AQ228" t="s">
        <v>66</v>
      </c>
      <c r="AR228">
        <v>279991</v>
      </c>
      <c r="AU228" t="s">
        <v>57</v>
      </c>
      <c r="AV228" t="s">
        <v>68</v>
      </c>
      <c r="AX228" t="s">
        <v>57</v>
      </c>
      <c r="AY228">
        <v>631110</v>
      </c>
      <c r="AZ228">
        <v>1206.63111</v>
      </c>
      <c r="BA228" s="23" t="s">
        <v>14</v>
      </c>
    </row>
    <row r="229" spans="1:53" x14ac:dyDescent="0.25">
      <c r="A229" t="s">
        <v>134</v>
      </c>
      <c r="B229" t="s">
        <v>135</v>
      </c>
      <c r="C229">
        <v>22002608</v>
      </c>
      <c r="D229">
        <v>1206</v>
      </c>
      <c r="E229" s="11">
        <v>44792</v>
      </c>
      <c r="F229" t="s">
        <v>172</v>
      </c>
      <c r="G229" s="25">
        <v>16.13</v>
      </c>
      <c r="H229">
        <v>16.13</v>
      </c>
      <c r="I229" t="s">
        <v>56</v>
      </c>
      <c r="O229" t="s">
        <v>57</v>
      </c>
      <c r="Q229" t="s">
        <v>57</v>
      </c>
      <c r="R229" t="s">
        <v>137</v>
      </c>
      <c r="T229" t="s">
        <v>59</v>
      </c>
      <c r="U229" t="s">
        <v>60</v>
      </c>
      <c r="V229" t="s">
        <v>138</v>
      </c>
      <c r="W229" t="s">
        <v>139</v>
      </c>
      <c r="X229">
        <v>1934080</v>
      </c>
      <c r="Y229" s="11">
        <v>44792</v>
      </c>
      <c r="Z229" t="s">
        <v>57</v>
      </c>
      <c r="AA229">
        <v>2</v>
      </c>
      <c r="AB229" t="s">
        <v>57</v>
      </c>
      <c r="AD229" t="s">
        <v>57</v>
      </c>
      <c r="AE229" t="s">
        <v>57</v>
      </c>
      <c r="AF229" t="s">
        <v>57</v>
      </c>
      <c r="AG229">
        <v>2</v>
      </c>
      <c r="AH229" t="s">
        <v>57</v>
      </c>
      <c r="AL229" t="s">
        <v>57</v>
      </c>
      <c r="AM229" s="11">
        <v>44792</v>
      </c>
      <c r="AN229" t="s">
        <v>184</v>
      </c>
      <c r="AO229" t="s">
        <v>65</v>
      </c>
      <c r="AP229">
        <v>1206</v>
      </c>
      <c r="AQ229" t="s">
        <v>66</v>
      </c>
      <c r="AR229">
        <v>279991</v>
      </c>
      <c r="AU229" t="s">
        <v>57</v>
      </c>
      <c r="AV229" t="s">
        <v>68</v>
      </c>
      <c r="AX229" t="s">
        <v>57</v>
      </c>
      <c r="AY229">
        <v>631110</v>
      </c>
      <c r="AZ229">
        <v>1206.63111</v>
      </c>
      <c r="BA229" s="23" t="s">
        <v>14</v>
      </c>
    </row>
    <row r="230" spans="1:53" x14ac:dyDescent="0.25">
      <c r="A230" t="s">
        <v>134</v>
      </c>
      <c r="B230" t="s">
        <v>135</v>
      </c>
      <c r="C230">
        <v>22002573</v>
      </c>
      <c r="D230">
        <v>1206</v>
      </c>
      <c r="E230" s="11">
        <v>44784</v>
      </c>
      <c r="F230" t="s">
        <v>174</v>
      </c>
      <c r="G230" s="25">
        <v>18.22</v>
      </c>
      <c r="H230">
        <v>18.22</v>
      </c>
      <c r="I230" t="s">
        <v>56</v>
      </c>
      <c r="O230" t="s">
        <v>57</v>
      </c>
      <c r="Q230" t="s">
        <v>57</v>
      </c>
      <c r="R230" t="s">
        <v>137</v>
      </c>
      <c r="T230" t="s">
        <v>59</v>
      </c>
      <c r="U230" t="s">
        <v>60</v>
      </c>
      <c r="V230" t="s">
        <v>138</v>
      </c>
      <c r="W230" t="s">
        <v>139</v>
      </c>
      <c r="X230">
        <v>1930627</v>
      </c>
      <c r="Y230" s="11">
        <v>44785</v>
      </c>
      <c r="Z230" t="s">
        <v>57</v>
      </c>
      <c r="AA230">
        <v>2</v>
      </c>
      <c r="AB230" t="s">
        <v>57</v>
      </c>
      <c r="AD230" t="s">
        <v>57</v>
      </c>
      <c r="AE230" t="s">
        <v>57</v>
      </c>
      <c r="AF230" t="s">
        <v>57</v>
      </c>
      <c r="AG230">
        <v>5</v>
      </c>
      <c r="AH230" t="s">
        <v>57</v>
      </c>
      <c r="AL230" t="s">
        <v>57</v>
      </c>
      <c r="AM230" s="11">
        <v>44784</v>
      </c>
      <c r="AN230" t="s">
        <v>184</v>
      </c>
      <c r="AO230" t="s">
        <v>65</v>
      </c>
      <c r="AP230">
        <v>1206</v>
      </c>
      <c r="AQ230" t="s">
        <v>66</v>
      </c>
      <c r="AR230">
        <v>230640</v>
      </c>
      <c r="AU230" t="s">
        <v>57</v>
      </c>
      <c r="AV230" t="s">
        <v>68</v>
      </c>
      <c r="AX230" t="s">
        <v>57</v>
      </c>
      <c r="AY230">
        <v>631110</v>
      </c>
      <c r="AZ230">
        <v>1206.63111</v>
      </c>
      <c r="BA230" s="23" t="s">
        <v>14</v>
      </c>
    </row>
    <row r="231" spans="1:53" x14ac:dyDescent="0.25">
      <c r="A231" t="s">
        <v>134</v>
      </c>
      <c r="B231" t="s">
        <v>135</v>
      </c>
      <c r="C231">
        <v>22002566</v>
      </c>
      <c r="D231">
        <v>1206</v>
      </c>
      <c r="E231" s="11">
        <v>44784</v>
      </c>
      <c r="F231" t="s">
        <v>185</v>
      </c>
      <c r="G231" s="25">
        <v>18.25</v>
      </c>
      <c r="H231">
        <v>18.25</v>
      </c>
      <c r="I231" t="s">
        <v>56</v>
      </c>
      <c r="O231" t="s">
        <v>57</v>
      </c>
      <c r="Q231" t="s">
        <v>57</v>
      </c>
      <c r="R231" t="s">
        <v>137</v>
      </c>
      <c r="T231" t="s">
        <v>59</v>
      </c>
      <c r="U231" t="s">
        <v>60</v>
      </c>
      <c r="V231" t="s">
        <v>138</v>
      </c>
      <c r="W231" t="s">
        <v>139</v>
      </c>
      <c r="X231">
        <v>1930539</v>
      </c>
      <c r="Y231" s="11">
        <v>44785</v>
      </c>
      <c r="Z231" t="s">
        <v>57</v>
      </c>
      <c r="AA231">
        <v>2</v>
      </c>
      <c r="AB231" t="s">
        <v>57</v>
      </c>
      <c r="AD231" t="s">
        <v>57</v>
      </c>
      <c r="AE231" t="s">
        <v>57</v>
      </c>
      <c r="AF231" t="s">
        <v>57</v>
      </c>
      <c r="AG231">
        <v>50</v>
      </c>
      <c r="AH231" t="s">
        <v>57</v>
      </c>
      <c r="AL231" t="s">
        <v>57</v>
      </c>
      <c r="AM231" s="11">
        <v>44784</v>
      </c>
      <c r="AN231" t="s">
        <v>183</v>
      </c>
      <c r="AO231" t="s">
        <v>65</v>
      </c>
      <c r="AP231">
        <v>1206</v>
      </c>
      <c r="AQ231" t="s">
        <v>66</v>
      </c>
      <c r="AR231">
        <v>91011</v>
      </c>
      <c r="AU231" t="s">
        <v>57</v>
      </c>
      <c r="AV231" t="s">
        <v>68</v>
      </c>
      <c r="AX231" t="s">
        <v>57</v>
      </c>
      <c r="AY231">
        <v>631110</v>
      </c>
      <c r="AZ231">
        <v>1206.63111</v>
      </c>
      <c r="BA231" s="23" t="s">
        <v>14</v>
      </c>
    </row>
    <row r="232" spans="1:53" x14ac:dyDescent="0.25">
      <c r="A232" t="s">
        <v>134</v>
      </c>
      <c r="B232" t="s">
        <v>135</v>
      </c>
      <c r="C232">
        <v>22002587</v>
      </c>
      <c r="D232">
        <v>1206</v>
      </c>
      <c r="E232" s="11">
        <v>44788</v>
      </c>
      <c r="F232" t="s">
        <v>174</v>
      </c>
      <c r="G232" s="25">
        <v>18.850000000000001</v>
      </c>
      <c r="H232">
        <v>18.850000000000001</v>
      </c>
      <c r="I232" t="s">
        <v>56</v>
      </c>
      <c r="O232" t="s">
        <v>57</v>
      </c>
      <c r="Q232" t="s">
        <v>57</v>
      </c>
      <c r="R232" t="s">
        <v>137</v>
      </c>
      <c r="T232" t="s">
        <v>59</v>
      </c>
      <c r="U232" t="s">
        <v>60</v>
      </c>
      <c r="V232" t="s">
        <v>138</v>
      </c>
      <c r="W232" t="s">
        <v>139</v>
      </c>
      <c r="X232">
        <v>1933170</v>
      </c>
      <c r="Y232" s="11">
        <v>44789</v>
      </c>
      <c r="Z232" t="s">
        <v>57</v>
      </c>
      <c r="AA232">
        <v>4</v>
      </c>
      <c r="AB232" t="s">
        <v>57</v>
      </c>
      <c r="AD232" t="s">
        <v>57</v>
      </c>
      <c r="AE232" t="s">
        <v>57</v>
      </c>
      <c r="AF232" t="s">
        <v>57</v>
      </c>
      <c r="AG232">
        <v>1</v>
      </c>
      <c r="AH232" t="s">
        <v>57</v>
      </c>
      <c r="AL232" t="s">
        <v>57</v>
      </c>
      <c r="AM232" s="11">
        <v>44788</v>
      </c>
      <c r="AN232" t="s">
        <v>184</v>
      </c>
      <c r="AO232" t="s">
        <v>65</v>
      </c>
      <c r="AP232">
        <v>1206</v>
      </c>
      <c r="AQ232" t="s">
        <v>66</v>
      </c>
      <c r="AR232">
        <v>106094</v>
      </c>
      <c r="AU232" t="s">
        <v>57</v>
      </c>
      <c r="AV232" t="s">
        <v>68</v>
      </c>
      <c r="AX232" t="s">
        <v>57</v>
      </c>
      <c r="AY232">
        <v>631110</v>
      </c>
      <c r="AZ232">
        <v>1206.63111</v>
      </c>
      <c r="BA232" s="23" t="s">
        <v>14</v>
      </c>
    </row>
    <row r="233" spans="1:53" x14ac:dyDescent="0.25">
      <c r="A233" t="s">
        <v>134</v>
      </c>
      <c r="B233" t="s">
        <v>135</v>
      </c>
      <c r="C233">
        <v>22002502</v>
      </c>
      <c r="D233">
        <v>1206</v>
      </c>
      <c r="E233" s="11">
        <v>44776</v>
      </c>
      <c r="F233" t="s">
        <v>174</v>
      </c>
      <c r="G233" s="25">
        <v>20.56</v>
      </c>
      <c r="H233">
        <v>20.56</v>
      </c>
      <c r="I233" t="s">
        <v>56</v>
      </c>
      <c r="O233" t="s">
        <v>57</v>
      </c>
      <c r="Q233" t="s">
        <v>57</v>
      </c>
      <c r="R233" t="s">
        <v>137</v>
      </c>
      <c r="T233" t="s">
        <v>59</v>
      </c>
      <c r="U233" t="s">
        <v>60</v>
      </c>
      <c r="V233" t="s">
        <v>138</v>
      </c>
      <c r="W233" t="s">
        <v>139</v>
      </c>
      <c r="X233">
        <v>1927037</v>
      </c>
      <c r="Y233" s="11">
        <v>44776</v>
      </c>
      <c r="Z233" t="s">
        <v>57</v>
      </c>
      <c r="AA233">
        <v>8</v>
      </c>
      <c r="AB233" t="s">
        <v>57</v>
      </c>
      <c r="AD233" t="s">
        <v>57</v>
      </c>
      <c r="AE233" t="s">
        <v>57</v>
      </c>
      <c r="AF233" t="s">
        <v>57</v>
      </c>
      <c r="AG233">
        <v>2</v>
      </c>
      <c r="AH233" t="s">
        <v>57</v>
      </c>
      <c r="AL233" t="s">
        <v>57</v>
      </c>
      <c r="AM233" s="11">
        <v>44776</v>
      </c>
      <c r="AN233" t="s">
        <v>184</v>
      </c>
      <c r="AO233" t="s">
        <v>65</v>
      </c>
      <c r="AP233">
        <v>1206</v>
      </c>
      <c r="AQ233" t="s">
        <v>66</v>
      </c>
      <c r="AR233">
        <v>89976</v>
      </c>
      <c r="AU233" t="s">
        <v>57</v>
      </c>
      <c r="AV233" t="s">
        <v>68</v>
      </c>
      <c r="AX233" t="s">
        <v>57</v>
      </c>
      <c r="AY233">
        <v>631110</v>
      </c>
      <c r="AZ233">
        <v>1206.63111</v>
      </c>
      <c r="BA233" s="23" t="s">
        <v>14</v>
      </c>
    </row>
    <row r="234" spans="1:53" x14ac:dyDescent="0.25">
      <c r="A234" t="s">
        <v>134</v>
      </c>
      <c r="B234" t="s">
        <v>135</v>
      </c>
      <c r="C234">
        <v>22002577</v>
      </c>
      <c r="D234">
        <v>1206</v>
      </c>
      <c r="E234" s="11">
        <v>44785</v>
      </c>
      <c r="F234" t="s">
        <v>174</v>
      </c>
      <c r="G234" s="25">
        <v>21.44</v>
      </c>
      <c r="H234">
        <v>21.44</v>
      </c>
      <c r="I234" t="s">
        <v>56</v>
      </c>
      <c r="O234" t="s">
        <v>57</v>
      </c>
      <c r="Q234" t="s">
        <v>57</v>
      </c>
      <c r="R234" t="s">
        <v>137</v>
      </c>
      <c r="T234" t="s">
        <v>59</v>
      </c>
      <c r="U234" t="s">
        <v>60</v>
      </c>
      <c r="V234" t="s">
        <v>138</v>
      </c>
      <c r="W234" t="s">
        <v>139</v>
      </c>
      <c r="X234">
        <v>1930743</v>
      </c>
      <c r="Y234" s="11">
        <v>44785</v>
      </c>
      <c r="Z234" t="s">
        <v>57</v>
      </c>
      <c r="AA234">
        <v>2</v>
      </c>
      <c r="AB234" t="s">
        <v>57</v>
      </c>
      <c r="AD234" t="s">
        <v>57</v>
      </c>
      <c r="AE234" t="s">
        <v>57</v>
      </c>
      <c r="AF234" t="s">
        <v>57</v>
      </c>
      <c r="AG234">
        <v>1</v>
      </c>
      <c r="AH234" t="s">
        <v>57</v>
      </c>
      <c r="AL234" t="s">
        <v>57</v>
      </c>
      <c r="AM234" s="11">
        <v>44785</v>
      </c>
      <c r="AN234" t="s">
        <v>184</v>
      </c>
      <c r="AO234" t="s">
        <v>65</v>
      </c>
      <c r="AP234">
        <v>1206</v>
      </c>
      <c r="AQ234" t="s">
        <v>66</v>
      </c>
      <c r="AR234">
        <v>258398</v>
      </c>
      <c r="AU234" t="s">
        <v>57</v>
      </c>
      <c r="AV234" t="s">
        <v>68</v>
      </c>
      <c r="AX234" t="s">
        <v>57</v>
      </c>
      <c r="AY234">
        <v>631110</v>
      </c>
      <c r="AZ234">
        <v>1206.63111</v>
      </c>
      <c r="BA234" s="23" t="s">
        <v>14</v>
      </c>
    </row>
    <row r="235" spans="1:53" x14ac:dyDescent="0.25">
      <c r="A235" t="s">
        <v>134</v>
      </c>
      <c r="B235" t="s">
        <v>135</v>
      </c>
      <c r="C235">
        <v>22002555</v>
      </c>
      <c r="D235">
        <v>1206</v>
      </c>
      <c r="E235" s="11">
        <v>44783</v>
      </c>
      <c r="F235" t="s">
        <v>174</v>
      </c>
      <c r="G235" s="25">
        <v>21.86</v>
      </c>
      <c r="H235">
        <v>21.86</v>
      </c>
      <c r="I235" t="s">
        <v>56</v>
      </c>
      <c r="O235" t="s">
        <v>57</v>
      </c>
      <c r="Q235" t="s">
        <v>57</v>
      </c>
      <c r="R235" t="s">
        <v>137</v>
      </c>
      <c r="T235" t="s">
        <v>59</v>
      </c>
      <c r="U235" t="s">
        <v>60</v>
      </c>
      <c r="V235" t="s">
        <v>138</v>
      </c>
      <c r="W235" t="s">
        <v>139</v>
      </c>
      <c r="X235">
        <v>1930431</v>
      </c>
      <c r="Y235" s="11">
        <v>44784</v>
      </c>
      <c r="Z235" t="s">
        <v>57</v>
      </c>
      <c r="AA235">
        <v>6</v>
      </c>
      <c r="AB235" t="s">
        <v>57</v>
      </c>
      <c r="AD235" t="s">
        <v>57</v>
      </c>
      <c r="AE235" t="s">
        <v>57</v>
      </c>
      <c r="AF235" t="s">
        <v>57</v>
      </c>
      <c r="AG235">
        <v>6</v>
      </c>
      <c r="AH235" t="s">
        <v>57</v>
      </c>
      <c r="AL235" t="s">
        <v>57</v>
      </c>
      <c r="AM235" s="11">
        <v>44783</v>
      </c>
      <c r="AN235" t="s">
        <v>184</v>
      </c>
      <c r="AO235" t="s">
        <v>65</v>
      </c>
      <c r="AP235">
        <v>1206</v>
      </c>
      <c r="AQ235" t="s">
        <v>66</v>
      </c>
      <c r="AR235">
        <v>230640</v>
      </c>
      <c r="AU235" t="s">
        <v>57</v>
      </c>
      <c r="AV235" t="s">
        <v>68</v>
      </c>
      <c r="AX235" t="s">
        <v>57</v>
      </c>
      <c r="AY235">
        <v>631110</v>
      </c>
      <c r="AZ235">
        <v>1206.63111</v>
      </c>
      <c r="BA235" s="23" t="s">
        <v>14</v>
      </c>
    </row>
    <row r="236" spans="1:53" x14ac:dyDescent="0.25">
      <c r="A236" t="s">
        <v>134</v>
      </c>
      <c r="B236" t="s">
        <v>135</v>
      </c>
      <c r="C236">
        <v>22002505</v>
      </c>
      <c r="D236">
        <v>1206</v>
      </c>
      <c r="E236" s="11">
        <v>44776</v>
      </c>
      <c r="F236" t="s">
        <v>185</v>
      </c>
      <c r="G236" s="25">
        <v>21.89</v>
      </c>
      <c r="H236">
        <v>21.89</v>
      </c>
      <c r="I236" t="s">
        <v>56</v>
      </c>
      <c r="O236" t="s">
        <v>57</v>
      </c>
      <c r="Q236" t="s">
        <v>57</v>
      </c>
      <c r="R236" t="s">
        <v>137</v>
      </c>
      <c r="T236" t="s">
        <v>59</v>
      </c>
      <c r="U236" t="s">
        <v>60</v>
      </c>
      <c r="V236" t="s">
        <v>138</v>
      </c>
      <c r="W236" t="s">
        <v>139</v>
      </c>
      <c r="X236">
        <v>1927077</v>
      </c>
      <c r="Y236" s="11">
        <v>44777</v>
      </c>
      <c r="Z236" t="s">
        <v>57</v>
      </c>
      <c r="AA236">
        <v>2</v>
      </c>
      <c r="AB236" t="s">
        <v>57</v>
      </c>
      <c r="AD236" t="s">
        <v>57</v>
      </c>
      <c r="AE236" t="s">
        <v>57</v>
      </c>
      <c r="AF236" t="s">
        <v>57</v>
      </c>
      <c r="AG236">
        <v>60</v>
      </c>
      <c r="AH236" t="s">
        <v>57</v>
      </c>
      <c r="AL236" t="s">
        <v>57</v>
      </c>
      <c r="AM236" s="11">
        <v>44776</v>
      </c>
      <c r="AN236" t="s">
        <v>183</v>
      </c>
      <c r="AO236" t="s">
        <v>65</v>
      </c>
      <c r="AP236">
        <v>1206</v>
      </c>
      <c r="AQ236" t="s">
        <v>66</v>
      </c>
      <c r="AR236">
        <v>91011</v>
      </c>
      <c r="AU236" t="s">
        <v>57</v>
      </c>
      <c r="AV236" t="s">
        <v>68</v>
      </c>
      <c r="AX236" t="s">
        <v>57</v>
      </c>
      <c r="AY236">
        <v>631110</v>
      </c>
      <c r="AZ236">
        <v>1206.63111</v>
      </c>
      <c r="BA236" s="23" t="s">
        <v>14</v>
      </c>
    </row>
    <row r="237" spans="1:53" x14ac:dyDescent="0.25">
      <c r="A237" t="s">
        <v>134</v>
      </c>
      <c r="B237" t="s">
        <v>135</v>
      </c>
      <c r="C237">
        <v>22002518</v>
      </c>
      <c r="D237">
        <v>1206</v>
      </c>
      <c r="E237" s="11">
        <v>44777</v>
      </c>
      <c r="F237" t="s">
        <v>185</v>
      </c>
      <c r="G237" s="25">
        <v>21.89</v>
      </c>
      <c r="H237">
        <v>21.89</v>
      </c>
      <c r="I237" t="s">
        <v>56</v>
      </c>
      <c r="O237" t="s">
        <v>57</v>
      </c>
      <c r="Q237" t="s">
        <v>57</v>
      </c>
      <c r="R237" t="s">
        <v>137</v>
      </c>
      <c r="T237" t="s">
        <v>59</v>
      </c>
      <c r="U237" t="s">
        <v>60</v>
      </c>
      <c r="V237" t="s">
        <v>138</v>
      </c>
      <c r="W237" t="s">
        <v>139</v>
      </c>
      <c r="X237">
        <v>1927715</v>
      </c>
      <c r="Y237" s="11">
        <v>44778</v>
      </c>
      <c r="Z237" t="s">
        <v>57</v>
      </c>
      <c r="AA237">
        <v>2</v>
      </c>
      <c r="AB237" t="s">
        <v>57</v>
      </c>
      <c r="AD237" t="s">
        <v>57</v>
      </c>
      <c r="AE237" t="s">
        <v>57</v>
      </c>
      <c r="AF237" t="s">
        <v>57</v>
      </c>
      <c r="AG237">
        <v>60</v>
      </c>
      <c r="AH237" t="s">
        <v>57</v>
      </c>
      <c r="AL237" t="s">
        <v>57</v>
      </c>
      <c r="AM237" s="11">
        <v>44777</v>
      </c>
      <c r="AN237" t="s">
        <v>183</v>
      </c>
      <c r="AO237" t="s">
        <v>65</v>
      </c>
      <c r="AP237">
        <v>1206</v>
      </c>
      <c r="AQ237" t="s">
        <v>66</v>
      </c>
      <c r="AR237">
        <v>91011</v>
      </c>
      <c r="AU237" t="s">
        <v>57</v>
      </c>
      <c r="AV237" t="s">
        <v>68</v>
      </c>
      <c r="AX237" t="s">
        <v>57</v>
      </c>
      <c r="AY237">
        <v>631110</v>
      </c>
      <c r="AZ237">
        <v>1206.63111</v>
      </c>
      <c r="BA237" s="23" t="s">
        <v>14</v>
      </c>
    </row>
    <row r="238" spans="1:53" x14ac:dyDescent="0.25">
      <c r="A238" t="s">
        <v>134</v>
      </c>
      <c r="B238" t="s">
        <v>135</v>
      </c>
      <c r="C238">
        <v>22002583</v>
      </c>
      <c r="D238">
        <v>1206</v>
      </c>
      <c r="E238" s="11">
        <v>44788</v>
      </c>
      <c r="F238" t="s">
        <v>185</v>
      </c>
      <c r="G238" s="25">
        <v>21.89</v>
      </c>
      <c r="H238">
        <v>21.89</v>
      </c>
      <c r="I238" t="s">
        <v>56</v>
      </c>
      <c r="O238" t="s">
        <v>57</v>
      </c>
      <c r="Q238" t="s">
        <v>57</v>
      </c>
      <c r="R238" t="s">
        <v>137</v>
      </c>
      <c r="T238" t="s">
        <v>59</v>
      </c>
      <c r="U238" t="s">
        <v>60</v>
      </c>
      <c r="V238" t="s">
        <v>138</v>
      </c>
      <c r="W238" t="s">
        <v>139</v>
      </c>
      <c r="X238">
        <v>1933004</v>
      </c>
      <c r="Y238" s="11">
        <v>44789</v>
      </c>
      <c r="Z238" t="s">
        <v>57</v>
      </c>
      <c r="AA238">
        <v>2</v>
      </c>
      <c r="AB238" t="s">
        <v>57</v>
      </c>
      <c r="AD238" t="s">
        <v>57</v>
      </c>
      <c r="AE238" t="s">
        <v>57</v>
      </c>
      <c r="AF238" t="s">
        <v>57</v>
      </c>
      <c r="AG238">
        <v>60</v>
      </c>
      <c r="AH238" t="s">
        <v>57</v>
      </c>
      <c r="AL238" t="s">
        <v>57</v>
      </c>
      <c r="AM238" s="11">
        <v>44788</v>
      </c>
      <c r="AN238" t="s">
        <v>183</v>
      </c>
      <c r="AO238" t="s">
        <v>65</v>
      </c>
      <c r="AP238">
        <v>1206</v>
      </c>
      <c r="AQ238" t="s">
        <v>66</v>
      </c>
      <c r="AR238">
        <v>91011</v>
      </c>
      <c r="AU238" t="s">
        <v>57</v>
      </c>
      <c r="AV238" t="s">
        <v>68</v>
      </c>
      <c r="AX238" t="s">
        <v>57</v>
      </c>
      <c r="AY238">
        <v>631110</v>
      </c>
      <c r="AZ238">
        <v>1206.63111</v>
      </c>
      <c r="BA238" s="23" t="s">
        <v>14</v>
      </c>
    </row>
    <row r="239" spans="1:53" x14ac:dyDescent="0.25">
      <c r="A239" t="s">
        <v>134</v>
      </c>
      <c r="B239" t="s">
        <v>135</v>
      </c>
      <c r="C239">
        <v>22002597</v>
      </c>
      <c r="D239">
        <v>1206</v>
      </c>
      <c r="E239" s="11">
        <v>44789</v>
      </c>
      <c r="F239" t="s">
        <v>185</v>
      </c>
      <c r="G239" s="25">
        <v>21.89</v>
      </c>
      <c r="H239">
        <v>21.89</v>
      </c>
      <c r="I239" t="s">
        <v>56</v>
      </c>
      <c r="O239" t="s">
        <v>57</v>
      </c>
      <c r="Q239" t="s">
        <v>57</v>
      </c>
      <c r="R239" t="s">
        <v>137</v>
      </c>
      <c r="T239" t="s">
        <v>59</v>
      </c>
      <c r="U239" t="s">
        <v>60</v>
      </c>
      <c r="V239" t="s">
        <v>138</v>
      </c>
      <c r="W239" t="s">
        <v>139</v>
      </c>
      <c r="X239">
        <v>1933574</v>
      </c>
      <c r="Y239" s="11">
        <v>44792</v>
      </c>
      <c r="Z239" t="s">
        <v>57</v>
      </c>
      <c r="AA239">
        <v>2</v>
      </c>
      <c r="AB239" t="s">
        <v>57</v>
      </c>
      <c r="AD239" t="s">
        <v>57</v>
      </c>
      <c r="AE239" t="s">
        <v>57</v>
      </c>
      <c r="AF239" t="s">
        <v>57</v>
      </c>
      <c r="AG239">
        <v>60</v>
      </c>
      <c r="AH239" t="s">
        <v>57</v>
      </c>
      <c r="AL239" t="s">
        <v>57</v>
      </c>
      <c r="AM239" s="11">
        <v>44789</v>
      </c>
      <c r="AN239" t="s">
        <v>183</v>
      </c>
      <c r="AO239" t="s">
        <v>65</v>
      </c>
      <c r="AP239">
        <v>1206</v>
      </c>
      <c r="AQ239" t="s">
        <v>66</v>
      </c>
      <c r="AR239">
        <v>91011</v>
      </c>
      <c r="AU239" t="s">
        <v>57</v>
      </c>
      <c r="AV239" t="s">
        <v>68</v>
      </c>
      <c r="AX239" t="s">
        <v>57</v>
      </c>
      <c r="AY239">
        <v>631110</v>
      </c>
      <c r="AZ239">
        <v>1206.63111</v>
      </c>
      <c r="BA239" s="23" t="s">
        <v>14</v>
      </c>
    </row>
    <row r="240" spans="1:53" x14ac:dyDescent="0.25">
      <c r="A240" t="s">
        <v>134</v>
      </c>
      <c r="B240" t="s">
        <v>135</v>
      </c>
      <c r="C240">
        <v>22002610</v>
      </c>
      <c r="D240">
        <v>1206</v>
      </c>
      <c r="E240" s="11">
        <v>44792</v>
      </c>
      <c r="F240" t="s">
        <v>185</v>
      </c>
      <c r="G240" s="25">
        <v>21.92</v>
      </c>
      <c r="H240">
        <v>21.92</v>
      </c>
      <c r="I240" t="s">
        <v>56</v>
      </c>
      <c r="O240" t="s">
        <v>57</v>
      </c>
      <c r="Q240" t="s">
        <v>57</v>
      </c>
      <c r="R240" t="s">
        <v>137</v>
      </c>
      <c r="T240" t="s">
        <v>59</v>
      </c>
      <c r="U240" t="s">
        <v>60</v>
      </c>
      <c r="V240" t="s">
        <v>138</v>
      </c>
      <c r="W240" t="s">
        <v>139</v>
      </c>
      <c r="X240">
        <v>1934133</v>
      </c>
      <c r="Y240" s="11">
        <v>44795</v>
      </c>
      <c r="Z240" t="s">
        <v>57</v>
      </c>
      <c r="AA240">
        <v>2</v>
      </c>
      <c r="AB240" t="s">
        <v>57</v>
      </c>
      <c r="AD240" t="s">
        <v>57</v>
      </c>
      <c r="AE240" t="s">
        <v>57</v>
      </c>
      <c r="AF240" t="s">
        <v>57</v>
      </c>
      <c r="AG240">
        <v>60</v>
      </c>
      <c r="AH240" t="s">
        <v>57</v>
      </c>
      <c r="AL240" t="s">
        <v>57</v>
      </c>
      <c r="AM240" s="11">
        <v>44792</v>
      </c>
      <c r="AN240" t="s">
        <v>183</v>
      </c>
      <c r="AO240" t="s">
        <v>65</v>
      </c>
      <c r="AP240">
        <v>1206</v>
      </c>
      <c r="AQ240" t="s">
        <v>66</v>
      </c>
      <c r="AR240">
        <v>91011</v>
      </c>
      <c r="AU240" t="s">
        <v>57</v>
      </c>
      <c r="AV240" t="s">
        <v>68</v>
      </c>
      <c r="AX240" t="s">
        <v>57</v>
      </c>
      <c r="AY240">
        <v>631110</v>
      </c>
      <c r="AZ240">
        <v>1206.63111</v>
      </c>
      <c r="BA240" s="23" t="s">
        <v>14</v>
      </c>
    </row>
    <row r="241" spans="1:53" x14ac:dyDescent="0.25">
      <c r="A241" t="s">
        <v>134</v>
      </c>
      <c r="B241" t="s">
        <v>135</v>
      </c>
      <c r="C241">
        <v>22002484</v>
      </c>
      <c r="D241">
        <v>1206</v>
      </c>
      <c r="E241" s="11">
        <v>44774</v>
      </c>
      <c r="F241" t="s">
        <v>182</v>
      </c>
      <c r="G241" s="25">
        <v>22.33</v>
      </c>
      <c r="H241">
        <v>22.33</v>
      </c>
      <c r="I241" t="s">
        <v>56</v>
      </c>
      <c r="O241" t="s">
        <v>57</v>
      </c>
      <c r="Q241" t="s">
        <v>57</v>
      </c>
      <c r="R241" t="s">
        <v>137</v>
      </c>
      <c r="T241" t="s">
        <v>59</v>
      </c>
      <c r="U241" t="s">
        <v>60</v>
      </c>
      <c r="V241" t="s">
        <v>138</v>
      </c>
      <c r="W241" t="s">
        <v>139</v>
      </c>
      <c r="X241">
        <v>1925387</v>
      </c>
      <c r="Y241" s="11">
        <v>44774</v>
      </c>
      <c r="Z241" t="s">
        <v>57</v>
      </c>
      <c r="AA241">
        <v>2</v>
      </c>
      <c r="AB241" t="s">
        <v>57</v>
      </c>
      <c r="AD241" t="s">
        <v>57</v>
      </c>
      <c r="AE241" t="s">
        <v>57</v>
      </c>
      <c r="AF241" t="s">
        <v>57</v>
      </c>
      <c r="AG241">
        <v>60</v>
      </c>
      <c r="AH241" t="s">
        <v>57</v>
      </c>
      <c r="AL241" t="s">
        <v>57</v>
      </c>
      <c r="AM241" s="11">
        <v>44774</v>
      </c>
      <c r="AN241" t="s">
        <v>183</v>
      </c>
      <c r="AO241" t="s">
        <v>65</v>
      </c>
      <c r="AP241">
        <v>1206</v>
      </c>
      <c r="AQ241" t="s">
        <v>66</v>
      </c>
      <c r="AR241">
        <v>91011</v>
      </c>
      <c r="AU241" t="s">
        <v>57</v>
      </c>
      <c r="AV241" t="s">
        <v>68</v>
      </c>
      <c r="AX241" t="s">
        <v>57</v>
      </c>
      <c r="AY241">
        <v>631110</v>
      </c>
      <c r="AZ241">
        <v>1206.63111</v>
      </c>
      <c r="BA241" s="23" t="s">
        <v>14</v>
      </c>
    </row>
    <row r="242" spans="1:53" x14ac:dyDescent="0.25">
      <c r="A242" t="s">
        <v>134</v>
      </c>
      <c r="B242" t="s">
        <v>135</v>
      </c>
      <c r="C242">
        <v>22002499</v>
      </c>
      <c r="D242">
        <v>1206</v>
      </c>
      <c r="E242" s="11">
        <v>44774</v>
      </c>
      <c r="F242" t="s">
        <v>185</v>
      </c>
      <c r="G242" s="25">
        <v>22.33</v>
      </c>
      <c r="H242">
        <v>22.33</v>
      </c>
      <c r="I242" t="s">
        <v>56</v>
      </c>
      <c r="O242" t="s">
        <v>57</v>
      </c>
      <c r="Q242" t="s">
        <v>57</v>
      </c>
      <c r="R242" t="s">
        <v>137</v>
      </c>
      <c r="T242" t="s">
        <v>59</v>
      </c>
      <c r="U242" t="s">
        <v>60</v>
      </c>
      <c r="V242" t="s">
        <v>138</v>
      </c>
      <c r="W242" t="s">
        <v>139</v>
      </c>
      <c r="X242">
        <v>1926722</v>
      </c>
      <c r="Y242" s="11">
        <v>44776</v>
      </c>
      <c r="Z242" t="s">
        <v>57</v>
      </c>
      <c r="AA242">
        <v>2</v>
      </c>
      <c r="AB242" t="s">
        <v>57</v>
      </c>
      <c r="AD242" t="s">
        <v>57</v>
      </c>
      <c r="AE242" t="s">
        <v>57</v>
      </c>
      <c r="AF242" t="s">
        <v>57</v>
      </c>
      <c r="AG242">
        <v>60</v>
      </c>
      <c r="AH242" t="s">
        <v>57</v>
      </c>
      <c r="AL242" t="s">
        <v>57</v>
      </c>
      <c r="AM242" s="11">
        <v>44774</v>
      </c>
      <c r="AN242" t="s">
        <v>183</v>
      </c>
      <c r="AO242" t="s">
        <v>65</v>
      </c>
      <c r="AP242">
        <v>1206</v>
      </c>
      <c r="AQ242" t="s">
        <v>66</v>
      </c>
      <c r="AR242">
        <v>91011</v>
      </c>
      <c r="AU242" t="s">
        <v>57</v>
      </c>
      <c r="AV242" t="s">
        <v>68</v>
      </c>
      <c r="AX242" t="s">
        <v>57</v>
      </c>
      <c r="AY242">
        <v>631110</v>
      </c>
      <c r="AZ242">
        <v>1206.63111</v>
      </c>
      <c r="BA242" s="23" t="s">
        <v>14</v>
      </c>
    </row>
    <row r="243" spans="1:53" x14ac:dyDescent="0.25">
      <c r="A243" t="s">
        <v>134</v>
      </c>
      <c r="B243" t="s">
        <v>135</v>
      </c>
      <c r="C243">
        <v>22002593</v>
      </c>
      <c r="D243">
        <v>1206</v>
      </c>
      <c r="E243" s="11">
        <v>44789</v>
      </c>
      <c r="F243" t="s">
        <v>174</v>
      </c>
      <c r="G243" s="25">
        <v>24.03</v>
      </c>
      <c r="H243">
        <v>24.03</v>
      </c>
      <c r="I243" t="s">
        <v>56</v>
      </c>
      <c r="O243" t="s">
        <v>57</v>
      </c>
      <c r="Q243" t="s">
        <v>57</v>
      </c>
      <c r="R243" t="s">
        <v>137</v>
      </c>
      <c r="T243" t="s">
        <v>59</v>
      </c>
      <c r="U243" t="s">
        <v>60</v>
      </c>
      <c r="V243" t="s">
        <v>138</v>
      </c>
      <c r="W243" t="s">
        <v>139</v>
      </c>
      <c r="X243">
        <v>1933529</v>
      </c>
      <c r="Y243" s="11">
        <v>44791</v>
      </c>
      <c r="Z243" t="s">
        <v>57</v>
      </c>
      <c r="AA243">
        <v>18</v>
      </c>
      <c r="AB243" t="s">
        <v>57</v>
      </c>
      <c r="AD243" t="s">
        <v>57</v>
      </c>
      <c r="AE243" t="s">
        <v>57</v>
      </c>
      <c r="AF243" t="s">
        <v>57</v>
      </c>
      <c r="AG243">
        <v>1</v>
      </c>
      <c r="AH243" t="s">
        <v>57</v>
      </c>
      <c r="AL243" t="s">
        <v>57</v>
      </c>
      <c r="AM243" s="11">
        <v>44789</v>
      </c>
      <c r="AN243" t="s">
        <v>184</v>
      </c>
      <c r="AO243" t="s">
        <v>65</v>
      </c>
      <c r="AP243">
        <v>1206</v>
      </c>
      <c r="AQ243" t="s">
        <v>66</v>
      </c>
      <c r="AR243">
        <v>219291</v>
      </c>
      <c r="AU243" t="s">
        <v>57</v>
      </c>
      <c r="AV243" t="s">
        <v>68</v>
      </c>
      <c r="AX243" t="s">
        <v>57</v>
      </c>
      <c r="AY243">
        <v>631110</v>
      </c>
      <c r="AZ243">
        <v>1206.63111</v>
      </c>
      <c r="BA243" s="23" t="s">
        <v>14</v>
      </c>
    </row>
    <row r="244" spans="1:53" x14ac:dyDescent="0.25">
      <c r="A244" t="s">
        <v>134</v>
      </c>
      <c r="B244" t="s">
        <v>135</v>
      </c>
      <c r="C244">
        <v>22002572</v>
      </c>
      <c r="D244">
        <v>1206</v>
      </c>
      <c r="E244" s="11">
        <v>44784</v>
      </c>
      <c r="F244" t="s">
        <v>172</v>
      </c>
      <c r="G244" s="25">
        <v>24.19</v>
      </c>
      <c r="H244">
        <v>24.19</v>
      </c>
      <c r="I244" t="s">
        <v>56</v>
      </c>
      <c r="O244" t="s">
        <v>57</v>
      </c>
      <c r="Q244" t="s">
        <v>57</v>
      </c>
      <c r="R244" t="s">
        <v>137</v>
      </c>
      <c r="T244" t="s">
        <v>59</v>
      </c>
      <c r="U244" t="s">
        <v>60</v>
      </c>
      <c r="V244" t="s">
        <v>138</v>
      </c>
      <c r="W244" t="s">
        <v>139</v>
      </c>
      <c r="X244">
        <v>1930627</v>
      </c>
      <c r="Y244" s="11">
        <v>44785</v>
      </c>
      <c r="Z244" t="s">
        <v>57</v>
      </c>
      <c r="AA244">
        <v>2</v>
      </c>
      <c r="AB244" t="s">
        <v>57</v>
      </c>
      <c r="AD244" t="s">
        <v>57</v>
      </c>
      <c r="AE244" t="s">
        <v>57</v>
      </c>
      <c r="AF244" t="s">
        <v>57</v>
      </c>
      <c r="AG244">
        <v>3</v>
      </c>
      <c r="AH244" t="s">
        <v>57</v>
      </c>
      <c r="AL244" t="s">
        <v>57</v>
      </c>
      <c r="AM244" s="11">
        <v>44784</v>
      </c>
      <c r="AN244" t="s">
        <v>184</v>
      </c>
      <c r="AO244" t="s">
        <v>65</v>
      </c>
      <c r="AP244">
        <v>1206</v>
      </c>
      <c r="AQ244" t="s">
        <v>66</v>
      </c>
      <c r="AR244">
        <v>279991</v>
      </c>
      <c r="AU244" t="s">
        <v>57</v>
      </c>
      <c r="AV244" t="s">
        <v>68</v>
      </c>
      <c r="AX244" t="s">
        <v>57</v>
      </c>
      <c r="AY244">
        <v>631110</v>
      </c>
      <c r="AZ244">
        <v>1206.63111</v>
      </c>
      <c r="BA244" s="23" t="s">
        <v>14</v>
      </c>
    </row>
    <row r="245" spans="1:53" x14ac:dyDescent="0.25">
      <c r="A245" t="s">
        <v>134</v>
      </c>
      <c r="B245" t="s">
        <v>135</v>
      </c>
      <c r="C245">
        <v>22002574</v>
      </c>
      <c r="D245">
        <v>1206</v>
      </c>
      <c r="E245" s="11">
        <v>44785</v>
      </c>
      <c r="F245" t="s">
        <v>172</v>
      </c>
      <c r="G245" s="25">
        <v>24.19</v>
      </c>
      <c r="H245">
        <v>24.19</v>
      </c>
      <c r="I245" t="s">
        <v>56</v>
      </c>
      <c r="O245" t="s">
        <v>57</v>
      </c>
      <c r="Q245" t="s">
        <v>57</v>
      </c>
      <c r="R245" t="s">
        <v>137</v>
      </c>
      <c r="T245" t="s">
        <v>59</v>
      </c>
      <c r="U245" t="s">
        <v>60</v>
      </c>
      <c r="V245" t="s">
        <v>138</v>
      </c>
      <c r="W245" t="s">
        <v>139</v>
      </c>
      <c r="X245">
        <v>1930627</v>
      </c>
      <c r="Y245" s="11">
        <v>44785</v>
      </c>
      <c r="Z245" t="s">
        <v>57</v>
      </c>
      <c r="AA245">
        <v>2</v>
      </c>
      <c r="AB245" t="s">
        <v>57</v>
      </c>
      <c r="AD245" t="s">
        <v>57</v>
      </c>
      <c r="AE245" t="s">
        <v>57</v>
      </c>
      <c r="AF245" t="s">
        <v>57</v>
      </c>
      <c r="AG245">
        <v>3</v>
      </c>
      <c r="AH245" t="s">
        <v>57</v>
      </c>
      <c r="AL245" t="s">
        <v>57</v>
      </c>
      <c r="AM245" s="11">
        <v>44785</v>
      </c>
      <c r="AN245" t="s">
        <v>184</v>
      </c>
      <c r="AO245" t="s">
        <v>65</v>
      </c>
      <c r="AP245">
        <v>1206</v>
      </c>
      <c r="AQ245" t="s">
        <v>66</v>
      </c>
      <c r="AR245">
        <v>279991</v>
      </c>
      <c r="AU245" t="s">
        <v>57</v>
      </c>
      <c r="AV245" t="s">
        <v>68</v>
      </c>
      <c r="AX245" t="s">
        <v>57</v>
      </c>
      <c r="AY245">
        <v>631110</v>
      </c>
      <c r="AZ245">
        <v>1206.63111</v>
      </c>
      <c r="BA245" s="23" t="s">
        <v>14</v>
      </c>
    </row>
    <row r="246" spans="1:53" x14ac:dyDescent="0.25">
      <c r="A246" t="s">
        <v>134</v>
      </c>
      <c r="B246" t="s">
        <v>135</v>
      </c>
      <c r="C246">
        <v>22002585</v>
      </c>
      <c r="D246">
        <v>1206</v>
      </c>
      <c r="E246" s="11">
        <v>44788</v>
      </c>
      <c r="F246" t="s">
        <v>172</v>
      </c>
      <c r="G246" s="25">
        <v>24.19</v>
      </c>
      <c r="H246">
        <v>24.19</v>
      </c>
      <c r="I246" t="s">
        <v>56</v>
      </c>
      <c r="O246" t="s">
        <v>57</v>
      </c>
      <c r="Q246" t="s">
        <v>57</v>
      </c>
      <c r="R246" t="s">
        <v>137</v>
      </c>
      <c r="T246" t="s">
        <v>59</v>
      </c>
      <c r="U246" t="s">
        <v>60</v>
      </c>
      <c r="V246" t="s">
        <v>138</v>
      </c>
      <c r="W246" t="s">
        <v>139</v>
      </c>
      <c r="X246">
        <v>1933170</v>
      </c>
      <c r="Y246" s="11">
        <v>44789</v>
      </c>
      <c r="Z246" t="s">
        <v>57</v>
      </c>
      <c r="AA246">
        <v>2</v>
      </c>
      <c r="AB246" t="s">
        <v>57</v>
      </c>
      <c r="AD246" t="s">
        <v>57</v>
      </c>
      <c r="AE246" t="s">
        <v>57</v>
      </c>
      <c r="AF246" t="s">
        <v>57</v>
      </c>
      <c r="AG246">
        <v>3</v>
      </c>
      <c r="AH246" t="s">
        <v>57</v>
      </c>
      <c r="AL246" t="s">
        <v>57</v>
      </c>
      <c r="AM246" s="11">
        <v>44788</v>
      </c>
      <c r="AN246" t="s">
        <v>184</v>
      </c>
      <c r="AO246" t="s">
        <v>65</v>
      </c>
      <c r="AP246">
        <v>1206</v>
      </c>
      <c r="AQ246" t="s">
        <v>66</v>
      </c>
      <c r="AR246">
        <v>279991</v>
      </c>
      <c r="AU246" t="s">
        <v>57</v>
      </c>
      <c r="AV246" t="s">
        <v>68</v>
      </c>
      <c r="AX246" t="s">
        <v>57</v>
      </c>
      <c r="AY246">
        <v>631110</v>
      </c>
      <c r="AZ246">
        <v>1206.63111</v>
      </c>
      <c r="BA246" s="23" t="s">
        <v>14</v>
      </c>
    </row>
    <row r="247" spans="1:53" x14ac:dyDescent="0.25">
      <c r="A247" t="s">
        <v>134</v>
      </c>
      <c r="B247" t="s">
        <v>135</v>
      </c>
      <c r="C247">
        <v>22002589</v>
      </c>
      <c r="D247">
        <v>1206</v>
      </c>
      <c r="E247" s="11">
        <v>44789</v>
      </c>
      <c r="F247" t="s">
        <v>172</v>
      </c>
      <c r="G247" s="25">
        <v>24.19</v>
      </c>
      <c r="H247">
        <v>24.19</v>
      </c>
      <c r="I247" t="s">
        <v>56</v>
      </c>
      <c r="O247" t="s">
        <v>57</v>
      </c>
      <c r="Q247" t="s">
        <v>57</v>
      </c>
      <c r="R247" t="s">
        <v>137</v>
      </c>
      <c r="T247" t="s">
        <v>59</v>
      </c>
      <c r="U247" t="s">
        <v>60</v>
      </c>
      <c r="V247" t="s">
        <v>138</v>
      </c>
      <c r="W247" t="s">
        <v>139</v>
      </c>
      <c r="X247">
        <v>1933170</v>
      </c>
      <c r="Y247" s="11">
        <v>44789</v>
      </c>
      <c r="Z247" t="s">
        <v>57</v>
      </c>
      <c r="AA247">
        <v>2</v>
      </c>
      <c r="AB247" t="s">
        <v>57</v>
      </c>
      <c r="AD247" t="s">
        <v>57</v>
      </c>
      <c r="AE247" t="s">
        <v>57</v>
      </c>
      <c r="AF247" t="s">
        <v>57</v>
      </c>
      <c r="AG247">
        <v>3</v>
      </c>
      <c r="AH247" t="s">
        <v>57</v>
      </c>
      <c r="AL247" t="s">
        <v>57</v>
      </c>
      <c r="AM247" s="11">
        <v>44789</v>
      </c>
      <c r="AN247" t="s">
        <v>184</v>
      </c>
      <c r="AO247" t="s">
        <v>65</v>
      </c>
      <c r="AP247">
        <v>1206</v>
      </c>
      <c r="AQ247" t="s">
        <v>66</v>
      </c>
      <c r="AR247">
        <v>279991</v>
      </c>
      <c r="AU247" t="s">
        <v>57</v>
      </c>
      <c r="AV247" t="s">
        <v>68</v>
      </c>
      <c r="AX247" t="s">
        <v>57</v>
      </c>
      <c r="AY247">
        <v>631110</v>
      </c>
      <c r="AZ247">
        <v>1206.63111</v>
      </c>
      <c r="BA247" s="23" t="s">
        <v>14</v>
      </c>
    </row>
    <row r="248" spans="1:53" x14ac:dyDescent="0.25">
      <c r="A248" t="s">
        <v>134</v>
      </c>
      <c r="B248" t="s">
        <v>135</v>
      </c>
      <c r="C248">
        <v>22002599</v>
      </c>
      <c r="D248">
        <v>1206</v>
      </c>
      <c r="E248" s="11">
        <v>44791</v>
      </c>
      <c r="F248" t="s">
        <v>172</v>
      </c>
      <c r="G248" s="25">
        <v>24.19</v>
      </c>
      <c r="H248">
        <v>24.19</v>
      </c>
      <c r="I248" t="s">
        <v>56</v>
      </c>
      <c r="O248" t="s">
        <v>57</v>
      </c>
      <c r="Q248" t="s">
        <v>57</v>
      </c>
      <c r="R248" t="s">
        <v>137</v>
      </c>
      <c r="T248" t="s">
        <v>59</v>
      </c>
      <c r="U248" t="s">
        <v>60</v>
      </c>
      <c r="V248" t="s">
        <v>138</v>
      </c>
      <c r="W248" t="s">
        <v>139</v>
      </c>
      <c r="X248">
        <v>1934071</v>
      </c>
      <c r="Y248" s="11">
        <v>44792</v>
      </c>
      <c r="Z248" t="s">
        <v>57</v>
      </c>
      <c r="AA248">
        <v>2</v>
      </c>
      <c r="AB248" t="s">
        <v>57</v>
      </c>
      <c r="AD248" t="s">
        <v>57</v>
      </c>
      <c r="AE248" t="s">
        <v>57</v>
      </c>
      <c r="AF248" t="s">
        <v>57</v>
      </c>
      <c r="AG248">
        <v>3</v>
      </c>
      <c r="AH248" t="s">
        <v>57</v>
      </c>
      <c r="AL248" t="s">
        <v>57</v>
      </c>
      <c r="AM248" s="11">
        <v>44791</v>
      </c>
      <c r="AN248" t="s">
        <v>184</v>
      </c>
      <c r="AO248" t="s">
        <v>65</v>
      </c>
      <c r="AP248">
        <v>1206</v>
      </c>
      <c r="AQ248" t="s">
        <v>66</v>
      </c>
      <c r="AR248">
        <v>279991</v>
      </c>
      <c r="AU248" t="s">
        <v>57</v>
      </c>
      <c r="AV248" t="s">
        <v>68</v>
      </c>
      <c r="AX248" t="s">
        <v>57</v>
      </c>
      <c r="AY248">
        <v>631110</v>
      </c>
      <c r="AZ248">
        <v>1206.63111</v>
      </c>
      <c r="BA248" s="23" t="s">
        <v>14</v>
      </c>
    </row>
    <row r="249" spans="1:53" x14ac:dyDescent="0.25">
      <c r="A249" t="s">
        <v>134</v>
      </c>
      <c r="B249" t="s">
        <v>135</v>
      </c>
      <c r="C249">
        <v>22002538</v>
      </c>
      <c r="D249">
        <v>1206</v>
      </c>
      <c r="E249" s="11">
        <v>44781</v>
      </c>
      <c r="F249" t="s">
        <v>172</v>
      </c>
      <c r="G249" s="25">
        <v>24.4</v>
      </c>
      <c r="H249">
        <v>24.4</v>
      </c>
      <c r="I249" t="s">
        <v>56</v>
      </c>
      <c r="O249" t="s">
        <v>57</v>
      </c>
      <c r="Q249" t="s">
        <v>57</v>
      </c>
      <c r="R249" t="s">
        <v>137</v>
      </c>
      <c r="T249" t="s">
        <v>59</v>
      </c>
      <c r="U249" t="s">
        <v>60</v>
      </c>
      <c r="V249" t="s">
        <v>138</v>
      </c>
      <c r="W249" t="s">
        <v>139</v>
      </c>
      <c r="X249">
        <v>1929247</v>
      </c>
      <c r="Y249" s="11">
        <v>44782</v>
      </c>
      <c r="Z249" t="s">
        <v>57</v>
      </c>
      <c r="AA249">
        <v>6</v>
      </c>
      <c r="AB249" t="s">
        <v>57</v>
      </c>
      <c r="AD249" t="s">
        <v>57</v>
      </c>
      <c r="AE249" t="s">
        <v>57</v>
      </c>
      <c r="AF249" t="s">
        <v>57</v>
      </c>
      <c r="AG249">
        <v>1</v>
      </c>
      <c r="AH249" t="s">
        <v>57</v>
      </c>
      <c r="AL249" t="s">
        <v>57</v>
      </c>
      <c r="AM249" s="11">
        <v>44781</v>
      </c>
      <c r="AN249" t="s">
        <v>184</v>
      </c>
      <c r="AO249" t="s">
        <v>65</v>
      </c>
      <c r="AP249">
        <v>1206</v>
      </c>
      <c r="AQ249" t="s">
        <v>66</v>
      </c>
      <c r="AR249">
        <v>247146</v>
      </c>
      <c r="AU249" t="s">
        <v>57</v>
      </c>
      <c r="AV249" t="s">
        <v>68</v>
      </c>
      <c r="AX249" t="s">
        <v>57</v>
      </c>
      <c r="AY249">
        <v>631110</v>
      </c>
      <c r="AZ249">
        <v>1206.63111</v>
      </c>
      <c r="BA249" s="23" t="s">
        <v>14</v>
      </c>
    </row>
    <row r="250" spans="1:53" x14ac:dyDescent="0.25">
      <c r="A250" t="s">
        <v>134</v>
      </c>
      <c r="B250" t="s">
        <v>135</v>
      </c>
      <c r="C250">
        <v>22002547</v>
      </c>
      <c r="D250">
        <v>1206</v>
      </c>
      <c r="E250" s="11">
        <v>44782</v>
      </c>
      <c r="F250" t="s">
        <v>172</v>
      </c>
      <c r="G250" s="25">
        <v>24.4</v>
      </c>
      <c r="H250">
        <v>24.4</v>
      </c>
      <c r="I250" t="s">
        <v>56</v>
      </c>
      <c r="O250" t="s">
        <v>57</v>
      </c>
      <c r="Q250" t="s">
        <v>57</v>
      </c>
      <c r="R250" t="s">
        <v>137</v>
      </c>
      <c r="T250" t="s">
        <v>59</v>
      </c>
      <c r="U250" t="s">
        <v>60</v>
      </c>
      <c r="V250" t="s">
        <v>138</v>
      </c>
      <c r="W250" t="s">
        <v>139</v>
      </c>
      <c r="X250">
        <v>1930246</v>
      </c>
      <c r="Y250" s="11">
        <v>44783</v>
      </c>
      <c r="Z250" t="s">
        <v>57</v>
      </c>
      <c r="AA250">
        <v>4</v>
      </c>
      <c r="AB250" t="s">
        <v>57</v>
      </c>
      <c r="AD250" t="s">
        <v>57</v>
      </c>
      <c r="AE250" t="s">
        <v>57</v>
      </c>
      <c r="AF250" t="s">
        <v>57</v>
      </c>
      <c r="AG250">
        <v>1</v>
      </c>
      <c r="AH250" t="s">
        <v>57</v>
      </c>
      <c r="AL250" t="s">
        <v>57</v>
      </c>
      <c r="AM250" s="11">
        <v>44782</v>
      </c>
      <c r="AN250" t="s">
        <v>184</v>
      </c>
      <c r="AO250" t="s">
        <v>65</v>
      </c>
      <c r="AP250">
        <v>1206</v>
      </c>
      <c r="AQ250" t="s">
        <v>66</v>
      </c>
      <c r="AR250">
        <v>247146</v>
      </c>
      <c r="AU250" t="s">
        <v>57</v>
      </c>
      <c r="AV250" t="s">
        <v>68</v>
      </c>
      <c r="AX250" t="s">
        <v>57</v>
      </c>
      <c r="AY250">
        <v>631110</v>
      </c>
      <c r="AZ250">
        <v>1206.63111</v>
      </c>
      <c r="BA250" s="23" t="s">
        <v>14</v>
      </c>
    </row>
    <row r="251" spans="1:53" x14ac:dyDescent="0.25">
      <c r="A251" t="s">
        <v>134</v>
      </c>
      <c r="B251" t="s">
        <v>135</v>
      </c>
      <c r="C251">
        <v>22002546</v>
      </c>
      <c r="D251">
        <v>1206</v>
      </c>
      <c r="E251" s="11">
        <v>44782</v>
      </c>
      <c r="F251" t="s">
        <v>185</v>
      </c>
      <c r="G251" s="25">
        <v>25.54</v>
      </c>
      <c r="H251">
        <v>25.54</v>
      </c>
      <c r="I251" t="s">
        <v>56</v>
      </c>
      <c r="O251" t="s">
        <v>57</v>
      </c>
      <c r="Q251" t="s">
        <v>57</v>
      </c>
      <c r="R251" t="s">
        <v>137</v>
      </c>
      <c r="T251" t="s">
        <v>59</v>
      </c>
      <c r="U251" t="s">
        <v>60</v>
      </c>
      <c r="V251" t="s">
        <v>138</v>
      </c>
      <c r="W251" t="s">
        <v>139</v>
      </c>
      <c r="X251">
        <v>1930065</v>
      </c>
      <c r="Y251" s="11">
        <v>44783</v>
      </c>
      <c r="Z251" t="s">
        <v>57</v>
      </c>
      <c r="AA251">
        <v>2</v>
      </c>
      <c r="AB251" t="s">
        <v>57</v>
      </c>
      <c r="AD251" t="s">
        <v>57</v>
      </c>
      <c r="AE251" t="s">
        <v>57</v>
      </c>
      <c r="AF251" t="s">
        <v>57</v>
      </c>
      <c r="AG251">
        <v>70</v>
      </c>
      <c r="AH251" t="s">
        <v>57</v>
      </c>
      <c r="AL251" t="s">
        <v>57</v>
      </c>
      <c r="AM251" s="11">
        <v>44782</v>
      </c>
      <c r="AN251" t="s">
        <v>183</v>
      </c>
      <c r="AO251" t="s">
        <v>65</v>
      </c>
      <c r="AP251">
        <v>1206</v>
      </c>
      <c r="AQ251" t="s">
        <v>66</v>
      </c>
      <c r="AR251">
        <v>91011</v>
      </c>
      <c r="AU251" t="s">
        <v>57</v>
      </c>
      <c r="AV251" t="s">
        <v>68</v>
      </c>
      <c r="AX251" t="s">
        <v>57</v>
      </c>
      <c r="AY251">
        <v>631110</v>
      </c>
      <c r="AZ251">
        <v>1206.63111</v>
      </c>
      <c r="BA251" s="23" t="s">
        <v>14</v>
      </c>
    </row>
    <row r="252" spans="1:53" x14ac:dyDescent="0.25">
      <c r="A252" t="s">
        <v>134</v>
      </c>
      <c r="B252" t="s">
        <v>135</v>
      </c>
      <c r="C252">
        <v>22002500</v>
      </c>
      <c r="D252">
        <v>1206</v>
      </c>
      <c r="E252" s="11">
        <v>44775</v>
      </c>
      <c r="F252" t="s">
        <v>185</v>
      </c>
      <c r="G252" s="25">
        <v>26.05</v>
      </c>
      <c r="H252">
        <v>26.05</v>
      </c>
      <c r="I252" t="s">
        <v>56</v>
      </c>
      <c r="O252" t="s">
        <v>57</v>
      </c>
      <c r="Q252" t="s">
        <v>57</v>
      </c>
      <c r="R252" t="s">
        <v>137</v>
      </c>
      <c r="T252" t="s">
        <v>59</v>
      </c>
      <c r="U252" t="s">
        <v>60</v>
      </c>
      <c r="V252" t="s">
        <v>138</v>
      </c>
      <c r="W252" t="s">
        <v>139</v>
      </c>
      <c r="X252">
        <v>1926722</v>
      </c>
      <c r="Y252" s="11">
        <v>44776</v>
      </c>
      <c r="Z252" t="s">
        <v>57</v>
      </c>
      <c r="AA252">
        <v>2</v>
      </c>
      <c r="AB252" t="s">
        <v>57</v>
      </c>
      <c r="AD252" t="s">
        <v>57</v>
      </c>
      <c r="AE252" t="s">
        <v>57</v>
      </c>
      <c r="AF252" t="s">
        <v>57</v>
      </c>
      <c r="AG252">
        <v>70</v>
      </c>
      <c r="AH252" t="s">
        <v>57</v>
      </c>
      <c r="AL252" t="s">
        <v>57</v>
      </c>
      <c r="AM252" s="11">
        <v>44775</v>
      </c>
      <c r="AN252" t="s">
        <v>183</v>
      </c>
      <c r="AO252" t="s">
        <v>65</v>
      </c>
      <c r="AP252">
        <v>1206</v>
      </c>
      <c r="AQ252" t="s">
        <v>66</v>
      </c>
      <c r="AR252">
        <v>91011</v>
      </c>
      <c r="AU252" t="s">
        <v>57</v>
      </c>
      <c r="AV252" t="s">
        <v>68</v>
      </c>
      <c r="AX252" t="s">
        <v>57</v>
      </c>
      <c r="AY252">
        <v>631110</v>
      </c>
      <c r="AZ252">
        <v>1206.63111</v>
      </c>
      <c r="BA252" s="23" t="s">
        <v>14</v>
      </c>
    </row>
    <row r="253" spans="1:53" x14ac:dyDescent="0.25">
      <c r="A253" t="s">
        <v>134</v>
      </c>
      <c r="B253" t="s">
        <v>135</v>
      </c>
      <c r="C253">
        <v>22002488</v>
      </c>
      <c r="D253">
        <v>1206</v>
      </c>
      <c r="E253" s="11">
        <v>44774</v>
      </c>
      <c r="F253" t="s">
        <v>174</v>
      </c>
      <c r="G253" s="25">
        <v>26.06</v>
      </c>
      <c r="H253">
        <v>26.06</v>
      </c>
      <c r="I253" t="s">
        <v>56</v>
      </c>
      <c r="O253" t="s">
        <v>57</v>
      </c>
      <c r="Q253" t="s">
        <v>57</v>
      </c>
      <c r="R253" t="s">
        <v>137</v>
      </c>
      <c r="T253" t="s">
        <v>59</v>
      </c>
      <c r="U253" t="s">
        <v>60</v>
      </c>
      <c r="V253" t="s">
        <v>138</v>
      </c>
      <c r="W253" t="s">
        <v>139</v>
      </c>
      <c r="X253">
        <v>1926655</v>
      </c>
      <c r="Y253" s="11">
        <v>44775</v>
      </c>
      <c r="Z253" t="s">
        <v>57</v>
      </c>
      <c r="AA253">
        <v>6</v>
      </c>
      <c r="AB253" t="s">
        <v>57</v>
      </c>
      <c r="AD253" t="s">
        <v>57</v>
      </c>
      <c r="AE253" t="s">
        <v>57</v>
      </c>
      <c r="AF253" t="s">
        <v>57</v>
      </c>
      <c r="AG253">
        <v>1</v>
      </c>
      <c r="AH253" t="s">
        <v>57</v>
      </c>
      <c r="AL253" t="s">
        <v>57</v>
      </c>
      <c r="AM253" s="11">
        <v>44774</v>
      </c>
      <c r="AN253" t="s">
        <v>184</v>
      </c>
      <c r="AO253" t="s">
        <v>65</v>
      </c>
      <c r="AP253">
        <v>1206</v>
      </c>
      <c r="AQ253" t="s">
        <v>66</v>
      </c>
      <c r="AR253">
        <v>143093</v>
      </c>
      <c r="AU253" t="s">
        <v>57</v>
      </c>
      <c r="AV253" t="s">
        <v>68</v>
      </c>
      <c r="AX253" t="s">
        <v>57</v>
      </c>
      <c r="AY253">
        <v>631110</v>
      </c>
      <c r="AZ253">
        <v>1206.63111</v>
      </c>
      <c r="BA253" s="23" t="s">
        <v>14</v>
      </c>
    </row>
    <row r="254" spans="1:53" x14ac:dyDescent="0.25">
      <c r="A254" t="s">
        <v>134</v>
      </c>
      <c r="B254" t="s">
        <v>135</v>
      </c>
      <c r="C254">
        <v>22002506</v>
      </c>
      <c r="D254">
        <v>1206</v>
      </c>
      <c r="E254" s="11">
        <v>44776</v>
      </c>
      <c r="F254" t="s">
        <v>174</v>
      </c>
      <c r="G254" s="25">
        <v>26.06</v>
      </c>
      <c r="H254">
        <v>26.06</v>
      </c>
      <c r="I254" t="s">
        <v>56</v>
      </c>
      <c r="O254" t="s">
        <v>57</v>
      </c>
      <c r="Q254" t="s">
        <v>57</v>
      </c>
      <c r="R254" t="s">
        <v>137</v>
      </c>
      <c r="T254" t="s">
        <v>59</v>
      </c>
      <c r="U254" t="s">
        <v>60</v>
      </c>
      <c r="V254" t="s">
        <v>138</v>
      </c>
      <c r="W254" t="s">
        <v>139</v>
      </c>
      <c r="X254">
        <v>1927633</v>
      </c>
      <c r="Y254" s="11">
        <v>44777</v>
      </c>
      <c r="Z254" t="s">
        <v>57</v>
      </c>
      <c r="AA254">
        <v>6</v>
      </c>
      <c r="AB254" t="s">
        <v>57</v>
      </c>
      <c r="AD254" t="s">
        <v>57</v>
      </c>
      <c r="AE254" t="s">
        <v>57</v>
      </c>
      <c r="AF254" t="s">
        <v>57</v>
      </c>
      <c r="AG254">
        <v>1</v>
      </c>
      <c r="AH254" t="s">
        <v>57</v>
      </c>
      <c r="AL254" t="s">
        <v>57</v>
      </c>
      <c r="AM254" s="11">
        <v>44776</v>
      </c>
      <c r="AN254" t="s">
        <v>184</v>
      </c>
      <c r="AO254" t="s">
        <v>65</v>
      </c>
      <c r="AP254">
        <v>1206</v>
      </c>
      <c r="AQ254" t="s">
        <v>66</v>
      </c>
      <c r="AR254">
        <v>143093</v>
      </c>
      <c r="AU254" t="s">
        <v>57</v>
      </c>
      <c r="AV254" t="s">
        <v>68</v>
      </c>
      <c r="AX254" t="s">
        <v>57</v>
      </c>
      <c r="AY254">
        <v>631110</v>
      </c>
      <c r="AZ254">
        <v>1206.63111</v>
      </c>
      <c r="BA254" s="23" t="s">
        <v>14</v>
      </c>
    </row>
    <row r="255" spans="1:53" x14ac:dyDescent="0.25">
      <c r="A255" t="s">
        <v>134</v>
      </c>
      <c r="B255" t="s">
        <v>135</v>
      </c>
      <c r="C255">
        <v>22002508</v>
      </c>
      <c r="D255">
        <v>1206</v>
      </c>
      <c r="E255" s="11">
        <v>44777</v>
      </c>
      <c r="F255" t="s">
        <v>174</v>
      </c>
      <c r="G255" s="25">
        <v>26.06</v>
      </c>
      <c r="H255">
        <v>26.06</v>
      </c>
      <c r="I255" t="s">
        <v>56</v>
      </c>
      <c r="O255" t="s">
        <v>57</v>
      </c>
      <c r="Q255" t="s">
        <v>57</v>
      </c>
      <c r="R255" t="s">
        <v>137</v>
      </c>
      <c r="T255" t="s">
        <v>59</v>
      </c>
      <c r="U255" t="s">
        <v>60</v>
      </c>
      <c r="V255" t="s">
        <v>138</v>
      </c>
      <c r="W255" t="s">
        <v>139</v>
      </c>
      <c r="X255">
        <v>1927633</v>
      </c>
      <c r="Y255" s="11">
        <v>44777</v>
      </c>
      <c r="Z255" t="s">
        <v>57</v>
      </c>
      <c r="AA255">
        <v>12</v>
      </c>
      <c r="AB255" t="s">
        <v>57</v>
      </c>
      <c r="AD255" t="s">
        <v>57</v>
      </c>
      <c r="AE255" t="s">
        <v>57</v>
      </c>
      <c r="AF255" t="s">
        <v>57</v>
      </c>
      <c r="AG255">
        <v>1</v>
      </c>
      <c r="AH255" t="s">
        <v>57</v>
      </c>
      <c r="AL255" t="s">
        <v>57</v>
      </c>
      <c r="AM255" s="11">
        <v>44777</v>
      </c>
      <c r="AN255" t="s">
        <v>184</v>
      </c>
      <c r="AO255" t="s">
        <v>65</v>
      </c>
      <c r="AP255">
        <v>1206</v>
      </c>
      <c r="AQ255" t="s">
        <v>66</v>
      </c>
      <c r="AR255">
        <v>143093</v>
      </c>
      <c r="AU255" t="s">
        <v>57</v>
      </c>
      <c r="AV255" t="s">
        <v>68</v>
      </c>
      <c r="AX255" t="s">
        <v>57</v>
      </c>
      <c r="AY255">
        <v>631110</v>
      </c>
      <c r="AZ255">
        <v>1206.63111</v>
      </c>
      <c r="BA255" s="23" t="s">
        <v>14</v>
      </c>
    </row>
    <row r="256" spans="1:53" x14ac:dyDescent="0.25">
      <c r="A256" t="s">
        <v>134</v>
      </c>
      <c r="B256" t="s">
        <v>135</v>
      </c>
      <c r="C256">
        <v>22002601</v>
      </c>
      <c r="D256">
        <v>1206</v>
      </c>
      <c r="E256" s="11">
        <v>44791</v>
      </c>
      <c r="F256" t="s">
        <v>174</v>
      </c>
      <c r="G256" s="25">
        <v>26.06</v>
      </c>
      <c r="H256">
        <v>26.06</v>
      </c>
      <c r="I256" t="s">
        <v>56</v>
      </c>
      <c r="O256" t="s">
        <v>57</v>
      </c>
      <c r="Q256" t="s">
        <v>57</v>
      </c>
      <c r="R256" t="s">
        <v>137</v>
      </c>
      <c r="T256" t="s">
        <v>59</v>
      </c>
      <c r="U256" t="s">
        <v>60</v>
      </c>
      <c r="V256" t="s">
        <v>138</v>
      </c>
      <c r="W256" t="s">
        <v>139</v>
      </c>
      <c r="X256">
        <v>1934071</v>
      </c>
      <c r="Y256" s="11">
        <v>44792</v>
      </c>
      <c r="Z256" t="s">
        <v>57</v>
      </c>
      <c r="AA256">
        <v>14</v>
      </c>
      <c r="AB256" t="s">
        <v>57</v>
      </c>
      <c r="AD256" t="s">
        <v>57</v>
      </c>
      <c r="AE256" t="s">
        <v>57</v>
      </c>
      <c r="AF256" t="s">
        <v>57</v>
      </c>
      <c r="AG256">
        <v>1</v>
      </c>
      <c r="AH256" t="s">
        <v>57</v>
      </c>
      <c r="AL256" t="s">
        <v>57</v>
      </c>
      <c r="AM256" s="11">
        <v>44791</v>
      </c>
      <c r="AN256" t="s">
        <v>184</v>
      </c>
      <c r="AO256" t="s">
        <v>65</v>
      </c>
      <c r="AP256">
        <v>1206</v>
      </c>
      <c r="AQ256" t="s">
        <v>66</v>
      </c>
      <c r="AR256">
        <v>143093</v>
      </c>
      <c r="AU256" t="s">
        <v>57</v>
      </c>
      <c r="AV256" t="s">
        <v>68</v>
      </c>
      <c r="AX256" t="s">
        <v>57</v>
      </c>
      <c r="AY256">
        <v>631110</v>
      </c>
      <c r="AZ256">
        <v>1206.63111</v>
      </c>
      <c r="BA256" s="23" t="s">
        <v>14</v>
      </c>
    </row>
    <row r="257" spans="1:53" x14ac:dyDescent="0.25">
      <c r="A257" t="s">
        <v>134</v>
      </c>
      <c r="B257" t="s">
        <v>135</v>
      </c>
      <c r="C257">
        <v>22002608</v>
      </c>
      <c r="D257">
        <v>1206</v>
      </c>
      <c r="E257" s="11">
        <v>44792</v>
      </c>
      <c r="F257" t="s">
        <v>172</v>
      </c>
      <c r="G257" s="25">
        <v>26.1</v>
      </c>
      <c r="H257">
        <v>26.1</v>
      </c>
      <c r="I257" t="s">
        <v>56</v>
      </c>
      <c r="O257" t="s">
        <v>57</v>
      </c>
      <c r="Q257" t="s">
        <v>57</v>
      </c>
      <c r="R257" t="s">
        <v>137</v>
      </c>
      <c r="T257" t="s">
        <v>59</v>
      </c>
      <c r="U257" t="s">
        <v>60</v>
      </c>
      <c r="V257" t="s">
        <v>138</v>
      </c>
      <c r="W257" t="s">
        <v>139</v>
      </c>
      <c r="X257">
        <v>1934080</v>
      </c>
      <c r="Y257" s="11">
        <v>44792</v>
      </c>
      <c r="Z257" t="s">
        <v>57</v>
      </c>
      <c r="AA257">
        <v>6</v>
      </c>
      <c r="AB257" t="s">
        <v>57</v>
      </c>
      <c r="AD257" t="s">
        <v>57</v>
      </c>
      <c r="AE257" t="s">
        <v>57</v>
      </c>
      <c r="AF257" t="s">
        <v>57</v>
      </c>
      <c r="AG257">
        <v>2</v>
      </c>
      <c r="AH257" t="s">
        <v>57</v>
      </c>
      <c r="AL257" t="s">
        <v>57</v>
      </c>
      <c r="AM257" s="11">
        <v>44792</v>
      </c>
      <c r="AN257" t="s">
        <v>184</v>
      </c>
      <c r="AO257" t="s">
        <v>65</v>
      </c>
      <c r="AP257">
        <v>1206</v>
      </c>
      <c r="AQ257" t="s">
        <v>66</v>
      </c>
      <c r="AR257">
        <v>139342</v>
      </c>
      <c r="AU257" t="s">
        <v>57</v>
      </c>
      <c r="AV257" t="s">
        <v>68</v>
      </c>
      <c r="AX257" t="s">
        <v>57</v>
      </c>
      <c r="AY257">
        <v>631110</v>
      </c>
      <c r="AZ257">
        <v>1206.63111</v>
      </c>
      <c r="BA257" s="23" t="s">
        <v>14</v>
      </c>
    </row>
    <row r="258" spans="1:53" x14ac:dyDescent="0.25">
      <c r="A258" t="s">
        <v>134</v>
      </c>
      <c r="B258" t="s">
        <v>135</v>
      </c>
      <c r="C258">
        <v>22002492</v>
      </c>
      <c r="D258">
        <v>1206</v>
      </c>
      <c r="E258" s="11">
        <v>44775</v>
      </c>
      <c r="F258" t="s">
        <v>174</v>
      </c>
      <c r="G258" s="25">
        <v>26.81</v>
      </c>
      <c r="H258">
        <v>26.81</v>
      </c>
      <c r="I258" t="s">
        <v>56</v>
      </c>
      <c r="O258" t="s">
        <v>57</v>
      </c>
      <c r="Q258" t="s">
        <v>57</v>
      </c>
      <c r="R258" t="s">
        <v>137</v>
      </c>
      <c r="T258" t="s">
        <v>59</v>
      </c>
      <c r="U258" t="s">
        <v>60</v>
      </c>
      <c r="V258" t="s">
        <v>138</v>
      </c>
      <c r="W258" t="s">
        <v>139</v>
      </c>
      <c r="X258">
        <v>1926655</v>
      </c>
      <c r="Y258" s="11">
        <v>44775</v>
      </c>
      <c r="Z258" t="s">
        <v>57</v>
      </c>
      <c r="AA258">
        <v>4</v>
      </c>
      <c r="AB258" t="s">
        <v>57</v>
      </c>
      <c r="AD258" t="s">
        <v>57</v>
      </c>
      <c r="AE258" t="s">
        <v>57</v>
      </c>
      <c r="AF258" t="s">
        <v>57</v>
      </c>
      <c r="AG258">
        <v>1</v>
      </c>
      <c r="AH258" t="s">
        <v>57</v>
      </c>
      <c r="AL258" t="s">
        <v>57</v>
      </c>
      <c r="AM258" s="11">
        <v>44775</v>
      </c>
      <c r="AN258" t="s">
        <v>184</v>
      </c>
      <c r="AO258" t="s">
        <v>65</v>
      </c>
      <c r="AP258">
        <v>1206</v>
      </c>
      <c r="AQ258" t="s">
        <v>66</v>
      </c>
      <c r="AR258">
        <v>143095</v>
      </c>
      <c r="AU258" t="s">
        <v>57</v>
      </c>
      <c r="AV258" t="s">
        <v>68</v>
      </c>
      <c r="AX258" t="s">
        <v>57</v>
      </c>
      <c r="AY258">
        <v>631110</v>
      </c>
      <c r="AZ258">
        <v>1206.63111</v>
      </c>
      <c r="BA258" s="23" t="s">
        <v>14</v>
      </c>
    </row>
    <row r="259" spans="1:53" x14ac:dyDescent="0.25">
      <c r="A259" t="s">
        <v>134</v>
      </c>
      <c r="B259" t="s">
        <v>135</v>
      </c>
      <c r="C259">
        <v>22002506</v>
      </c>
      <c r="D259">
        <v>1206</v>
      </c>
      <c r="E259" s="11">
        <v>44776</v>
      </c>
      <c r="F259" t="s">
        <v>174</v>
      </c>
      <c r="G259" s="25">
        <v>26.81</v>
      </c>
      <c r="H259">
        <v>26.81</v>
      </c>
      <c r="I259" t="s">
        <v>56</v>
      </c>
      <c r="O259" t="s">
        <v>57</v>
      </c>
      <c r="Q259" t="s">
        <v>57</v>
      </c>
      <c r="R259" t="s">
        <v>137</v>
      </c>
      <c r="T259" t="s">
        <v>59</v>
      </c>
      <c r="U259" t="s">
        <v>60</v>
      </c>
      <c r="V259" t="s">
        <v>138</v>
      </c>
      <c r="W259" t="s">
        <v>139</v>
      </c>
      <c r="X259">
        <v>1927633</v>
      </c>
      <c r="Y259" s="11">
        <v>44777</v>
      </c>
      <c r="Z259" t="s">
        <v>57</v>
      </c>
      <c r="AA259">
        <v>8</v>
      </c>
      <c r="AB259" t="s">
        <v>57</v>
      </c>
      <c r="AD259" t="s">
        <v>57</v>
      </c>
      <c r="AE259" t="s">
        <v>57</v>
      </c>
      <c r="AF259" t="s">
        <v>57</v>
      </c>
      <c r="AG259">
        <v>1</v>
      </c>
      <c r="AH259" t="s">
        <v>57</v>
      </c>
      <c r="AL259" t="s">
        <v>57</v>
      </c>
      <c r="AM259" s="11">
        <v>44776</v>
      </c>
      <c r="AN259" t="s">
        <v>184</v>
      </c>
      <c r="AO259" t="s">
        <v>65</v>
      </c>
      <c r="AP259">
        <v>1206</v>
      </c>
      <c r="AQ259" t="s">
        <v>66</v>
      </c>
      <c r="AR259">
        <v>143095</v>
      </c>
      <c r="AU259" t="s">
        <v>57</v>
      </c>
      <c r="AV259" t="s">
        <v>68</v>
      </c>
      <c r="AX259" t="s">
        <v>57</v>
      </c>
      <c r="AY259">
        <v>631110</v>
      </c>
      <c r="AZ259">
        <v>1206.63111</v>
      </c>
      <c r="BA259" s="23" t="s">
        <v>14</v>
      </c>
    </row>
    <row r="260" spans="1:53" x14ac:dyDescent="0.25">
      <c r="A260" t="s">
        <v>134</v>
      </c>
      <c r="B260" t="s">
        <v>135</v>
      </c>
      <c r="C260">
        <v>22002524</v>
      </c>
      <c r="D260">
        <v>1206</v>
      </c>
      <c r="E260" s="11">
        <v>44778</v>
      </c>
      <c r="F260" t="s">
        <v>174</v>
      </c>
      <c r="G260" s="25">
        <v>26.81</v>
      </c>
      <c r="H260">
        <v>26.81</v>
      </c>
      <c r="I260" t="s">
        <v>56</v>
      </c>
      <c r="O260" t="s">
        <v>57</v>
      </c>
      <c r="Q260" t="s">
        <v>57</v>
      </c>
      <c r="R260" t="s">
        <v>137</v>
      </c>
      <c r="T260" t="s">
        <v>59</v>
      </c>
      <c r="U260" t="s">
        <v>60</v>
      </c>
      <c r="V260" t="s">
        <v>138</v>
      </c>
      <c r="W260" t="s">
        <v>139</v>
      </c>
      <c r="X260">
        <v>1928766</v>
      </c>
      <c r="Y260" s="11">
        <v>44778</v>
      </c>
      <c r="Z260" t="s">
        <v>57</v>
      </c>
      <c r="AA260">
        <v>2</v>
      </c>
      <c r="AB260" t="s">
        <v>57</v>
      </c>
      <c r="AD260" t="s">
        <v>57</v>
      </c>
      <c r="AE260" t="s">
        <v>57</v>
      </c>
      <c r="AF260" t="s">
        <v>57</v>
      </c>
      <c r="AG260">
        <v>1</v>
      </c>
      <c r="AH260" t="s">
        <v>57</v>
      </c>
      <c r="AL260" t="s">
        <v>57</v>
      </c>
      <c r="AM260" s="11">
        <v>44778</v>
      </c>
      <c r="AN260" t="s">
        <v>184</v>
      </c>
      <c r="AO260" t="s">
        <v>65</v>
      </c>
      <c r="AP260">
        <v>1206</v>
      </c>
      <c r="AQ260" t="s">
        <v>66</v>
      </c>
      <c r="AR260">
        <v>143095</v>
      </c>
      <c r="AU260" t="s">
        <v>57</v>
      </c>
      <c r="AV260" t="s">
        <v>68</v>
      </c>
      <c r="AX260" t="s">
        <v>57</v>
      </c>
      <c r="AY260">
        <v>631110</v>
      </c>
      <c r="AZ260">
        <v>1206.63111</v>
      </c>
      <c r="BA260" s="23" t="s">
        <v>14</v>
      </c>
    </row>
    <row r="261" spans="1:53" x14ac:dyDescent="0.25">
      <c r="A261" t="s">
        <v>134</v>
      </c>
      <c r="B261" t="s">
        <v>135</v>
      </c>
      <c r="C261">
        <v>22002560</v>
      </c>
      <c r="D261">
        <v>1206</v>
      </c>
      <c r="E261" s="11">
        <v>44784</v>
      </c>
      <c r="F261" t="s">
        <v>174</v>
      </c>
      <c r="G261" s="25">
        <v>26.81</v>
      </c>
      <c r="H261">
        <v>26.81</v>
      </c>
      <c r="I261" t="s">
        <v>56</v>
      </c>
      <c r="O261" t="s">
        <v>57</v>
      </c>
      <c r="Q261" t="s">
        <v>57</v>
      </c>
      <c r="R261" t="s">
        <v>137</v>
      </c>
      <c r="T261" t="s">
        <v>59</v>
      </c>
      <c r="U261" t="s">
        <v>60</v>
      </c>
      <c r="V261" t="s">
        <v>138</v>
      </c>
      <c r="W261" t="s">
        <v>139</v>
      </c>
      <c r="X261">
        <v>1930489</v>
      </c>
      <c r="Y261" s="11">
        <v>44784</v>
      </c>
      <c r="Z261" t="s">
        <v>57</v>
      </c>
      <c r="AA261">
        <v>8</v>
      </c>
      <c r="AB261" t="s">
        <v>57</v>
      </c>
      <c r="AD261" t="s">
        <v>57</v>
      </c>
      <c r="AE261" t="s">
        <v>57</v>
      </c>
      <c r="AF261" t="s">
        <v>57</v>
      </c>
      <c r="AG261">
        <v>1</v>
      </c>
      <c r="AH261" t="s">
        <v>57</v>
      </c>
      <c r="AL261" t="s">
        <v>57</v>
      </c>
      <c r="AM261" s="11">
        <v>44784</v>
      </c>
      <c r="AN261" t="s">
        <v>184</v>
      </c>
      <c r="AO261" t="s">
        <v>65</v>
      </c>
      <c r="AP261">
        <v>1206</v>
      </c>
      <c r="AQ261" t="s">
        <v>66</v>
      </c>
      <c r="AR261">
        <v>143095</v>
      </c>
      <c r="AU261" t="s">
        <v>57</v>
      </c>
      <c r="AV261" t="s">
        <v>68</v>
      </c>
      <c r="AX261" t="s">
        <v>57</v>
      </c>
      <c r="AY261">
        <v>631110</v>
      </c>
      <c r="AZ261">
        <v>1206.63111</v>
      </c>
      <c r="BA261" s="23" t="s">
        <v>14</v>
      </c>
    </row>
    <row r="262" spans="1:53" x14ac:dyDescent="0.25">
      <c r="A262" t="s">
        <v>134</v>
      </c>
      <c r="B262" t="s">
        <v>135</v>
      </c>
      <c r="C262">
        <v>22002592</v>
      </c>
      <c r="D262">
        <v>1206</v>
      </c>
      <c r="E262" s="11">
        <v>44789</v>
      </c>
      <c r="F262" t="s">
        <v>174</v>
      </c>
      <c r="G262" s="25">
        <v>26.81</v>
      </c>
      <c r="H262">
        <v>26.81</v>
      </c>
      <c r="I262" t="s">
        <v>56</v>
      </c>
      <c r="O262" t="s">
        <v>57</v>
      </c>
      <c r="Q262" t="s">
        <v>57</v>
      </c>
      <c r="R262" t="s">
        <v>137</v>
      </c>
      <c r="T262" t="s">
        <v>59</v>
      </c>
      <c r="U262" t="s">
        <v>60</v>
      </c>
      <c r="V262" t="s">
        <v>138</v>
      </c>
      <c r="W262" t="s">
        <v>139</v>
      </c>
      <c r="X262">
        <v>1933529</v>
      </c>
      <c r="Y262" s="11">
        <v>44791</v>
      </c>
      <c r="Z262" t="s">
        <v>57</v>
      </c>
      <c r="AA262">
        <v>2</v>
      </c>
      <c r="AB262" t="s">
        <v>57</v>
      </c>
      <c r="AD262" t="s">
        <v>57</v>
      </c>
      <c r="AE262" t="s">
        <v>57</v>
      </c>
      <c r="AF262" t="s">
        <v>57</v>
      </c>
      <c r="AG262">
        <v>1</v>
      </c>
      <c r="AH262" t="s">
        <v>57</v>
      </c>
      <c r="AL262" t="s">
        <v>57</v>
      </c>
      <c r="AM262" s="11">
        <v>44789</v>
      </c>
      <c r="AN262" t="s">
        <v>184</v>
      </c>
      <c r="AO262" t="s">
        <v>65</v>
      </c>
      <c r="AP262">
        <v>1206</v>
      </c>
      <c r="AQ262" t="s">
        <v>66</v>
      </c>
      <c r="AR262">
        <v>143095</v>
      </c>
      <c r="AU262" t="s">
        <v>57</v>
      </c>
      <c r="AV262" t="s">
        <v>68</v>
      </c>
      <c r="AX262" t="s">
        <v>57</v>
      </c>
      <c r="AY262">
        <v>631110</v>
      </c>
      <c r="AZ262">
        <v>1206.63111</v>
      </c>
      <c r="BA262" s="23" t="s">
        <v>14</v>
      </c>
    </row>
    <row r="263" spans="1:53" x14ac:dyDescent="0.25">
      <c r="A263" t="s">
        <v>134</v>
      </c>
      <c r="B263" t="s">
        <v>135</v>
      </c>
      <c r="C263">
        <v>22002497</v>
      </c>
      <c r="D263">
        <v>1206</v>
      </c>
      <c r="E263" s="11">
        <v>44775</v>
      </c>
      <c r="F263" t="s">
        <v>174</v>
      </c>
      <c r="G263" s="25">
        <v>28.3</v>
      </c>
      <c r="H263">
        <v>28.3</v>
      </c>
      <c r="I263" t="s">
        <v>56</v>
      </c>
      <c r="O263" t="s">
        <v>57</v>
      </c>
      <c r="Q263" t="s">
        <v>57</v>
      </c>
      <c r="R263" t="s">
        <v>137</v>
      </c>
      <c r="T263" t="s">
        <v>59</v>
      </c>
      <c r="U263" t="s">
        <v>60</v>
      </c>
      <c r="V263" t="s">
        <v>138</v>
      </c>
      <c r="W263" t="s">
        <v>139</v>
      </c>
      <c r="X263">
        <v>1926655</v>
      </c>
      <c r="Y263" s="11">
        <v>44775</v>
      </c>
      <c r="Z263" t="s">
        <v>57</v>
      </c>
      <c r="AA263">
        <v>6</v>
      </c>
      <c r="AB263" t="s">
        <v>57</v>
      </c>
      <c r="AD263" t="s">
        <v>57</v>
      </c>
      <c r="AE263" t="s">
        <v>57</v>
      </c>
      <c r="AF263" t="s">
        <v>57</v>
      </c>
      <c r="AG263">
        <v>1</v>
      </c>
      <c r="AH263" t="s">
        <v>57</v>
      </c>
      <c r="AL263" t="s">
        <v>57</v>
      </c>
      <c r="AM263" s="11">
        <v>44775</v>
      </c>
      <c r="AN263" t="s">
        <v>184</v>
      </c>
      <c r="AO263" t="s">
        <v>65</v>
      </c>
      <c r="AP263">
        <v>1206</v>
      </c>
      <c r="AQ263" t="s">
        <v>66</v>
      </c>
      <c r="AR263">
        <v>139186</v>
      </c>
      <c r="AU263" t="s">
        <v>57</v>
      </c>
      <c r="AV263" t="s">
        <v>68</v>
      </c>
      <c r="AX263" t="s">
        <v>57</v>
      </c>
      <c r="AY263">
        <v>631110</v>
      </c>
      <c r="AZ263">
        <v>1206.63111</v>
      </c>
      <c r="BA263" s="23" t="s">
        <v>14</v>
      </c>
    </row>
    <row r="264" spans="1:53" x14ac:dyDescent="0.25">
      <c r="A264" t="s">
        <v>134</v>
      </c>
      <c r="B264" t="s">
        <v>135</v>
      </c>
      <c r="C264">
        <v>22002601</v>
      </c>
      <c r="D264">
        <v>1206</v>
      </c>
      <c r="E264" s="11">
        <v>44791</v>
      </c>
      <c r="F264" t="s">
        <v>174</v>
      </c>
      <c r="G264" s="25">
        <v>29.23</v>
      </c>
      <c r="H264">
        <v>29.23</v>
      </c>
      <c r="I264" t="s">
        <v>56</v>
      </c>
      <c r="O264" t="s">
        <v>57</v>
      </c>
      <c r="Q264" t="s">
        <v>57</v>
      </c>
      <c r="R264" t="s">
        <v>137</v>
      </c>
      <c r="T264" t="s">
        <v>59</v>
      </c>
      <c r="U264" t="s">
        <v>60</v>
      </c>
      <c r="V264" t="s">
        <v>138</v>
      </c>
      <c r="W264" t="s">
        <v>139</v>
      </c>
      <c r="X264">
        <v>1934071</v>
      </c>
      <c r="Y264" s="11">
        <v>44792</v>
      </c>
      <c r="Z264" t="s">
        <v>57</v>
      </c>
      <c r="AA264">
        <v>10</v>
      </c>
      <c r="AB264" t="s">
        <v>57</v>
      </c>
      <c r="AD264" t="s">
        <v>57</v>
      </c>
      <c r="AE264" t="s">
        <v>57</v>
      </c>
      <c r="AF264" t="s">
        <v>57</v>
      </c>
      <c r="AG264">
        <v>1</v>
      </c>
      <c r="AH264" t="s">
        <v>57</v>
      </c>
      <c r="AL264" t="s">
        <v>57</v>
      </c>
      <c r="AM264" s="11">
        <v>44791</v>
      </c>
      <c r="AN264" t="s">
        <v>184</v>
      </c>
      <c r="AO264" t="s">
        <v>65</v>
      </c>
      <c r="AP264">
        <v>1206</v>
      </c>
      <c r="AQ264" t="s">
        <v>66</v>
      </c>
      <c r="AR264">
        <v>239625</v>
      </c>
      <c r="AU264" t="s">
        <v>57</v>
      </c>
      <c r="AV264" t="s">
        <v>68</v>
      </c>
      <c r="AX264" t="s">
        <v>57</v>
      </c>
      <c r="AY264">
        <v>631110</v>
      </c>
      <c r="AZ264">
        <v>1206.63111</v>
      </c>
      <c r="BA264" s="23" t="s">
        <v>14</v>
      </c>
    </row>
    <row r="265" spans="1:53" x14ac:dyDescent="0.25">
      <c r="A265" t="s">
        <v>134</v>
      </c>
      <c r="B265" t="s">
        <v>135</v>
      </c>
      <c r="C265">
        <v>22002589</v>
      </c>
      <c r="D265">
        <v>1206</v>
      </c>
      <c r="E265" s="11">
        <v>44789</v>
      </c>
      <c r="F265" t="s">
        <v>172</v>
      </c>
      <c r="G265" s="25">
        <v>29.57</v>
      </c>
      <c r="H265">
        <v>29.57</v>
      </c>
      <c r="I265" t="s">
        <v>56</v>
      </c>
      <c r="O265" t="s">
        <v>57</v>
      </c>
      <c r="Q265" t="s">
        <v>57</v>
      </c>
      <c r="R265" t="s">
        <v>137</v>
      </c>
      <c r="T265" t="s">
        <v>59</v>
      </c>
      <c r="U265" t="s">
        <v>60</v>
      </c>
      <c r="V265" t="s">
        <v>138</v>
      </c>
      <c r="W265" t="s">
        <v>139</v>
      </c>
      <c r="X265">
        <v>1933170</v>
      </c>
      <c r="Y265" s="11">
        <v>44789</v>
      </c>
      <c r="Z265" t="s">
        <v>57</v>
      </c>
      <c r="AA265">
        <v>4</v>
      </c>
      <c r="AB265" t="s">
        <v>57</v>
      </c>
      <c r="AD265" t="s">
        <v>57</v>
      </c>
      <c r="AE265" t="s">
        <v>57</v>
      </c>
      <c r="AF265" t="s">
        <v>57</v>
      </c>
      <c r="AG265">
        <v>20</v>
      </c>
      <c r="AH265" t="s">
        <v>57</v>
      </c>
      <c r="AL265" t="s">
        <v>57</v>
      </c>
      <c r="AM265" s="11">
        <v>44789</v>
      </c>
      <c r="AN265" t="s">
        <v>184</v>
      </c>
      <c r="AO265" t="s">
        <v>65</v>
      </c>
      <c r="AP265">
        <v>1206</v>
      </c>
      <c r="AQ265" t="s">
        <v>66</v>
      </c>
      <c r="AR265">
        <v>149525</v>
      </c>
      <c r="AU265" t="s">
        <v>57</v>
      </c>
      <c r="AV265" t="s">
        <v>68</v>
      </c>
      <c r="AX265" t="s">
        <v>57</v>
      </c>
      <c r="AY265">
        <v>631110</v>
      </c>
      <c r="AZ265">
        <v>1206.63111</v>
      </c>
      <c r="BA265" s="23" t="s">
        <v>14</v>
      </c>
    </row>
    <row r="266" spans="1:53" x14ac:dyDescent="0.25">
      <c r="A266" t="s">
        <v>134</v>
      </c>
      <c r="B266" t="s">
        <v>135</v>
      </c>
      <c r="C266">
        <v>22002509</v>
      </c>
      <c r="D266">
        <v>1206</v>
      </c>
      <c r="E266" s="11">
        <v>44777</v>
      </c>
      <c r="F266" t="s">
        <v>159</v>
      </c>
      <c r="G266" s="25">
        <v>30.12</v>
      </c>
      <c r="H266">
        <v>30.12</v>
      </c>
      <c r="I266" t="s">
        <v>56</v>
      </c>
      <c r="O266" t="s">
        <v>57</v>
      </c>
      <c r="Q266" t="s">
        <v>57</v>
      </c>
      <c r="R266" t="s">
        <v>137</v>
      </c>
      <c r="T266" t="s">
        <v>59</v>
      </c>
      <c r="U266" t="s">
        <v>60</v>
      </c>
      <c r="V266" t="s">
        <v>138</v>
      </c>
      <c r="W266" t="s">
        <v>139</v>
      </c>
      <c r="X266">
        <v>1927633</v>
      </c>
      <c r="Y266" s="11">
        <v>44777</v>
      </c>
      <c r="Z266" t="s">
        <v>57</v>
      </c>
      <c r="AA266">
        <v>2</v>
      </c>
      <c r="AB266" t="s">
        <v>57</v>
      </c>
      <c r="AD266" t="s">
        <v>57</v>
      </c>
      <c r="AE266" t="s">
        <v>57</v>
      </c>
      <c r="AF266" t="s">
        <v>57</v>
      </c>
      <c r="AG266">
        <v>1</v>
      </c>
      <c r="AH266" t="s">
        <v>57</v>
      </c>
      <c r="AL266" t="s">
        <v>57</v>
      </c>
      <c r="AM266" s="11">
        <v>44777</v>
      </c>
      <c r="AN266" t="s">
        <v>184</v>
      </c>
      <c r="AO266" t="s">
        <v>65</v>
      </c>
      <c r="AP266">
        <v>1206</v>
      </c>
      <c r="AQ266" t="s">
        <v>66</v>
      </c>
      <c r="AR266">
        <v>222067</v>
      </c>
      <c r="AU266" t="s">
        <v>57</v>
      </c>
      <c r="AV266" t="s">
        <v>68</v>
      </c>
      <c r="AX266" t="s">
        <v>57</v>
      </c>
      <c r="AY266">
        <v>631110</v>
      </c>
      <c r="AZ266">
        <v>1206.63111</v>
      </c>
      <c r="BA266" s="23" t="s">
        <v>14</v>
      </c>
    </row>
    <row r="267" spans="1:53" x14ac:dyDescent="0.25">
      <c r="A267" t="s">
        <v>134</v>
      </c>
      <c r="B267" t="s">
        <v>135</v>
      </c>
      <c r="C267">
        <v>22002553</v>
      </c>
      <c r="D267">
        <v>1206</v>
      </c>
      <c r="E267" s="11">
        <v>44783</v>
      </c>
      <c r="F267" t="s">
        <v>290</v>
      </c>
      <c r="G267" s="25">
        <v>32.840000000000003</v>
      </c>
      <c r="H267">
        <v>32.840000000000003</v>
      </c>
      <c r="I267" t="s">
        <v>56</v>
      </c>
      <c r="O267" t="s">
        <v>57</v>
      </c>
      <c r="Q267" t="s">
        <v>57</v>
      </c>
      <c r="R267" t="s">
        <v>137</v>
      </c>
      <c r="T267" t="s">
        <v>59</v>
      </c>
      <c r="U267" t="s">
        <v>60</v>
      </c>
      <c r="V267" t="s">
        <v>138</v>
      </c>
      <c r="W267" t="s">
        <v>139</v>
      </c>
      <c r="X267">
        <v>1930373</v>
      </c>
      <c r="Y267" s="11">
        <v>44784</v>
      </c>
      <c r="Z267" t="s">
        <v>57</v>
      </c>
      <c r="AA267">
        <v>2</v>
      </c>
      <c r="AB267" t="s">
        <v>57</v>
      </c>
      <c r="AD267" t="s">
        <v>57</v>
      </c>
      <c r="AE267" t="s">
        <v>57</v>
      </c>
      <c r="AF267" t="s">
        <v>57</v>
      </c>
      <c r="AG267">
        <v>90</v>
      </c>
      <c r="AH267" t="s">
        <v>57</v>
      </c>
      <c r="AL267" t="s">
        <v>57</v>
      </c>
      <c r="AM267" s="11">
        <v>44783</v>
      </c>
      <c r="AN267" t="s">
        <v>183</v>
      </c>
      <c r="AO267" t="s">
        <v>65</v>
      </c>
      <c r="AP267">
        <v>1206</v>
      </c>
      <c r="AQ267" t="s">
        <v>66</v>
      </c>
      <c r="AR267">
        <v>91011</v>
      </c>
      <c r="AU267" t="s">
        <v>57</v>
      </c>
      <c r="AV267" t="s">
        <v>68</v>
      </c>
      <c r="AX267" t="s">
        <v>57</v>
      </c>
      <c r="AY267">
        <v>631110</v>
      </c>
      <c r="AZ267">
        <v>1206.63111</v>
      </c>
      <c r="BA267" s="23" t="s">
        <v>14</v>
      </c>
    </row>
    <row r="268" spans="1:53" x14ac:dyDescent="0.25">
      <c r="A268" t="s">
        <v>134</v>
      </c>
      <c r="B268" t="s">
        <v>135</v>
      </c>
      <c r="C268">
        <v>22002579</v>
      </c>
      <c r="D268">
        <v>1206</v>
      </c>
      <c r="E268" s="11">
        <v>44785</v>
      </c>
      <c r="F268" t="s">
        <v>185</v>
      </c>
      <c r="G268" s="25">
        <v>32.840000000000003</v>
      </c>
      <c r="H268">
        <v>32.840000000000003</v>
      </c>
      <c r="I268" t="s">
        <v>56</v>
      </c>
      <c r="O268" t="s">
        <v>57</v>
      </c>
      <c r="Q268" t="s">
        <v>57</v>
      </c>
      <c r="R268" t="s">
        <v>137</v>
      </c>
      <c r="T268" t="s">
        <v>59</v>
      </c>
      <c r="U268" t="s">
        <v>60</v>
      </c>
      <c r="V268" t="s">
        <v>138</v>
      </c>
      <c r="W268" t="s">
        <v>139</v>
      </c>
      <c r="X268">
        <v>1930821</v>
      </c>
      <c r="Y268" s="11">
        <v>44788</v>
      </c>
      <c r="Z268" t="s">
        <v>57</v>
      </c>
      <c r="AA268">
        <v>2</v>
      </c>
      <c r="AB268" t="s">
        <v>57</v>
      </c>
      <c r="AD268" t="s">
        <v>57</v>
      </c>
      <c r="AE268" t="s">
        <v>57</v>
      </c>
      <c r="AF268" t="s">
        <v>57</v>
      </c>
      <c r="AG268">
        <v>90</v>
      </c>
      <c r="AH268" t="s">
        <v>57</v>
      </c>
      <c r="AL268" t="s">
        <v>57</v>
      </c>
      <c r="AM268" s="11">
        <v>44785</v>
      </c>
      <c r="AN268" t="s">
        <v>183</v>
      </c>
      <c r="AO268" t="s">
        <v>65</v>
      </c>
      <c r="AP268">
        <v>1206</v>
      </c>
      <c r="AQ268" t="s">
        <v>66</v>
      </c>
      <c r="AR268">
        <v>91011</v>
      </c>
      <c r="AU268" t="s">
        <v>57</v>
      </c>
      <c r="AV268" t="s">
        <v>68</v>
      </c>
      <c r="AX268" t="s">
        <v>57</v>
      </c>
      <c r="AY268">
        <v>631110</v>
      </c>
      <c r="AZ268">
        <v>1206.63111</v>
      </c>
      <c r="BA268" s="23" t="s">
        <v>14</v>
      </c>
    </row>
    <row r="269" spans="1:53" x14ac:dyDescent="0.25">
      <c r="A269" t="s">
        <v>134</v>
      </c>
      <c r="B269" t="s">
        <v>135</v>
      </c>
      <c r="C269">
        <v>22002542</v>
      </c>
      <c r="D269">
        <v>1206</v>
      </c>
      <c r="E269" s="11">
        <v>44782</v>
      </c>
      <c r="F269" t="s">
        <v>174</v>
      </c>
      <c r="G269" s="25">
        <v>33.83</v>
      </c>
      <c r="H269">
        <v>33.83</v>
      </c>
      <c r="I269" t="s">
        <v>56</v>
      </c>
      <c r="O269" t="s">
        <v>57</v>
      </c>
      <c r="Q269" t="s">
        <v>57</v>
      </c>
      <c r="R269" t="s">
        <v>137</v>
      </c>
      <c r="T269" t="s">
        <v>59</v>
      </c>
      <c r="U269" t="s">
        <v>60</v>
      </c>
      <c r="V269" t="s">
        <v>138</v>
      </c>
      <c r="W269" t="s">
        <v>139</v>
      </c>
      <c r="X269">
        <v>1929848</v>
      </c>
      <c r="Y269" s="11">
        <v>44782</v>
      </c>
      <c r="Z269" t="s">
        <v>57</v>
      </c>
      <c r="AA269">
        <v>2</v>
      </c>
      <c r="AB269" t="s">
        <v>57</v>
      </c>
      <c r="AD269" t="s">
        <v>57</v>
      </c>
      <c r="AE269" t="s">
        <v>57</v>
      </c>
      <c r="AF269" t="s">
        <v>57</v>
      </c>
      <c r="AG269">
        <v>1</v>
      </c>
      <c r="AH269" t="s">
        <v>57</v>
      </c>
      <c r="AL269" t="s">
        <v>57</v>
      </c>
      <c r="AM269" s="11">
        <v>44782</v>
      </c>
      <c r="AN269" t="s">
        <v>184</v>
      </c>
      <c r="AO269" t="s">
        <v>65</v>
      </c>
      <c r="AP269">
        <v>1206</v>
      </c>
      <c r="AQ269" t="s">
        <v>66</v>
      </c>
      <c r="AR269">
        <v>190633</v>
      </c>
      <c r="AU269" t="s">
        <v>57</v>
      </c>
      <c r="AV269" t="s">
        <v>68</v>
      </c>
      <c r="AX269" t="s">
        <v>57</v>
      </c>
      <c r="AY269">
        <v>631110</v>
      </c>
      <c r="AZ269">
        <v>1206.63111</v>
      </c>
      <c r="BA269" s="23" t="s">
        <v>14</v>
      </c>
    </row>
    <row r="270" spans="1:53" x14ac:dyDescent="0.25">
      <c r="A270" t="s">
        <v>134</v>
      </c>
      <c r="B270" t="s">
        <v>135</v>
      </c>
      <c r="C270">
        <v>22002545</v>
      </c>
      <c r="D270">
        <v>1206</v>
      </c>
      <c r="E270" s="11">
        <v>44781</v>
      </c>
      <c r="F270" t="s">
        <v>185</v>
      </c>
      <c r="G270" s="25">
        <v>36.49</v>
      </c>
      <c r="H270">
        <v>36.49</v>
      </c>
      <c r="I270" t="s">
        <v>56</v>
      </c>
      <c r="O270" t="s">
        <v>57</v>
      </c>
      <c r="Q270" t="s">
        <v>57</v>
      </c>
      <c r="R270" t="s">
        <v>137</v>
      </c>
      <c r="T270" t="s">
        <v>59</v>
      </c>
      <c r="U270" t="s">
        <v>60</v>
      </c>
      <c r="V270" t="s">
        <v>138</v>
      </c>
      <c r="W270" t="s">
        <v>139</v>
      </c>
      <c r="X270">
        <v>1929986</v>
      </c>
      <c r="Y270" s="11">
        <v>44783</v>
      </c>
      <c r="Z270" t="s">
        <v>57</v>
      </c>
      <c r="AA270">
        <v>2</v>
      </c>
      <c r="AB270" t="s">
        <v>57</v>
      </c>
      <c r="AD270" t="s">
        <v>57</v>
      </c>
      <c r="AE270" t="s">
        <v>57</v>
      </c>
      <c r="AF270" t="s">
        <v>57</v>
      </c>
      <c r="AG270">
        <v>100</v>
      </c>
      <c r="AH270" t="s">
        <v>57</v>
      </c>
      <c r="AL270" t="s">
        <v>57</v>
      </c>
      <c r="AM270" s="11">
        <v>44781</v>
      </c>
      <c r="AN270" t="s">
        <v>183</v>
      </c>
      <c r="AO270" t="s">
        <v>65</v>
      </c>
      <c r="AP270">
        <v>1206</v>
      </c>
      <c r="AQ270" t="s">
        <v>66</v>
      </c>
      <c r="AR270">
        <v>91011</v>
      </c>
      <c r="AU270" t="s">
        <v>57</v>
      </c>
      <c r="AV270" t="s">
        <v>68</v>
      </c>
      <c r="AX270" t="s">
        <v>57</v>
      </c>
      <c r="AY270">
        <v>631110</v>
      </c>
      <c r="AZ270">
        <v>1206.63111</v>
      </c>
      <c r="BA270" s="23" t="s">
        <v>14</v>
      </c>
    </row>
    <row r="271" spans="1:53" x14ac:dyDescent="0.25">
      <c r="A271" t="s">
        <v>134</v>
      </c>
      <c r="B271" t="s">
        <v>135</v>
      </c>
      <c r="C271">
        <v>22002598</v>
      </c>
      <c r="D271">
        <v>1206</v>
      </c>
      <c r="E271" s="11">
        <v>44791</v>
      </c>
      <c r="F271" t="s">
        <v>185</v>
      </c>
      <c r="G271" s="25">
        <v>36.54</v>
      </c>
      <c r="H271">
        <v>36.54</v>
      </c>
      <c r="I271" t="s">
        <v>56</v>
      </c>
      <c r="O271" t="s">
        <v>57</v>
      </c>
      <c r="Q271" t="s">
        <v>57</v>
      </c>
      <c r="R271" t="s">
        <v>137</v>
      </c>
      <c r="T271" t="s">
        <v>59</v>
      </c>
      <c r="U271" t="s">
        <v>60</v>
      </c>
      <c r="V271" t="s">
        <v>138</v>
      </c>
      <c r="W271" t="s">
        <v>139</v>
      </c>
      <c r="X271">
        <v>1933578</v>
      </c>
      <c r="Y271" s="11">
        <v>44792</v>
      </c>
      <c r="Z271" t="s">
        <v>57</v>
      </c>
      <c r="AA271">
        <v>2</v>
      </c>
      <c r="AB271" t="s">
        <v>57</v>
      </c>
      <c r="AD271" t="s">
        <v>57</v>
      </c>
      <c r="AE271" t="s">
        <v>57</v>
      </c>
      <c r="AF271" t="s">
        <v>57</v>
      </c>
      <c r="AG271">
        <v>100</v>
      </c>
      <c r="AH271" t="s">
        <v>57</v>
      </c>
      <c r="AL271" t="s">
        <v>57</v>
      </c>
      <c r="AM271" s="11">
        <v>44791</v>
      </c>
      <c r="AN271" t="s">
        <v>183</v>
      </c>
      <c r="AO271" t="s">
        <v>65</v>
      </c>
      <c r="AP271">
        <v>1206</v>
      </c>
      <c r="AQ271" t="s">
        <v>66</v>
      </c>
      <c r="AR271">
        <v>91011</v>
      </c>
      <c r="AU271" t="s">
        <v>57</v>
      </c>
      <c r="AV271" t="s">
        <v>68</v>
      </c>
      <c r="AX271" t="s">
        <v>57</v>
      </c>
      <c r="AY271">
        <v>631110</v>
      </c>
      <c r="AZ271">
        <v>1206.63111</v>
      </c>
      <c r="BA271" s="23" t="s">
        <v>14</v>
      </c>
    </row>
    <row r="272" spans="1:53" x14ac:dyDescent="0.25">
      <c r="A272" t="s">
        <v>134</v>
      </c>
      <c r="B272" t="s">
        <v>135</v>
      </c>
      <c r="C272">
        <v>22002602</v>
      </c>
      <c r="D272">
        <v>1206</v>
      </c>
      <c r="E272" s="11">
        <v>44791</v>
      </c>
      <c r="F272" t="s">
        <v>174</v>
      </c>
      <c r="G272" s="25">
        <v>39.450000000000003</v>
      </c>
      <c r="H272">
        <v>39.450000000000003</v>
      </c>
      <c r="I272" t="s">
        <v>56</v>
      </c>
      <c r="O272" t="s">
        <v>57</v>
      </c>
      <c r="Q272" t="s">
        <v>57</v>
      </c>
      <c r="R272" t="s">
        <v>137</v>
      </c>
      <c r="T272" t="s">
        <v>59</v>
      </c>
      <c r="U272" t="s">
        <v>60</v>
      </c>
      <c r="V272" t="s">
        <v>138</v>
      </c>
      <c r="W272" t="s">
        <v>139</v>
      </c>
      <c r="X272">
        <v>1934071</v>
      </c>
      <c r="Y272" s="11">
        <v>44792</v>
      </c>
      <c r="Z272" t="s">
        <v>57</v>
      </c>
      <c r="AA272">
        <v>2</v>
      </c>
      <c r="AB272" t="s">
        <v>57</v>
      </c>
      <c r="AD272" t="s">
        <v>57</v>
      </c>
      <c r="AE272" t="s">
        <v>57</v>
      </c>
      <c r="AF272" t="s">
        <v>57</v>
      </c>
      <c r="AG272">
        <v>1</v>
      </c>
      <c r="AH272" t="s">
        <v>57</v>
      </c>
      <c r="AL272" t="s">
        <v>57</v>
      </c>
      <c r="AM272" s="11">
        <v>44791</v>
      </c>
      <c r="AN272" t="s">
        <v>184</v>
      </c>
      <c r="AO272" t="s">
        <v>65</v>
      </c>
      <c r="AP272">
        <v>1206</v>
      </c>
      <c r="AQ272" t="s">
        <v>66</v>
      </c>
      <c r="AR272">
        <v>271534</v>
      </c>
      <c r="AU272" t="s">
        <v>57</v>
      </c>
      <c r="AV272" t="s">
        <v>68</v>
      </c>
      <c r="AX272" t="s">
        <v>57</v>
      </c>
      <c r="AY272">
        <v>631110</v>
      </c>
      <c r="AZ272">
        <v>1206.63111</v>
      </c>
      <c r="BA272" s="23" t="s">
        <v>14</v>
      </c>
    </row>
    <row r="273" spans="1:53" x14ac:dyDescent="0.25">
      <c r="A273" t="s">
        <v>134</v>
      </c>
      <c r="B273" t="s">
        <v>135</v>
      </c>
      <c r="C273">
        <v>22002530</v>
      </c>
      <c r="D273">
        <v>1206</v>
      </c>
      <c r="E273" s="11">
        <v>44778</v>
      </c>
      <c r="F273" t="s">
        <v>185</v>
      </c>
      <c r="G273" s="25">
        <v>40.14</v>
      </c>
      <c r="H273">
        <v>40.14</v>
      </c>
      <c r="I273" t="s">
        <v>56</v>
      </c>
      <c r="O273" t="s">
        <v>57</v>
      </c>
      <c r="Q273" t="s">
        <v>57</v>
      </c>
      <c r="R273" t="s">
        <v>137</v>
      </c>
      <c r="T273" t="s">
        <v>59</v>
      </c>
      <c r="U273" t="s">
        <v>60</v>
      </c>
      <c r="V273" t="s">
        <v>138</v>
      </c>
      <c r="W273" t="s">
        <v>139</v>
      </c>
      <c r="X273">
        <v>1928799</v>
      </c>
      <c r="Y273" s="11">
        <v>44781</v>
      </c>
      <c r="Z273" t="s">
        <v>57</v>
      </c>
      <c r="AA273">
        <v>2</v>
      </c>
      <c r="AB273" t="s">
        <v>57</v>
      </c>
      <c r="AD273" t="s">
        <v>57</v>
      </c>
      <c r="AE273" t="s">
        <v>57</v>
      </c>
      <c r="AF273" t="s">
        <v>57</v>
      </c>
      <c r="AG273">
        <v>110</v>
      </c>
      <c r="AH273" t="s">
        <v>57</v>
      </c>
      <c r="AL273" t="s">
        <v>57</v>
      </c>
      <c r="AM273" s="11">
        <v>44778</v>
      </c>
      <c r="AN273" t="s">
        <v>183</v>
      </c>
      <c r="AO273" t="s">
        <v>65</v>
      </c>
      <c r="AP273">
        <v>1206</v>
      </c>
      <c r="AQ273" t="s">
        <v>66</v>
      </c>
      <c r="AR273">
        <v>91011</v>
      </c>
      <c r="AU273" t="s">
        <v>57</v>
      </c>
      <c r="AV273" t="s">
        <v>68</v>
      </c>
      <c r="AX273" t="s">
        <v>57</v>
      </c>
      <c r="AY273">
        <v>631110</v>
      </c>
      <c r="AZ273">
        <v>1206.63111</v>
      </c>
      <c r="BA273" s="23" t="s">
        <v>14</v>
      </c>
    </row>
    <row r="274" spans="1:53" x14ac:dyDescent="0.25">
      <c r="A274" t="s">
        <v>134</v>
      </c>
      <c r="B274" t="s">
        <v>135</v>
      </c>
      <c r="C274">
        <v>22002533</v>
      </c>
      <c r="D274">
        <v>1206</v>
      </c>
      <c r="E274" s="11">
        <v>44781</v>
      </c>
      <c r="F274" t="s">
        <v>174</v>
      </c>
      <c r="G274" s="25">
        <v>41.32</v>
      </c>
      <c r="H274">
        <v>41.32</v>
      </c>
      <c r="I274" t="s">
        <v>56</v>
      </c>
      <c r="O274" t="s">
        <v>57</v>
      </c>
      <c r="Q274" t="s">
        <v>57</v>
      </c>
      <c r="R274" t="s">
        <v>137</v>
      </c>
      <c r="T274" t="s">
        <v>59</v>
      </c>
      <c r="U274" t="s">
        <v>60</v>
      </c>
      <c r="V274" t="s">
        <v>138</v>
      </c>
      <c r="W274" t="s">
        <v>139</v>
      </c>
      <c r="X274">
        <v>1928975</v>
      </c>
      <c r="Y274" s="11">
        <v>44781</v>
      </c>
      <c r="Z274" t="s">
        <v>57</v>
      </c>
      <c r="AA274">
        <v>6</v>
      </c>
      <c r="AB274" t="s">
        <v>57</v>
      </c>
      <c r="AD274" t="s">
        <v>57</v>
      </c>
      <c r="AE274" t="s">
        <v>57</v>
      </c>
      <c r="AF274" t="s">
        <v>57</v>
      </c>
      <c r="AG274">
        <v>1</v>
      </c>
      <c r="AH274" t="s">
        <v>57</v>
      </c>
      <c r="AL274" t="s">
        <v>57</v>
      </c>
      <c r="AM274" s="11">
        <v>44781</v>
      </c>
      <c r="AN274" t="s">
        <v>184</v>
      </c>
      <c r="AO274" t="s">
        <v>65</v>
      </c>
      <c r="AP274">
        <v>1206</v>
      </c>
      <c r="AQ274" t="s">
        <v>66</v>
      </c>
      <c r="AR274">
        <v>221867</v>
      </c>
      <c r="AU274" t="s">
        <v>57</v>
      </c>
      <c r="AV274" t="s">
        <v>68</v>
      </c>
      <c r="AX274" t="s">
        <v>57</v>
      </c>
      <c r="AY274">
        <v>631110</v>
      </c>
      <c r="AZ274">
        <v>1206.63111</v>
      </c>
      <c r="BA274" s="23" t="s">
        <v>14</v>
      </c>
    </row>
    <row r="275" spans="1:53" x14ac:dyDescent="0.25">
      <c r="A275" t="s">
        <v>134</v>
      </c>
      <c r="B275" t="s">
        <v>135</v>
      </c>
      <c r="C275">
        <v>22002493</v>
      </c>
      <c r="D275">
        <v>1206</v>
      </c>
      <c r="E275" s="11">
        <v>44775</v>
      </c>
      <c r="F275" t="s">
        <v>174</v>
      </c>
      <c r="G275" s="25">
        <v>45.6</v>
      </c>
      <c r="H275">
        <v>45.6</v>
      </c>
      <c r="I275" t="s">
        <v>56</v>
      </c>
      <c r="O275" t="s">
        <v>57</v>
      </c>
      <c r="Q275" t="s">
        <v>57</v>
      </c>
      <c r="R275" t="s">
        <v>137</v>
      </c>
      <c r="T275" t="s">
        <v>59</v>
      </c>
      <c r="U275" t="s">
        <v>60</v>
      </c>
      <c r="V275" t="s">
        <v>138</v>
      </c>
      <c r="W275" t="s">
        <v>139</v>
      </c>
      <c r="X275">
        <v>1926655</v>
      </c>
      <c r="Y275" s="11">
        <v>44775</v>
      </c>
      <c r="Z275" t="s">
        <v>57</v>
      </c>
      <c r="AA275">
        <v>2</v>
      </c>
      <c r="AB275" t="s">
        <v>57</v>
      </c>
      <c r="AD275" t="s">
        <v>57</v>
      </c>
      <c r="AE275" t="s">
        <v>57</v>
      </c>
      <c r="AF275" t="s">
        <v>57</v>
      </c>
      <c r="AG275">
        <v>1</v>
      </c>
      <c r="AH275" t="s">
        <v>57</v>
      </c>
      <c r="AL275" t="s">
        <v>57</v>
      </c>
      <c r="AM275" s="11">
        <v>44775</v>
      </c>
      <c r="AN275" t="s">
        <v>184</v>
      </c>
      <c r="AO275" t="s">
        <v>65</v>
      </c>
      <c r="AP275">
        <v>1206</v>
      </c>
      <c r="AQ275" t="s">
        <v>66</v>
      </c>
      <c r="AR275">
        <v>190655</v>
      </c>
      <c r="AU275" t="s">
        <v>57</v>
      </c>
      <c r="AV275" t="s">
        <v>68</v>
      </c>
      <c r="AX275" t="s">
        <v>57</v>
      </c>
      <c r="AY275">
        <v>631110</v>
      </c>
      <c r="AZ275">
        <v>1206.63111</v>
      </c>
      <c r="BA275" s="23" t="s">
        <v>14</v>
      </c>
    </row>
    <row r="276" spans="1:53" x14ac:dyDescent="0.25">
      <c r="A276" t="s">
        <v>134</v>
      </c>
      <c r="B276" t="s">
        <v>135</v>
      </c>
      <c r="C276">
        <v>22002532</v>
      </c>
      <c r="D276">
        <v>1206</v>
      </c>
      <c r="E276" s="11">
        <v>44781</v>
      </c>
      <c r="F276" t="s">
        <v>174</v>
      </c>
      <c r="G276" s="25">
        <v>45.6</v>
      </c>
      <c r="H276">
        <v>45.6</v>
      </c>
      <c r="I276" t="s">
        <v>56</v>
      </c>
      <c r="O276" t="s">
        <v>57</v>
      </c>
      <c r="Q276" t="s">
        <v>57</v>
      </c>
      <c r="R276" t="s">
        <v>137</v>
      </c>
      <c r="T276" t="s">
        <v>59</v>
      </c>
      <c r="U276" t="s">
        <v>60</v>
      </c>
      <c r="V276" t="s">
        <v>138</v>
      </c>
      <c r="W276" t="s">
        <v>139</v>
      </c>
      <c r="X276">
        <v>1928975</v>
      </c>
      <c r="Y276" s="11">
        <v>44781</v>
      </c>
      <c r="Z276" t="s">
        <v>57</v>
      </c>
      <c r="AA276">
        <v>6</v>
      </c>
      <c r="AB276" t="s">
        <v>57</v>
      </c>
      <c r="AD276" t="s">
        <v>57</v>
      </c>
      <c r="AE276" t="s">
        <v>57</v>
      </c>
      <c r="AF276" t="s">
        <v>57</v>
      </c>
      <c r="AG276">
        <v>1</v>
      </c>
      <c r="AH276" t="s">
        <v>57</v>
      </c>
      <c r="AL276" t="s">
        <v>57</v>
      </c>
      <c r="AM276" s="11">
        <v>44781</v>
      </c>
      <c r="AN276" t="s">
        <v>184</v>
      </c>
      <c r="AO276" t="s">
        <v>65</v>
      </c>
      <c r="AP276">
        <v>1206</v>
      </c>
      <c r="AQ276" t="s">
        <v>66</v>
      </c>
      <c r="AR276">
        <v>190655</v>
      </c>
      <c r="AU276" t="s">
        <v>57</v>
      </c>
      <c r="AV276" t="s">
        <v>68</v>
      </c>
      <c r="AX276" t="s">
        <v>57</v>
      </c>
      <c r="AY276">
        <v>631110</v>
      </c>
      <c r="AZ276">
        <v>1206.63111</v>
      </c>
      <c r="BA276" s="23" t="s">
        <v>14</v>
      </c>
    </row>
    <row r="277" spans="1:53" x14ac:dyDescent="0.25">
      <c r="A277" t="s">
        <v>134</v>
      </c>
      <c r="B277" t="s">
        <v>135</v>
      </c>
      <c r="C277">
        <v>22002601</v>
      </c>
      <c r="D277">
        <v>1206</v>
      </c>
      <c r="E277" s="11">
        <v>44791</v>
      </c>
      <c r="F277" t="s">
        <v>174</v>
      </c>
      <c r="G277" s="25">
        <v>45.6</v>
      </c>
      <c r="H277">
        <v>45.6</v>
      </c>
      <c r="I277" t="s">
        <v>56</v>
      </c>
      <c r="O277" t="s">
        <v>57</v>
      </c>
      <c r="Q277" t="s">
        <v>57</v>
      </c>
      <c r="R277" t="s">
        <v>137</v>
      </c>
      <c r="T277" t="s">
        <v>59</v>
      </c>
      <c r="U277" t="s">
        <v>60</v>
      </c>
      <c r="V277" t="s">
        <v>138</v>
      </c>
      <c r="W277" t="s">
        <v>139</v>
      </c>
      <c r="X277">
        <v>1934071</v>
      </c>
      <c r="Y277" s="11">
        <v>44792</v>
      </c>
      <c r="Z277" t="s">
        <v>57</v>
      </c>
      <c r="AA277">
        <v>12</v>
      </c>
      <c r="AB277" t="s">
        <v>57</v>
      </c>
      <c r="AD277" t="s">
        <v>57</v>
      </c>
      <c r="AE277" t="s">
        <v>57</v>
      </c>
      <c r="AF277" t="s">
        <v>57</v>
      </c>
      <c r="AG277">
        <v>1</v>
      </c>
      <c r="AH277" t="s">
        <v>57</v>
      </c>
      <c r="AL277" t="s">
        <v>57</v>
      </c>
      <c r="AM277" s="11">
        <v>44791</v>
      </c>
      <c r="AN277" t="s">
        <v>184</v>
      </c>
      <c r="AO277" t="s">
        <v>65</v>
      </c>
      <c r="AP277">
        <v>1206</v>
      </c>
      <c r="AQ277" t="s">
        <v>66</v>
      </c>
      <c r="AR277">
        <v>190655</v>
      </c>
      <c r="AU277" t="s">
        <v>57</v>
      </c>
      <c r="AV277" t="s">
        <v>68</v>
      </c>
      <c r="AX277" t="s">
        <v>57</v>
      </c>
      <c r="AY277">
        <v>631110</v>
      </c>
      <c r="AZ277">
        <v>1206.63111</v>
      </c>
      <c r="BA277" s="23" t="s">
        <v>14</v>
      </c>
    </row>
    <row r="278" spans="1:53" x14ac:dyDescent="0.25">
      <c r="A278" t="s">
        <v>134</v>
      </c>
      <c r="B278" t="s">
        <v>135</v>
      </c>
      <c r="C278">
        <v>22002602</v>
      </c>
      <c r="D278">
        <v>1206</v>
      </c>
      <c r="E278" s="11">
        <v>44791</v>
      </c>
      <c r="F278" t="s">
        <v>174</v>
      </c>
      <c r="G278" s="25">
        <v>46.57</v>
      </c>
      <c r="H278">
        <v>46.57</v>
      </c>
      <c r="I278" t="s">
        <v>56</v>
      </c>
      <c r="O278" t="s">
        <v>57</v>
      </c>
      <c r="Q278" t="s">
        <v>57</v>
      </c>
      <c r="R278" t="s">
        <v>137</v>
      </c>
      <c r="T278" t="s">
        <v>59</v>
      </c>
      <c r="U278" t="s">
        <v>60</v>
      </c>
      <c r="V278" t="s">
        <v>138</v>
      </c>
      <c r="W278" t="s">
        <v>139</v>
      </c>
      <c r="X278">
        <v>1934071</v>
      </c>
      <c r="Y278" s="11">
        <v>44792</v>
      </c>
      <c r="Z278" t="s">
        <v>57</v>
      </c>
      <c r="AA278">
        <v>4</v>
      </c>
      <c r="AB278" t="s">
        <v>57</v>
      </c>
      <c r="AD278" t="s">
        <v>57</v>
      </c>
      <c r="AE278" t="s">
        <v>57</v>
      </c>
      <c r="AF278" t="s">
        <v>57</v>
      </c>
      <c r="AG278">
        <v>1</v>
      </c>
      <c r="AH278" t="s">
        <v>57</v>
      </c>
      <c r="AL278" t="s">
        <v>57</v>
      </c>
      <c r="AM278" s="11">
        <v>44791</v>
      </c>
      <c r="AN278" t="s">
        <v>184</v>
      </c>
      <c r="AO278" t="s">
        <v>65</v>
      </c>
      <c r="AP278">
        <v>1206</v>
      </c>
      <c r="AQ278" t="s">
        <v>66</v>
      </c>
      <c r="AR278">
        <v>271535</v>
      </c>
      <c r="AU278" t="s">
        <v>57</v>
      </c>
      <c r="AV278" t="s">
        <v>68</v>
      </c>
      <c r="AX278" t="s">
        <v>57</v>
      </c>
      <c r="AY278">
        <v>631110</v>
      </c>
      <c r="AZ278">
        <v>1206.63111</v>
      </c>
      <c r="BA278" s="23" t="s">
        <v>14</v>
      </c>
    </row>
    <row r="279" spans="1:53" x14ac:dyDescent="0.25">
      <c r="A279" t="s">
        <v>134</v>
      </c>
      <c r="B279" t="s">
        <v>135</v>
      </c>
      <c r="C279">
        <v>22002601</v>
      </c>
      <c r="D279">
        <v>1206</v>
      </c>
      <c r="E279" s="11">
        <v>44791</v>
      </c>
      <c r="F279" t="s">
        <v>174</v>
      </c>
      <c r="G279" s="25">
        <v>47.13</v>
      </c>
      <c r="H279">
        <v>47.13</v>
      </c>
      <c r="I279" t="s">
        <v>56</v>
      </c>
      <c r="O279" t="s">
        <v>57</v>
      </c>
      <c r="Q279" t="s">
        <v>57</v>
      </c>
      <c r="R279" t="s">
        <v>137</v>
      </c>
      <c r="T279" t="s">
        <v>59</v>
      </c>
      <c r="U279" t="s">
        <v>60</v>
      </c>
      <c r="V279" t="s">
        <v>138</v>
      </c>
      <c r="W279" t="s">
        <v>139</v>
      </c>
      <c r="X279">
        <v>1934071</v>
      </c>
      <c r="Y279" s="11">
        <v>44792</v>
      </c>
      <c r="Z279" t="s">
        <v>57</v>
      </c>
      <c r="AA279">
        <v>6</v>
      </c>
      <c r="AB279" t="s">
        <v>57</v>
      </c>
      <c r="AD279" t="s">
        <v>57</v>
      </c>
      <c r="AE279" t="s">
        <v>57</v>
      </c>
      <c r="AF279" t="s">
        <v>57</v>
      </c>
      <c r="AG279">
        <v>1</v>
      </c>
      <c r="AH279" t="s">
        <v>57</v>
      </c>
      <c r="AL279" t="s">
        <v>57</v>
      </c>
      <c r="AM279" s="11">
        <v>44791</v>
      </c>
      <c r="AN279" t="s">
        <v>184</v>
      </c>
      <c r="AO279" t="s">
        <v>65</v>
      </c>
      <c r="AP279">
        <v>1206</v>
      </c>
      <c r="AQ279" t="s">
        <v>66</v>
      </c>
      <c r="AR279">
        <v>140042</v>
      </c>
      <c r="AU279" t="s">
        <v>57</v>
      </c>
      <c r="AV279" t="s">
        <v>68</v>
      </c>
      <c r="AX279" t="s">
        <v>57</v>
      </c>
      <c r="AY279">
        <v>631110</v>
      </c>
      <c r="AZ279">
        <v>1206.63111</v>
      </c>
      <c r="BA279" s="23" t="s">
        <v>14</v>
      </c>
    </row>
    <row r="280" spans="1:53" x14ac:dyDescent="0.25">
      <c r="A280" t="s">
        <v>134</v>
      </c>
      <c r="B280" t="s">
        <v>135</v>
      </c>
      <c r="C280">
        <v>22002488</v>
      </c>
      <c r="D280">
        <v>1206</v>
      </c>
      <c r="E280" s="11">
        <v>44774</v>
      </c>
      <c r="F280" t="s">
        <v>174</v>
      </c>
      <c r="G280" s="25">
        <v>50.37</v>
      </c>
      <c r="H280">
        <v>50.37</v>
      </c>
      <c r="I280" t="s">
        <v>56</v>
      </c>
      <c r="O280" t="s">
        <v>57</v>
      </c>
      <c r="Q280" t="s">
        <v>57</v>
      </c>
      <c r="R280" t="s">
        <v>137</v>
      </c>
      <c r="T280" t="s">
        <v>59</v>
      </c>
      <c r="U280" t="s">
        <v>60</v>
      </c>
      <c r="V280" t="s">
        <v>138</v>
      </c>
      <c r="W280" t="s">
        <v>139</v>
      </c>
      <c r="X280">
        <v>1926655</v>
      </c>
      <c r="Y280" s="11">
        <v>44775</v>
      </c>
      <c r="Z280" t="s">
        <v>57</v>
      </c>
      <c r="AA280">
        <v>2</v>
      </c>
      <c r="AB280" t="s">
        <v>57</v>
      </c>
      <c r="AD280" t="s">
        <v>57</v>
      </c>
      <c r="AE280" t="s">
        <v>57</v>
      </c>
      <c r="AF280" t="s">
        <v>57</v>
      </c>
      <c r="AG280">
        <v>1</v>
      </c>
      <c r="AH280" t="s">
        <v>57</v>
      </c>
      <c r="AL280" t="s">
        <v>57</v>
      </c>
      <c r="AM280" s="11">
        <v>44774</v>
      </c>
      <c r="AN280" t="s">
        <v>184</v>
      </c>
      <c r="AO280" t="s">
        <v>65</v>
      </c>
      <c r="AP280">
        <v>1206</v>
      </c>
      <c r="AQ280" t="s">
        <v>66</v>
      </c>
      <c r="AR280">
        <v>275231</v>
      </c>
      <c r="AU280" t="s">
        <v>57</v>
      </c>
      <c r="AV280" t="s">
        <v>68</v>
      </c>
      <c r="AX280" t="s">
        <v>57</v>
      </c>
      <c r="AY280">
        <v>631110</v>
      </c>
      <c r="AZ280">
        <v>1206.63111</v>
      </c>
      <c r="BA280" s="23" t="s">
        <v>14</v>
      </c>
    </row>
    <row r="281" spans="1:53" x14ac:dyDescent="0.25">
      <c r="A281" t="s">
        <v>134</v>
      </c>
      <c r="B281" t="s">
        <v>135</v>
      </c>
      <c r="C281">
        <v>22002506</v>
      </c>
      <c r="D281">
        <v>1206</v>
      </c>
      <c r="E281" s="11">
        <v>44776</v>
      </c>
      <c r="F281" t="s">
        <v>174</v>
      </c>
      <c r="G281" s="25">
        <v>50.38</v>
      </c>
      <c r="H281">
        <v>50.38</v>
      </c>
      <c r="I281" t="s">
        <v>56</v>
      </c>
      <c r="O281" t="s">
        <v>57</v>
      </c>
      <c r="Q281" t="s">
        <v>57</v>
      </c>
      <c r="R281" t="s">
        <v>137</v>
      </c>
      <c r="T281" t="s">
        <v>59</v>
      </c>
      <c r="U281" t="s">
        <v>60</v>
      </c>
      <c r="V281" t="s">
        <v>138</v>
      </c>
      <c r="W281" t="s">
        <v>139</v>
      </c>
      <c r="X281">
        <v>1927633</v>
      </c>
      <c r="Y281" s="11">
        <v>44777</v>
      </c>
      <c r="Z281" t="s">
        <v>57</v>
      </c>
      <c r="AA281">
        <v>12</v>
      </c>
      <c r="AB281" t="s">
        <v>57</v>
      </c>
      <c r="AD281" t="s">
        <v>57</v>
      </c>
      <c r="AE281" t="s">
        <v>57</v>
      </c>
      <c r="AF281" t="s">
        <v>57</v>
      </c>
      <c r="AG281">
        <v>1</v>
      </c>
      <c r="AH281" t="s">
        <v>57</v>
      </c>
      <c r="AL281" t="s">
        <v>57</v>
      </c>
      <c r="AM281" s="11">
        <v>44776</v>
      </c>
      <c r="AN281" t="s">
        <v>184</v>
      </c>
      <c r="AO281" t="s">
        <v>65</v>
      </c>
      <c r="AP281">
        <v>1206</v>
      </c>
      <c r="AQ281" t="s">
        <v>66</v>
      </c>
      <c r="AR281">
        <v>122819</v>
      </c>
      <c r="AU281" t="s">
        <v>57</v>
      </c>
      <c r="AV281" t="s">
        <v>68</v>
      </c>
      <c r="AX281" t="s">
        <v>57</v>
      </c>
      <c r="AY281">
        <v>631110</v>
      </c>
      <c r="AZ281">
        <v>1206.63111</v>
      </c>
      <c r="BA281" s="23" t="s">
        <v>14</v>
      </c>
    </row>
    <row r="282" spans="1:53" x14ac:dyDescent="0.25">
      <c r="A282" t="s">
        <v>134</v>
      </c>
      <c r="B282" t="s">
        <v>135</v>
      </c>
      <c r="C282">
        <v>22002608</v>
      </c>
      <c r="D282">
        <v>1206</v>
      </c>
      <c r="E282" s="11">
        <v>44792</v>
      </c>
      <c r="F282" t="s">
        <v>172</v>
      </c>
      <c r="G282" s="25">
        <v>50.47</v>
      </c>
      <c r="H282">
        <v>50.47</v>
      </c>
      <c r="I282" t="s">
        <v>56</v>
      </c>
      <c r="O282" t="s">
        <v>57</v>
      </c>
      <c r="Q282" t="s">
        <v>57</v>
      </c>
      <c r="R282" t="s">
        <v>137</v>
      </c>
      <c r="T282" t="s">
        <v>59</v>
      </c>
      <c r="U282" t="s">
        <v>60</v>
      </c>
      <c r="V282" t="s">
        <v>138</v>
      </c>
      <c r="W282" t="s">
        <v>139</v>
      </c>
      <c r="X282">
        <v>1934080</v>
      </c>
      <c r="Y282" s="11">
        <v>44792</v>
      </c>
      <c r="Z282" t="s">
        <v>57</v>
      </c>
      <c r="AA282">
        <v>4</v>
      </c>
      <c r="AB282" t="s">
        <v>57</v>
      </c>
      <c r="AD282" t="s">
        <v>57</v>
      </c>
      <c r="AE282" t="s">
        <v>57</v>
      </c>
      <c r="AF282" t="s">
        <v>57</v>
      </c>
      <c r="AG282">
        <v>4</v>
      </c>
      <c r="AH282" t="s">
        <v>57</v>
      </c>
      <c r="AL282" t="s">
        <v>57</v>
      </c>
      <c r="AM282" s="11">
        <v>44792</v>
      </c>
      <c r="AN282" t="s">
        <v>184</v>
      </c>
      <c r="AO282" t="s">
        <v>65</v>
      </c>
      <c r="AP282">
        <v>1206</v>
      </c>
      <c r="AQ282" t="s">
        <v>66</v>
      </c>
      <c r="AR282">
        <v>139342</v>
      </c>
      <c r="AU282" t="s">
        <v>57</v>
      </c>
      <c r="AV282" t="s">
        <v>68</v>
      </c>
      <c r="AX282" t="s">
        <v>57</v>
      </c>
      <c r="AY282">
        <v>631110</v>
      </c>
      <c r="AZ282">
        <v>1206.63111</v>
      </c>
      <c r="BA282" s="23" t="s">
        <v>14</v>
      </c>
    </row>
    <row r="283" spans="1:53" x14ac:dyDescent="0.25">
      <c r="A283" t="s">
        <v>134</v>
      </c>
      <c r="B283" t="s">
        <v>135</v>
      </c>
      <c r="C283">
        <v>22002607</v>
      </c>
      <c r="D283">
        <v>1206</v>
      </c>
      <c r="E283" s="11">
        <v>44792</v>
      </c>
      <c r="F283" t="s">
        <v>174</v>
      </c>
      <c r="G283" s="25">
        <v>51.17</v>
      </c>
      <c r="H283">
        <v>51.17</v>
      </c>
      <c r="I283" t="s">
        <v>56</v>
      </c>
      <c r="O283" t="s">
        <v>57</v>
      </c>
      <c r="Q283" t="s">
        <v>57</v>
      </c>
      <c r="R283" t="s">
        <v>137</v>
      </c>
      <c r="T283" t="s">
        <v>59</v>
      </c>
      <c r="U283" t="s">
        <v>60</v>
      </c>
      <c r="V283" t="s">
        <v>138</v>
      </c>
      <c r="W283" t="s">
        <v>139</v>
      </c>
      <c r="X283">
        <v>1934080</v>
      </c>
      <c r="Y283" s="11">
        <v>44792</v>
      </c>
      <c r="Z283" t="s">
        <v>57</v>
      </c>
      <c r="AA283">
        <v>4</v>
      </c>
      <c r="AB283" t="s">
        <v>57</v>
      </c>
      <c r="AD283" t="s">
        <v>57</v>
      </c>
      <c r="AE283" t="s">
        <v>57</v>
      </c>
      <c r="AF283" t="s">
        <v>57</v>
      </c>
      <c r="AG283">
        <v>1</v>
      </c>
      <c r="AH283" t="s">
        <v>57</v>
      </c>
      <c r="AL283" t="s">
        <v>57</v>
      </c>
      <c r="AM283" s="11">
        <v>44792</v>
      </c>
      <c r="AN283" t="s">
        <v>184</v>
      </c>
      <c r="AO283" t="s">
        <v>65</v>
      </c>
      <c r="AP283">
        <v>1206</v>
      </c>
      <c r="AQ283" t="s">
        <v>66</v>
      </c>
      <c r="AR283">
        <v>273830</v>
      </c>
      <c r="AU283" t="s">
        <v>57</v>
      </c>
      <c r="AV283" t="s">
        <v>68</v>
      </c>
      <c r="AX283" t="s">
        <v>57</v>
      </c>
      <c r="AY283">
        <v>631110</v>
      </c>
      <c r="AZ283">
        <v>1206.63111</v>
      </c>
      <c r="BA283" s="23" t="s">
        <v>14</v>
      </c>
    </row>
    <row r="284" spans="1:53" x14ac:dyDescent="0.25">
      <c r="A284" t="s">
        <v>134</v>
      </c>
      <c r="B284" t="s">
        <v>135</v>
      </c>
      <c r="C284">
        <v>22002593</v>
      </c>
      <c r="D284">
        <v>1206</v>
      </c>
      <c r="E284" s="11">
        <v>44789</v>
      </c>
      <c r="F284" t="s">
        <v>174</v>
      </c>
      <c r="G284" s="25">
        <v>51.48</v>
      </c>
      <c r="H284">
        <v>51.48</v>
      </c>
      <c r="I284" t="s">
        <v>56</v>
      </c>
      <c r="O284" t="s">
        <v>57</v>
      </c>
      <c r="Q284" t="s">
        <v>57</v>
      </c>
      <c r="R284" t="s">
        <v>137</v>
      </c>
      <c r="T284" t="s">
        <v>59</v>
      </c>
      <c r="U284" t="s">
        <v>60</v>
      </c>
      <c r="V284" t="s">
        <v>138</v>
      </c>
      <c r="W284" t="s">
        <v>139</v>
      </c>
      <c r="X284">
        <v>1933529</v>
      </c>
      <c r="Y284" s="11">
        <v>44791</v>
      </c>
      <c r="Z284" t="s">
        <v>57</v>
      </c>
      <c r="AA284">
        <v>10</v>
      </c>
      <c r="AB284" t="s">
        <v>57</v>
      </c>
      <c r="AD284" t="s">
        <v>57</v>
      </c>
      <c r="AE284" t="s">
        <v>57</v>
      </c>
      <c r="AF284" t="s">
        <v>57</v>
      </c>
      <c r="AG284">
        <v>1</v>
      </c>
      <c r="AH284" t="s">
        <v>57</v>
      </c>
      <c r="AL284" t="s">
        <v>57</v>
      </c>
      <c r="AM284" s="11">
        <v>44789</v>
      </c>
      <c r="AN284" t="s">
        <v>184</v>
      </c>
      <c r="AO284" t="s">
        <v>65</v>
      </c>
      <c r="AP284">
        <v>1206</v>
      </c>
      <c r="AQ284" t="s">
        <v>66</v>
      </c>
      <c r="AR284">
        <v>101485</v>
      </c>
      <c r="AU284" t="s">
        <v>57</v>
      </c>
      <c r="AV284" t="s">
        <v>68</v>
      </c>
      <c r="AX284" t="s">
        <v>57</v>
      </c>
      <c r="AY284">
        <v>631110</v>
      </c>
      <c r="AZ284">
        <v>1206.63111</v>
      </c>
      <c r="BA284" s="23" t="s">
        <v>14</v>
      </c>
    </row>
    <row r="285" spans="1:53" x14ac:dyDescent="0.25">
      <c r="A285" t="s">
        <v>134</v>
      </c>
      <c r="B285" t="s">
        <v>135</v>
      </c>
      <c r="C285">
        <v>22002542</v>
      </c>
      <c r="D285">
        <v>1206</v>
      </c>
      <c r="E285" s="11">
        <v>44782</v>
      </c>
      <c r="F285" t="s">
        <v>174</v>
      </c>
      <c r="G285" s="25">
        <v>52.13</v>
      </c>
      <c r="H285">
        <v>52.13</v>
      </c>
      <c r="I285" t="s">
        <v>56</v>
      </c>
      <c r="O285" t="s">
        <v>57</v>
      </c>
      <c r="Q285" t="s">
        <v>57</v>
      </c>
      <c r="R285" t="s">
        <v>137</v>
      </c>
      <c r="T285" t="s">
        <v>59</v>
      </c>
      <c r="U285" t="s">
        <v>60</v>
      </c>
      <c r="V285" t="s">
        <v>138</v>
      </c>
      <c r="W285" t="s">
        <v>139</v>
      </c>
      <c r="X285">
        <v>1929848</v>
      </c>
      <c r="Y285" s="11">
        <v>44782</v>
      </c>
      <c r="Z285" t="s">
        <v>57</v>
      </c>
      <c r="AA285">
        <v>6</v>
      </c>
      <c r="AB285" t="s">
        <v>57</v>
      </c>
      <c r="AD285" t="s">
        <v>57</v>
      </c>
      <c r="AE285" t="s">
        <v>57</v>
      </c>
      <c r="AF285" t="s">
        <v>57</v>
      </c>
      <c r="AG285">
        <v>2</v>
      </c>
      <c r="AH285" t="s">
        <v>57</v>
      </c>
      <c r="AL285" t="s">
        <v>57</v>
      </c>
      <c r="AM285" s="11">
        <v>44782</v>
      </c>
      <c r="AN285" t="s">
        <v>184</v>
      </c>
      <c r="AO285" t="s">
        <v>65</v>
      </c>
      <c r="AP285">
        <v>1206</v>
      </c>
      <c r="AQ285" t="s">
        <v>66</v>
      </c>
      <c r="AR285">
        <v>143093</v>
      </c>
      <c r="AU285" t="s">
        <v>57</v>
      </c>
      <c r="AV285" t="s">
        <v>68</v>
      </c>
      <c r="AX285" t="s">
        <v>57</v>
      </c>
      <c r="AY285">
        <v>631110</v>
      </c>
      <c r="AZ285">
        <v>1206.63111</v>
      </c>
      <c r="BA285" s="23" t="s">
        <v>14</v>
      </c>
    </row>
    <row r="286" spans="1:53" x14ac:dyDescent="0.25">
      <c r="A286" t="s">
        <v>134</v>
      </c>
      <c r="B286" t="s">
        <v>135</v>
      </c>
      <c r="C286">
        <v>22002508</v>
      </c>
      <c r="D286">
        <v>1206</v>
      </c>
      <c r="E286" s="11">
        <v>44777</v>
      </c>
      <c r="F286" t="s">
        <v>174</v>
      </c>
      <c r="G286" s="25">
        <v>59.5</v>
      </c>
      <c r="H286">
        <v>59.5</v>
      </c>
      <c r="I286" t="s">
        <v>56</v>
      </c>
      <c r="O286" t="s">
        <v>57</v>
      </c>
      <c r="Q286" t="s">
        <v>57</v>
      </c>
      <c r="R286" t="s">
        <v>137</v>
      </c>
      <c r="T286" t="s">
        <v>59</v>
      </c>
      <c r="U286" t="s">
        <v>60</v>
      </c>
      <c r="V286" t="s">
        <v>138</v>
      </c>
      <c r="W286" t="s">
        <v>139</v>
      </c>
      <c r="X286">
        <v>1927633</v>
      </c>
      <c r="Y286" s="11">
        <v>44777</v>
      </c>
      <c r="Z286" t="s">
        <v>57</v>
      </c>
      <c r="AA286">
        <v>8</v>
      </c>
      <c r="AB286" t="s">
        <v>57</v>
      </c>
      <c r="AD286" t="s">
        <v>57</v>
      </c>
      <c r="AE286" t="s">
        <v>57</v>
      </c>
      <c r="AF286" t="s">
        <v>57</v>
      </c>
      <c r="AG286">
        <v>1</v>
      </c>
      <c r="AH286" t="s">
        <v>57</v>
      </c>
      <c r="AL286" t="s">
        <v>57</v>
      </c>
      <c r="AM286" s="11">
        <v>44777</v>
      </c>
      <c r="AN286" t="s">
        <v>184</v>
      </c>
      <c r="AO286" t="s">
        <v>65</v>
      </c>
      <c r="AP286">
        <v>1206</v>
      </c>
      <c r="AQ286" t="s">
        <v>66</v>
      </c>
      <c r="AR286">
        <v>121226</v>
      </c>
      <c r="AU286" t="s">
        <v>57</v>
      </c>
      <c r="AV286" t="s">
        <v>68</v>
      </c>
      <c r="AX286" t="s">
        <v>57</v>
      </c>
      <c r="AY286">
        <v>631110</v>
      </c>
      <c r="AZ286">
        <v>1206.63111</v>
      </c>
      <c r="BA286" s="23" t="s">
        <v>14</v>
      </c>
    </row>
    <row r="287" spans="1:53" x14ac:dyDescent="0.25">
      <c r="A287" t="s">
        <v>134</v>
      </c>
      <c r="B287" t="s">
        <v>135</v>
      </c>
      <c r="C287">
        <v>22002506</v>
      </c>
      <c r="D287">
        <v>1206</v>
      </c>
      <c r="E287" s="11">
        <v>44776</v>
      </c>
      <c r="F287" t="s">
        <v>174</v>
      </c>
      <c r="G287" s="25">
        <v>60.11</v>
      </c>
      <c r="H287">
        <v>60.11</v>
      </c>
      <c r="I287" t="s">
        <v>56</v>
      </c>
      <c r="O287" t="s">
        <v>57</v>
      </c>
      <c r="Q287" t="s">
        <v>57</v>
      </c>
      <c r="R287" t="s">
        <v>137</v>
      </c>
      <c r="T287" t="s">
        <v>59</v>
      </c>
      <c r="U287" t="s">
        <v>60</v>
      </c>
      <c r="V287" t="s">
        <v>138</v>
      </c>
      <c r="W287" t="s">
        <v>139</v>
      </c>
      <c r="X287">
        <v>1927633</v>
      </c>
      <c r="Y287" s="11">
        <v>44777</v>
      </c>
      <c r="Z287" t="s">
        <v>57</v>
      </c>
      <c r="AA287">
        <v>4</v>
      </c>
      <c r="AB287" t="s">
        <v>57</v>
      </c>
      <c r="AD287" t="s">
        <v>57</v>
      </c>
      <c r="AE287" t="s">
        <v>57</v>
      </c>
      <c r="AF287" t="s">
        <v>57</v>
      </c>
      <c r="AG287">
        <v>1</v>
      </c>
      <c r="AH287" t="s">
        <v>57</v>
      </c>
      <c r="AL287" t="s">
        <v>57</v>
      </c>
      <c r="AM287" s="11">
        <v>44776</v>
      </c>
      <c r="AN287" t="s">
        <v>184</v>
      </c>
      <c r="AO287" t="s">
        <v>65</v>
      </c>
      <c r="AP287">
        <v>1206</v>
      </c>
      <c r="AQ287" t="s">
        <v>66</v>
      </c>
      <c r="AR287">
        <v>97071</v>
      </c>
      <c r="AU287" t="s">
        <v>57</v>
      </c>
      <c r="AV287" t="s">
        <v>68</v>
      </c>
      <c r="AX287" t="s">
        <v>57</v>
      </c>
      <c r="AY287">
        <v>631110</v>
      </c>
      <c r="AZ287">
        <v>1206.63111</v>
      </c>
      <c r="BA287" s="23" t="s">
        <v>14</v>
      </c>
    </row>
    <row r="288" spans="1:53" x14ac:dyDescent="0.25">
      <c r="A288" t="s">
        <v>134</v>
      </c>
      <c r="B288" t="s">
        <v>135</v>
      </c>
      <c r="C288">
        <v>22002577</v>
      </c>
      <c r="D288">
        <v>1206</v>
      </c>
      <c r="E288" s="11">
        <v>44785</v>
      </c>
      <c r="F288" t="s">
        <v>174</v>
      </c>
      <c r="G288" s="25">
        <v>60.11</v>
      </c>
      <c r="H288">
        <v>60.11</v>
      </c>
      <c r="I288" t="s">
        <v>56</v>
      </c>
      <c r="O288" t="s">
        <v>57</v>
      </c>
      <c r="Q288" t="s">
        <v>57</v>
      </c>
      <c r="R288" t="s">
        <v>137</v>
      </c>
      <c r="T288" t="s">
        <v>59</v>
      </c>
      <c r="U288" t="s">
        <v>60</v>
      </c>
      <c r="V288" t="s">
        <v>138</v>
      </c>
      <c r="W288" t="s">
        <v>139</v>
      </c>
      <c r="X288">
        <v>1930743</v>
      </c>
      <c r="Y288" s="11">
        <v>44785</v>
      </c>
      <c r="Z288" t="s">
        <v>57</v>
      </c>
      <c r="AA288">
        <v>8</v>
      </c>
      <c r="AB288" t="s">
        <v>57</v>
      </c>
      <c r="AD288" t="s">
        <v>57</v>
      </c>
      <c r="AE288" t="s">
        <v>57</v>
      </c>
      <c r="AF288" t="s">
        <v>57</v>
      </c>
      <c r="AG288">
        <v>1</v>
      </c>
      <c r="AH288" t="s">
        <v>57</v>
      </c>
      <c r="AL288" t="s">
        <v>57</v>
      </c>
      <c r="AM288" s="11">
        <v>44785</v>
      </c>
      <c r="AN288" t="s">
        <v>184</v>
      </c>
      <c r="AO288" t="s">
        <v>65</v>
      </c>
      <c r="AP288">
        <v>1206</v>
      </c>
      <c r="AQ288" t="s">
        <v>66</v>
      </c>
      <c r="AR288">
        <v>97071</v>
      </c>
      <c r="AU288" t="s">
        <v>57</v>
      </c>
      <c r="AV288" t="s">
        <v>68</v>
      </c>
      <c r="AX288" t="s">
        <v>57</v>
      </c>
      <c r="AY288">
        <v>631110</v>
      </c>
      <c r="AZ288">
        <v>1206.63111</v>
      </c>
      <c r="BA288" s="23" t="s">
        <v>14</v>
      </c>
    </row>
    <row r="289" spans="1:53" x14ac:dyDescent="0.25">
      <c r="A289" t="s">
        <v>134</v>
      </c>
      <c r="B289" t="s">
        <v>135</v>
      </c>
      <c r="C289">
        <v>22002605</v>
      </c>
      <c r="D289">
        <v>1206</v>
      </c>
      <c r="E289" s="11">
        <v>44792</v>
      </c>
      <c r="F289" t="s">
        <v>174</v>
      </c>
      <c r="G289" s="25">
        <v>60.11</v>
      </c>
      <c r="H289">
        <v>60.11</v>
      </c>
      <c r="I289" t="s">
        <v>56</v>
      </c>
      <c r="O289" t="s">
        <v>57</v>
      </c>
      <c r="Q289" t="s">
        <v>57</v>
      </c>
      <c r="R289" t="s">
        <v>137</v>
      </c>
      <c r="T289" t="s">
        <v>59</v>
      </c>
      <c r="U289" t="s">
        <v>60</v>
      </c>
      <c r="V289" t="s">
        <v>138</v>
      </c>
      <c r="W289" t="s">
        <v>139</v>
      </c>
      <c r="X289">
        <v>1934080</v>
      </c>
      <c r="Y289" s="11">
        <v>44792</v>
      </c>
      <c r="Z289" t="s">
        <v>57</v>
      </c>
      <c r="AA289">
        <v>10</v>
      </c>
      <c r="AB289" t="s">
        <v>57</v>
      </c>
      <c r="AD289" t="s">
        <v>57</v>
      </c>
      <c r="AE289" t="s">
        <v>57</v>
      </c>
      <c r="AF289" t="s">
        <v>57</v>
      </c>
      <c r="AG289">
        <v>1</v>
      </c>
      <c r="AH289" t="s">
        <v>57</v>
      </c>
      <c r="AL289" t="s">
        <v>57</v>
      </c>
      <c r="AM289" s="11">
        <v>44792</v>
      </c>
      <c r="AN289" t="s">
        <v>184</v>
      </c>
      <c r="AO289" t="s">
        <v>65</v>
      </c>
      <c r="AP289">
        <v>1206</v>
      </c>
      <c r="AQ289" t="s">
        <v>66</v>
      </c>
      <c r="AR289">
        <v>97071</v>
      </c>
      <c r="AU289" t="s">
        <v>57</v>
      </c>
      <c r="AV289" t="s">
        <v>68</v>
      </c>
      <c r="AX289" t="s">
        <v>57</v>
      </c>
      <c r="AY289">
        <v>631110</v>
      </c>
      <c r="AZ289">
        <v>1206.63111</v>
      </c>
      <c r="BA289" s="23" t="s">
        <v>14</v>
      </c>
    </row>
    <row r="290" spans="1:53" x14ac:dyDescent="0.25">
      <c r="A290" t="s">
        <v>134</v>
      </c>
      <c r="B290" t="s">
        <v>135</v>
      </c>
      <c r="C290">
        <v>22002506</v>
      </c>
      <c r="D290">
        <v>1206</v>
      </c>
      <c r="E290" s="11">
        <v>44776</v>
      </c>
      <c r="F290" t="s">
        <v>174</v>
      </c>
      <c r="G290" s="25">
        <v>60.95</v>
      </c>
      <c r="H290">
        <v>60.95</v>
      </c>
      <c r="I290" t="s">
        <v>56</v>
      </c>
      <c r="O290" t="s">
        <v>57</v>
      </c>
      <c r="Q290" t="s">
        <v>57</v>
      </c>
      <c r="R290" t="s">
        <v>137</v>
      </c>
      <c r="T290" t="s">
        <v>59</v>
      </c>
      <c r="U290" t="s">
        <v>60</v>
      </c>
      <c r="V290" t="s">
        <v>138</v>
      </c>
      <c r="W290" t="s">
        <v>139</v>
      </c>
      <c r="X290">
        <v>1927633</v>
      </c>
      <c r="Y290" s="11">
        <v>44777</v>
      </c>
      <c r="Z290" t="s">
        <v>57</v>
      </c>
      <c r="AA290">
        <v>16</v>
      </c>
      <c r="AB290" t="s">
        <v>57</v>
      </c>
      <c r="AD290" t="s">
        <v>57</v>
      </c>
      <c r="AE290" t="s">
        <v>57</v>
      </c>
      <c r="AF290" t="s">
        <v>57</v>
      </c>
      <c r="AG290">
        <v>2</v>
      </c>
      <c r="AH290" t="s">
        <v>57</v>
      </c>
      <c r="AL290" t="s">
        <v>57</v>
      </c>
      <c r="AM290" s="11">
        <v>44776</v>
      </c>
      <c r="AN290" t="s">
        <v>184</v>
      </c>
      <c r="AO290" t="s">
        <v>65</v>
      </c>
      <c r="AP290">
        <v>1206</v>
      </c>
      <c r="AQ290" t="s">
        <v>66</v>
      </c>
      <c r="AR290">
        <v>227906</v>
      </c>
      <c r="AU290" t="s">
        <v>57</v>
      </c>
      <c r="AV290" t="s">
        <v>68</v>
      </c>
      <c r="AX290" t="s">
        <v>57</v>
      </c>
      <c r="AY290">
        <v>631110</v>
      </c>
      <c r="AZ290">
        <v>1206.63111</v>
      </c>
      <c r="BA290" s="23" t="s">
        <v>14</v>
      </c>
    </row>
    <row r="291" spans="1:53" x14ac:dyDescent="0.25">
      <c r="A291" t="s">
        <v>134</v>
      </c>
      <c r="B291" t="s">
        <v>135</v>
      </c>
      <c r="C291">
        <v>22002578</v>
      </c>
      <c r="D291">
        <v>1206</v>
      </c>
      <c r="E291" s="11">
        <v>44785</v>
      </c>
      <c r="F291" t="s">
        <v>174</v>
      </c>
      <c r="G291" s="25">
        <v>73.069999999999993</v>
      </c>
      <c r="H291">
        <v>73.069999999999993</v>
      </c>
      <c r="I291" t="s">
        <v>56</v>
      </c>
      <c r="O291" t="s">
        <v>57</v>
      </c>
      <c r="Q291" t="s">
        <v>57</v>
      </c>
      <c r="R291" t="s">
        <v>137</v>
      </c>
      <c r="T291" t="s">
        <v>59</v>
      </c>
      <c r="U291" t="s">
        <v>60</v>
      </c>
      <c r="V291" t="s">
        <v>138</v>
      </c>
      <c r="W291" t="s">
        <v>139</v>
      </c>
      <c r="X291">
        <v>1930743</v>
      </c>
      <c r="Y291" s="11">
        <v>44785</v>
      </c>
      <c r="Z291" t="s">
        <v>57</v>
      </c>
      <c r="AA291">
        <v>2</v>
      </c>
      <c r="AB291" t="s">
        <v>57</v>
      </c>
      <c r="AD291" t="s">
        <v>57</v>
      </c>
      <c r="AE291" t="s">
        <v>57</v>
      </c>
      <c r="AF291" t="s">
        <v>57</v>
      </c>
      <c r="AG291">
        <v>1</v>
      </c>
      <c r="AH291" t="s">
        <v>57</v>
      </c>
      <c r="AL291" t="s">
        <v>57</v>
      </c>
      <c r="AM291" s="11">
        <v>44785</v>
      </c>
      <c r="AN291" t="s">
        <v>184</v>
      </c>
      <c r="AO291" t="s">
        <v>65</v>
      </c>
      <c r="AP291">
        <v>1206</v>
      </c>
      <c r="AQ291" t="s">
        <v>66</v>
      </c>
      <c r="AR291">
        <v>109378</v>
      </c>
      <c r="AU291" t="s">
        <v>57</v>
      </c>
      <c r="AV291" t="s">
        <v>68</v>
      </c>
      <c r="AX291" t="s">
        <v>57</v>
      </c>
      <c r="AY291">
        <v>631110</v>
      </c>
      <c r="AZ291">
        <v>1206.63111</v>
      </c>
      <c r="BA291" s="23" t="s">
        <v>14</v>
      </c>
    </row>
    <row r="292" spans="1:53" x14ac:dyDescent="0.25">
      <c r="A292" t="s">
        <v>134</v>
      </c>
      <c r="B292" t="s">
        <v>135</v>
      </c>
      <c r="C292">
        <v>22002551</v>
      </c>
      <c r="D292">
        <v>1206</v>
      </c>
      <c r="E292" s="11">
        <v>44783</v>
      </c>
      <c r="F292" t="s">
        <v>174</v>
      </c>
      <c r="G292" s="25">
        <v>82.64</v>
      </c>
      <c r="H292">
        <v>82.64</v>
      </c>
      <c r="I292" t="s">
        <v>56</v>
      </c>
      <c r="O292" t="s">
        <v>57</v>
      </c>
      <c r="Q292" t="s">
        <v>57</v>
      </c>
      <c r="R292" t="s">
        <v>137</v>
      </c>
      <c r="T292" t="s">
        <v>59</v>
      </c>
      <c r="U292" t="s">
        <v>60</v>
      </c>
      <c r="V292" t="s">
        <v>138</v>
      </c>
      <c r="W292" t="s">
        <v>139</v>
      </c>
      <c r="X292">
        <v>1930353</v>
      </c>
      <c r="Y292" s="11">
        <v>44783</v>
      </c>
      <c r="Z292" t="s">
        <v>57</v>
      </c>
      <c r="AA292">
        <v>6</v>
      </c>
      <c r="AB292" t="s">
        <v>57</v>
      </c>
      <c r="AD292" t="s">
        <v>57</v>
      </c>
      <c r="AE292" t="s">
        <v>57</v>
      </c>
      <c r="AF292" t="s">
        <v>57</v>
      </c>
      <c r="AG292">
        <v>1</v>
      </c>
      <c r="AH292" t="s">
        <v>57</v>
      </c>
      <c r="AL292" t="s">
        <v>57</v>
      </c>
      <c r="AM292" s="11">
        <v>44783</v>
      </c>
      <c r="AN292" t="s">
        <v>184</v>
      </c>
      <c r="AO292" t="s">
        <v>65</v>
      </c>
      <c r="AP292">
        <v>1206</v>
      </c>
      <c r="AQ292" t="s">
        <v>66</v>
      </c>
      <c r="AR292">
        <v>131100</v>
      </c>
      <c r="AU292" t="s">
        <v>57</v>
      </c>
      <c r="AV292" t="s">
        <v>68</v>
      </c>
      <c r="AX292" t="s">
        <v>57</v>
      </c>
      <c r="AY292">
        <v>631110</v>
      </c>
      <c r="AZ292">
        <v>1206.63111</v>
      </c>
      <c r="BA292" s="23" t="s">
        <v>14</v>
      </c>
    </row>
    <row r="293" spans="1:53" x14ac:dyDescent="0.25">
      <c r="A293" t="s">
        <v>134</v>
      </c>
      <c r="B293" t="s">
        <v>135</v>
      </c>
      <c r="C293">
        <v>22002561</v>
      </c>
      <c r="D293">
        <v>1206</v>
      </c>
      <c r="E293" s="11">
        <v>44784</v>
      </c>
      <c r="F293" t="s">
        <v>174</v>
      </c>
      <c r="G293" s="25">
        <v>82.64</v>
      </c>
      <c r="H293">
        <v>82.64</v>
      </c>
      <c r="I293" t="s">
        <v>56</v>
      </c>
      <c r="O293" t="s">
        <v>57</v>
      </c>
      <c r="Q293" t="s">
        <v>57</v>
      </c>
      <c r="R293" t="s">
        <v>137</v>
      </c>
      <c r="T293" t="s">
        <v>59</v>
      </c>
      <c r="U293" t="s">
        <v>60</v>
      </c>
      <c r="V293" t="s">
        <v>138</v>
      </c>
      <c r="W293" t="s">
        <v>139</v>
      </c>
      <c r="X293">
        <v>1930520</v>
      </c>
      <c r="Y293" s="11">
        <v>44784</v>
      </c>
      <c r="Z293" t="s">
        <v>57</v>
      </c>
      <c r="AA293">
        <v>4</v>
      </c>
      <c r="AB293" t="s">
        <v>57</v>
      </c>
      <c r="AD293" t="s">
        <v>57</v>
      </c>
      <c r="AE293" t="s">
        <v>57</v>
      </c>
      <c r="AF293" t="s">
        <v>57</v>
      </c>
      <c r="AG293">
        <v>1</v>
      </c>
      <c r="AH293" t="s">
        <v>57</v>
      </c>
      <c r="AL293" t="s">
        <v>57</v>
      </c>
      <c r="AM293" s="11">
        <v>44784</v>
      </c>
      <c r="AN293" t="s">
        <v>184</v>
      </c>
      <c r="AO293" t="s">
        <v>65</v>
      </c>
      <c r="AP293">
        <v>1206</v>
      </c>
      <c r="AQ293" t="s">
        <v>66</v>
      </c>
      <c r="AR293">
        <v>131100</v>
      </c>
      <c r="AU293" t="s">
        <v>57</v>
      </c>
      <c r="AV293" t="s">
        <v>68</v>
      </c>
      <c r="AX293" t="s">
        <v>57</v>
      </c>
      <c r="AY293">
        <v>631110</v>
      </c>
      <c r="AZ293">
        <v>1206.63111</v>
      </c>
      <c r="BA293" s="23" t="s">
        <v>14</v>
      </c>
    </row>
    <row r="294" spans="1:53" x14ac:dyDescent="0.25">
      <c r="A294" t="s">
        <v>134</v>
      </c>
      <c r="B294" t="s">
        <v>135</v>
      </c>
      <c r="C294">
        <v>22002560</v>
      </c>
      <c r="D294">
        <v>1206</v>
      </c>
      <c r="E294" s="11">
        <v>44784</v>
      </c>
      <c r="F294" t="s">
        <v>174</v>
      </c>
      <c r="G294" s="25">
        <v>83.03</v>
      </c>
      <c r="H294">
        <v>83.03</v>
      </c>
      <c r="I294" t="s">
        <v>56</v>
      </c>
      <c r="O294" t="s">
        <v>57</v>
      </c>
      <c r="Q294" t="s">
        <v>57</v>
      </c>
      <c r="R294" t="s">
        <v>137</v>
      </c>
      <c r="T294" t="s">
        <v>59</v>
      </c>
      <c r="U294" t="s">
        <v>60</v>
      </c>
      <c r="V294" t="s">
        <v>138</v>
      </c>
      <c r="W294" t="s">
        <v>139</v>
      </c>
      <c r="X294">
        <v>1930489</v>
      </c>
      <c r="Y294" s="11">
        <v>44784</v>
      </c>
      <c r="Z294" t="s">
        <v>57</v>
      </c>
      <c r="AA294">
        <v>6</v>
      </c>
      <c r="AB294" t="s">
        <v>57</v>
      </c>
      <c r="AD294" t="s">
        <v>57</v>
      </c>
      <c r="AE294" t="s">
        <v>57</v>
      </c>
      <c r="AF294" t="s">
        <v>57</v>
      </c>
      <c r="AG294">
        <v>1</v>
      </c>
      <c r="AH294" t="s">
        <v>57</v>
      </c>
      <c r="AL294" t="s">
        <v>57</v>
      </c>
      <c r="AM294" s="11">
        <v>44784</v>
      </c>
      <c r="AN294" t="s">
        <v>184</v>
      </c>
      <c r="AO294" t="s">
        <v>65</v>
      </c>
      <c r="AP294">
        <v>1206</v>
      </c>
      <c r="AQ294" t="s">
        <v>66</v>
      </c>
      <c r="AR294">
        <v>258399</v>
      </c>
      <c r="AU294" t="s">
        <v>57</v>
      </c>
      <c r="AV294" t="s">
        <v>68</v>
      </c>
      <c r="AX294" t="s">
        <v>57</v>
      </c>
      <c r="AY294">
        <v>631110</v>
      </c>
      <c r="AZ294">
        <v>1206.63111</v>
      </c>
      <c r="BA294" s="23" t="s">
        <v>14</v>
      </c>
    </row>
    <row r="295" spans="1:53" x14ac:dyDescent="0.25">
      <c r="A295" t="s">
        <v>134</v>
      </c>
      <c r="B295" t="s">
        <v>135</v>
      </c>
      <c r="C295">
        <v>22002541</v>
      </c>
      <c r="D295">
        <v>1206</v>
      </c>
      <c r="E295" s="11">
        <v>44782</v>
      </c>
      <c r="F295" t="s">
        <v>174</v>
      </c>
      <c r="G295" s="25">
        <v>87.32</v>
      </c>
      <c r="H295">
        <v>87.32</v>
      </c>
      <c r="I295" t="s">
        <v>56</v>
      </c>
      <c r="O295" t="s">
        <v>57</v>
      </c>
      <c r="Q295" t="s">
        <v>57</v>
      </c>
      <c r="R295" t="s">
        <v>137</v>
      </c>
      <c r="T295" t="s">
        <v>59</v>
      </c>
      <c r="U295" t="s">
        <v>60</v>
      </c>
      <c r="V295" t="s">
        <v>138</v>
      </c>
      <c r="W295" t="s">
        <v>139</v>
      </c>
      <c r="X295">
        <v>1929848</v>
      </c>
      <c r="Y295" s="11">
        <v>44782</v>
      </c>
      <c r="Z295" t="s">
        <v>57</v>
      </c>
      <c r="AA295">
        <v>2</v>
      </c>
      <c r="AB295" t="s">
        <v>57</v>
      </c>
      <c r="AD295" t="s">
        <v>57</v>
      </c>
      <c r="AE295" t="s">
        <v>57</v>
      </c>
      <c r="AF295" t="s">
        <v>57</v>
      </c>
      <c r="AG295">
        <v>1</v>
      </c>
      <c r="AH295" t="s">
        <v>57</v>
      </c>
      <c r="AL295" t="s">
        <v>57</v>
      </c>
      <c r="AM295" s="11">
        <v>44782</v>
      </c>
      <c r="AN295" t="s">
        <v>184</v>
      </c>
      <c r="AO295" t="s">
        <v>65</v>
      </c>
      <c r="AP295">
        <v>1206</v>
      </c>
      <c r="AQ295" t="s">
        <v>66</v>
      </c>
      <c r="AR295">
        <v>143865</v>
      </c>
      <c r="AU295" t="s">
        <v>57</v>
      </c>
      <c r="AV295" t="s">
        <v>68</v>
      </c>
      <c r="AX295" t="s">
        <v>57</v>
      </c>
      <c r="AY295">
        <v>631110</v>
      </c>
      <c r="AZ295">
        <v>1206.63111</v>
      </c>
      <c r="BA295" s="23" t="s">
        <v>14</v>
      </c>
    </row>
    <row r="296" spans="1:53" x14ac:dyDescent="0.25">
      <c r="A296" t="s">
        <v>134</v>
      </c>
      <c r="B296" t="s">
        <v>135</v>
      </c>
      <c r="C296">
        <v>22002549</v>
      </c>
      <c r="D296">
        <v>1206</v>
      </c>
      <c r="E296" s="11">
        <v>44783</v>
      </c>
      <c r="F296" t="s">
        <v>135</v>
      </c>
      <c r="G296" s="25">
        <v>87.32</v>
      </c>
      <c r="H296">
        <v>87.32</v>
      </c>
      <c r="I296" t="s">
        <v>56</v>
      </c>
      <c r="O296" t="s">
        <v>57</v>
      </c>
      <c r="Q296" t="s">
        <v>57</v>
      </c>
      <c r="R296" t="s">
        <v>137</v>
      </c>
      <c r="T296" t="s">
        <v>59</v>
      </c>
      <c r="U296" t="s">
        <v>60</v>
      </c>
      <c r="V296" t="s">
        <v>138</v>
      </c>
      <c r="W296" t="s">
        <v>139</v>
      </c>
      <c r="X296">
        <v>1930353</v>
      </c>
      <c r="Y296" s="11">
        <v>44783</v>
      </c>
      <c r="Z296" t="s">
        <v>57</v>
      </c>
      <c r="AA296">
        <v>6</v>
      </c>
      <c r="AB296" t="s">
        <v>57</v>
      </c>
      <c r="AD296" t="s">
        <v>57</v>
      </c>
      <c r="AE296" t="s">
        <v>57</v>
      </c>
      <c r="AF296" t="s">
        <v>57</v>
      </c>
      <c r="AG296">
        <v>1</v>
      </c>
      <c r="AH296" t="s">
        <v>57</v>
      </c>
      <c r="AL296" t="s">
        <v>57</v>
      </c>
      <c r="AM296" s="11">
        <v>44783</v>
      </c>
      <c r="AN296" t="s">
        <v>184</v>
      </c>
      <c r="AO296" t="s">
        <v>65</v>
      </c>
      <c r="AP296">
        <v>1206</v>
      </c>
      <c r="AQ296" t="s">
        <v>66</v>
      </c>
      <c r="AR296">
        <v>143865</v>
      </c>
      <c r="AU296" t="s">
        <v>57</v>
      </c>
      <c r="AV296" t="s">
        <v>68</v>
      </c>
      <c r="AX296" t="s">
        <v>57</v>
      </c>
      <c r="AY296">
        <v>631110</v>
      </c>
      <c r="AZ296">
        <v>1206.63111</v>
      </c>
      <c r="BA296" s="23" t="s">
        <v>14</v>
      </c>
    </row>
    <row r="297" spans="1:53" x14ac:dyDescent="0.25">
      <c r="A297" t="s">
        <v>134</v>
      </c>
      <c r="B297" t="s">
        <v>135</v>
      </c>
      <c r="C297">
        <v>22002549</v>
      </c>
      <c r="D297">
        <v>1206</v>
      </c>
      <c r="E297" s="11">
        <v>44783</v>
      </c>
      <c r="F297" t="s">
        <v>135</v>
      </c>
      <c r="G297" s="25">
        <v>100.75</v>
      </c>
      <c r="H297">
        <v>100.75</v>
      </c>
      <c r="I297" t="s">
        <v>56</v>
      </c>
      <c r="O297" t="s">
        <v>57</v>
      </c>
      <c r="Q297" t="s">
        <v>57</v>
      </c>
      <c r="R297" t="s">
        <v>137</v>
      </c>
      <c r="T297" t="s">
        <v>59</v>
      </c>
      <c r="U297" t="s">
        <v>60</v>
      </c>
      <c r="V297" t="s">
        <v>138</v>
      </c>
      <c r="W297" t="s">
        <v>139</v>
      </c>
      <c r="X297">
        <v>1930353</v>
      </c>
      <c r="Y297" s="11">
        <v>44783</v>
      </c>
      <c r="Z297" t="s">
        <v>57</v>
      </c>
      <c r="AA297">
        <v>4</v>
      </c>
      <c r="AB297" t="s">
        <v>57</v>
      </c>
      <c r="AD297" t="s">
        <v>57</v>
      </c>
      <c r="AE297" t="s">
        <v>57</v>
      </c>
      <c r="AF297" t="s">
        <v>57</v>
      </c>
      <c r="AG297">
        <v>1</v>
      </c>
      <c r="AH297" t="s">
        <v>57</v>
      </c>
      <c r="AL297" t="s">
        <v>57</v>
      </c>
      <c r="AM297" s="11">
        <v>44783</v>
      </c>
      <c r="AN297" t="s">
        <v>184</v>
      </c>
      <c r="AO297" t="s">
        <v>65</v>
      </c>
      <c r="AP297">
        <v>1206</v>
      </c>
      <c r="AQ297" t="s">
        <v>66</v>
      </c>
      <c r="AR297">
        <v>143860</v>
      </c>
      <c r="AU297" t="s">
        <v>57</v>
      </c>
      <c r="AV297" t="s">
        <v>68</v>
      </c>
      <c r="AX297" t="s">
        <v>57</v>
      </c>
      <c r="AY297">
        <v>631110</v>
      </c>
      <c r="AZ297">
        <v>1206.63111</v>
      </c>
      <c r="BA297" s="23" t="s">
        <v>14</v>
      </c>
    </row>
    <row r="298" spans="1:53" x14ac:dyDescent="0.25">
      <c r="A298" t="s">
        <v>134</v>
      </c>
      <c r="B298" t="s">
        <v>135</v>
      </c>
      <c r="C298">
        <v>22002587</v>
      </c>
      <c r="D298">
        <v>1206</v>
      </c>
      <c r="E298" s="11">
        <v>44788</v>
      </c>
      <c r="F298" t="s">
        <v>174</v>
      </c>
      <c r="G298" s="25">
        <v>100.75</v>
      </c>
      <c r="H298">
        <v>100.75</v>
      </c>
      <c r="I298" t="s">
        <v>56</v>
      </c>
      <c r="O298" t="s">
        <v>57</v>
      </c>
      <c r="Q298" t="s">
        <v>57</v>
      </c>
      <c r="R298" t="s">
        <v>137</v>
      </c>
      <c r="T298" t="s">
        <v>59</v>
      </c>
      <c r="U298" t="s">
        <v>60</v>
      </c>
      <c r="V298" t="s">
        <v>138</v>
      </c>
      <c r="W298" t="s">
        <v>139</v>
      </c>
      <c r="X298">
        <v>1933170</v>
      </c>
      <c r="Y298" s="11">
        <v>44789</v>
      </c>
      <c r="Z298" t="s">
        <v>57</v>
      </c>
      <c r="AA298">
        <v>8</v>
      </c>
      <c r="AB298" t="s">
        <v>57</v>
      </c>
      <c r="AD298" t="s">
        <v>57</v>
      </c>
      <c r="AE298" t="s">
        <v>57</v>
      </c>
      <c r="AF298" t="s">
        <v>57</v>
      </c>
      <c r="AG298">
        <v>1</v>
      </c>
      <c r="AH298" t="s">
        <v>57</v>
      </c>
      <c r="AL298" t="s">
        <v>57</v>
      </c>
      <c r="AM298" s="11">
        <v>44788</v>
      </c>
      <c r="AN298" t="s">
        <v>184</v>
      </c>
      <c r="AO298" t="s">
        <v>65</v>
      </c>
      <c r="AP298">
        <v>1206</v>
      </c>
      <c r="AQ298" t="s">
        <v>66</v>
      </c>
      <c r="AR298">
        <v>143860</v>
      </c>
      <c r="AU298" t="s">
        <v>57</v>
      </c>
      <c r="AV298" t="s">
        <v>68</v>
      </c>
      <c r="AX298" t="s">
        <v>57</v>
      </c>
      <c r="AY298">
        <v>631110</v>
      </c>
      <c r="AZ298">
        <v>1206.63111</v>
      </c>
      <c r="BA298" s="23" t="s">
        <v>14</v>
      </c>
    </row>
    <row r="299" spans="1:53" x14ac:dyDescent="0.25">
      <c r="A299" t="s">
        <v>134</v>
      </c>
      <c r="B299" t="s">
        <v>135</v>
      </c>
      <c r="C299">
        <v>22002593</v>
      </c>
      <c r="D299">
        <v>1206</v>
      </c>
      <c r="E299" s="11">
        <v>44789</v>
      </c>
      <c r="F299" t="s">
        <v>174</v>
      </c>
      <c r="G299" s="25">
        <v>100.75</v>
      </c>
      <c r="H299">
        <v>100.75</v>
      </c>
      <c r="I299" t="s">
        <v>56</v>
      </c>
      <c r="O299" t="s">
        <v>57</v>
      </c>
      <c r="Q299" t="s">
        <v>57</v>
      </c>
      <c r="R299" t="s">
        <v>137</v>
      </c>
      <c r="T299" t="s">
        <v>59</v>
      </c>
      <c r="U299" t="s">
        <v>60</v>
      </c>
      <c r="V299" t="s">
        <v>138</v>
      </c>
      <c r="W299" t="s">
        <v>139</v>
      </c>
      <c r="X299">
        <v>1933529</v>
      </c>
      <c r="Y299" s="11">
        <v>44791</v>
      </c>
      <c r="Z299" t="s">
        <v>57</v>
      </c>
      <c r="AA299">
        <v>14</v>
      </c>
      <c r="AB299" t="s">
        <v>57</v>
      </c>
      <c r="AD299" t="s">
        <v>57</v>
      </c>
      <c r="AE299" t="s">
        <v>57</v>
      </c>
      <c r="AF299" t="s">
        <v>57</v>
      </c>
      <c r="AG299">
        <v>1</v>
      </c>
      <c r="AH299" t="s">
        <v>57</v>
      </c>
      <c r="AL299" t="s">
        <v>57</v>
      </c>
      <c r="AM299" s="11">
        <v>44789</v>
      </c>
      <c r="AN299" t="s">
        <v>184</v>
      </c>
      <c r="AO299" t="s">
        <v>65</v>
      </c>
      <c r="AP299">
        <v>1206</v>
      </c>
      <c r="AQ299" t="s">
        <v>66</v>
      </c>
      <c r="AR299">
        <v>143860</v>
      </c>
      <c r="AU299" t="s">
        <v>57</v>
      </c>
      <c r="AV299" t="s">
        <v>68</v>
      </c>
      <c r="AX299" t="s">
        <v>57</v>
      </c>
      <c r="AY299">
        <v>631110</v>
      </c>
      <c r="AZ299">
        <v>1206.63111</v>
      </c>
      <c r="BA299" s="23" t="s">
        <v>14</v>
      </c>
    </row>
    <row r="300" spans="1:53" x14ac:dyDescent="0.25">
      <c r="A300" t="s">
        <v>134</v>
      </c>
      <c r="B300" t="s">
        <v>135</v>
      </c>
      <c r="C300">
        <v>22002550</v>
      </c>
      <c r="D300">
        <v>1206</v>
      </c>
      <c r="E300" s="11">
        <v>44783</v>
      </c>
      <c r="F300" t="s">
        <v>174</v>
      </c>
      <c r="G300" s="25">
        <v>101.85</v>
      </c>
      <c r="H300">
        <v>101.85</v>
      </c>
      <c r="I300" t="s">
        <v>56</v>
      </c>
      <c r="O300" t="s">
        <v>57</v>
      </c>
      <c r="Q300" t="s">
        <v>57</v>
      </c>
      <c r="R300" t="s">
        <v>137</v>
      </c>
      <c r="T300" t="s">
        <v>59</v>
      </c>
      <c r="U300" t="s">
        <v>60</v>
      </c>
      <c r="V300" t="s">
        <v>138</v>
      </c>
      <c r="W300" t="s">
        <v>139</v>
      </c>
      <c r="X300">
        <v>1930353</v>
      </c>
      <c r="Y300" s="11">
        <v>44783</v>
      </c>
      <c r="Z300" t="s">
        <v>57</v>
      </c>
      <c r="AA300">
        <v>4</v>
      </c>
      <c r="AB300" t="s">
        <v>57</v>
      </c>
      <c r="AD300" t="s">
        <v>57</v>
      </c>
      <c r="AE300" t="s">
        <v>57</v>
      </c>
      <c r="AF300" t="s">
        <v>57</v>
      </c>
      <c r="AG300">
        <v>1</v>
      </c>
      <c r="AH300" t="s">
        <v>57</v>
      </c>
      <c r="AL300" t="s">
        <v>57</v>
      </c>
      <c r="AM300" s="11">
        <v>44783</v>
      </c>
      <c r="AN300" t="s">
        <v>184</v>
      </c>
      <c r="AO300" t="s">
        <v>65</v>
      </c>
      <c r="AP300">
        <v>1206</v>
      </c>
      <c r="AQ300" t="s">
        <v>66</v>
      </c>
      <c r="AR300">
        <v>196613</v>
      </c>
      <c r="AU300" t="s">
        <v>57</v>
      </c>
      <c r="AV300" t="s">
        <v>68</v>
      </c>
      <c r="AX300" t="s">
        <v>57</v>
      </c>
      <c r="AY300">
        <v>631110</v>
      </c>
      <c r="AZ300">
        <v>1206.63111</v>
      </c>
      <c r="BA300" s="23" t="s">
        <v>14</v>
      </c>
    </row>
    <row r="301" spans="1:53" x14ac:dyDescent="0.25">
      <c r="A301" t="s">
        <v>134</v>
      </c>
      <c r="B301" t="s">
        <v>135</v>
      </c>
      <c r="C301">
        <v>22002593</v>
      </c>
      <c r="D301">
        <v>1206</v>
      </c>
      <c r="E301" s="11">
        <v>44789</v>
      </c>
      <c r="F301" t="s">
        <v>174</v>
      </c>
      <c r="G301" s="27">
        <v>157.97999999999999</v>
      </c>
      <c r="H301">
        <v>157.97999999999999</v>
      </c>
      <c r="I301" t="s">
        <v>56</v>
      </c>
      <c r="O301" t="s">
        <v>57</v>
      </c>
      <c r="Q301" t="s">
        <v>57</v>
      </c>
      <c r="R301" t="s">
        <v>137</v>
      </c>
      <c r="T301" t="s">
        <v>59</v>
      </c>
      <c r="U301" t="s">
        <v>60</v>
      </c>
      <c r="V301" t="s">
        <v>138</v>
      </c>
      <c r="W301" t="s">
        <v>139</v>
      </c>
      <c r="X301">
        <v>1933529</v>
      </c>
      <c r="Y301" s="11">
        <v>44791</v>
      </c>
      <c r="Z301" t="s">
        <v>57</v>
      </c>
      <c r="AA301">
        <v>8</v>
      </c>
      <c r="AB301" t="s">
        <v>57</v>
      </c>
      <c r="AD301" t="s">
        <v>57</v>
      </c>
      <c r="AE301" t="s">
        <v>57</v>
      </c>
      <c r="AF301" t="s">
        <v>57</v>
      </c>
      <c r="AG301">
        <v>1</v>
      </c>
      <c r="AH301" t="s">
        <v>57</v>
      </c>
      <c r="AL301" t="s">
        <v>57</v>
      </c>
      <c r="AM301" s="11">
        <v>44789</v>
      </c>
      <c r="AN301" t="s">
        <v>184</v>
      </c>
      <c r="AO301" t="s">
        <v>65</v>
      </c>
      <c r="AP301">
        <v>1206</v>
      </c>
      <c r="AQ301" t="s">
        <v>66</v>
      </c>
      <c r="AR301">
        <v>138787</v>
      </c>
      <c r="AU301" t="s">
        <v>57</v>
      </c>
      <c r="AV301" t="s">
        <v>68</v>
      </c>
      <c r="AX301" t="s">
        <v>57</v>
      </c>
      <c r="AY301">
        <v>631110</v>
      </c>
      <c r="AZ301">
        <v>1206.63111</v>
      </c>
      <c r="BA301" s="23" t="s">
        <v>14</v>
      </c>
    </row>
  </sheetData>
  <autoFilter ref="A3:BA3" xr:uid="{6B7E349B-679C-47EA-8230-88522F5DA978}"/>
  <sortState xmlns:xlrd2="http://schemas.microsoft.com/office/spreadsheetml/2017/richdata2" ref="A4:BA301">
    <sortCondition ref="G4:G10000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PETUNJUK</vt:lpstr>
      <vt:lpstr>INPUT RPA</vt:lpstr>
      <vt:lpstr>BREAKDOWN</vt:lpstr>
      <vt:lpstr>FILE JDE</vt:lpstr>
      <vt:lpstr>TABEL</vt:lpstr>
      <vt:lpstr>1201.630300</vt:lpstr>
      <vt:lpstr>1201.631150</vt:lpstr>
      <vt:lpstr>1204.631110</vt:lpstr>
      <vt:lpstr>1205.631110</vt:lpstr>
      <vt:lpstr>1206.631110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2021-09-03T03:22:05Z</dcterms:created>
  <dcterms:modified xsi:type="dcterms:W3CDTF">2022-08-26T03:02:46Z</dcterms:modified>
</cp:coreProperties>
</file>